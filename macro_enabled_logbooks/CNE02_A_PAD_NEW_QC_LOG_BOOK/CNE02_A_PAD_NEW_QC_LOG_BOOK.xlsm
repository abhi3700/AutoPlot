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excel\dryetch\Excel-office\macro_enabled_logbooks\CNE02_A_PAD_NEW_QC_LOG_BOOK\"/>
    </mc:Choice>
  </mc:AlternateContent>
  <bookViews>
    <workbookView xWindow="-5361" yWindow="-21146" windowWidth="38404" windowHeight="21146" tabRatio="653" activeTab="2"/>
  </bookViews>
  <sheets>
    <sheet name="REOX1A-WSA" sheetId="3" r:id="rId1"/>
    <sheet name="REOX1A-CP" sheetId="4" r:id="rId2"/>
    <sheet name="REOX1A-ER" sheetId="12" r:id="rId3"/>
    <sheet name="CP Plot" sheetId="7" r:id="rId4"/>
    <sheet name="SiN Plot" sheetId="9" r:id="rId5"/>
    <sheet name="TEOS Plot" sheetId="10" r:id="rId6"/>
    <sheet name="Redundant of A in B" sheetId="13" r:id="rId7"/>
    <sheet name="CH B" sheetId="14" r:id="rId8"/>
    <sheet name="RUN_code" sheetId="1" r:id="rId9"/>
    <sheet name="_xlwings.conf" sheetId="2" state="hidden" r:id="rId10"/>
  </sheets>
  <definedNames>
    <definedName name="_xlnm._FilterDatabase" localSheetId="7" hidden="1">'CH B'!$A$9:$AD$15</definedName>
    <definedName name="_xlnm._FilterDatabase" localSheetId="6" hidden="1">'Redundant of A in B'!$A$9:$AD$30</definedName>
    <definedName name="_xlnm._FilterDatabase" localSheetId="2" hidden="1">'REOX1A-ER'!$A$11:$AE$760</definedName>
    <definedName name="TVZPPO29" localSheetId="2">'REOX1A-ER'!#REF!</definedName>
  </definedNames>
  <calcPr calcId="152511" concurrentCalc="0"/>
  <fileRecoveryPr repairLoad="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44" i="12" l="1"/>
  <c r="V68" i="12"/>
  <c r="V32" i="12"/>
  <c r="V50" i="12"/>
  <c r="V38" i="12"/>
  <c r="F189" i="4"/>
  <c r="P27" i="14"/>
  <c r="L27" i="14"/>
  <c r="K27" i="14"/>
  <c r="J27" i="14"/>
  <c r="I27" i="14"/>
  <c r="H27" i="14"/>
  <c r="G27" i="14"/>
  <c r="F27" i="14"/>
  <c r="S25" i="14"/>
  <c r="E27" i="14"/>
  <c r="D27" i="14"/>
  <c r="R25" i="14"/>
  <c r="U25" i="14"/>
  <c r="Q25" i="14"/>
  <c r="T25" i="14"/>
  <c r="V25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S22" i="14"/>
  <c r="D24" i="14"/>
  <c r="P21" i="14"/>
  <c r="L21" i="14"/>
  <c r="K21" i="14"/>
  <c r="J21" i="14"/>
  <c r="I21" i="14"/>
  <c r="H21" i="14"/>
  <c r="G21" i="14"/>
  <c r="F21" i="14"/>
  <c r="E21" i="14"/>
  <c r="S19" i="14"/>
  <c r="D21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R16" i="14"/>
  <c r="P15" i="14"/>
  <c r="L15" i="14"/>
  <c r="K15" i="14"/>
  <c r="J15" i="14"/>
  <c r="I15" i="14"/>
  <c r="H15" i="14"/>
  <c r="G15" i="14"/>
  <c r="F15" i="14"/>
  <c r="E15" i="14"/>
  <c r="D15" i="14"/>
  <c r="R13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S10" i="14"/>
  <c r="D12" i="14"/>
  <c r="U10" i="14"/>
  <c r="R10" i="14"/>
  <c r="D21" i="13"/>
  <c r="Q19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S19" i="13"/>
  <c r="D24" i="13"/>
  <c r="R22" i="13"/>
  <c r="E24" i="13"/>
  <c r="F24" i="13"/>
  <c r="Q22" i="13"/>
  <c r="T22" i="13"/>
  <c r="V22" i="13"/>
  <c r="G24" i="13"/>
  <c r="H24" i="13"/>
  <c r="I24" i="13"/>
  <c r="J24" i="13"/>
  <c r="K24" i="13"/>
  <c r="L24" i="13"/>
  <c r="S22" i="13"/>
  <c r="P24" i="13"/>
  <c r="D27" i="13"/>
  <c r="R25" i="13"/>
  <c r="E27" i="13"/>
  <c r="F27" i="13"/>
  <c r="Q25" i="13"/>
  <c r="G27" i="13"/>
  <c r="H27" i="13"/>
  <c r="I27" i="13"/>
  <c r="J27" i="13"/>
  <c r="K27" i="13"/>
  <c r="L27" i="13"/>
  <c r="M27" i="13"/>
  <c r="N27" i="13"/>
  <c r="O27" i="13"/>
  <c r="P27" i="13"/>
  <c r="S25" i="13"/>
  <c r="D30" i="13"/>
  <c r="E30" i="13"/>
  <c r="F30" i="13"/>
  <c r="Q28" i="13"/>
  <c r="G30" i="13"/>
  <c r="R28" i="13"/>
  <c r="H30" i="13"/>
  <c r="I30" i="13"/>
  <c r="J30" i="13"/>
  <c r="K30" i="13"/>
  <c r="L30" i="13"/>
  <c r="S28" i="13"/>
  <c r="P30" i="13"/>
  <c r="D13" i="12"/>
  <c r="E13" i="12"/>
  <c r="F13" i="12"/>
  <c r="G13" i="12"/>
  <c r="H13" i="12"/>
  <c r="I13" i="12"/>
  <c r="J13" i="12"/>
  <c r="K13" i="12"/>
  <c r="L13" i="12"/>
  <c r="P13" i="12"/>
  <c r="D16" i="12"/>
  <c r="E16" i="12"/>
  <c r="F16" i="12"/>
  <c r="G16" i="12"/>
  <c r="H16" i="12"/>
  <c r="I16" i="12"/>
  <c r="J16" i="12"/>
  <c r="K16" i="12"/>
  <c r="L16" i="12"/>
  <c r="M16" i="12"/>
  <c r="N16" i="12"/>
  <c r="O16" i="12"/>
  <c r="P16" i="12"/>
  <c r="D19" i="12"/>
  <c r="E19" i="12"/>
  <c r="F19" i="12"/>
  <c r="G19" i="12"/>
  <c r="H19" i="12"/>
  <c r="I19" i="12"/>
  <c r="J19" i="12"/>
  <c r="K19" i="12"/>
  <c r="L19" i="12"/>
  <c r="P19" i="12"/>
  <c r="U17" i="12"/>
  <c r="S17" i="12"/>
  <c r="D22" i="12"/>
  <c r="E22" i="12"/>
  <c r="F22" i="12"/>
  <c r="G22" i="12"/>
  <c r="H22" i="12"/>
  <c r="I22" i="12"/>
  <c r="J22" i="12"/>
  <c r="K22" i="12"/>
  <c r="L22" i="12"/>
  <c r="P22" i="12"/>
  <c r="U20" i="12"/>
  <c r="S20" i="12"/>
  <c r="D25" i="12"/>
  <c r="E25" i="12"/>
  <c r="F25" i="12"/>
  <c r="G25" i="12"/>
  <c r="H25" i="12"/>
  <c r="I25" i="12"/>
  <c r="J25" i="12"/>
  <c r="K25" i="12"/>
  <c r="L25" i="12"/>
  <c r="P25" i="12"/>
  <c r="U23" i="12"/>
  <c r="S23" i="12"/>
  <c r="D28" i="12"/>
  <c r="E28" i="12"/>
  <c r="F28" i="12"/>
  <c r="G28" i="12"/>
  <c r="H28" i="12"/>
  <c r="I28" i="12"/>
  <c r="J28" i="12"/>
  <c r="K28" i="12"/>
  <c r="L28" i="12"/>
  <c r="P28" i="12"/>
  <c r="U26" i="12"/>
  <c r="S26" i="12"/>
  <c r="D31" i="12"/>
  <c r="E31" i="12"/>
  <c r="F31" i="12"/>
  <c r="G31" i="12"/>
  <c r="H31" i="12"/>
  <c r="I31" i="12"/>
  <c r="J31" i="12"/>
  <c r="K31" i="12"/>
  <c r="L31" i="12"/>
  <c r="P31" i="12"/>
  <c r="U29" i="12"/>
  <c r="S29" i="12"/>
  <c r="D34" i="12"/>
  <c r="E34" i="12"/>
  <c r="F34" i="12"/>
  <c r="G34" i="12"/>
  <c r="H34" i="12"/>
  <c r="I34" i="12"/>
  <c r="J34" i="12"/>
  <c r="K34" i="12"/>
  <c r="L34" i="12"/>
  <c r="M34" i="12"/>
  <c r="N34" i="12"/>
  <c r="O34" i="12"/>
  <c r="P34" i="12"/>
  <c r="Q32" i="12"/>
  <c r="D37" i="12"/>
  <c r="E37" i="12"/>
  <c r="F37" i="12"/>
  <c r="G37" i="12"/>
  <c r="H37" i="12"/>
  <c r="I37" i="12"/>
  <c r="J37" i="12"/>
  <c r="K37" i="12"/>
  <c r="L37" i="12"/>
  <c r="Q35" i="12"/>
  <c r="R35" i="12"/>
  <c r="T35" i="12"/>
  <c r="S35" i="12"/>
  <c r="P37" i="12"/>
  <c r="D40" i="12"/>
  <c r="E40" i="12"/>
  <c r="F40" i="12"/>
  <c r="G40" i="12"/>
  <c r="H40" i="12"/>
  <c r="I40" i="12"/>
  <c r="J40" i="12"/>
  <c r="K40" i="12"/>
  <c r="L40" i="12"/>
  <c r="M40" i="12"/>
  <c r="N40" i="12"/>
  <c r="O40" i="12"/>
  <c r="P40" i="12"/>
  <c r="Q38" i="12"/>
  <c r="R38" i="12"/>
  <c r="T38" i="12"/>
  <c r="S38" i="12"/>
  <c r="D43" i="12"/>
  <c r="E43" i="12"/>
  <c r="F43" i="12"/>
  <c r="G43" i="12"/>
  <c r="H43" i="12"/>
  <c r="I43" i="12"/>
  <c r="J43" i="12"/>
  <c r="K43" i="12"/>
  <c r="L43" i="12"/>
  <c r="S41" i="12"/>
  <c r="P43" i="12"/>
  <c r="L46" i="12"/>
  <c r="D46" i="12"/>
  <c r="E46" i="12"/>
  <c r="F46" i="12"/>
  <c r="G46" i="12"/>
  <c r="H46" i="12"/>
  <c r="I46" i="12"/>
  <c r="J46" i="12"/>
  <c r="K46" i="12"/>
  <c r="S44" i="12"/>
  <c r="M46" i="12"/>
  <c r="N46" i="12"/>
  <c r="O46" i="12"/>
  <c r="P46" i="12"/>
  <c r="D49" i="12"/>
  <c r="E49" i="12"/>
  <c r="F49" i="12"/>
  <c r="G49" i="12"/>
  <c r="H49" i="12"/>
  <c r="I49" i="12"/>
  <c r="J49" i="12"/>
  <c r="K49" i="12"/>
  <c r="L49" i="12"/>
  <c r="R47" i="12"/>
  <c r="S47" i="12"/>
  <c r="P49" i="12"/>
  <c r="D52" i="12"/>
  <c r="E52" i="12"/>
  <c r="F52" i="12"/>
  <c r="G52" i="12"/>
  <c r="H52" i="12"/>
  <c r="I52" i="12"/>
  <c r="J52" i="12"/>
  <c r="K52" i="12"/>
  <c r="L52" i="12"/>
  <c r="R50" i="12"/>
  <c r="S50" i="12"/>
  <c r="M52" i="12"/>
  <c r="N52" i="12"/>
  <c r="O52" i="12"/>
  <c r="P52" i="12"/>
  <c r="D55" i="12"/>
  <c r="E55" i="12"/>
  <c r="F55" i="12"/>
  <c r="G55" i="12"/>
  <c r="H55" i="12"/>
  <c r="I55" i="12"/>
  <c r="J55" i="12"/>
  <c r="K55" i="12"/>
  <c r="L55" i="12"/>
  <c r="P55" i="12"/>
  <c r="U53" i="12"/>
  <c r="S53" i="12"/>
  <c r="V56" i="12"/>
  <c r="D58" i="12"/>
  <c r="E58" i="12"/>
  <c r="F58" i="12"/>
  <c r="G58" i="12"/>
  <c r="H58" i="12"/>
  <c r="I58" i="12"/>
  <c r="J58" i="12"/>
  <c r="K58" i="12"/>
  <c r="L58" i="12"/>
  <c r="S56" i="12"/>
  <c r="M58" i="12"/>
  <c r="N58" i="12"/>
  <c r="O58" i="12"/>
  <c r="P58" i="12"/>
  <c r="D61" i="12"/>
  <c r="E61" i="12"/>
  <c r="F61" i="12"/>
  <c r="G61" i="12"/>
  <c r="H61" i="12"/>
  <c r="I61" i="12"/>
  <c r="J61" i="12"/>
  <c r="K61" i="12"/>
  <c r="L61" i="12"/>
  <c r="R59" i="12"/>
  <c r="S59" i="12"/>
  <c r="P61" i="12"/>
  <c r="V62" i="12"/>
  <c r="D64" i="12"/>
  <c r="E64" i="12"/>
  <c r="F64" i="12"/>
  <c r="G64" i="12"/>
  <c r="H64" i="12"/>
  <c r="I64" i="12"/>
  <c r="J64" i="12"/>
  <c r="K64" i="12"/>
  <c r="L64" i="12"/>
  <c r="R62" i="12"/>
  <c r="S62" i="12"/>
  <c r="M64" i="12"/>
  <c r="N64" i="12"/>
  <c r="O64" i="12"/>
  <c r="P64" i="12"/>
  <c r="L67" i="12"/>
  <c r="D67" i="12"/>
  <c r="E67" i="12"/>
  <c r="F67" i="12"/>
  <c r="G67" i="12"/>
  <c r="H67" i="12"/>
  <c r="I67" i="12"/>
  <c r="J67" i="12"/>
  <c r="K67" i="12"/>
  <c r="S65" i="12"/>
  <c r="P67" i="12"/>
  <c r="L70" i="12"/>
  <c r="D70" i="12"/>
  <c r="E70" i="12"/>
  <c r="F70" i="12"/>
  <c r="G70" i="12"/>
  <c r="H70" i="12"/>
  <c r="I70" i="12"/>
  <c r="J70" i="12"/>
  <c r="K70" i="12"/>
  <c r="S68" i="12"/>
  <c r="M70" i="12"/>
  <c r="N70" i="12"/>
  <c r="O70" i="12"/>
  <c r="P70" i="12"/>
  <c r="D73" i="12"/>
  <c r="E73" i="12"/>
  <c r="F73" i="12"/>
  <c r="G73" i="12"/>
  <c r="H73" i="12"/>
  <c r="I73" i="12"/>
  <c r="J73" i="12"/>
  <c r="K73" i="12"/>
  <c r="L73" i="12"/>
  <c r="P73" i="12"/>
  <c r="D76" i="12"/>
  <c r="E76" i="12"/>
  <c r="F76" i="12"/>
  <c r="G76" i="12"/>
  <c r="H76" i="12"/>
  <c r="I76" i="12"/>
  <c r="J76" i="12"/>
  <c r="K76" i="12"/>
  <c r="L76" i="12"/>
  <c r="M76" i="12"/>
  <c r="N76" i="12"/>
  <c r="O76" i="12"/>
  <c r="P76" i="12"/>
  <c r="D79" i="12"/>
  <c r="E79" i="12"/>
  <c r="F79" i="12"/>
  <c r="G79" i="12"/>
  <c r="H79" i="12"/>
  <c r="I79" i="12"/>
  <c r="J79" i="12"/>
  <c r="K79" i="12"/>
  <c r="L79" i="12"/>
  <c r="P79" i="12"/>
  <c r="U77" i="12"/>
  <c r="Q77" i="12"/>
  <c r="D82" i="12"/>
  <c r="E82" i="12"/>
  <c r="F82" i="12"/>
  <c r="G82" i="12"/>
  <c r="H82" i="12"/>
  <c r="I82" i="12"/>
  <c r="J82" i="12"/>
  <c r="K82" i="12"/>
  <c r="L82" i="12"/>
  <c r="M82" i="12"/>
  <c r="N82" i="12"/>
  <c r="O82" i="12"/>
  <c r="P82" i="12"/>
  <c r="U80" i="12"/>
  <c r="Q80" i="12"/>
  <c r="D85" i="12"/>
  <c r="E85" i="12"/>
  <c r="F85" i="12"/>
  <c r="G85" i="12"/>
  <c r="H85" i="12"/>
  <c r="I85" i="12"/>
  <c r="J85" i="12"/>
  <c r="K85" i="12"/>
  <c r="L85" i="12"/>
  <c r="R83" i="12"/>
  <c r="S83" i="12"/>
  <c r="P85" i="12"/>
  <c r="D88" i="12"/>
  <c r="E88" i="12"/>
  <c r="F88" i="12"/>
  <c r="G88" i="12"/>
  <c r="H88" i="12"/>
  <c r="I88" i="12"/>
  <c r="J88" i="12"/>
  <c r="K88" i="12"/>
  <c r="L88" i="12"/>
  <c r="M88" i="12"/>
  <c r="N88" i="12"/>
  <c r="O88" i="12"/>
  <c r="P88" i="12"/>
  <c r="R86" i="12"/>
  <c r="S86" i="12"/>
  <c r="D91" i="12"/>
  <c r="E91" i="12"/>
  <c r="F91" i="12"/>
  <c r="G91" i="12"/>
  <c r="H91" i="12"/>
  <c r="I91" i="12"/>
  <c r="J91" i="12"/>
  <c r="K91" i="12"/>
  <c r="L91" i="12"/>
  <c r="S89" i="12"/>
  <c r="P91" i="12"/>
  <c r="P94" i="12"/>
  <c r="D94" i="12"/>
  <c r="E94" i="12"/>
  <c r="F94" i="12"/>
  <c r="G94" i="12"/>
  <c r="H94" i="12"/>
  <c r="I94" i="12"/>
  <c r="J94" i="12"/>
  <c r="K94" i="12"/>
  <c r="L94" i="12"/>
  <c r="M94" i="12"/>
  <c r="N94" i="12"/>
  <c r="O94" i="12"/>
  <c r="S92" i="12"/>
  <c r="D97" i="12"/>
  <c r="E97" i="12"/>
  <c r="F97" i="12"/>
  <c r="G97" i="12"/>
  <c r="H97" i="12"/>
  <c r="I97" i="12"/>
  <c r="J97" i="12"/>
  <c r="K97" i="12"/>
  <c r="L97" i="12"/>
  <c r="P97" i="12"/>
  <c r="D100" i="12"/>
  <c r="E100" i="12"/>
  <c r="F100" i="12"/>
  <c r="G100" i="12"/>
  <c r="H100" i="12"/>
  <c r="I100" i="12"/>
  <c r="J100" i="12"/>
  <c r="K100" i="12"/>
  <c r="L100" i="12"/>
  <c r="M100" i="12"/>
  <c r="N100" i="12"/>
  <c r="O100" i="12"/>
  <c r="P100" i="12"/>
  <c r="D103" i="12"/>
  <c r="E103" i="12"/>
  <c r="F103" i="12"/>
  <c r="G103" i="12"/>
  <c r="H103" i="12"/>
  <c r="I103" i="12"/>
  <c r="J103" i="12"/>
  <c r="K103" i="12"/>
  <c r="L103" i="12"/>
  <c r="P103" i="12"/>
  <c r="U101" i="12"/>
  <c r="Q101" i="12"/>
  <c r="D106" i="12"/>
  <c r="E106" i="12"/>
  <c r="F106" i="12"/>
  <c r="G106" i="12"/>
  <c r="H106" i="12"/>
  <c r="I106" i="12"/>
  <c r="J106" i="12"/>
  <c r="K106" i="12"/>
  <c r="L106" i="12"/>
  <c r="M106" i="12"/>
  <c r="N106" i="12"/>
  <c r="O106" i="12"/>
  <c r="P106" i="12"/>
  <c r="U104" i="12"/>
  <c r="Q104" i="12"/>
  <c r="D109" i="12"/>
  <c r="E109" i="12"/>
  <c r="F109" i="12"/>
  <c r="G109" i="12"/>
  <c r="H109" i="12"/>
  <c r="I109" i="12"/>
  <c r="J109" i="12"/>
  <c r="K109" i="12"/>
  <c r="L109" i="12"/>
  <c r="R107" i="12"/>
  <c r="S107" i="12"/>
  <c r="P109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P112" i="12"/>
  <c r="R110" i="12"/>
  <c r="S110" i="12"/>
  <c r="D115" i="12"/>
  <c r="E115" i="12"/>
  <c r="F115" i="12"/>
  <c r="G115" i="12"/>
  <c r="H115" i="12"/>
  <c r="I115" i="12"/>
  <c r="J115" i="12"/>
  <c r="K115" i="12"/>
  <c r="L115" i="12"/>
  <c r="S113" i="12"/>
  <c r="P115" i="12"/>
  <c r="P118" i="12"/>
  <c r="D118" i="12"/>
  <c r="E118" i="12"/>
  <c r="F118" i="12"/>
  <c r="G118" i="12"/>
  <c r="H118" i="12"/>
  <c r="I118" i="12"/>
  <c r="J118" i="12"/>
  <c r="K118" i="12"/>
  <c r="L118" i="12"/>
  <c r="M118" i="12"/>
  <c r="N118" i="12"/>
  <c r="O118" i="12"/>
  <c r="S116" i="12"/>
  <c r="D121" i="12"/>
  <c r="E121" i="12"/>
  <c r="F121" i="12"/>
  <c r="G121" i="12"/>
  <c r="H121" i="12"/>
  <c r="I121" i="12"/>
  <c r="J121" i="12"/>
  <c r="K121" i="12"/>
  <c r="L121" i="12"/>
  <c r="P121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P124" i="12"/>
  <c r="D127" i="12"/>
  <c r="E127" i="12"/>
  <c r="F127" i="12"/>
  <c r="G127" i="12"/>
  <c r="H127" i="12"/>
  <c r="I127" i="12"/>
  <c r="J127" i="12"/>
  <c r="K127" i="12"/>
  <c r="L127" i="12"/>
  <c r="P127" i="12"/>
  <c r="U125" i="12"/>
  <c r="Q125" i="12"/>
  <c r="D130" i="12"/>
  <c r="E130" i="12"/>
  <c r="F130" i="12"/>
  <c r="G130" i="12"/>
  <c r="H130" i="12"/>
  <c r="I130" i="12"/>
  <c r="J130" i="12"/>
  <c r="K130" i="12"/>
  <c r="L130" i="12"/>
  <c r="M130" i="12"/>
  <c r="N130" i="12"/>
  <c r="O130" i="12"/>
  <c r="P130" i="12"/>
  <c r="U128" i="12"/>
  <c r="Q128" i="12"/>
  <c r="D133" i="12"/>
  <c r="E133" i="12"/>
  <c r="F133" i="12"/>
  <c r="G133" i="12"/>
  <c r="H133" i="12"/>
  <c r="I133" i="12"/>
  <c r="J133" i="12"/>
  <c r="K133" i="12"/>
  <c r="L133" i="12"/>
  <c r="Q131" i="12"/>
  <c r="R131" i="12"/>
  <c r="S131" i="12"/>
  <c r="P133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P136" i="12"/>
  <c r="Q134" i="12"/>
  <c r="R134" i="12"/>
  <c r="T134" i="12"/>
  <c r="S134" i="12"/>
  <c r="D139" i="12"/>
  <c r="E139" i="12"/>
  <c r="F139" i="12"/>
  <c r="G139" i="12"/>
  <c r="H139" i="12"/>
  <c r="I139" i="12"/>
  <c r="J139" i="12"/>
  <c r="K139" i="12"/>
  <c r="L139" i="12"/>
  <c r="S137" i="12"/>
  <c r="P139" i="12"/>
  <c r="L142" i="12"/>
  <c r="D142" i="12"/>
  <c r="E142" i="12"/>
  <c r="F142" i="12"/>
  <c r="G142" i="12"/>
  <c r="H142" i="12"/>
  <c r="I142" i="12"/>
  <c r="J142" i="12"/>
  <c r="K142" i="12"/>
  <c r="S140" i="12"/>
  <c r="P142" i="12"/>
  <c r="D145" i="12"/>
  <c r="E145" i="12"/>
  <c r="F145" i="12"/>
  <c r="G145" i="12"/>
  <c r="H145" i="12"/>
  <c r="I145" i="12"/>
  <c r="J145" i="12"/>
  <c r="K145" i="12"/>
  <c r="L145" i="12"/>
  <c r="M145" i="12"/>
  <c r="N145" i="12"/>
  <c r="O145" i="12"/>
  <c r="P145" i="12"/>
  <c r="S143" i="12"/>
  <c r="D148" i="12"/>
  <c r="E148" i="12"/>
  <c r="F148" i="12"/>
  <c r="G148" i="12"/>
  <c r="H148" i="12"/>
  <c r="I148" i="12"/>
  <c r="J148" i="12"/>
  <c r="K148" i="12"/>
  <c r="L148" i="12"/>
  <c r="P148" i="12"/>
  <c r="D151" i="12"/>
  <c r="E151" i="12"/>
  <c r="F151" i="12"/>
  <c r="G151" i="12"/>
  <c r="H151" i="12"/>
  <c r="I151" i="12"/>
  <c r="J151" i="12"/>
  <c r="K151" i="12"/>
  <c r="L151" i="12"/>
  <c r="M151" i="12"/>
  <c r="N151" i="12"/>
  <c r="O151" i="12"/>
  <c r="P151" i="12"/>
  <c r="D154" i="12"/>
  <c r="E154" i="12"/>
  <c r="F154" i="12"/>
  <c r="G154" i="12"/>
  <c r="H154" i="12"/>
  <c r="I154" i="12"/>
  <c r="J154" i="12"/>
  <c r="K154" i="12"/>
  <c r="L154" i="12"/>
  <c r="M154" i="12"/>
  <c r="N154" i="12"/>
  <c r="O154" i="12"/>
  <c r="P154" i="12"/>
  <c r="U152" i="12"/>
  <c r="R152" i="12"/>
  <c r="Q152" i="12"/>
  <c r="S152" i="12"/>
  <c r="D157" i="12"/>
  <c r="E157" i="12"/>
  <c r="F157" i="12"/>
  <c r="G157" i="12"/>
  <c r="H157" i="12"/>
  <c r="I157" i="12"/>
  <c r="J157" i="12"/>
  <c r="K157" i="12"/>
  <c r="L157" i="12"/>
  <c r="Q155" i="12"/>
  <c r="P157" i="12"/>
  <c r="U155" i="12"/>
  <c r="R155" i="12"/>
  <c r="S155" i="12"/>
  <c r="D160" i="12"/>
  <c r="E160" i="12"/>
  <c r="F160" i="12"/>
  <c r="G160" i="12"/>
  <c r="H160" i="12"/>
  <c r="I160" i="12"/>
  <c r="J160" i="12"/>
  <c r="K160" i="12"/>
  <c r="L160" i="12"/>
  <c r="M160" i="12"/>
  <c r="N160" i="12"/>
  <c r="O160" i="12"/>
  <c r="P160" i="12"/>
  <c r="Q158" i="12"/>
  <c r="U158" i="12"/>
  <c r="R158" i="12"/>
  <c r="S158" i="12"/>
  <c r="L163" i="12"/>
  <c r="D163" i="12"/>
  <c r="E163" i="12"/>
  <c r="F163" i="12"/>
  <c r="G163" i="12"/>
  <c r="H163" i="12"/>
  <c r="I163" i="12"/>
  <c r="J163" i="12"/>
  <c r="K163" i="12"/>
  <c r="S161" i="12"/>
  <c r="P163" i="12"/>
  <c r="D166" i="12"/>
  <c r="E166" i="12"/>
  <c r="F166" i="12"/>
  <c r="G166" i="12"/>
  <c r="H166" i="12"/>
  <c r="I166" i="12"/>
  <c r="J166" i="12"/>
  <c r="K166" i="12"/>
  <c r="L166" i="12"/>
  <c r="M166" i="12"/>
  <c r="N166" i="12"/>
  <c r="O166" i="12"/>
  <c r="P166" i="12"/>
  <c r="S164" i="12"/>
  <c r="D169" i="12"/>
  <c r="E169" i="12"/>
  <c r="F169" i="12"/>
  <c r="G169" i="12"/>
  <c r="H169" i="12"/>
  <c r="I169" i="12"/>
  <c r="J169" i="12"/>
  <c r="K169" i="12"/>
  <c r="L169" i="12"/>
  <c r="P169" i="12"/>
  <c r="D172" i="12"/>
  <c r="E172" i="12"/>
  <c r="F172" i="12"/>
  <c r="G172" i="12"/>
  <c r="H172" i="12"/>
  <c r="I172" i="12"/>
  <c r="J172" i="12"/>
  <c r="K172" i="12"/>
  <c r="L172" i="12"/>
  <c r="M172" i="12"/>
  <c r="N172" i="12"/>
  <c r="O172" i="12"/>
  <c r="P172" i="12"/>
  <c r="D175" i="12"/>
  <c r="E175" i="12"/>
  <c r="F175" i="12"/>
  <c r="G175" i="12"/>
  <c r="H175" i="12"/>
  <c r="I175" i="12"/>
  <c r="J175" i="12"/>
  <c r="K175" i="12"/>
  <c r="L175" i="12"/>
  <c r="P175" i="12"/>
  <c r="U173" i="12"/>
  <c r="R173" i="12"/>
  <c r="Q173" i="12"/>
  <c r="T173" i="12"/>
  <c r="S173" i="12"/>
  <c r="V173" i="12"/>
  <c r="D178" i="12"/>
  <c r="E178" i="12"/>
  <c r="F178" i="12"/>
  <c r="G178" i="12"/>
  <c r="H178" i="12"/>
  <c r="I178" i="12"/>
  <c r="J178" i="12"/>
  <c r="K178" i="12"/>
  <c r="L178" i="12"/>
  <c r="M178" i="12"/>
  <c r="N178" i="12"/>
  <c r="O178" i="12"/>
  <c r="P178" i="12"/>
  <c r="S176" i="12"/>
  <c r="D181" i="12"/>
  <c r="E181" i="12"/>
  <c r="F181" i="12"/>
  <c r="G181" i="12"/>
  <c r="H181" i="12"/>
  <c r="I181" i="12"/>
  <c r="J181" i="12"/>
  <c r="K181" i="12"/>
  <c r="L181" i="12"/>
  <c r="P181" i="12"/>
  <c r="D184" i="12"/>
  <c r="E184" i="12"/>
  <c r="F184" i="12"/>
  <c r="G184" i="12"/>
  <c r="H184" i="12"/>
  <c r="I184" i="12"/>
  <c r="J184" i="12"/>
  <c r="K184" i="12"/>
  <c r="L184" i="12"/>
  <c r="M184" i="12"/>
  <c r="N184" i="12"/>
  <c r="O184" i="12"/>
  <c r="P184" i="12"/>
  <c r="Q182" i="12"/>
  <c r="S182" i="12"/>
  <c r="D187" i="12"/>
  <c r="E187" i="12"/>
  <c r="F187" i="12"/>
  <c r="G187" i="12"/>
  <c r="H187" i="12"/>
  <c r="I187" i="12"/>
  <c r="J187" i="12"/>
  <c r="K187" i="12"/>
  <c r="L187" i="12"/>
  <c r="R185" i="12"/>
  <c r="Q185" i="12"/>
  <c r="T185" i="12"/>
  <c r="S185" i="12"/>
  <c r="V185" i="12"/>
  <c r="P187" i="12"/>
  <c r="D190" i="12"/>
  <c r="E190" i="12"/>
  <c r="F190" i="12"/>
  <c r="G190" i="12"/>
  <c r="H190" i="12"/>
  <c r="I190" i="12"/>
  <c r="J190" i="12"/>
  <c r="K190" i="12"/>
  <c r="L190" i="12"/>
  <c r="M190" i="12"/>
  <c r="N190" i="12"/>
  <c r="O190" i="12"/>
  <c r="P190" i="12"/>
  <c r="U188" i="12"/>
  <c r="R188" i="12"/>
  <c r="Q188" i="12"/>
  <c r="S188" i="12"/>
  <c r="D193" i="12"/>
  <c r="E193" i="12"/>
  <c r="F193" i="12"/>
  <c r="G193" i="12"/>
  <c r="H193" i="12"/>
  <c r="I193" i="12"/>
  <c r="J193" i="12"/>
  <c r="K193" i="12"/>
  <c r="L193" i="12"/>
  <c r="Q191" i="12"/>
  <c r="P193" i="12"/>
  <c r="D196" i="12"/>
  <c r="E196" i="12"/>
  <c r="F196" i="12"/>
  <c r="G196" i="12"/>
  <c r="H196" i="12"/>
  <c r="I196" i="12"/>
  <c r="J196" i="12"/>
  <c r="K196" i="12"/>
  <c r="L196" i="12"/>
  <c r="M196" i="12"/>
  <c r="N196" i="12"/>
  <c r="O196" i="12"/>
  <c r="P196" i="12"/>
  <c r="Q194" i="12"/>
  <c r="R194" i="12"/>
  <c r="U194" i="12"/>
  <c r="S194" i="12"/>
  <c r="D199" i="12"/>
  <c r="E199" i="12"/>
  <c r="F199" i="12"/>
  <c r="G199" i="12"/>
  <c r="H199" i="12"/>
  <c r="I199" i="12"/>
  <c r="J199" i="12"/>
  <c r="K199" i="12"/>
  <c r="L199" i="12"/>
  <c r="R197" i="12"/>
  <c r="S197" i="12"/>
  <c r="P199" i="12"/>
  <c r="D202" i="12"/>
  <c r="E202" i="12"/>
  <c r="F202" i="12"/>
  <c r="G202" i="12"/>
  <c r="H202" i="12"/>
  <c r="I202" i="12"/>
  <c r="J202" i="12"/>
  <c r="K202" i="12"/>
  <c r="L202" i="12"/>
  <c r="M202" i="12"/>
  <c r="N202" i="12"/>
  <c r="O202" i="12"/>
  <c r="P202" i="12"/>
  <c r="S200" i="12"/>
  <c r="D205" i="12"/>
  <c r="E205" i="12"/>
  <c r="F205" i="12"/>
  <c r="G205" i="12"/>
  <c r="H205" i="12"/>
  <c r="I205" i="12"/>
  <c r="J205" i="12"/>
  <c r="K205" i="12"/>
  <c r="L205" i="12"/>
  <c r="P205" i="12"/>
  <c r="D208" i="12"/>
  <c r="E208" i="12"/>
  <c r="F208" i="12"/>
  <c r="G208" i="12"/>
  <c r="H208" i="12"/>
  <c r="I208" i="12"/>
  <c r="J208" i="12"/>
  <c r="K208" i="12"/>
  <c r="L208" i="12"/>
  <c r="M208" i="12"/>
  <c r="N208" i="12"/>
  <c r="O208" i="12"/>
  <c r="P208" i="12"/>
  <c r="S206" i="12"/>
  <c r="D211" i="12"/>
  <c r="E211" i="12"/>
  <c r="F211" i="12"/>
  <c r="G211" i="12"/>
  <c r="H211" i="12"/>
  <c r="I211" i="12"/>
  <c r="J211" i="12"/>
  <c r="K211" i="12"/>
  <c r="L211" i="12"/>
  <c r="P211" i="12"/>
  <c r="D214" i="12"/>
  <c r="E214" i="12"/>
  <c r="F214" i="12"/>
  <c r="G214" i="12"/>
  <c r="H214" i="12"/>
  <c r="I214" i="12"/>
  <c r="J214" i="12"/>
  <c r="K214" i="12"/>
  <c r="L214" i="12"/>
  <c r="M214" i="12"/>
  <c r="N214" i="12"/>
  <c r="O214" i="12"/>
  <c r="P214" i="12"/>
  <c r="U212" i="12"/>
  <c r="R212" i="12"/>
  <c r="Q212" i="12"/>
  <c r="T212" i="12"/>
  <c r="V212" i="12"/>
  <c r="S212" i="12"/>
  <c r="D217" i="12"/>
  <c r="E217" i="12"/>
  <c r="F217" i="12"/>
  <c r="G217" i="12"/>
  <c r="H217" i="12"/>
  <c r="I217" i="12"/>
  <c r="J217" i="12"/>
  <c r="K217" i="12"/>
  <c r="L217" i="12"/>
  <c r="P217" i="12"/>
  <c r="D220" i="12"/>
  <c r="E220" i="12"/>
  <c r="F220" i="12"/>
  <c r="G220" i="12"/>
  <c r="H220" i="12"/>
  <c r="I220" i="12"/>
  <c r="J220" i="12"/>
  <c r="K220" i="12"/>
  <c r="L220" i="12"/>
  <c r="M220" i="12"/>
  <c r="N220" i="12"/>
  <c r="O220" i="12"/>
  <c r="P220" i="12"/>
  <c r="Q218" i="12"/>
  <c r="R218" i="12"/>
  <c r="U218" i="12"/>
  <c r="S218" i="12"/>
  <c r="D223" i="12"/>
  <c r="E223" i="12"/>
  <c r="F223" i="12"/>
  <c r="G223" i="12"/>
  <c r="H223" i="12"/>
  <c r="I223" i="12"/>
  <c r="J223" i="12"/>
  <c r="K223" i="12"/>
  <c r="L223" i="12"/>
  <c r="R221" i="12"/>
  <c r="S221" i="12"/>
  <c r="P223" i="12"/>
  <c r="D226" i="12"/>
  <c r="E226" i="12"/>
  <c r="F226" i="12"/>
  <c r="G226" i="12"/>
  <c r="H226" i="12"/>
  <c r="I226" i="12"/>
  <c r="J226" i="12"/>
  <c r="K226" i="12"/>
  <c r="L226" i="12"/>
  <c r="M226" i="12"/>
  <c r="N226" i="12"/>
  <c r="O226" i="12"/>
  <c r="P226" i="12"/>
  <c r="S224" i="12"/>
  <c r="D229" i="12"/>
  <c r="E229" i="12"/>
  <c r="F229" i="12"/>
  <c r="G229" i="12"/>
  <c r="H229" i="12"/>
  <c r="I229" i="12"/>
  <c r="J229" i="12"/>
  <c r="K229" i="12"/>
  <c r="L229" i="12"/>
  <c r="P229" i="12"/>
  <c r="D232" i="12"/>
  <c r="E232" i="12"/>
  <c r="F232" i="12"/>
  <c r="G232" i="12"/>
  <c r="H232" i="12"/>
  <c r="I232" i="12"/>
  <c r="J232" i="12"/>
  <c r="K232" i="12"/>
  <c r="L232" i="12"/>
  <c r="M232" i="12"/>
  <c r="N232" i="12"/>
  <c r="O232" i="12"/>
  <c r="P232" i="12"/>
  <c r="D235" i="12"/>
  <c r="E235" i="12"/>
  <c r="F235" i="12"/>
  <c r="G235" i="12"/>
  <c r="H235" i="12"/>
  <c r="I235" i="12"/>
  <c r="J235" i="12"/>
  <c r="K235" i="12"/>
  <c r="L235" i="12"/>
  <c r="Q233" i="12"/>
  <c r="P235" i="12"/>
  <c r="D238" i="12"/>
  <c r="E238" i="12"/>
  <c r="F238" i="12"/>
  <c r="G238" i="12"/>
  <c r="H238" i="12"/>
  <c r="I238" i="12"/>
  <c r="J238" i="12"/>
  <c r="K238" i="12"/>
  <c r="L238" i="12"/>
  <c r="M238" i="12"/>
  <c r="N238" i="12"/>
  <c r="O238" i="12"/>
  <c r="P238" i="12"/>
  <c r="U236" i="12"/>
  <c r="R236" i="12"/>
  <c r="Q236" i="12"/>
  <c r="S236" i="12"/>
  <c r="D241" i="12"/>
  <c r="E241" i="12"/>
  <c r="F241" i="12"/>
  <c r="G241" i="12"/>
  <c r="H241" i="12"/>
  <c r="I241" i="12"/>
  <c r="J241" i="12"/>
  <c r="K241" i="12"/>
  <c r="L241" i="12"/>
  <c r="Q239" i="12"/>
  <c r="P241" i="12"/>
  <c r="D244" i="12"/>
  <c r="E244" i="12"/>
  <c r="F244" i="12"/>
  <c r="G244" i="12"/>
  <c r="H244" i="12"/>
  <c r="I244" i="12"/>
  <c r="J244" i="12"/>
  <c r="K244" i="12"/>
  <c r="L244" i="12"/>
  <c r="R242" i="12"/>
  <c r="M244" i="12"/>
  <c r="N244" i="12"/>
  <c r="O244" i="12"/>
  <c r="P244" i="12"/>
  <c r="D247" i="12"/>
  <c r="E247" i="12"/>
  <c r="F247" i="12"/>
  <c r="G247" i="12"/>
  <c r="H247" i="12"/>
  <c r="I247" i="12"/>
  <c r="J247" i="12"/>
  <c r="K247" i="12"/>
  <c r="L247" i="12"/>
  <c r="R245" i="12"/>
  <c r="Q245" i="12"/>
  <c r="T245" i="12"/>
  <c r="S245" i="12"/>
  <c r="V245" i="12"/>
  <c r="P247" i="12"/>
  <c r="D250" i="12"/>
  <c r="E250" i="12"/>
  <c r="F250" i="12"/>
  <c r="G250" i="12"/>
  <c r="H250" i="12"/>
  <c r="I250" i="12"/>
  <c r="J250" i="12"/>
  <c r="K250" i="12"/>
  <c r="L250" i="12"/>
  <c r="M250" i="12"/>
  <c r="N250" i="12"/>
  <c r="O250" i="12"/>
  <c r="P250" i="12"/>
  <c r="S248" i="12"/>
  <c r="D253" i="12"/>
  <c r="E253" i="12"/>
  <c r="F253" i="12"/>
  <c r="G253" i="12"/>
  <c r="H253" i="12"/>
  <c r="I253" i="12"/>
  <c r="J253" i="12"/>
  <c r="K253" i="12"/>
  <c r="L253" i="12"/>
  <c r="P253" i="12"/>
  <c r="P256" i="12"/>
  <c r="D256" i="12"/>
  <c r="E256" i="12"/>
  <c r="F256" i="12"/>
  <c r="G256" i="12"/>
  <c r="H256" i="12"/>
  <c r="I256" i="12"/>
  <c r="J256" i="12"/>
  <c r="K256" i="12"/>
  <c r="L256" i="12"/>
  <c r="M256" i="12"/>
  <c r="N256" i="12"/>
  <c r="O256" i="12"/>
  <c r="S254" i="12"/>
  <c r="D259" i="12"/>
  <c r="E259" i="12"/>
  <c r="F259" i="12"/>
  <c r="G259" i="12"/>
  <c r="H259" i="12"/>
  <c r="I259" i="12"/>
  <c r="J259" i="12"/>
  <c r="K259" i="12"/>
  <c r="L259" i="12"/>
  <c r="S257" i="12"/>
  <c r="P259" i="12"/>
  <c r="D262" i="12"/>
  <c r="E262" i="12"/>
  <c r="F262" i="12"/>
  <c r="G262" i="12"/>
  <c r="H262" i="12"/>
  <c r="I262" i="12"/>
  <c r="J262" i="12"/>
  <c r="K262" i="12"/>
  <c r="L262" i="12"/>
  <c r="M262" i="12"/>
  <c r="N262" i="12"/>
  <c r="O262" i="12"/>
  <c r="P262" i="12"/>
  <c r="D265" i="12"/>
  <c r="E265" i="12"/>
  <c r="F265" i="12"/>
  <c r="G265" i="12"/>
  <c r="H265" i="12"/>
  <c r="I265" i="12"/>
  <c r="J265" i="12"/>
  <c r="K265" i="12"/>
  <c r="L265" i="12"/>
  <c r="R263" i="12"/>
  <c r="S263" i="12"/>
  <c r="P265" i="12"/>
  <c r="D268" i="12"/>
  <c r="E268" i="12"/>
  <c r="F268" i="12"/>
  <c r="G268" i="12"/>
  <c r="H268" i="12"/>
  <c r="I268" i="12"/>
  <c r="J268" i="12"/>
  <c r="K268" i="12"/>
  <c r="L268" i="12"/>
  <c r="R266" i="12"/>
  <c r="M268" i="12"/>
  <c r="N268" i="12"/>
  <c r="O268" i="12"/>
  <c r="P268" i="12"/>
  <c r="S266" i="12"/>
  <c r="D271" i="12"/>
  <c r="E271" i="12"/>
  <c r="F271" i="12"/>
  <c r="G271" i="12"/>
  <c r="H271" i="12"/>
  <c r="I271" i="12"/>
  <c r="J271" i="12"/>
  <c r="K271" i="12"/>
  <c r="L271" i="12"/>
  <c r="S269" i="12"/>
  <c r="P271" i="12"/>
  <c r="P274" i="12"/>
  <c r="D274" i="12"/>
  <c r="E274" i="12"/>
  <c r="F274" i="12"/>
  <c r="G274" i="12"/>
  <c r="H274" i="12"/>
  <c r="I274" i="12"/>
  <c r="J274" i="12"/>
  <c r="K274" i="12"/>
  <c r="L274" i="12"/>
  <c r="M274" i="12"/>
  <c r="N274" i="12"/>
  <c r="O274" i="12"/>
  <c r="S272" i="12"/>
  <c r="D277" i="12"/>
  <c r="E277" i="12"/>
  <c r="F277" i="12"/>
  <c r="G277" i="12"/>
  <c r="H277" i="12"/>
  <c r="I277" i="12"/>
  <c r="J277" i="12"/>
  <c r="K277" i="12"/>
  <c r="L277" i="12"/>
  <c r="P277" i="12"/>
  <c r="D280" i="12"/>
  <c r="E280" i="12"/>
  <c r="F280" i="12"/>
  <c r="G280" i="12"/>
  <c r="H280" i="12"/>
  <c r="I280" i="12"/>
  <c r="J280" i="12"/>
  <c r="K280" i="12"/>
  <c r="L280" i="12"/>
  <c r="M280" i="12"/>
  <c r="N280" i="12"/>
  <c r="O280" i="12"/>
  <c r="P280" i="12"/>
  <c r="D283" i="12"/>
  <c r="E283" i="12"/>
  <c r="F283" i="12"/>
  <c r="G283" i="12"/>
  <c r="H283" i="12"/>
  <c r="I283" i="12"/>
  <c r="J283" i="12"/>
  <c r="K283" i="12"/>
  <c r="L283" i="12"/>
  <c r="P283" i="12"/>
  <c r="U281" i="12"/>
  <c r="Q281" i="12"/>
  <c r="D286" i="12"/>
  <c r="E286" i="12"/>
  <c r="F286" i="12"/>
  <c r="G286" i="12"/>
  <c r="H286" i="12"/>
  <c r="I286" i="12"/>
  <c r="J286" i="12"/>
  <c r="K286" i="12"/>
  <c r="L286" i="12"/>
  <c r="M286" i="12"/>
  <c r="N286" i="12"/>
  <c r="O286" i="12"/>
  <c r="P286" i="12"/>
  <c r="U284" i="12"/>
  <c r="Q284" i="12"/>
  <c r="D289" i="12"/>
  <c r="E289" i="12"/>
  <c r="F289" i="12"/>
  <c r="G289" i="12"/>
  <c r="H289" i="12"/>
  <c r="I289" i="12"/>
  <c r="J289" i="12"/>
  <c r="K289" i="12"/>
  <c r="L289" i="12"/>
  <c r="R287" i="12"/>
  <c r="S287" i="12"/>
  <c r="P289" i="12"/>
  <c r="D292" i="12"/>
  <c r="E292" i="12"/>
  <c r="F292" i="12"/>
  <c r="G292" i="12"/>
  <c r="H292" i="12"/>
  <c r="I292" i="12"/>
  <c r="J292" i="12"/>
  <c r="K292" i="12"/>
  <c r="L292" i="12"/>
  <c r="R290" i="12"/>
  <c r="M292" i="12"/>
  <c r="N292" i="12"/>
  <c r="O292" i="12"/>
  <c r="P292" i="12"/>
  <c r="S290" i="12"/>
  <c r="D295" i="12"/>
  <c r="E295" i="12"/>
  <c r="F295" i="12"/>
  <c r="G295" i="12"/>
  <c r="H295" i="12"/>
  <c r="I295" i="12"/>
  <c r="J295" i="12"/>
  <c r="K295" i="12"/>
  <c r="L295" i="12"/>
  <c r="S293" i="12"/>
  <c r="P295" i="12"/>
  <c r="P298" i="12"/>
  <c r="D298" i="12"/>
  <c r="E298" i="12"/>
  <c r="F298" i="12"/>
  <c r="G298" i="12"/>
  <c r="H298" i="12"/>
  <c r="I298" i="12"/>
  <c r="J298" i="12"/>
  <c r="K298" i="12"/>
  <c r="L298" i="12"/>
  <c r="M298" i="12"/>
  <c r="N298" i="12"/>
  <c r="O298" i="12"/>
  <c r="S296" i="12"/>
  <c r="D301" i="12"/>
  <c r="E301" i="12"/>
  <c r="F301" i="12"/>
  <c r="G301" i="12"/>
  <c r="H301" i="12"/>
  <c r="I301" i="12"/>
  <c r="J301" i="12"/>
  <c r="K301" i="12"/>
  <c r="L301" i="12"/>
  <c r="P301" i="12"/>
  <c r="D304" i="12"/>
  <c r="E304" i="12"/>
  <c r="F304" i="12"/>
  <c r="G304" i="12"/>
  <c r="H304" i="12"/>
  <c r="I304" i="12"/>
  <c r="J304" i="12"/>
  <c r="K304" i="12"/>
  <c r="L304" i="12"/>
  <c r="M304" i="12"/>
  <c r="N304" i="12"/>
  <c r="O304" i="12"/>
  <c r="P304" i="12"/>
  <c r="D307" i="12"/>
  <c r="E307" i="12"/>
  <c r="F307" i="12"/>
  <c r="G307" i="12"/>
  <c r="H307" i="12"/>
  <c r="I307" i="12"/>
  <c r="J307" i="12"/>
  <c r="K307" i="12"/>
  <c r="L307" i="12"/>
  <c r="P307" i="12"/>
  <c r="U305" i="12"/>
  <c r="Q305" i="12"/>
  <c r="D310" i="12"/>
  <c r="E310" i="12"/>
  <c r="F310" i="12"/>
  <c r="G310" i="12"/>
  <c r="H310" i="12"/>
  <c r="I310" i="12"/>
  <c r="J310" i="12"/>
  <c r="K310" i="12"/>
  <c r="L310" i="12"/>
  <c r="M310" i="12"/>
  <c r="N310" i="12"/>
  <c r="O310" i="12"/>
  <c r="P310" i="12"/>
  <c r="U308" i="12"/>
  <c r="Q308" i="12"/>
  <c r="D313" i="12"/>
  <c r="E313" i="12"/>
  <c r="F313" i="12"/>
  <c r="G313" i="12"/>
  <c r="H313" i="12"/>
  <c r="I313" i="12"/>
  <c r="J313" i="12"/>
  <c r="K313" i="12"/>
  <c r="L313" i="12"/>
  <c r="R311" i="12"/>
  <c r="S311" i="12"/>
  <c r="P313" i="12"/>
  <c r="D316" i="12"/>
  <c r="E316" i="12"/>
  <c r="F316" i="12"/>
  <c r="G316" i="12"/>
  <c r="H316" i="12"/>
  <c r="I316" i="12"/>
  <c r="J316" i="12"/>
  <c r="K316" i="12"/>
  <c r="L316" i="12"/>
  <c r="R314" i="12"/>
  <c r="M316" i="12"/>
  <c r="N316" i="12"/>
  <c r="O316" i="12"/>
  <c r="P316" i="12"/>
  <c r="S314" i="12"/>
  <c r="D319" i="12"/>
  <c r="E319" i="12"/>
  <c r="F319" i="12"/>
  <c r="G319" i="12"/>
  <c r="H319" i="12"/>
  <c r="I319" i="12"/>
  <c r="J319" i="12"/>
  <c r="K319" i="12"/>
  <c r="L319" i="12"/>
  <c r="S317" i="12"/>
  <c r="P319" i="12"/>
  <c r="P322" i="12"/>
  <c r="D322" i="12"/>
  <c r="E322" i="12"/>
  <c r="F322" i="12"/>
  <c r="G322" i="12"/>
  <c r="H322" i="12"/>
  <c r="I322" i="12"/>
  <c r="J322" i="12"/>
  <c r="K322" i="12"/>
  <c r="L322" i="12"/>
  <c r="M322" i="12"/>
  <c r="N322" i="12"/>
  <c r="O322" i="12"/>
  <c r="S320" i="12"/>
  <c r="D325" i="12"/>
  <c r="E325" i="12"/>
  <c r="F325" i="12"/>
  <c r="G325" i="12"/>
  <c r="H325" i="12"/>
  <c r="I325" i="12"/>
  <c r="J325" i="12"/>
  <c r="K325" i="12"/>
  <c r="L325" i="12"/>
  <c r="P325" i="12"/>
  <c r="D328" i="12"/>
  <c r="E328" i="12"/>
  <c r="F328" i="12"/>
  <c r="G328" i="12"/>
  <c r="H328" i="12"/>
  <c r="I328" i="12"/>
  <c r="J328" i="12"/>
  <c r="K328" i="12"/>
  <c r="L328" i="12"/>
  <c r="M328" i="12"/>
  <c r="N328" i="12"/>
  <c r="O328" i="12"/>
  <c r="P328" i="12"/>
  <c r="D331" i="12"/>
  <c r="E331" i="12"/>
  <c r="F331" i="12"/>
  <c r="G331" i="12"/>
  <c r="H331" i="12"/>
  <c r="I331" i="12"/>
  <c r="J331" i="12"/>
  <c r="K331" i="12"/>
  <c r="L331" i="12"/>
  <c r="P331" i="12"/>
  <c r="U329" i="12"/>
  <c r="Q329" i="12"/>
  <c r="D334" i="12"/>
  <c r="E334" i="12"/>
  <c r="F334" i="12"/>
  <c r="G334" i="12"/>
  <c r="H334" i="12"/>
  <c r="I334" i="12"/>
  <c r="J334" i="12"/>
  <c r="K334" i="12"/>
  <c r="L334" i="12"/>
  <c r="M334" i="12"/>
  <c r="N334" i="12"/>
  <c r="O334" i="12"/>
  <c r="P334" i="12"/>
  <c r="U332" i="12"/>
  <c r="Q332" i="12"/>
  <c r="D337" i="12"/>
  <c r="E337" i="12"/>
  <c r="F337" i="12"/>
  <c r="G337" i="12"/>
  <c r="H337" i="12"/>
  <c r="I337" i="12"/>
  <c r="J337" i="12"/>
  <c r="K337" i="12"/>
  <c r="L337" i="12"/>
  <c r="R335" i="12"/>
  <c r="S335" i="12"/>
  <c r="P337" i="12"/>
  <c r="D340" i="12"/>
  <c r="E340" i="12"/>
  <c r="F340" i="12"/>
  <c r="G340" i="12"/>
  <c r="H340" i="12"/>
  <c r="I340" i="12"/>
  <c r="J340" i="12"/>
  <c r="K340" i="12"/>
  <c r="L340" i="12"/>
  <c r="R338" i="12"/>
  <c r="M340" i="12"/>
  <c r="N340" i="12"/>
  <c r="O340" i="12"/>
  <c r="P340" i="12"/>
  <c r="S338" i="12"/>
  <c r="D343" i="12"/>
  <c r="E343" i="12"/>
  <c r="F343" i="12"/>
  <c r="G343" i="12"/>
  <c r="H343" i="12"/>
  <c r="I343" i="12"/>
  <c r="J343" i="12"/>
  <c r="K343" i="12"/>
  <c r="L343" i="12"/>
  <c r="S341" i="12"/>
  <c r="P343" i="12"/>
  <c r="P346" i="12"/>
  <c r="D346" i="12"/>
  <c r="E346" i="12"/>
  <c r="F346" i="12"/>
  <c r="G346" i="12"/>
  <c r="H346" i="12"/>
  <c r="I346" i="12"/>
  <c r="J346" i="12"/>
  <c r="K346" i="12"/>
  <c r="L346" i="12"/>
  <c r="M346" i="12"/>
  <c r="N346" i="12"/>
  <c r="O346" i="12"/>
  <c r="S344" i="12"/>
  <c r="D349" i="12"/>
  <c r="E349" i="12"/>
  <c r="F349" i="12"/>
  <c r="G349" i="12"/>
  <c r="H349" i="12"/>
  <c r="I349" i="12"/>
  <c r="J349" i="12"/>
  <c r="K349" i="12"/>
  <c r="L349" i="12"/>
  <c r="P349" i="12"/>
  <c r="D352" i="12"/>
  <c r="E352" i="12"/>
  <c r="F352" i="12"/>
  <c r="G352" i="12"/>
  <c r="H352" i="12"/>
  <c r="I352" i="12"/>
  <c r="J352" i="12"/>
  <c r="K352" i="12"/>
  <c r="L352" i="12"/>
  <c r="M352" i="12"/>
  <c r="N352" i="12"/>
  <c r="O352" i="12"/>
  <c r="P352" i="12"/>
  <c r="D355" i="12"/>
  <c r="E355" i="12"/>
  <c r="F355" i="12"/>
  <c r="G355" i="12"/>
  <c r="H355" i="12"/>
  <c r="I355" i="12"/>
  <c r="J355" i="12"/>
  <c r="K355" i="12"/>
  <c r="L355" i="12"/>
  <c r="P355" i="12"/>
  <c r="U353" i="12"/>
  <c r="Q353" i="12"/>
  <c r="D358" i="12"/>
  <c r="E358" i="12"/>
  <c r="F358" i="12"/>
  <c r="G358" i="12"/>
  <c r="H358" i="12"/>
  <c r="I358" i="12"/>
  <c r="J358" i="12"/>
  <c r="K358" i="12"/>
  <c r="L358" i="12"/>
  <c r="M358" i="12"/>
  <c r="N358" i="12"/>
  <c r="O358" i="12"/>
  <c r="P358" i="12"/>
  <c r="U356" i="12"/>
  <c r="Q356" i="12"/>
  <c r="D361" i="12"/>
  <c r="E361" i="12"/>
  <c r="F361" i="12"/>
  <c r="G361" i="12"/>
  <c r="H361" i="12"/>
  <c r="I361" i="12"/>
  <c r="J361" i="12"/>
  <c r="K361" i="12"/>
  <c r="L361" i="12"/>
  <c r="R359" i="12"/>
  <c r="S359" i="12"/>
  <c r="P361" i="12"/>
  <c r="D364" i="12"/>
  <c r="E364" i="12"/>
  <c r="F364" i="12"/>
  <c r="G364" i="12"/>
  <c r="H364" i="12"/>
  <c r="I364" i="12"/>
  <c r="J364" i="12"/>
  <c r="K364" i="12"/>
  <c r="L364" i="12"/>
  <c r="R362" i="12"/>
  <c r="M364" i="12"/>
  <c r="N364" i="12"/>
  <c r="O364" i="12"/>
  <c r="P364" i="12"/>
  <c r="S362" i="12"/>
  <c r="D367" i="12"/>
  <c r="E367" i="12"/>
  <c r="F367" i="12"/>
  <c r="G367" i="12"/>
  <c r="H367" i="12"/>
  <c r="I367" i="12"/>
  <c r="J367" i="12"/>
  <c r="K367" i="12"/>
  <c r="L367" i="12"/>
  <c r="S365" i="12"/>
  <c r="P367" i="12"/>
  <c r="P370" i="12"/>
  <c r="D370" i="12"/>
  <c r="E370" i="12"/>
  <c r="F370" i="12"/>
  <c r="G370" i="12"/>
  <c r="H370" i="12"/>
  <c r="I370" i="12"/>
  <c r="J370" i="12"/>
  <c r="K370" i="12"/>
  <c r="L370" i="12"/>
  <c r="M370" i="12"/>
  <c r="N370" i="12"/>
  <c r="O370" i="12"/>
  <c r="S368" i="12"/>
  <c r="D373" i="12"/>
  <c r="E373" i="12"/>
  <c r="F373" i="12"/>
  <c r="G373" i="12"/>
  <c r="H373" i="12"/>
  <c r="I373" i="12"/>
  <c r="J373" i="12"/>
  <c r="K373" i="12"/>
  <c r="L373" i="12"/>
  <c r="P373" i="12"/>
  <c r="D376" i="12"/>
  <c r="E376" i="12"/>
  <c r="F376" i="12"/>
  <c r="G376" i="12"/>
  <c r="H376" i="12"/>
  <c r="I376" i="12"/>
  <c r="J376" i="12"/>
  <c r="K376" i="12"/>
  <c r="L376" i="12"/>
  <c r="M376" i="12"/>
  <c r="N376" i="12"/>
  <c r="O376" i="12"/>
  <c r="P376" i="12"/>
  <c r="D379" i="12"/>
  <c r="E379" i="12"/>
  <c r="F379" i="12"/>
  <c r="G379" i="12"/>
  <c r="H379" i="12"/>
  <c r="I379" i="12"/>
  <c r="J379" i="12"/>
  <c r="K379" i="12"/>
  <c r="L379" i="12"/>
  <c r="P379" i="12"/>
  <c r="U377" i="12"/>
  <c r="D382" i="12"/>
  <c r="E382" i="12"/>
  <c r="F382" i="12"/>
  <c r="G382" i="12"/>
  <c r="H382" i="12"/>
  <c r="I382" i="12"/>
  <c r="J382" i="12"/>
  <c r="K382" i="12"/>
  <c r="L382" i="12"/>
  <c r="M382" i="12"/>
  <c r="N382" i="12"/>
  <c r="O382" i="12"/>
  <c r="P382" i="12"/>
  <c r="U380" i="12"/>
  <c r="D385" i="12"/>
  <c r="E385" i="12"/>
  <c r="F385" i="12"/>
  <c r="G385" i="12"/>
  <c r="H385" i="12"/>
  <c r="I385" i="12"/>
  <c r="J385" i="12"/>
  <c r="K385" i="12"/>
  <c r="L385" i="12"/>
  <c r="Q383" i="12"/>
  <c r="R383" i="12"/>
  <c r="S383" i="12"/>
  <c r="P385" i="12"/>
  <c r="D388" i="12"/>
  <c r="E388" i="12"/>
  <c r="F388" i="12"/>
  <c r="G388" i="12"/>
  <c r="H388" i="12"/>
  <c r="I388" i="12"/>
  <c r="J388" i="12"/>
  <c r="K388" i="12"/>
  <c r="L388" i="12"/>
  <c r="M388" i="12"/>
  <c r="N388" i="12"/>
  <c r="O388" i="12"/>
  <c r="P388" i="12"/>
  <c r="Q386" i="12"/>
  <c r="D391" i="12"/>
  <c r="E391" i="12"/>
  <c r="F391" i="12"/>
  <c r="G391" i="12"/>
  <c r="H391" i="12"/>
  <c r="I391" i="12"/>
  <c r="J391" i="12"/>
  <c r="K391" i="12"/>
  <c r="L391" i="12"/>
  <c r="R389" i="12"/>
  <c r="S389" i="12"/>
  <c r="P391" i="12"/>
  <c r="D394" i="12"/>
  <c r="E394" i="12"/>
  <c r="F394" i="12"/>
  <c r="G394" i="12"/>
  <c r="H394" i="12"/>
  <c r="I394" i="12"/>
  <c r="J394" i="12"/>
  <c r="K394" i="12"/>
  <c r="L394" i="12"/>
  <c r="R392" i="12"/>
  <c r="M394" i="12"/>
  <c r="N394" i="12"/>
  <c r="O394" i="12"/>
  <c r="P394" i="12"/>
  <c r="S392" i="12"/>
  <c r="L397" i="12"/>
  <c r="D397" i="12"/>
  <c r="E397" i="12"/>
  <c r="F397" i="12"/>
  <c r="G397" i="12"/>
  <c r="H397" i="12"/>
  <c r="I397" i="12"/>
  <c r="J397" i="12"/>
  <c r="K397" i="12"/>
  <c r="S395" i="12"/>
  <c r="P397" i="12"/>
  <c r="P400" i="12"/>
  <c r="D400" i="12"/>
  <c r="E400" i="12"/>
  <c r="F400" i="12"/>
  <c r="G400" i="12"/>
  <c r="H400" i="12"/>
  <c r="I400" i="12"/>
  <c r="J400" i="12"/>
  <c r="K400" i="12"/>
  <c r="L400" i="12"/>
  <c r="M400" i="12"/>
  <c r="N400" i="12"/>
  <c r="O400" i="12"/>
  <c r="S398" i="12"/>
  <c r="D403" i="12"/>
  <c r="E403" i="12"/>
  <c r="F403" i="12"/>
  <c r="G403" i="12"/>
  <c r="H403" i="12"/>
  <c r="I403" i="12"/>
  <c r="J403" i="12"/>
  <c r="K403" i="12"/>
  <c r="L403" i="12"/>
  <c r="P403" i="12"/>
  <c r="U401" i="12"/>
  <c r="D406" i="12"/>
  <c r="E406" i="12"/>
  <c r="F406" i="12"/>
  <c r="G406" i="12"/>
  <c r="H406" i="12"/>
  <c r="I406" i="12"/>
  <c r="J406" i="12"/>
  <c r="K406" i="12"/>
  <c r="L406" i="12"/>
  <c r="M406" i="12"/>
  <c r="N406" i="12"/>
  <c r="O406" i="12"/>
  <c r="P406" i="12"/>
  <c r="U404" i="12"/>
  <c r="D409" i="12"/>
  <c r="E409" i="12"/>
  <c r="F409" i="12"/>
  <c r="G409" i="12"/>
  <c r="H409" i="12"/>
  <c r="I409" i="12"/>
  <c r="J409" i="12"/>
  <c r="K409" i="12"/>
  <c r="L409" i="12"/>
  <c r="Q407" i="12"/>
  <c r="R407" i="12"/>
  <c r="S407" i="12"/>
  <c r="P409" i="12"/>
  <c r="D412" i="12"/>
  <c r="E412" i="12"/>
  <c r="F412" i="12"/>
  <c r="G412" i="12"/>
  <c r="H412" i="12"/>
  <c r="I412" i="12"/>
  <c r="J412" i="12"/>
  <c r="K412" i="12"/>
  <c r="L412" i="12"/>
  <c r="M412" i="12"/>
  <c r="N412" i="12"/>
  <c r="O412" i="12"/>
  <c r="P412" i="12"/>
  <c r="Q410" i="12"/>
  <c r="D415" i="12"/>
  <c r="E415" i="12"/>
  <c r="F415" i="12"/>
  <c r="G415" i="12"/>
  <c r="H415" i="12"/>
  <c r="I415" i="12"/>
  <c r="J415" i="12"/>
  <c r="K415" i="12"/>
  <c r="L415" i="12"/>
  <c r="R413" i="12"/>
  <c r="S413" i="12"/>
  <c r="P415" i="12"/>
  <c r="D418" i="12"/>
  <c r="E418" i="12"/>
  <c r="F418" i="12"/>
  <c r="G418" i="12"/>
  <c r="H418" i="12"/>
  <c r="I418" i="12"/>
  <c r="J418" i="12"/>
  <c r="K418" i="12"/>
  <c r="L418" i="12"/>
  <c r="R416" i="12"/>
  <c r="M418" i="12"/>
  <c r="N418" i="12"/>
  <c r="O418" i="12"/>
  <c r="P418" i="12"/>
  <c r="S416" i="12"/>
  <c r="L421" i="12"/>
  <c r="D421" i="12"/>
  <c r="E421" i="12"/>
  <c r="F421" i="12"/>
  <c r="G421" i="12"/>
  <c r="H421" i="12"/>
  <c r="I421" i="12"/>
  <c r="J421" i="12"/>
  <c r="K421" i="12"/>
  <c r="S419" i="12"/>
  <c r="P421" i="12"/>
  <c r="P424" i="12"/>
  <c r="D424" i="12"/>
  <c r="E424" i="12"/>
  <c r="F424" i="12"/>
  <c r="G424" i="12"/>
  <c r="H424" i="12"/>
  <c r="I424" i="12"/>
  <c r="J424" i="12"/>
  <c r="K424" i="12"/>
  <c r="L424" i="12"/>
  <c r="M424" i="12"/>
  <c r="N424" i="12"/>
  <c r="O424" i="12"/>
  <c r="S422" i="12"/>
  <c r="D427" i="12"/>
  <c r="E427" i="12"/>
  <c r="F427" i="12"/>
  <c r="G427" i="12"/>
  <c r="H427" i="12"/>
  <c r="I427" i="12"/>
  <c r="J427" i="12"/>
  <c r="K427" i="12"/>
  <c r="L427" i="12"/>
  <c r="P427" i="12"/>
  <c r="U425" i="12"/>
  <c r="D430" i="12"/>
  <c r="E430" i="12"/>
  <c r="F430" i="12"/>
  <c r="G430" i="12"/>
  <c r="H430" i="12"/>
  <c r="I430" i="12"/>
  <c r="J430" i="12"/>
  <c r="K430" i="12"/>
  <c r="L430" i="12"/>
  <c r="M430" i="12"/>
  <c r="N430" i="12"/>
  <c r="O430" i="12"/>
  <c r="P430" i="12"/>
  <c r="U428" i="12"/>
  <c r="D433" i="12"/>
  <c r="E433" i="12"/>
  <c r="F433" i="12"/>
  <c r="G433" i="12"/>
  <c r="H433" i="12"/>
  <c r="I433" i="12"/>
  <c r="J433" i="12"/>
  <c r="K433" i="12"/>
  <c r="L433" i="12"/>
  <c r="Q431" i="12"/>
  <c r="R431" i="12"/>
  <c r="S431" i="12"/>
  <c r="P433" i="12"/>
  <c r="D436" i="12"/>
  <c r="E436" i="12"/>
  <c r="F436" i="12"/>
  <c r="G436" i="12"/>
  <c r="H436" i="12"/>
  <c r="I436" i="12"/>
  <c r="J436" i="12"/>
  <c r="K436" i="12"/>
  <c r="L436" i="12"/>
  <c r="M436" i="12"/>
  <c r="N436" i="12"/>
  <c r="O436" i="12"/>
  <c r="P436" i="12"/>
  <c r="Q434" i="12"/>
  <c r="D439" i="12"/>
  <c r="E439" i="12"/>
  <c r="F439" i="12"/>
  <c r="G439" i="12"/>
  <c r="H439" i="12"/>
  <c r="I439" i="12"/>
  <c r="J439" i="12"/>
  <c r="K439" i="12"/>
  <c r="L439" i="12"/>
  <c r="R437" i="12"/>
  <c r="S437" i="12"/>
  <c r="P439" i="12"/>
  <c r="D442" i="12"/>
  <c r="E442" i="12"/>
  <c r="F442" i="12"/>
  <c r="G442" i="12"/>
  <c r="H442" i="12"/>
  <c r="I442" i="12"/>
  <c r="J442" i="12"/>
  <c r="K442" i="12"/>
  <c r="L442" i="12"/>
  <c r="R440" i="12"/>
  <c r="M442" i="12"/>
  <c r="N442" i="12"/>
  <c r="O442" i="12"/>
  <c r="P442" i="12"/>
  <c r="S440" i="12"/>
  <c r="L445" i="12"/>
  <c r="D445" i="12"/>
  <c r="E445" i="12"/>
  <c r="F445" i="12"/>
  <c r="G445" i="12"/>
  <c r="H445" i="12"/>
  <c r="I445" i="12"/>
  <c r="J445" i="12"/>
  <c r="K445" i="12"/>
  <c r="S443" i="12"/>
  <c r="P445" i="12"/>
  <c r="P448" i="12"/>
  <c r="D448" i="12"/>
  <c r="E448" i="12"/>
  <c r="F448" i="12"/>
  <c r="G448" i="12"/>
  <c r="H448" i="12"/>
  <c r="I448" i="12"/>
  <c r="J448" i="12"/>
  <c r="K448" i="12"/>
  <c r="L448" i="12"/>
  <c r="M448" i="12"/>
  <c r="N448" i="12"/>
  <c r="O448" i="12"/>
  <c r="S446" i="12"/>
  <c r="D451" i="12"/>
  <c r="E451" i="12"/>
  <c r="F451" i="12"/>
  <c r="G451" i="12"/>
  <c r="H451" i="12"/>
  <c r="I451" i="12"/>
  <c r="J451" i="12"/>
  <c r="K451" i="12"/>
  <c r="L451" i="12"/>
  <c r="P451" i="12"/>
  <c r="U449" i="12"/>
  <c r="D454" i="12"/>
  <c r="E454" i="12"/>
  <c r="F454" i="12"/>
  <c r="G454" i="12"/>
  <c r="H454" i="12"/>
  <c r="I454" i="12"/>
  <c r="J454" i="12"/>
  <c r="K454" i="12"/>
  <c r="L454" i="12"/>
  <c r="M454" i="12"/>
  <c r="N454" i="12"/>
  <c r="O454" i="12"/>
  <c r="P454" i="12"/>
  <c r="U452" i="12"/>
  <c r="D457" i="12"/>
  <c r="E457" i="12"/>
  <c r="F457" i="12"/>
  <c r="G457" i="12"/>
  <c r="H457" i="12"/>
  <c r="I457" i="12"/>
  <c r="J457" i="12"/>
  <c r="K457" i="12"/>
  <c r="L457" i="12"/>
  <c r="Q455" i="12"/>
  <c r="R455" i="12"/>
  <c r="S455" i="12"/>
  <c r="P457" i="12"/>
  <c r="D460" i="12"/>
  <c r="E460" i="12"/>
  <c r="F460" i="12"/>
  <c r="G460" i="12"/>
  <c r="H460" i="12"/>
  <c r="I460" i="12"/>
  <c r="J460" i="12"/>
  <c r="K460" i="12"/>
  <c r="L460" i="12"/>
  <c r="M460" i="12"/>
  <c r="N460" i="12"/>
  <c r="O460" i="12"/>
  <c r="P460" i="12"/>
  <c r="D463" i="12"/>
  <c r="E463" i="12"/>
  <c r="F463" i="12"/>
  <c r="G463" i="12"/>
  <c r="H463" i="12"/>
  <c r="I463" i="12"/>
  <c r="J463" i="12"/>
  <c r="K463" i="12"/>
  <c r="L463" i="12"/>
  <c r="R461" i="12"/>
  <c r="S461" i="12"/>
  <c r="P463" i="12"/>
  <c r="D466" i="12"/>
  <c r="E466" i="12"/>
  <c r="F466" i="12"/>
  <c r="G466" i="12"/>
  <c r="H466" i="12"/>
  <c r="I466" i="12"/>
  <c r="J466" i="12"/>
  <c r="K466" i="12"/>
  <c r="L466" i="12"/>
  <c r="R464" i="12"/>
  <c r="M466" i="12"/>
  <c r="N466" i="12"/>
  <c r="O466" i="12"/>
  <c r="P466" i="12"/>
  <c r="S464" i="12"/>
  <c r="L469" i="12"/>
  <c r="D469" i="12"/>
  <c r="E469" i="12"/>
  <c r="F469" i="12"/>
  <c r="G469" i="12"/>
  <c r="H469" i="12"/>
  <c r="I469" i="12"/>
  <c r="J469" i="12"/>
  <c r="K469" i="12"/>
  <c r="S467" i="12"/>
  <c r="P469" i="12"/>
  <c r="P472" i="12"/>
  <c r="D472" i="12"/>
  <c r="E472" i="12"/>
  <c r="F472" i="12"/>
  <c r="G472" i="12"/>
  <c r="H472" i="12"/>
  <c r="I472" i="12"/>
  <c r="J472" i="12"/>
  <c r="K472" i="12"/>
  <c r="L472" i="12"/>
  <c r="M472" i="12"/>
  <c r="N472" i="12"/>
  <c r="O472" i="12"/>
  <c r="S470" i="12"/>
  <c r="D475" i="12"/>
  <c r="E475" i="12"/>
  <c r="F475" i="12"/>
  <c r="G475" i="12"/>
  <c r="H475" i="12"/>
  <c r="I475" i="12"/>
  <c r="J475" i="12"/>
  <c r="K475" i="12"/>
  <c r="L475" i="12"/>
  <c r="P475" i="12"/>
  <c r="D478" i="12"/>
  <c r="E478" i="12"/>
  <c r="F478" i="12"/>
  <c r="G478" i="12"/>
  <c r="H478" i="12"/>
  <c r="I478" i="12"/>
  <c r="J478" i="12"/>
  <c r="K478" i="12"/>
  <c r="L478" i="12"/>
  <c r="M478" i="12"/>
  <c r="N478" i="12"/>
  <c r="O478" i="12"/>
  <c r="P478" i="12"/>
  <c r="Q476" i="12"/>
  <c r="D481" i="12"/>
  <c r="E481" i="12"/>
  <c r="F481" i="12"/>
  <c r="G481" i="12"/>
  <c r="H481" i="12"/>
  <c r="I481" i="12"/>
  <c r="J481" i="12"/>
  <c r="K481" i="12"/>
  <c r="L481" i="12"/>
  <c r="Q479" i="12"/>
  <c r="R479" i="12"/>
  <c r="T479" i="12"/>
  <c r="S479" i="12"/>
  <c r="P481" i="12"/>
  <c r="D484" i="12"/>
  <c r="E484" i="12"/>
  <c r="F484" i="12"/>
  <c r="G484" i="12"/>
  <c r="H484" i="12"/>
  <c r="I484" i="12"/>
  <c r="J484" i="12"/>
  <c r="K484" i="12"/>
  <c r="L484" i="12"/>
  <c r="M484" i="12"/>
  <c r="N484" i="12"/>
  <c r="O484" i="12"/>
  <c r="P484" i="12"/>
  <c r="D487" i="12"/>
  <c r="E487" i="12"/>
  <c r="F487" i="12"/>
  <c r="G487" i="12"/>
  <c r="H487" i="12"/>
  <c r="I487" i="12"/>
  <c r="J487" i="12"/>
  <c r="K487" i="12"/>
  <c r="L487" i="12"/>
  <c r="Q485" i="12"/>
  <c r="P487" i="12"/>
  <c r="D490" i="12"/>
  <c r="E490" i="12"/>
  <c r="F490" i="12"/>
  <c r="G490" i="12"/>
  <c r="H490" i="12"/>
  <c r="I490" i="12"/>
  <c r="J490" i="12"/>
  <c r="K490" i="12"/>
  <c r="L490" i="12"/>
  <c r="M490" i="12"/>
  <c r="N490" i="12"/>
  <c r="O490" i="12"/>
  <c r="P490" i="12"/>
  <c r="Q488" i="12"/>
  <c r="D493" i="12"/>
  <c r="E493" i="12"/>
  <c r="F493" i="12"/>
  <c r="G493" i="12"/>
  <c r="H493" i="12"/>
  <c r="I493" i="12"/>
  <c r="J493" i="12"/>
  <c r="K493" i="12"/>
  <c r="L493" i="12"/>
  <c r="R491" i="12"/>
  <c r="P493" i="12"/>
  <c r="D496" i="12"/>
  <c r="E496" i="12"/>
  <c r="F496" i="12"/>
  <c r="G496" i="12"/>
  <c r="H496" i="12"/>
  <c r="I496" i="12"/>
  <c r="J496" i="12"/>
  <c r="K496" i="12"/>
  <c r="L496" i="12"/>
  <c r="R494" i="12"/>
  <c r="M496" i="12"/>
  <c r="N496" i="12"/>
  <c r="O496" i="12"/>
  <c r="P496" i="12"/>
  <c r="D499" i="12"/>
  <c r="E499" i="12"/>
  <c r="F499" i="12"/>
  <c r="G499" i="12"/>
  <c r="H499" i="12"/>
  <c r="I499" i="12"/>
  <c r="J499" i="12"/>
  <c r="K499" i="12"/>
  <c r="L499" i="12"/>
  <c r="S497" i="12"/>
  <c r="P499" i="12"/>
  <c r="P502" i="12"/>
  <c r="D502" i="12"/>
  <c r="E502" i="12"/>
  <c r="F502" i="12"/>
  <c r="G502" i="12"/>
  <c r="H502" i="12"/>
  <c r="I502" i="12"/>
  <c r="J502" i="12"/>
  <c r="K502" i="12"/>
  <c r="L502" i="12"/>
  <c r="M502" i="12"/>
  <c r="N502" i="12"/>
  <c r="O502" i="12"/>
  <c r="S500" i="12"/>
  <c r="D505" i="12"/>
  <c r="E505" i="12"/>
  <c r="F505" i="12"/>
  <c r="G505" i="12"/>
  <c r="H505" i="12"/>
  <c r="I505" i="12"/>
  <c r="J505" i="12"/>
  <c r="K505" i="12"/>
  <c r="L505" i="12"/>
  <c r="Q503" i="12"/>
  <c r="S503" i="12"/>
  <c r="P505" i="12"/>
  <c r="D508" i="12"/>
  <c r="E508" i="12"/>
  <c r="F508" i="12"/>
  <c r="G508" i="12"/>
  <c r="H508" i="12"/>
  <c r="I508" i="12"/>
  <c r="J508" i="12"/>
  <c r="K508" i="12"/>
  <c r="L508" i="12"/>
  <c r="M508" i="12"/>
  <c r="N508" i="12"/>
  <c r="O508" i="12"/>
  <c r="P508" i="12"/>
  <c r="D511" i="12"/>
  <c r="E511" i="12"/>
  <c r="F511" i="12"/>
  <c r="G511" i="12"/>
  <c r="H511" i="12"/>
  <c r="I511" i="12"/>
  <c r="J511" i="12"/>
  <c r="K511" i="12"/>
  <c r="L511" i="12"/>
  <c r="Q509" i="12"/>
  <c r="P511" i="12"/>
  <c r="D514" i="12"/>
  <c r="E514" i="12"/>
  <c r="F514" i="12"/>
  <c r="G514" i="12"/>
  <c r="H514" i="12"/>
  <c r="I514" i="12"/>
  <c r="J514" i="12"/>
  <c r="K514" i="12"/>
  <c r="L514" i="12"/>
  <c r="M514" i="12"/>
  <c r="N514" i="12"/>
  <c r="O514" i="12"/>
  <c r="P514" i="12"/>
  <c r="Q512" i="12"/>
  <c r="D517" i="12"/>
  <c r="E517" i="12"/>
  <c r="F517" i="12"/>
  <c r="G517" i="12"/>
  <c r="H517" i="12"/>
  <c r="I517" i="12"/>
  <c r="J517" i="12"/>
  <c r="K517" i="12"/>
  <c r="L517" i="12"/>
  <c r="R515" i="12"/>
  <c r="P517" i="12"/>
  <c r="D520" i="12"/>
  <c r="E520" i="12"/>
  <c r="F520" i="12"/>
  <c r="G520" i="12"/>
  <c r="H520" i="12"/>
  <c r="I520" i="12"/>
  <c r="J520" i="12"/>
  <c r="K520" i="12"/>
  <c r="L520" i="12"/>
  <c r="R518" i="12"/>
  <c r="M520" i="12"/>
  <c r="N520" i="12"/>
  <c r="O520" i="12"/>
  <c r="P520" i="12"/>
  <c r="D523" i="12"/>
  <c r="E523" i="12"/>
  <c r="F523" i="12"/>
  <c r="G523" i="12"/>
  <c r="H523" i="12"/>
  <c r="I523" i="12"/>
  <c r="J523" i="12"/>
  <c r="K523" i="12"/>
  <c r="L523" i="12"/>
  <c r="S521" i="12"/>
  <c r="P523" i="12"/>
  <c r="P526" i="12"/>
  <c r="D526" i="12"/>
  <c r="E526" i="12"/>
  <c r="F526" i="12"/>
  <c r="G526" i="12"/>
  <c r="H526" i="12"/>
  <c r="I526" i="12"/>
  <c r="J526" i="12"/>
  <c r="K526" i="12"/>
  <c r="L526" i="12"/>
  <c r="M526" i="12"/>
  <c r="N526" i="12"/>
  <c r="O526" i="12"/>
  <c r="S524" i="12"/>
  <c r="D529" i="12"/>
  <c r="E529" i="12"/>
  <c r="F529" i="12"/>
  <c r="G529" i="12"/>
  <c r="H529" i="12"/>
  <c r="I529" i="12"/>
  <c r="J529" i="12"/>
  <c r="K529" i="12"/>
  <c r="L529" i="12"/>
  <c r="Q527" i="12"/>
  <c r="S527" i="12"/>
  <c r="P529" i="12"/>
  <c r="D532" i="12"/>
  <c r="E532" i="12"/>
  <c r="F532" i="12"/>
  <c r="G532" i="12"/>
  <c r="H532" i="12"/>
  <c r="I532" i="12"/>
  <c r="J532" i="12"/>
  <c r="K532" i="12"/>
  <c r="L532" i="12"/>
  <c r="M532" i="12"/>
  <c r="N532" i="12"/>
  <c r="O532" i="12"/>
  <c r="P532" i="12"/>
  <c r="D535" i="12"/>
  <c r="E535" i="12"/>
  <c r="F535" i="12"/>
  <c r="G535" i="12"/>
  <c r="H535" i="12"/>
  <c r="I535" i="12"/>
  <c r="J535" i="12"/>
  <c r="K535" i="12"/>
  <c r="L535" i="12"/>
  <c r="Q533" i="12"/>
  <c r="P535" i="12"/>
  <c r="D538" i="12"/>
  <c r="E538" i="12"/>
  <c r="F538" i="12"/>
  <c r="G538" i="12"/>
  <c r="H538" i="12"/>
  <c r="I538" i="12"/>
  <c r="J538" i="12"/>
  <c r="K538" i="12"/>
  <c r="L538" i="12"/>
  <c r="M538" i="12"/>
  <c r="N538" i="12"/>
  <c r="O538" i="12"/>
  <c r="P538" i="12"/>
  <c r="Q536" i="12"/>
  <c r="D541" i="12"/>
  <c r="E541" i="12"/>
  <c r="F541" i="12"/>
  <c r="G541" i="12"/>
  <c r="H541" i="12"/>
  <c r="I541" i="12"/>
  <c r="J541" i="12"/>
  <c r="K541" i="12"/>
  <c r="L541" i="12"/>
  <c r="R539" i="12"/>
  <c r="P541" i="12"/>
  <c r="D544" i="12"/>
  <c r="E544" i="12"/>
  <c r="F544" i="12"/>
  <c r="G544" i="12"/>
  <c r="H544" i="12"/>
  <c r="I544" i="12"/>
  <c r="J544" i="12"/>
  <c r="K544" i="12"/>
  <c r="L544" i="12"/>
  <c r="R542" i="12"/>
  <c r="M544" i="12"/>
  <c r="N544" i="12"/>
  <c r="O544" i="12"/>
  <c r="P544" i="12"/>
  <c r="D547" i="12"/>
  <c r="E547" i="12"/>
  <c r="F547" i="12"/>
  <c r="G547" i="12"/>
  <c r="H547" i="12"/>
  <c r="I547" i="12"/>
  <c r="J547" i="12"/>
  <c r="K547" i="12"/>
  <c r="L547" i="12"/>
  <c r="S545" i="12"/>
  <c r="P547" i="12"/>
  <c r="P550" i="12"/>
  <c r="D550" i="12"/>
  <c r="E550" i="12"/>
  <c r="F550" i="12"/>
  <c r="G550" i="12"/>
  <c r="H550" i="12"/>
  <c r="I550" i="12"/>
  <c r="J550" i="12"/>
  <c r="K550" i="12"/>
  <c r="L550" i="12"/>
  <c r="M550" i="12"/>
  <c r="N550" i="12"/>
  <c r="O550" i="12"/>
  <c r="S548" i="12"/>
  <c r="D553" i="12"/>
  <c r="E553" i="12"/>
  <c r="F553" i="12"/>
  <c r="G553" i="12"/>
  <c r="H553" i="12"/>
  <c r="I553" i="12"/>
  <c r="J553" i="12"/>
  <c r="K553" i="12"/>
  <c r="L553" i="12"/>
  <c r="M553" i="12"/>
  <c r="N553" i="12"/>
  <c r="O553" i="12"/>
  <c r="P553" i="12"/>
  <c r="Q551" i="12"/>
  <c r="S551" i="12"/>
  <c r="D556" i="12"/>
  <c r="E556" i="12"/>
  <c r="F556" i="12"/>
  <c r="G556" i="12"/>
  <c r="H556" i="12"/>
  <c r="I556" i="12"/>
  <c r="J556" i="12"/>
  <c r="K556" i="12"/>
  <c r="L556" i="12"/>
  <c r="P556" i="12"/>
  <c r="U554" i="12"/>
  <c r="D559" i="12"/>
  <c r="E559" i="12"/>
  <c r="F559" i="12"/>
  <c r="G559" i="12"/>
  <c r="H559" i="12"/>
  <c r="I559" i="12"/>
  <c r="J559" i="12"/>
  <c r="K559" i="12"/>
  <c r="L559" i="12"/>
  <c r="M559" i="12"/>
  <c r="N559" i="12"/>
  <c r="O559" i="12"/>
  <c r="P559" i="12"/>
  <c r="U557" i="12"/>
  <c r="D562" i="12"/>
  <c r="E562" i="12"/>
  <c r="F562" i="12"/>
  <c r="G562" i="12"/>
  <c r="H562" i="12"/>
  <c r="I562" i="12"/>
  <c r="J562" i="12"/>
  <c r="K562" i="12"/>
  <c r="L562" i="12"/>
  <c r="R560" i="12"/>
  <c r="Q560" i="12"/>
  <c r="T560" i="12"/>
  <c r="P562" i="12"/>
  <c r="D565" i="12"/>
  <c r="E565" i="12"/>
  <c r="F565" i="12"/>
  <c r="G565" i="12"/>
  <c r="H565" i="12"/>
  <c r="I565" i="12"/>
  <c r="J565" i="12"/>
  <c r="K565" i="12"/>
  <c r="L565" i="12"/>
  <c r="R563" i="12"/>
  <c r="M565" i="12"/>
  <c r="N565" i="12"/>
  <c r="O565" i="12"/>
  <c r="P565" i="12"/>
  <c r="Q563" i="12"/>
  <c r="T563" i="12"/>
  <c r="D568" i="12"/>
  <c r="E568" i="12"/>
  <c r="F568" i="12"/>
  <c r="G568" i="12"/>
  <c r="H568" i="12"/>
  <c r="I568" i="12"/>
  <c r="J568" i="12"/>
  <c r="K568" i="12"/>
  <c r="L568" i="12"/>
  <c r="S566" i="12"/>
  <c r="P568" i="12"/>
  <c r="D571" i="12"/>
  <c r="E571" i="12"/>
  <c r="F571" i="12"/>
  <c r="G571" i="12"/>
  <c r="H571" i="12"/>
  <c r="I571" i="12"/>
  <c r="J571" i="12"/>
  <c r="K571" i="12"/>
  <c r="L571" i="12"/>
  <c r="M571" i="12"/>
  <c r="N571" i="12"/>
  <c r="O571" i="12"/>
  <c r="P571" i="12"/>
  <c r="S569" i="12"/>
  <c r="D574" i="12"/>
  <c r="E574" i="12"/>
  <c r="F574" i="12"/>
  <c r="G574" i="12"/>
  <c r="H574" i="12"/>
  <c r="I574" i="12"/>
  <c r="J574" i="12"/>
  <c r="K574" i="12"/>
  <c r="L574" i="12"/>
  <c r="Q572" i="12"/>
  <c r="S572" i="12"/>
  <c r="P574" i="12"/>
  <c r="D577" i="12"/>
  <c r="E577" i="12"/>
  <c r="F577" i="12"/>
  <c r="G577" i="12"/>
  <c r="H577" i="12"/>
  <c r="I577" i="12"/>
  <c r="J577" i="12"/>
  <c r="K577" i="12"/>
  <c r="L577" i="12"/>
  <c r="M577" i="12"/>
  <c r="N577" i="12"/>
  <c r="O577" i="12"/>
  <c r="P577" i="12"/>
  <c r="Q575" i="12"/>
  <c r="S575" i="12"/>
  <c r="D580" i="12"/>
  <c r="E580" i="12"/>
  <c r="F580" i="12"/>
  <c r="G580" i="12"/>
  <c r="H580" i="12"/>
  <c r="I580" i="12"/>
  <c r="J580" i="12"/>
  <c r="K580" i="12"/>
  <c r="L580" i="12"/>
  <c r="R578" i="12"/>
  <c r="P580" i="12"/>
  <c r="U578" i="12"/>
  <c r="D583" i="12"/>
  <c r="E583" i="12"/>
  <c r="F583" i="12"/>
  <c r="G583" i="12"/>
  <c r="H583" i="12"/>
  <c r="I583" i="12"/>
  <c r="J583" i="12"/>
  <c r="K583" i="12"/>
  <c r="L583" i="12"/>
  <c r="R581" i="12"/>
  <c r="M583" i="12"/>
  <c r="N583" i="12"/>
  <c r="O583" i="12"/>
  <c r="P583" i="12"/>
  <c r="U581" i="12"/>
  <c r="D586" i="12"/>
  <c r="E586" i="12"/>
  <c r="F586" i="12"/>
  <c r="G586" i="12"/>
  <c r="H586" i="12"/>
  <c r="I586" i="12"/>
  <c r="J586" i="12"/>
  <c r="K586" i="12"/>
  <c r="L586" i="12"/>
  <c r="R584" i="12"/>
  <c r="Q584" i="12"/>
  <c r="T584" i="12"/>
  <c r="P586" i="12"/>
  <c r="D589" i="12"/>
  <c r="E589" i="12"/>
  <c r="F589" i="12"/>
  <c r="G589" i="12"/>
  <c r="H589" i="12"/>
  <c r="I589" i="12"/>
  <c r="J589" i="12"/>
  <c r="K589" i="12"/>
  <c r="L589" i="12"/>
  <c r="R587" i="12"/>
  <c r="M589" i="12"/>
  <c r="N589" i="12"/>
  <c r="O589" i="12"/>
  <c r="P589" i="12"/>
  <c r="Q587" i="12"/>
  <c r="T587" i="12"/>
  <c r="D592" i="12"/>
  <c r="E592" i="12"/>
  <c r="F592" i="12"/>
  <c r="G592" i="12"/>
  <c r="H592" i="12"/>
  <c r="I592" i="12"/>
  <c r="J592" i="12"/>
  <c r="K592" i="12"/>
  <c r="L592" i="12"/>
  <c r="S590" i="12"/>
  <c r="P592" i="12"/>
  <c r="D595" i="12"/>
  <c r="E595" i="12"/>
  <c r="F595" i="12"/>
  <c r="G595" i="12"/>
  <c r="H595" i="12"/>
  <c r="I595" i="12"/>
  <c r="J595" i="12"/>
  <c r="K595" i="12"/>
  <c r="L595" i="12"/>
  <c r="M595" i="12"/>
  <c r="N595" i="12"/>
  <c r="O595" i="12"/>
  <c r="P595" i="12"/>
  <c r="S593" i="12"/>
  <c r="D598" i="12"/>
  <c r="E598" i="12"/>
  <c r="F598" i="12"/>
  <c r="G598" i="12"/>
  <c r="H598" i="12"/>
  <c r="I598" i="12"/>
  <c r="J598" i="12"/>
  <c r="K598" i="12"/>
  <c r="L598" i="12"/>
  <c r="Q596" i="12"/>
  <c r="S596" i="12"/>
  <c r="P598" i="12"/>
  <c r="D601" i="12"/>
  <c r="E601" i="12"/>
  <c r="F601" i="12"/>
  <c r="G601" i="12"/>
  <c r="H601" i="12"/>
  <c r="I601" i="12"/>
  <c r="J601" i="12"/>
  <c r="K601" i="12"/>
  <c r="L601" i="12"/>
  <c r="M601" i="12"/>
  <c r="N601" i="12"/>
  <c r="O601" i="12"/>
  <c r="P601" i="12"/>
  <c r="Q599" i="12"/>
  <c r="S599" i="12"/>
  <c r="D604" i="12"/>
  <c r="E604" i="12"/>
  <c r="F604" i="12"/>
  <c r="G604" i="12"/>
  <c r="H604" i="12"/>
  <c r="I604" i="12"/>
  <c r="J604" i="12"/>
  <c r="K604" i="12"/>
  <c r="L604" i="12"/>
  <c r="R602" i="12"/>
  <c r="P604" i="12"/>
  <c r="U602" i="12"/>
  <c r="D607" i="12"/>
  <c r="E607" i="12"/>
  <c r="F607" i="12"/>
  <c r="G607" i="12"/>
  <c r="H607" i="12"/>
  <c r="I607" i="12"/>
  <c r="J607" i="12"/>
  <c r="K607" i="12"/>
  <c r="L607" i="12"/>
  <c r="R605" i="12"/>
  <c r="M607" i="12"/>
  <c r="N607" i="12"/>
  <c r="O607" i="12"/>
  <c r="P607" i="12"/>
  <c r="U605" i="12"/>
  <c r="D610" i="12"/>
  <c r="E610" i="12"/>
  <c r="F610" i="12"/>
  <c r="G610" i="12"/>
  <c r="H610" i="12"/>
  <c r="I610" i="12"/>
  <c r="J610" i="12"/>
  <c r="K610" i="12"/>
  <c r="L610" i="12"/>
  <c r="R608" i="12"/>
  <c r="Q608" i="12"/>
  <c r="T608" i="12"/>
  <c r="P610" i="12"/>
  <c r="D613" i="12"/>
  <c r="E613" i="12"/>
  <c r="F613" i="12"/>
  <c r="G613" i="12"/>
  <c r="H613" i="12"/>
  <c r="I613" i="12"/>
  <c r="J613" i="12"/>
  <c r="K613" i="12"/>
  <c r="L613" i="12"/>
  <c r="R611" i="12"/>
  <c r="M613" i="12"/>
  <c r="N613" i="12"/>
  <c r="O613" i="12"/>
  <c r="P613" i="12"/>
  <c r="Q611" i="12"/>
  <c r="T611" i="12"/>
  <c r="D616" i="12"/>
  <c r="E616" i="12"/>
  <c r="F616" i="12"/>
  <c r="G616" i="12"/>
  <c r="H616" i="12"/>
  <c r="I616" i="12"/>
  <c r="J616" i="12"/>
  <c r="K616" i="12"/>
  <c r="L616" i="12"/>
  <c r="M616" i="12"/>
  <c r="N616" i="12"/>
  <c r="O616" i="12"/>
  <c r="P616" i="12"/>
  <c r="S614" i="12"/>
  <c r="D619" i="12"/>
  <c r="E619" i="12"/>
  <c r="F619" i="12"/>
  <c r="G619" i="12"/>
  <c r="H619" i="12"/>
  <c r="I619" i="12"/>
  <c r="J619" i="12"/>
  <c r="K619" i="12"/>
  <c r="L619" i="12"/>
  <c r="P619" i="12"/>
  <c r="D622" i="12"/>
  <c r="E622" i="12"/>
  <c r="F622" i="12"/>
  <c r="G622" i="12"/>
  <c r="H622" i="12"/>
  <c r="I622" i="12"/>
  <c r="J622" i="12"/>
  <c r="K622" i="12"/>
  <c r="L622" i="12"/>
  <c r="M622" i="12"/>
  <c r="N622" i="12"/>
  <c r="O622" i="12"/>
  <c r="P622" i="12"/>
  <c r="S620" i="12"/>
  <c r="D625" i="12"/>
  <c r="E625" i="12"/>
  <c r="F625" i="12"/>
  <c r="G625" i="12"/>
  <c r="H625" i="12"/>
  <c r="I625" i="12"/>
  <c r="J625" i="12"/>
  <c r="K625" i="12"/>
  <c r="L625" i="12"/>
  <c r="P625" i="12"/>
  <c r="U623" i="12"/>
  <c r="S623" i="12"/>
  <c r="D628" i="12"/>
  <c r="E628" i="12"/>
  <c r="F628" i="12"/>
  <c r="G628" i="12"/>
  <c r="H628" i="12"/>
  <c r="I628" i="12"/>
  <c r="J628" i="12"/>
  <c r="K628" i="12"/>
  <c r="L628" i="12"/>
  <c r="M628" i="12"/>
  <c r="N628" i="12"/>
  <c r="O628" i="12"/>
  <c r="P628" i="12"/>
  <c r="U626" i="12"/>
  <c r="D631" i="12"/>
  <c r="E631" i="12"/>
  <c r="F631" i="12"/>
  <c r="G631" i="12"/>
  <c r="H631" i="12"/>
  <c r="I631" i="12"/>
  <c r="J631" i="12"/>
  <c r="K631" i="12"/>
  <c r="L631" i="12"/>
  <c r="R629" i="12"/>
  <c r="Q629" i="12"/>
  <c r="T629" i="12"/>
  <c r="P631" i="12"/>
  <c r="D634" i="12"/>
  <c r="E634" i="12"/>
  <c r="F634" i="12"/>
  <c r="G634" i="12"/>
  <c r="H634" i="12"/>
  <c r="I634" i="12"/>
  <c r="J634" i="12"/>
  <c r="K634" i="12"/>
  <c r="L634" i="12"/>
  <c r="R632" i="12"/>
  <c r="M634" i="12"/>
  <c r="N634" i="12"/>
  <c r="O634" i="12"/>
  <c r="P634" i="12"/>
  <c r="Q632" i="12"/>
  <c r="T632" i="12"/>
  <c r="D637" i="12"/>
  <c r="E637" i="12"/>
  <c r="F637" i="12"/>
  <c r="G637" i="12"/>
  <c r="H637" i="12"/>
  <c r="I637" i="12"/>
  <c r="J637" i="12"/>
  <c r="K637" i="12"/>
  <c r="L637" i="12"/>
  <c r="S635" i="12"/>
  <c r="P637" i="12"/>
  <c r="P640" i="12"/>
  <c r="D640" i="12"/>
  <c r="E640" i="12"/>
  <c r="F640" i="12"/>
  <c r="G640" i="12"/>
  <c r="H640" i="12"/>
  <c r="I640" i="12"/>
  <c r="J640" i="12"/>
  <c r="K640" i="12"/>
  <c r="L640" i="12"/>
  <c r="M640" i="12"/>
  <c r="N640" i="12"/>
  <c r="O640" i="12"/>
  <c r="S638" i="12"/>
  <c r="R638" i="12"/>
  <c r="D643" i="12"/>
  <c r="E643" i="12"/>
  <c r="F643" i="12"/>
  <c r="G643" i="12"/>
  <c r="H643" i="12"/>
  <c r="I643" i="12"/>
  <c r="J643" i="12"/>
  <c r="K643" i="12"/>
  <c r="L643" i="12"/>
  <c r="S641" i="12"/>
  <c r="P643" i="12"/>
  <c r="D646" i="12"/>
  <c r="E646" i="12"/>
  <c r="F646" i="12"/>
  <c r="G646" i="12"/>
  <c r="H646" i="12"/>
  <c r="I646" i="12"/>
  <c r="J646" i="12"/>
  <c r="K646" i="12"/>
  <c r="L646" i="12"/>
  <c r="M646" i="12"/>
  <c r="N646" i="12"/>
  <c r="O646" i="12"/>
  <c r="P646" i="12"/>
  <c r="S644" i="12"/>
  <c r="D649" i="12"/>
  <c r="E649" i="12"/>
  <c r="F649" i="12"/>
  <c r="G649" i="12"/>
  <c r="H649" i="12"/>
  <c r="I649" i="12"/>
  <c r="J649" i="12"/>
  <c r="K649" i="12"/>
  <c r="L649" i="12"/>
  <c r="P649" i="12"/>
  <c r="U647" i="12"/>
  <c r="S647" i="12"/>
  <c r="D652" i="12"/>
  <c r="E652" i="12"/>
  <c r="F652" i="12"/>
  <c r="G652" i="12"/>
  <c r="H652" i="12"/>
  <c r="I652" i="12"/>
  <c r="J652" i="12"/>
  <c r="K652" i="12"/>
  <c r="L652" i="12"/>
  <c r="M652" i="12"/>
  <c r="N652" i="12"/>
  <c r="O652" i="12"/>
  <c r="P652" i="12"/>
  <c r="U650" i="12"/>
  <c r="D655" i="12"/>
  <c r="E655" i="12"/>
  <c r="F655" i="12"/>
  <c r="G655" i="12"/>
  <c r="H655" i="12"/>
  <c r="I655" i="12"/>
  <c r="J655" i="12"/>
  <c r="K655" i="12"/>
  <c r="L655" i="12"/>
  <c r="R653" i="12"/>
  <c r="Q653" i="12"/>
  <c r="T653" i="12"/>
  <c r="P655" i="12"/>
  <c r="D658" i="12"/>
  <c r="E658" i="12"/>
  <c r="F658" i="12"/>
  <c r="G658" i="12"/>
  <c r="H658" i="12"/>
  <c r="I658" i="12"/>
  <c r="J658" i="12"/>
  <c r="K658" i="12"/>
  <c r="L658" i="12"/>
  <c r="R656" i="12"/>
  <c r="Q656" i="12"/>
  <c r="P658" i="12"/>
  <c r="D661" i="12"/>
  <c r="E661" i="12"/>
  <c r="F661" i="12"/>
  <c r="G661" i="12"/>
  <c r="H661" i="12"/>
  <c r="I661" i="12"/>
  <c r="J661" i="12"/>
  <c r="K661" i="12"/>
  <c r="L661" i="12"/>
  <c r="R659" i="12"/>
  <c r="M661" i="12"/>
  <c r="N661" i="12"/>
  <c r="O661" i="12"/>
  <c r="P661" i="12"/>
  <c r="Q659" i="12"/>
  <c r="T659" i="12"/>
  <c r="D664" i="12"/>
  <c r="E664" i="12"/>
  <c r="F664" i="12"/>
  <c r="G664" i="12"/>
  <c r="H664" i="12"/>
  <c r="I664" i="12"/>
  <c r="J664" i="12"/>
  <c r="K664" i="12"/>
  <c r="L664" i="12"/>
  <c r="R662" i="12"/>
  <c r="S662" i="12"/>
  <c r="P664" i="12"/>
  <c r="D667" i="12"/>
  <c r="E667" i="12"/>
  <c r="F667" i="12"/>
  <c r="G667" i="12"/>
  <c r="H667" i="12"/>
  <c r="I667" i="12"/>
  <c r="J667" i="12"/>
  <c r="K667" i="12"/>
  <c r="L667" i="12"/>
  <c r="M667" i="12"/>
  <c r="N667" i="12"/>
  <c r="O667" i="12"/>
  <c r="P667" i="12"/>
  <c r="U665" i="12"/>
  <c r="S665" i="12"/>
  <c r="D670" i="12"/>
  <c r="E670" i="12"/>
  <c r="F670" i="12"/>
  <c r="G670" i="12"/>
  <c r="H670" i="12"/>
  <c r="I670" i="12"/>
  <c r="J670" i="12"/>
  <c r="K670" i="12"/>
  <c r="L670" i="12"/>
  <c r="Q668" i="12"/>
  <c r="R668" i="12"/>
  <c r="S668" i="12"/>
  <c r="P670" i="12"/>
  <c r="D673" i="12"/>
  <c r="E673" i="12"/>
  <c r="F673" i="12"/>
  <c r="G673" i="12"/>
  <c r="H673" i="12"/>
  <c r="I673" i="12"/>
  <c r="J673" i="12"/>
  <c r="K673" i="12"/>
  <c r="L673" i="12"/>
  <c r="M673" i="12"/>
  <c r="N673" i="12"/>
  <c r="O673" i="12"/>
  <c r="P673" i="12"/>
  <c r="Q671" i="12"/>
  <c r="R671" i="12"/>
  <c r="S671" i="12"/>
  <c r="D676" i="12"/>
  <c r="E676" i="12"/>
  <c r="F676" i="12"/>
  <c r="G676" i="12"/>
  <c r="H676" i="12"/>
  <c r="I676" i="12"/>
  <c r="J676" i="12"/>
  <c r="K676" i="12"/>
  <c r="L676" i="12"/>
  <c r="Q674" i="12"/>
  <c r="S674" i="12"/>
  <c r="P676" i="12"/>
  <c r="D679" i="12"/>
  <c r="E679" i="12"/>
  <c r="F679" i="12"/>
  <c r="G679" i="12"/>
  <c r="H679" i="12"/>
  <c r="I679" i="12"/>
  <c r="J679" i="12"/>
  <c r="K679" i="12"/>
  <c r="L679" i="12"/>
  <c r="M679" i="12"/>
  <c r="N679" i="12"/>
  <c r="O679" i="12"/>
  <c r="P679" i="12"/>
  <c r="Q677" i="12"/>
  <c r="S677" i="12"/>
  <c r="D682" i="12"/>
  <c r="E682" i="12"/>
  <c r="F682" i="12"/>
  <c r="G682" i="12"/>
  <c r="H682" i="12"/>
  <c r="I682" i="12"/>
  <c r="J682" i="12"/>
  <c r="K682" i="12"/>
  <c r="L682" i="12"/>
  <c r="R680" i="12"/>
  <c r="Q680" i="12"/>
  <c r="T680" i="12"/>
  <c r="S680" i="12"/>
  <c r="V680" i="12"/>
  <c r="P682" i="12"/>
  <c r="D685" i="12"/>
  <c r="E685" i="12"/>
  <c r="F685" i="12"/>
  <c r="G685" i="12"/>
  <c r="H685" i="12"/>
  <c r="I685" i="12"/>
  <c r="J685" i="12"/>
  <c r="K685" i="12"/>
  <c r="L685" i="12"/>
  <c r="R683" i="12"/>
  <c r="M685" i="12"/>
  <c r="N685" i="12"/>
  <c r="O685" i="12"/>
  <c r="P685" i="12"/>
  <c r="Q683" i="12"/>
  <c r="T683" i="12"/>
  <c r="S683" i="12"/>
  <c r="V683" i="12"/>
  <c r="D688" i="12"/>
  <c r="E688" i="12"/>
  <c r="F688" i="12"/>
  <c r="G688" i="12"/>
  <c r="H688" i="12"/>
  <c r="I688" i="12"/>
  <c r="J688" i="12"/>
  <c r="K688" i="12"/>
  <c r="L688" i="12"/>
  <c r="Q686" i="12"/>
  <c r="S686" i="12"/>
  <c r="P688" i="12"/>
  <c r="D691" i="12"/>
  <c r="E691" i="12"/>
  <c r="F691" i="12"/>
  <c r="G691" i="12"/>
  <c r="H691" i="12"/>
  <c r="I691" i="12"/>
  <c r="J691" i="12"/>
  <c r="K691" i="12"/>
  <c r="L691" i="12"/>
  <c r="M691" i="12"/>
  <c r="N691" i="12"/>
  <c r="O691" i="12"/>
  <c r="P691" i="12"/>
  <c r="Q689" i="12"/>
  <c r="S689" i="12"/>
  <c r="D694" i="12"/>
  <c r="E694" i="12"/>
  <c r="F694" i="12"/>
  <c r="G694" i="12"/>
  <c r="H694" i="12"/>
  <c r="I694" i="12"/>
  <c r="J694" i="12"/>
  <c r="K694" i="12"/>
  <c r="L694" i="12"/>
  <c r="Q692" i="12"/>
  <c r="R692" i="12"/>
  <c r="S692" i="12"/>
  <c r="P694" i="12"/>
  <c r="D697" i="12"/>
  <c r="E697" i="12"/>
  <c r="F697" i="12"/>
  <c r="G697" i="12"/>
  <c r="H697" i="12"/>
  <c r="I697" i="12"/>
  <c r="J697" i="12"/>
  <c r="K697" i="12"/>
  <c r="L697" i="12"/>
  <c r="M697" i="12"/>
  <c r="N697" i="12"/>
  <c r="O697" i="12"/>
  <c r="P697" i="12"/>
  <c r="Q695" i="12"/>
  <c r="S695" i="12"/>
  <c r="D700" i="12"/>
  <c r="E700" i="12"/>
  <c r="F700" i="12"/>
  <c r="G700" i="12"/>
  <c r="H700" i="12"/>
  <c r="I700" i="12"/>
  <c r="J700" i="12"/>
  <c r="K700" i="12"/>
  <c r="L700" i="12"/>
  <c r="Q698" i="12"/>
  <c r="S698" i="12"/>
  <c r="P700" i="12"/>
  <c r="D703" i="12"/>
  <c r="E703" i="12"/>
  <c r="F703" i="12"/>
  <c r="G703" i="12"/>
  <c r="H703" i="12"/>
  <c r="I703" i="12"/>
  <c r="J703" i="12"/>
  <c r="K703" i="12"/>
  <c r="L703" i="12"/>
  <c r="M703" i="12"/>
  <c r="N703" i="12"/>
  <c r="O703" i="12"/>
  <c r="P703" i="12"/>
  <c r="Q701" i="12"/>
  <c r="S701" i="12"/>
  <c r="D706" i="12"/>
  <c r="E706" i="12"/>
  <c r="F706" i="12"/>
  <c r="G706" i="12"/>
  <c r="H706" i="12"/>
  <c r="I706" i="12"/>
  <c r="J706" i="12"/>
  <c r="K706" i="12"/>
  <c r="L706" i="12"/>
  <c r="R704" i="12"/>
  <c r="Q704" i="12"/>
  <c r="T704" i="12"/>
  <c r="S704" i="12"/>
  <c r="V704" i="12"/>
  <c r="P706" i="12"/>
  <c r="D709" i="12"/>
  <c r="E709" i="12"/>
  <c r="F709" i="12"/>
  <c r="G709" i="12"/>
  <c r="H709" i="12"/>
  <c r="I709" i="12"/>
  <c r="J709" i="12"/>
  <c r="K709" i="12"/>
  <c r="L709" i="12"/>
  <c r="R707" i="12"/>
  <c r="M709" i="12"/>
  <c r="N709" i="12"/>
  <c r="O709" i="12"/>
  <c r="P709" i="12"/>
  <c r="Q707" i="12"/>
  <c r="T707" i="12"/>
  <c r="S707" i="12"/>
  <c r="V707" i="12"/>
  <c r="D712" i="12"/>
  <c r="E712" i="12"/>
  <c r="F712" i="12"/>
  <c r="G712" i="12"/>
  <c r="H712" i="12"/>
  <c r="I712" i="12"/>
  <c r="J712" i="12"/>
  <c r="K712" i="12"/>
  <c r="L712" i="12"/>
  <c r="Q710" i="12"/>
  <c r="S710" i="12"/>
  <c r="P712" i="12"/>
  <c r="D715" i="12"/>
  <c r="E715" i="12"/>
  <c r="F715" i="12"/>
  <c r="G715" i="12"/>
  <c r="H715" i="12"/>
  <c r="I715" i="12"/>
  <c r="J715" i="12"/>
  <c r="K715" i="12"/>
  <c r="L715" i="12"/>
  <c r="M715" i="12"/>
  <c r="N715" i="12"/>
  <c r="O715" i="12"/>
  <c r="P715" i="12"/>
  <c r="Q713" i="12"/>
  <c r="S713" i="12"/>
  <c r="D718" i="12"/>
  <c r="E718" i="12"/>
  <c r="F718" i="12"/>
  <c r="G718" i="12"/>
  <c r="H718" i="12"/>
  <c r="I718" i="12"/>
  <c r="J718" i="12"/>
  <c r="K718" i="12"/>
  <c r="L718" i="12"/>
  <c r="Q716" i="12"/>
  <c r="S716" i="12"/>
  <c r="P718" i="12"/>
  <c r="D721" i="12"/>
  <c r="E721" i="12"/>
  <c r="F721" i="12"/>
  <c r="G721" i="12"/>
  <c r="H721" i="12"/>
  <c r="I721" i="12"/>
  <c r="J721" i="12"/>
  <c r="K721" i="12"/>
  <c r="L721" i="12"/>
  <c r="Q719" i="12"/>
  <c r="S719" i="12"/>
  <c r="P721" i="12"/>
  <c r="D724" i="12"/>
  <c r="E724" i="12"/>
  <c r="F724" i="12"/>
  <c r="G724" i="12"/>
  <c r="H724" i="12"/>
  <c r="I724" i="12"/>
  <c r="J724" i="12"/>
  <c r="K724" i="12"/>
  <c r="L724" i="12"/>
  <c r="M724" i="12"/>
  <c r="N724" i="12"/>
  <c r="O724" i="12"/>
  <c r="P724" i="12"/>
  <c r="Q722" i="12"/>
  <c r="S722" i="12"/>
  <c r="D727" i="12"/>
  <c r="E727" i="12"/>
  <c r="F727" i="12"/>
  <c r="G727" i="12"/>
  <c r="H727" i="12"/>
  <c r="I727" i="12"/>
  <c r="J727" i="12"/>
  <c r="K727" i="12"/>
  <c r="L727" i="12"/>
  <c r="Q725" i="12"/>
  <c r="S725" i="12"/>
  <c r="P727" i="12"/>
  <c r="D730" i="12"/>
  <c r="E730" i="12"/>
  <c r="F730" i="12"/>
  <c r="G730" i="12"/>
  <c r="H730" i="12"/>
  <c r="I730" i="12"/>
  <c r="J730" i="12"/>
  <c r="K730" i="12"/>
  <c r="L730" i="12"/>
  <c r="M730" i="12"/>
  <c r="N730" i="12"/>
  <c r="O730" i="12"/>
  <c r="P730" i="12"/>
  <c r="Q728" i="12"/>
  <c r="S728" i="12"/>
  <c r="D733" i="12"/>
  <c r="E733" i="12"/>
  <c r="F733" i="12"/>
  <c r="G733" i="12"/>
  <c r="H733" i="12"/>
  <c r="I733" i="12"/>
  <c r="J733" i="12"/>
  <c r="K733" i="12"/>
  <c r="L733" i="12"/>
  <c r="R731" i="12"/>
  <c r="S731" i="12"/>
  <c r="P733" i="12"/>
  <c r="D736" i="12"/>
  <c r="E736" i="12"/>
  <c r="F736" i="12"/>
  <c r="G736" i="12"/>
  <c r="H736" i="12"/>
  <c r="I736" i="12"/>
  <c r="J736" i="12"/>
  <c r="K736" i="12"/>
  <c r="L736" i="12"/>
  <c r="R734" i="12"/>
  <c r="M736" i="12"/>
  <c r="N736" i="12"/>
  <c r="O736" i="12"/>
  <c r="P736" i="12"/>
  <c r="S734" i="12"/>
  <c r="D739" i="12"/>
  <c r="E739" i="12"/>
  <c r="F739" i="12"/>
  <c r="G739" i="12"/>
  <c r="H739" i="12"/>
  <c r="I739" i="12"/>
  <c r="J739" i="12"/>
  <c r="K739" i="12"/>
  <c r="L739" i="12"/>
  <c r="Q737" i="12"/>
  <c r="S737" i="12"/>
  <c r="P739" i="12"/>
  <c r="D742" i="12"/>
  <c r="E742" i="12"/>
  <c r="F742" i="12"/>
  <c r="G742" i="12"/>
  <c r="H742" i="12"/>
  <c r="I742" i="12"/>
  <c r="J742" i="12"/>
  <c r="K742" i="12"/>
  <c r="L742" i="12"/>
  <c r="M742" i="12"/>
  <c r="N742" i="12"/>
  <c r="O742" i="12"/>
  <c r="P742" i="12"/>
  <c r="Q740" i="12"/>
  <c r="S740" i="12"/>
  <c r="D745" i="12"/>
  <c r="E745" i="12"/>
  <c r="F745" i="12"/>
  <c r="G745" i="12"/>
  <c r="H745" i="12"/>
  <c r="I745" i="12"/>
  <c r="J745" i="12"/>
  <c r="K745" i="12"/>
  <c r="L745" i="12"/>
  <c r="Q743" i="12"/>
  <c r="S743" i="12"/>
  <c r="P745" i="12"/>
  <c r="D748" i="12"/>
  <c r="E748" i="12"/>
  <c r="F748" i="12"/>
  <c r="G748" i="12"/>
  <c r="H748" i="12"/>
  <c r="I748" i="12"/>
  <c r="J748" i="12"/>
  <c r="K748" i="12"/>
  <c r="L748" i="12"/>
  <c r="M748" i="12"/>
  <c r="N748" i="12"/>
  <c r="O748" i="12"/>
  <c r="P748" i="12"/>
  <c r="Q746" i="12"/>
  <c r="S746" i="12"/>
  <c r="D751" i="12"/>
  <c r="E751" i="12"/>
  <c r="F751" i="12"/>
  <c r="G751" i="12"/>
  <c r="H751" i="12"/>
  <c r="I751" i="12"/>
  <c r="J751" i="12"/>
  <c r="K751" i="12"/>
  <c r="L751" i="12"/>
  <c r="Q749" i="12"/>
  <c r="S749" i="12"/>
  <c r="P751" i="12"/>
  <c r="D754" i="12"/>
  <c r="E754" i="12"/>
  <c r="F754" i="12"/>
  <c r="G754" i="12"/>
  <c r="H754" i="12"/>
  <c r="I754" i="12"/>
  <c r="J754" i="12"/>
  <c r="K754" i="12"/>
  <c r="L754" i="12"/>
  <c r="M754" i="12"/>
  <c r="N754" i="12"/>
  <c r="O754" i="12"/>
  <c r="P754" i="12"/>
  <c r="Q752" i="12"/>
  <c r="S752" i="12"/>
  <c r="D757" i="12"/>
  <c r="E757" i="12"/>
  <c r="F757" i="12"/>
  <c r="G757" i="12"/>
  <c r="H757" i="12"/>
  <c r="I757" i="12"/>
  <c r="J757" i="12"/>
  <c r="K757" i="12"/>
  <c r="L757" i="12"/>
  <c r="Q755" i="12"/>
  <c r="P757" i="12"/>
  <c r="D760" i="12"/>
  <c r="E760" i="12"/>
  <c r="F760" i="12"/>
  <c r="G760" i="12"/>
  <c r="H760" i="12"/>
  <c r="I760" i="12"/>
  <c r="J760" i="12"/>
  <c r="K760" i="12"/>
  <c r="L760" i="12"/>
  <c r="M760" i="12"/>
  <c r="N760" i="12"/>
  <c r="O760" i="12"/>
  <c r="P760" i="12"/>
  <c r="U758" i="12"/>
  <c r="D763" i="12"/>
  <c r="E763" i="12"/>
  <c r="F763" i="12"/>
  <c r="G763" i="12"/>
  <c r="H763" i="12"/>
  <c r="I763" i="12"/>
  <c r="J763" i="12"/>
  <c r="K763" i="12"/>
  <c r="L763" i="12"/>
  <c r="R761" i="12"/>
  <c r="M763" i="12"/>
  <c r="N763" i="12"/>
  <c r="O763" i="12"/>
  <c r="P763" i="12"/>
  <c r="U761" i="12"/>
  <c r="Q761" i="12"/>
  <c r="T761" i="12"/>
  <c r="D766" i="12"/>
  <c r="E766" i="12"/>
  <c r="F766" i="12"/>
  <c r="G766" i="12"/>
  <c r="H766" i="12"/>
  <c r="I766" i="12"/>
  <c r="J766" i="12"/>
  <c r="K766" i="12"/>
  <c r="L766" i="12"/>
  <c r="R764" i="12"/>
  <c r="S764" i="12"/>
  <c r="P766" i="12"/>
  <c r="D769" i="12"/>
  <c r="E769" i="12"/>
  <c r="F769" i="12"/>
  <c r="G769" i="12"/>
  <c r="H769" i="12"/>
  <c r="I769" i="12"/>
  <c r="J769" i="12"/>
  <c r="K769" i="12"/>
  <c r="L769" i="12"/>
  <c r="M769" i="12"/>
  <c r="N769" i="12"/>
  <c r="O769" i="12"/>
  <c r="P769" i="12"/>
  <c r="S767" i="12"/>
  <c r="D772" i="12"/>
  <c r="E772" i="12"/>
  <c r="F772" i="12"/>
  <c r="G772" i="12"/>
  <c r="H772" i="12"/>
  <c r="I772" i="12"/>
  <c r="J772" i="12"/>
  <c r="K772" i="12"/>
  <c r="L772" i="12"/>
  <c r="S770" i="12"/>
  <c r="P772" i="12"/>
  <c r="D775" i="12"/>
  <c r="E775" i="12"/>
  <c r="F775" i="12"/>
  <c r="G775" i="12"/>
  <c r="H775" i="12"/>
  <c r="I775" i="12"/>
  <c r="J775" i="12"/>
  <c r="K775" i="12"/>
  <c r="L775" i="12"/>
  <c r="M775" i="12"/>
  <c r="N775" i="12"/>
  <c r="O775" i="12"/>
  <c r="P775" i="12"/>
  <c r="S773" i="12"/>
  <c r="D778" i="12"/>
  <c r="E778" i="12"/>
  <c r="F778" i="12"/>
  <c r="G778" i="12"/>
  <c r="H778" i="12"/>
  <c r="I778" i="12"/>
  <c r="J778" i="12"/>
  <c r="K778" i="12"/>
  <c r="L778" i="12"/>
  <c r="P778" i="12"/>
  <c r="U776" i="12"/>
  <c r="D781" i="12"/>
  <c r="E781" i="12"/>
  <c r="F781" i="12"/>
  <c r="G781" i="12"/>
  <c r="H781" i="12"/>
  <c r="I781" i="12"/>
  <c r="J781" i="12"/>
  <c r="K781" i="12"/>
  <c r="L781" i="12"/>
  <c r="R779" i="12"/>
  <c r="M781" i="12"/>
  <c r="N781" i="12"/>
  <c r="O781" i="12"/>
  <c r="P781" i="12"/>
  <c r="Q779" i="12"/>
  <c r="T779" i="12"/>
  <c r="S779" i="12"/>
  <c r="V779" i="12"/>
  <c r="U779" i="12"/>
  <c r="D784" i="12"/>
  <c r="E784" i="12"/>
  <c r="F784" i="12"/>
  <c r="G784" i="12"/>
  <c r="H784" i="12"/>
  <c r="I784" i="12"/>
  <c r="J784" i="12"/>
  <c r="K784" i="12"/>
  <c r="L784" i="12"/>
  <c r="Q782" i="12"/>
  <c r="R782" i="12"/>
  <c r="T782" i="12"/>
  <c r="P784" i="12"/>
  <c r="D787" i="12"/>
  <c r="E787" i="12"/>
  <c r="F787" i="12"/>
  <c r="G787" i="12"/>
  <c r="H787" i="12"/>
  <c r="I787" i="12"/>
  <c r="J787" i="12"/>
  <c r="K787" i="12"/>
  <c r="L787" i="12"/>
  <c r="M787" i="12"/>
  <c r="N787" i="12"/>
  <c r="O787" i="12"/>
  <c r="P787" i="12"/>
  <c r="U785" i="12"/>
  <c r="Q785" i="12"/>
  <c r="R785" i="12"/>
  <c r="T785" i="12"/>
  <c r="S16" i="14"/>
  <c r="Q19" i="14"/>
  <c r="U19" i="14"/>
  <c r="Q22" i="14"/>
  <c r="T22" i="14"/>
  <c r="V22" i="14"/>
  <c r="U22" i="14"/>
  <c r="Q13" i="14"/>
  <c r="T13" i="14"/>
  <c r="U13" i="14"/>
  <c r="Q16" i="14"/>
  <c r="T16" i="14"/>
  <c r="V16" i="14"/>
  <c r="U16" i="14"/>
  <c r="R19" i="14"/>
  <c r="R22" i="14"/>
  <c r="S13" i="14"/>
  <c r="Q10" i="14"/>
  <c r="T10" i="14"/>
  <c r="V10" i="14"/>
  <c r="T28" i="13"/>
  <c r="V28" i="13"/>
  <c r="T25" i="13"/>
  <c r="V25" i="13"/>
  <c r="U28" i="13"/>
  <c r="U25" i="13"/>
  <c r="U22" i="13"/>
  <c r="R19" i="13"/>
  <c r="T19" i="13"/>
  <c r="V19" i="13"/>
  <c r="U19" i="13"/>
  <c r="Q776" i="12"/>
  <c r="Q767" i="12"/>
  <c r="U767" i="12"/>
  <c r="S785" i="12"/>
  <c r="V785" i="12"/>
  <c r="U782" i="12"/>
  <c r="S776" i="12"/>
  <c r="R776" i="12"/>
  <c r="Q773" i="12"/>
  <c r="R773" i="12"/>
  <c r="T773" i="12"/>
  <c r="V773" i="12"/>
  <c r="U773" i="12"/>
  <c r="Q770" i="12"/>
  <c r="U770" i="12"/>
  <c r="R770" i="12"/>
  <c r="Q764" i="12"/>
  <c r="T764" i="12"/>
  <c r="V764" i="12"/>
  <c r="U764" i="12"/>
  <c r="S761" i="12"/>
  <c r="V761" i="12"/>
  <c r="Q758" i="12"/>
  <c r="U755" i="12"/>
  <c r="T671" i="12"/>
  <c r="V671" i="12"/>
  <c r="T656" i="12"/>
  <c r="S758" i="12"/>
  <c r="R758" i="12"/>
  <c r="R755" i="12"/>
  <c r="T755" i="12"/>
  <c r="R737" i="12"/>
  <c r="T737" i="12"/>
  <c r="V737" i="12"/>
  <c r="S782" i="12"/>
  <c r="V782" i="12"/>
  <c r="R767" i="12"/>
  <c r="S755" i="12"/>
  <c r="T692" i="12"/>
  <c r="V692" i="12"/>
  <c r="T668" i="12"/>
  <c r="V668" i="12"/>
  <c r="R740" i="12"/>
  <c r="T740" i="12"/>
  <c r="V740" i="12"/>
  <c r="U734" i="12"/>
  <c r="Q734" i="12"/>
  <c r="T734" i="12"/>
  <c r="V734" i="12"/>
  <c r="U731" i="12"/>
  <c r="Q731" i="12"/>
  <c r="T731" i="12"/>
  <c r="V731" i="12"/>
  <c r="R713" i="12"/>
  <c r="T713" i="12"/>
  <c r="V713" i="12"/>
  <c r="R710" i="12"/>
  <c r="T710" i="12"/>
  <c r="V710" i="12"/>
  <c r="U707" i="12"/>
  <c r="U704" i="12"/>
  <c r="R689" i="12"/>
  <c r="T689" i="12"/>
  <c r="V689" i="12"/>
  <c r="R686" i="12"/>
  <c r="T686" i="12"/>
  <c r="V686" i="12"/>
  <c r="U683" i="12"/>
  <c r="U680" i="12"/>
  <c r="R665" i="12"/>
  <c r="U659" i="12"/>
  <c r="S656" i="12"/>
  <c r="U653" i="12"/>
  <c r="Q644" i="12"/>
  <c r="U644" i="12"/>
  <c r="R644" i="12"/>
  <c r="Q641" i="12"/>
  <c r="R641" i="12"/>
  <c r="T641" i="12"/>
  <c r="V641" i="12"/>
  <c r="U641" i="12"/>
  <c r="Q635" i="12"/>
  <c r="U635" i="12"/>
  <c r="S632" i="12"/>
  <c r="V632" i="12"/>
  <c r="U629" i="12"/>
  <c r="Q620" i="12"/>
  <c r="Q605" i="12"/>
  <c r="T605" i="12"/>
  <c r="Q602" i="12"/>
  <c r="T602" i="12"/>
  <c r="Q581" i="12"/>
  <c r="T581" i="12"/>
  <c r="Q578" i="12"/>
  <c r="T578" i="12"/>
  <c r="Q557" i="12"/>
  <c r="Q554" i="12"/>
  <c r="S542" i="12"/>
  <c r="S539" i="12"/>
  <c r="U536" i="12"/>
  <c r="U533" i="12"/>
  <c r="S518" i="12"/>
  <c r="S515" i="12"/>
  <c r="U512" i="12"/>
  <c r="U509" i="12"/>
  <c r="S494" i="12"/>
  <c r="S491" i="12"/>
  <c r="U488" i="12"/>
  <c r="U485" i="12"/>
  <c r="R746" i="12"/>
  <c r="T746" i="12"/>
  <c r="V746" i="12"/>
  <c r="R743" i="12"/>
  <c r="T743" i="12"/>
  <c r="V743" i="12"/>
  <c r="U740" i="12"/>
  <c r="U737" i="12"/>
  <c r="R722" i="12"/>
  <c r="T722" i="12"/>
  <c r="V722" i="12"/>
  <c r="R719" i="12"/>
  <c r="T719" i="12"/>
  <c r="V719" i="12"/>
  <c r="R716" i="12"/>
  <c r="T716" i="12"/>
  <c r="V716" i="12"/>
  <c r="U713" i="12"/>
  <c r="U710" i="12"/>
  <c r="R695" i="12"/>
  <c r="T695" i="12"/>
  <c r="V695" i="12"/>
  <c r="U689" i="12"/>
  <c r="U686" i="12"/>
  <c r="Q614" i="12"/>
  <c r="U614" i="12"/>
  <c r="R614" i="12"/>
  <c r="Q590" i="12"/>
  <c r="R590" i="12"/>
  <c r="T590" i="12"/>
  <c r="V590" i="12"/>
  <c r="U590" i="12"/>
  <c r="Q566" i="12"/>
  <c r="R566" i="12"/>
  <c r="T566" i="12"/>
  <c r="V566" i="12"/>
  <c r="U566" i="12"/>
  <c r="U473" i="12"/>
  <c r="Q458" i="12"/>
  <c r="R752" i="12"/>
  <c r="T752" i="12"/>
  <c r="V752" i="12"/>
  <c r="R749" i="12"/>
  <c r="T749" i="12"/>
  <c r="V749" i="12"/>
  <c r="U746" i="12"/>
  <c r="U743" i="12"/>
  <c r="R728" i="12"/>
  <c r="T728" i="12"/>
  <c r="V728" i="12"/>
  <c r="R725" i="12"/>
  <c r="T725" i="12"/>
  <c r="V725" i="12"/>
  <c r="U722" i="12"/>
  <c r="U719" i="12"/>
  <c r="U716" i="12"/>
  <c r="R701" i="12"/>
  <c r="T701" i="12"/>
  <c r="V701" i="12"/>
  <c r="R698" i="12"/>
  <c r="T698" i="12"/>
  <c r="V698" i="12"/>
  <c r="U695" i="12"/>
  <c r="U692" i="12"/>
  <c r="R677" i="12"/>
  <c r="T677" i="12"/>
  <c r="V677" i="12"/>
  <c r="R674" i="12"/>
  <c r="T674" i="12"/>
  <c r="V674" i="12"/>
  <c r="U671" i="12"/>
  <c r="U668" i="12"/>
  <c r="Q662" i="12"/>
  <c r="T662" i="12"/>
  <c r="V662" i="12"/>
  <c r="U662" i="12"/>
  <c r="S659" i="12"/>
  <c r="V659" i="12"/>
  <c r="U656" i="12"/>
  <c r="S653" i="12"/>
  <c r="V653" i="12"/>
  <c r="R650" i="12"/>
  <c r="Q650" i="12"/>
  <c r="U632" i="12"/>
  <c r="S629" i="12"/>
  <c r="V629" i="12"/>
  <c r="R626" i="12"/>
  <c r="Q626" i="12"/>
  <c r="S605" i="12"/>
  <c r="S602" i="12"/>
  <c r="Q593" i="12"/>
  <c r="U593" i="12"/>
  <c r="R593" i="12"/>
  <c r="S581" i="12"/>
  <c r="S578" i="12"/>
  <c r="Q569" i="12"/>
  <c r="U569" i="12"/>
  <c r="R569" i="12"/>
  <c r="S557" i="12"/>
  <c r="R557" i="12"/>
  <c r="S554" i="12"/>
  <c r="R554" i="12"/>
  <c r="Q545" i="12"/>
  <c r="U545" i="12"/>
  <c r="R545" i="12"/>
  <c r="Q542" i="12"/>
  <c r="T542" i="12"/>
  <c r="V542" i="12"/>
  <c r="Q539" i="12"/>
  <c r="T539" i="12"/>
  <c r="V539" i="12"/>
  <c r="S530" i="12"/>
  <c r="Q530" i="12"/>
  <c r="Q521" i="12"/>
  <c r="R521" i="12"/>
  <c r="T521" i="12"/>
  <c r="V521" i="12"/>
  <c r="U521" i="12"/>
  <c r="Q518" i="12"/>
  <c r="T518" i="12"/>
  <c r="V518" i="12"/>
  <c r="Q515" i="12"/>
  <c r="T515" i="12"/>
  <c r="V515" i="12"/>
  <c r="S506" i="12"/>
  <c r="Q506" i="12"/>
  <c r="Q497" i="12"/>
  <c r="R497" i="12"/>
  <c r="T497" i="12"/>
  <c r="V497" i="12"/>
  <c r="U497" i="12"/>
  <c r="Q494" i="12"/>
  <c r="T494" i="12"/>
  <c r="V494" i="12"/>
  <c r="Q491" i="12"/>
  <c r="T491" i="12"/>
  <c r="V491" i="12"/>
  <c r="U482" i="12"/>
  <c r="V479" i="12"/>
  <c r="U476" i="12"/>
  <c r="U752" i="12"/>
  <c r="U749" i="12"/>
  <c r="U728" i="12"/>
  <c r="U725" i="12"/>
  <c r="U701" i="12"/>
  <c r="U698" i="12"/>
  <c r="U677" i="12"/>
  <c r="U674" i="12"/>
  <c r="Q665" i="12"/>
  <c r="T665" i="12"/>
  <c r="V665" i="12"/>
  <c r="S650" i="12"/>
  <c r="R647" i="12"/>
  <c r="Q647" i="12"/>
  <c r="T647" i="12"/>
  <c r="V647" i="12"/>
  <c r="Q638" i="12"/>
  <c r="T638" i="12"/>
  <c r="V638" i="12"/>
  <c r="U638" i="12"/>
  <c r="R635" i="12"/>
  <c r="S626" i="12"/>
  <c r="R623" i="12"/>
  <c r="Q623" i="12"/>
  <c r="S617" i="12"/>
  <c r="Q617" i="12"/>
  <c r="S611" i="12"/>
  <c r="V611" i="12"/>
  <c r="S608" i="12"/>
  <c r="V608" i="12"/>
  <c r="S587" i="12"/>
  <c r="V587" i="12"/>
  <c r="S584" i="12"/>
  <c r="V584" i="12"/>
  <c r="S563" i="12"/>
  <c r="V563" i="12"/>
  <c r="S560" i="12"/>
  <c r="V560" i="12"/>
  <c r="Q548" i="12"/>
  <c r="R548" i="12"/>
  <c r="T548" i="12"/>
  <c r="V548" i="12"/>
  <c r="U548" i="12"/>
  <c r="S536" i="12"/>
  <c r="R536" i="12"/>
  <c r="T536" i="12"/>
  <c r="V536" i="12"/>
  <c r="S533" i="12"/>
  <c r="R533" i="12"/>
  <c r="T533" i="12"/>
  <c r="V533" i="12"/>
  <c r="Q524" i="12"/>
  <c r="U524" i="12"/>
  <c r="R524" i="12"/>
  <c r="S512" i="12"/>
  <c r="R512" i="12"/>
  <c r="T512" i="12"/>
  <c r="V512" i="12"/>
  <c r="S509" i="12"/>
  <c r="R509" i="12"/>
  <c r="T509" i="12"/>
  <c r="V509" i="12"/>
  <c r="Q500" i="12"/>
  <c r="U500" i="12"/>
  <c r="R500" i="12"/>
  <c r="S488" i="12"/>
  <c r="R488" i="12"/>
  <c r="T488" i="12"/>
  <c r="V488" i="12"/>
  <c r="S485" i="12"/>
  <c r="R485" i="12"/>
  <c r="T485" i="12"/>
  <c r="V485" i="12"/>
  <c r="U458" i="12"/>
  <c r="T455" i="12"/>
  <c r="V455" i="12"/>
  <c r="Q452" i="12"/>
  <c r="U434" i="12"/>
  <c r="T431" i="12"/>
  <c r="V431" i="12"/>
  <c r="Q428" i="12"/>
  <c r="U410" i="12"/>
  <c r="T407" i="12"/>
  <c r="V407" i="12"/>
  <c r="Q404" i="12"/>
  <c r="U386" i="12"/>
  <c r="T383" i="12"/>
  <c r="V383" i="12"/>
  <c r="Q380" i="12"/>
  <c r="Q224" i="12"/>
  <c r="U224" i="12"/>
  <c r="R224" i="12"/>
  <c r="U209" i="12"/>
  <c r="U611" i="12"/>
  <c r="U608" i="12"/>
  <c r="U587" i="12"/>
  <c r="U584" i="12"/>
  <c r="U563" i="12"/>
  <c r="U560" i="12"/>
  <c r="U542" i="12"/>
  <c r="U539" i="12"/>
  <c r="U518" i="12"/>
  <c r="U515" i="12"/>
  <c r="U494" i="12"/>
  <c r="U491" i="12"/>
  <c r="S482" i="12"/>
  <c r="R482" i="12"/>
  <c r="S476" i="12"/>
  <c r="R476" i="12"/>
  <c r="T476" i="12"/>
  <c r="V476" i="12"/>
  <c r="Q473" i="12"/>
  <c r="Q464" i="12"/>
  <c r="T464" i="12"/>
  <c r="V464" i="12"/>
  <c r="U464" i="12"/>
  <c r="R458" i="12"/>
  <c r="S452" i="12"/>
  <c r="R452" i="12"/>
  <c r="Q449" i="12"/>
  <c r="Q440" i="12"/>
  <c r="T440" i="12"/>
  <c r="V440" i="12"/>
  <c r="U440" i="12"/>
  <c r="R434" i="12"/>
  <c r="T434" i="12"/>
  <c r="S434" i="12"/>
  <c r="V434" i="12"/>
  <c r="S428" i="12"/>
  <c r="R428" i="12"/>
  <c r="Q425" i="12"/>
  <c r="Q416" i="12"/>
  <c r="T416" i="12"/>
  <c r="V416" i="12"/>
  <c r="U416" i="12"/>
  <c r="R410" i="12"/>
  <c r="T410" i="12"/>
  <c r="S410" i="12"/>
  <c r="V410" i="12"/>
  <c r="S404" i="12"/>
  <c r="R404" i="12"/>
  <c r="Q401" i="12"/>
  <c r="Q392" i="12"/>
  <c r="T392" i="12"/>
  <c r="V392" i="12"/>
  <c r="U392" i="12"/>
  <c r="R386" i="12"/>
  <c r="T386" i="12"/>
  <c r="S386" i="12"/>
  <c r="V386" i="12"/>
  <c r="S380" i="12"/>
  <c r="R380" i="12"/>
  <c r="Q377" i="12"/>
  <c r="S371" i="12"/>
  <c r="Q371" i="12"/>
  <c r="S347" i="12"/>
  <c r="Q347" i="12"/>
  <c r="S323" i="12"/>
  <c r="Q323" i="12"/>
  <c r="S299" i="12"/>
  <c r="Q299" i="12"/>
  <c r="S275" i="12"/>
  <c r="Q275" i="12"/>
  <c r="U248" i="12"/>
  <c r="Q248" i="12"/>
  <c r="S230" i="12"/>
  <c r="S203" i="12"/>
  <c r="V134" i="12"/>
  <c r="V35" i="12"/>
  <c r="R620" i="12"/>
  <c r="R617" i="12"/>
  <c r="R599" i="12"/>
  <c r="T599" i="12"/>
  <c r="V599" i="12"/>
  <c r="R596" i="12"/>
  <c r="T596" i="12"/>
  <c r="V596" i="12"/>
  <c r="R575" i="12"/>
  <c r="T575" i="12"/>
  <c r="V575" i="12"/>
  <c r="R572" i="12"/>
  <c r="T572" i="12"/>
  <c r="V572" i="12"/>
  <c r="R551" i="12"/>
  <c r="T551" i="12"/>
  <c r="V551" i="12"/>
  <c r="R530" i="12"/>
  <c r="R527" i="12"/>
  <c r="T527" i="12"/>
  <c r="V527" i="12"/>
  <c r="R506" i="12"/>
  <c r="R503" i="12"/>
  <c r="T503" i="12"/>
  <c r="V503" i="12"/>
  <c r="Q482" i="12"/>
  <c r="T482" i="12"/>
  <c r="V482" i="12"/>
  <c r="U479" i="12"/>
  <c r="S473" i="12"/>
  <c r="R473" i="12"/>
  <c r="Q470" i="12"/>
  <c r="U470" i="12"/>
  <c r="R470" i="12"/>
  <c r="Q467" i="12"/>
  <c r="U467" i="12"/>
  <c r="R467" i="12"/>
  <c r="Q461" i="12"/>
  <c r="T461" i="12"/>
  <c r="V461" i="12"/>
  <c r="U461" i="12"/>
  <c r="S458" i="12"/>
  <c r="U455" i="12"/>
  <c r="S449" i="12"/>
  <c r="R449" i="12"/>
  <c r="Q446" i="12"/>
  <c r="U446" i="12"/>
  <c r="R446" i="12"/>
  <c r="Q443" i="12"/>
  <c r="U443" i="12"/>
  <c r="R443" i="12"/>
  <c r="Q437" i="12"/>
  <c r="T437" i="12"/>
  <c r="V437" i="12"/>
  <c r="U437" i="12"/>
  <c r="U431" i="12"/>
  <c r="S425" i="12"/>
  <c r="R425" i="12"/>
  <c r="Q422" i="12"/>
  <c r="U422" i="12"/>
  <c r="R422" i="12"/>
  <c r="Q419" i="12"/>
  <c r="U419" i="12"/>
  <c r="R419" i="12"/>
  <c r="Q413" i="12"/>
  <c r="T413" i="12"/>
  <c r="V413" i="12"/>
  <c r="U413" i="12"/>
  <c r="U407" i="12"/>
  <c r="S401" i="12"/>
  <c r="R401" i="12"/>
  <c r="Q398" i="12"/>
  <c r="U398" i="12"/>
  <c r="R398" i="12"/>
  <c r="Q395" i="12"/>
  <c r="U395" i="12"/>
  <c r="R395" i="12"/>
  <c r="Q389" i="12"/>
  <c r="T389" i="12"/>
  <c r="V389" i="12"/>
  <c r="U389" i="12"/>
  <c r="U383" i="12"/>
  <c r="S377" i="12"/>
  <c r="R377" i="12"/>
  <c r="S374" i="12"/>
  <c r="Q374" i="12"/>
  <c r="R374" i="12"/>
  <c r="T374" i="12"/>
  <c r="V374" i="12"/>
  <c r="U374" i="12"/>
  <c r="Q365" i="12"/>
  <c r="U365" i="12"/>
  <c r="R365" i="12"/>
  <c r="Q362" i="12"/>
  <c r="T362" i="12"/>
  <c r="V362" i="12"/>
  <c r="Q359" i="12"/>
  <c r="T359" i="12"/>
  <c r="V359" i="12"/>
  <c r="S350" i="12"/>
  <c r="Q350" i="12"/>
  <c r="Q341" i="12"/>
  <c r="U341" i="12"/>
  <c r="R341" i="12"/>
  <c r="Q338" i="12"/>
  <c r="T338" i="12"/>
  <c r="V338" i="12"/>
  <c r="Q335" i="12"/>
  <c r="T335" i="12"/>
  <c r="V335" i="12"/>
  <c r="S326" i="12"/>
  <c r="Q326" i="12"/>
  <c r="Q317" i="12"/>
  <c r="R317" i="12"/>
  <c r="T317" i="12"/>
  <c r="V317" i="12"/>
  <c r="U317" i="12"/>
  <c r="Q314" i="12"/>
  <c r="T314" i="12"/>
  <c r="V314" i="12"/>
  <c r="Q311" i="12"/>
  <c r="T311" i="12"/>
  <c r="V311" i="12"/>
  <c r="S302" i="12"/>
  <c r="Q302" i="12"/>
  <c r="Q293" i="12"/>
  <c r="R293" i="12"/>
  <c r="T293" i="12"/>
  <c r="V293" i="12"/>
  <c r="U293" i="12"/>
  <c r="Q290" i="12"/>
  <c r="T290" i="12"/>
  <c r="V290" i="12"/>
  <c r="Q287" i="12"/>
  <c r="T287" i="12"/>
  <c r="V287" i="12"/>
  <c r="S278" i="12"/>
  <c r="Q278" i="12"/>
  <c r="Q269" i="12"/>
  <c r="U269" i="12"/>
  <c r="R269" i="12"/>
  <c r="Q266" i="12"/>
  <c r="T266" i="12"/>
  <c r="V266" i="12"/>
  <c r="Q263" i="12"/>
  <c r="T263" i="12"/>
  <c r="V263" i="12"/>
  <c r="S260" i="12"/>
  <c r="R257" i="12"/>
  <c r="U257" i="12"/>
  <c r="R248" i="12"/>
  <c r="U245" i="12"/>
  <c r="U242" i="12"/>
  <c r="Q242" i="12"/>
  <c r="T242" i="12"/>
  <c r="U233" i="12"/>
  <c r="Q215" i="12"/>
  <c r="Q209" i="12"/>
  <c r="Q200" i="12"/>
  <c r="U200" i="12"/>
  <c r="R200" i="12"/>
  <c r="U620" i="12"/>
  <c r="U617" i="12"/>
  <c r="U599" i="12"/>
  <c r="U596" i="12"/>
  <c r="U575" i="12"/>
  <c r="U572" i="12"/>
  <c r="U551" i="12"/>
  <c r="U530" i="12"/>
  <c r="U527" i="12"/>
  <c r="U506" i="12"/>
  <c r="U503" i="12"/>
  <c r="Q368" i="12"/>
  <c r="R368" i="12"/>
  <c r="T368" i="12"/>
  <c r="V368" i="12"/>
  <c r="U368" i="12"/>
  <c r="S356" i="12"/>
  <c r="R356" i="12"/>
  <c r="T356" i="12"/>
  <c r="V356" i="12"/>
  <c r="S353" i="12"/>
  <c r="R353" i="12"/>
  <c r="T353" i="12"/>
  <c r="V353" i="12"/>
  <c r="Q344" i="12"/>
  <c r="U344" i="12"/>
  <c r="R344" i="12"/>
  <c r="S332" i="12"/>
  <c r="R332" i="12"/>
  <c r="T332" i="12"/>
  <c r="V332" i="12"/>
  <c r="S329" i="12"/>
  <c r="R329" i="12"/>
  <c r="T329" i="12"/>
  <c r="V329" i="12"/>
  <c r="Q320" i="12"/>
  <c r="U320" i="12"/>
  <c r="R320" i="12"/>
  <c r="S308" i="12"/>
  <c r="R308" i="12"/>
  <c r="T308" i="12"/>
  <c r="V308" i="12"/>
  <c r="S305" i="12"/>
  <c r="R305" i="12"/>
  <c r="T305" i="12"/>
  <c r="V305" i="12"/>
  <c r="Q296" i="12"/>
  <c r="R296" i="12"/>
  <c r="T296" i="12"/>
  <c r="V296" i="12"/>
  <c r="U296" i="12"/>
  <c r="S284" i="12"/>
  <c r="R284" i="12"/>
  <c r="T284" i="12"/>
  <c r="V284" i="12"/>
  <c r="S281" i="12"/>
  <c r="R281" i="12"/>
  <c r="T281" i="12"/>
  <c r="V281" i="12"/>
  <c r="Q272" i="12"/>
  <c r="R272" i="12"/>
  <c r="T272" i="12"/>
  <c r="V272" i="12"/>
  <c r="U272" i="12"/>
  <c r="Q257" i="12"/>
  <c r="S251" i="12"/>
  <c r="T236" i="12"/>
  <c r="V236" i="12"/>
  <c r="S227" i="12"/>
  <c r="T188" i="12"/>
  <c r="V188" i="12"/>
  <c r="U362" i="12"/>
  <c r="U359" i="12"/>
  <c r="U338" i="12"/>
  <c r="U335" i="12"/>
  <c r="U314" i="12"/>
  <c r="U311" i="12"/>
  <c r="U290" i="12"/>
  <c r="U287" i="12"/>
  <c r="U266" i="12"/>
  <c r="U263" i="12"/>
  <c r="Q254" i="12"/>
  <c r="U254" i="12"/>
  <c r="R254" i="12"/>
  <c r="S242" i="12"/>
  <c r="U239" i="12"/>
  <c r="S233" i="12"/>
  <c r="R233" i="12"/>
  <c r="T233" i="12"/>
  <c r="V233" i="12"/>
  <c r="Q230" i="12"/>
  <c r="R230" i="12"/>
  <c r="T230" i="12"/>
  <c r="V230" i="12"/>
  <c r="U230" i="12"/>
  <c r="Q227" i="12"/>
  <c r="R227" i="12"/>
  <c r="T227" i="12"/>
  <c r="V227" i="12"/>
  <c r="U227" i="12"/>
  <c r="Q221" i="12"/>
  <c r="T221" i="12"/>
  <c r="V221" i="12"/>
  <c r="U221" i="12"/>
  <c r="T218" i="12"/>
  <c r="V218" i="12"/>
  <c r="U215" i="12"/>
  <c r="S209" i="12"/>
  <c r="R209" i="12"/>
  <c r="Q206" i="12"/>
  <c r="R206" i="12"/>
  <c r="T206" i="12"/>
  <c r="V206" i="12"/>
  <c r="U206" i="12"/>
  <c r="Q203" i="12"/>
  <c r="R203" i="12"/>
  <c r="T203" i="12"/>
  <c r="V203" i="12"/>
  <c r="U203" i="12"/>
  <c r="Q197" i="12"/>
  <c r="T197" i="12"/>
  <c r="V197" i="12"/>
  <c r="U197" i="12"/>
  <c r="T194" i="12"/>
  <c r="V194" i="12"/>
  <c r="U191" i="12"/>
  <c r="R176" i="12"/>
  <c r="Q164" i="12"/>
  <c r="R164" i="12"/>
  <c r="T164" i="12"/>
  <c r="V164" i="12"/>
  <c r="U164" i="12"/>
  <c r="Q119" i="12"/>
  <c r="U119" i="12"/>
  <c r="R371" i="12"/>
  <c r="R350" i="12"/>
  <c r="R347" i="12"/>
  <c r="R326" i="12"/>
  <c r="R323" i="12"/>
  <c r="R302" i="12"/>
  <c r="R299" i="12"/>
  <c r="R278" i="12"/>
  <c r="R275" i="12"/>
  <c r="R260" i="12"/>
  <c r="Q260" i="12"/>
  <c r="T260" i="12"/>
  <c r="V260" i="12"/>
  <c r="R239" i="12"/>
  <c r="T239" i="12"/>
  <c r="S239" i="12"/>
  <c r="V239" i="12"/>
  <c r="R215" i="12"/>
  <c r="R191" i="12"/>
  <c r="T191" i="12"/>
  <c r="S191" i="12"/>
  <c r="V191" i="12"/>
  <c r="U185" i="12"/>
  <c r="U176" i="12"/>
  <c r="T152" i="12"/>
  <c r="V152" i="12"/>
  <c r="Q143" i="12"/>
  <c r="U143" i="12"/>
  <c r="R143" i="12"/>
  <c r="T131" i="12"/>
  <c r="V131" i="12"/>
  <c r="U371" i="12"/>
  <c r="U350" i="12"/>
  <c r="U347" i="12"/>
  <c r="U326" i="12"/>
  <c r="U323" i="12"/>
  <c r="U302" i="12"/>
  <c r="U299" i="12"/>
  <c r="U278" i="12"/>
  <c r="U275" i="12"/>
  <c r="U260" i="12"/>
  <c r="Q251" i="12"/>
  <c r="U251" i="12"/>
  <c r="R251" i="12"/>
  <c r="S215" i="12"/>
  <c r="S179" i="12"/>
  <c r="Q179" i="12"/>
  <c r="R179" i="12"/>
  <c r="T179" i="12"/>
  <c r="V179" i="12"/>
  <c r="Q176" i="12"/>
  <c r="T176" i="12"/>
  <c r="V176" i="12"/>
  <c r="R32" i="12"/>
  <c r="T32" i="12"/>
  <c r="U167" i="12"/>
  <c r="T158" i="12"/>
  <c r="V158" i="12"/>
  <c r="T155" i="12"/>
  <c r="V155" i="12"/>
  <c r="Q122" i="12"/>
  <c r="U122" i="12"/>
  <c r="S119" i="12"/>
  <c r="R119" i="12"/>
  <c r="S95" i="12"/>
  <c r="Q95" i="12"/>
  <c r="S71" i="12"/>
  <c r="Q71" i="12"/>
  <c r="Q62" i="12"/>
  <c r="T62" i="12"/>
  <c r="Q59" i="12"/>
  <c r="T59" i="12"/>
  <c r="V59" i="12"/>
  <c r="U32" i="12"/>
  <c r="Q11" i="12"/>
  <c r="U11" i="12"/>
  <c r="R182" i="12"/>
  <c r="T182" i="12"/>
  <c r="V182" i="12"/>
  <c r="S167" i="12"/>
  <c r="Q167" i="12"/>
  <c r="S146" i="12"/>
  <c r="Q146" i="12"/>
  <c r="Q137" i="12"/>
  <c r="R137" i="12"/>
  <c r="T137" i="12"/>
  <c r="V137" i="12"/>
  <c r="U137" i="12"/>
  <c r="S122" i="12"/>
  <c r="R122" i="12"/>
  <c r="Q113" i="12"/>
  <c r="U113" i="12"/>
  <c r="R113" i="12"/>
  <c r="Q110" i="12"/>
  <c r="T110" i="12"/>
  <c r="V110" i="12"/>
  <c r="Q107" i="12"/>
  <c r="T107" i="12"/>
  <c r="V107" i="12"/>
  <c r="R104" i="12"/>
  <c r="T104" i="12"/>
  <c r="S104" i="12"/>
  <c r="V104" i="12"/>
  <c r="R101" i="12"/>
  <c r="T101" i="12"/>
  <c r="S101" i="12"/>
  <c r="V101" i="12"/>
  <c r="S98" i="12"/>
  <c r="Q98" i="12"/>
  <c r="Q89" i="12"/>
  <c r="U89" i="12"/>
  <c r="R89" i="12"/>
  <c r="Q86" i="12"/>
  <c r="T86" i="12"/>
  <c r="V86" i="12"/>
  <c r="Q83" i="12"/>
  <c r="T83" i="12"/>
  <c r="V83" i="12"/>
  <c r="R80" i="12"/>
  <c r="T80" i="12"/>
  <c r="S80" i="12"/>
  <c r="V80" i="12"/>
  <c r="R77" i="12"/>
  <c r="T77" i="12"/>
  <c r="S77" i="12"/>
  <c r="V77" i="12"/>
  <c r="S74" i="12"/>
  <c r="Q74" i="12"/>
  <c r="R56" i="12"/>
  <c r="U56" i="12"/>
  <c r="Q44" i="12"/>
  <c r="U44" i="12"/>
  <c r="R44" i="12"/>
  <c r="Q41" i="12"/>
  <c r="R41" i="12"/>
  <c r="T41" i="12"/>
  <c r="V41" i="12"/>
  <c r="U41" i="12"/>
  <c r="R29" i="12"/>
  <c r="Q29" i="12"/>
  <c r="T29" i="12"/>
  <c r="V29" i="12"/>
  <c r="R26" i="12"/>
  <c r="Q26" i="12"/>
  <c r="R23" i="12"/>
  <c r="Q23" i="12"/>
  <c r="T23" i="12"/>
  <c r="V23" i="12"/>
  <c r="R20" i="12"/>
  <c r="Q20" i="12"/>
  <c r="R17" i="12"/>
  <c r="Q17" i="12"/>
  <c r="T17" i="12"/>
  <c r="V17" i="12"/>
  <c r="Q14" i="12"/>
  <c r="U14" i="12"/>
  <c r="S11" i="12"/>
  <c r="R11" i="12"/>
  <c r="U182" i="12"/>
  <c r="U179" i="12"/>
  <c r="S170" i="12"/>
  <c r="Q170" i="12"/>
  <c r="R170" i="12"/>
  <c r="T170" i="12"/>
  <c r="V170" i="12"/>
  <c r="Q161" i="12"/>
  <c r="U161" i="12"/>
  <c r="R161" i="12"/>
  <c r="S149" i="12"/>
  <c r="Q149" i="12"/>
  <c r="Q140" i="12"/>
  <c r="U140" i="12"/>
  <c r="R140" i="12"/>
  <c r="S128" i="12"/>
  <c r="R128" i="12"/>
  <c r="T128" i="12"/>
  <c r="V128" i="12"/>
  <c r="S125" i="12"/>
  <c r="R125" i="12"/>
  <c r="T125" i="12"/>
  <c r="V125" i="12"/>
  <c r="Q116" i="12"/>
  <c r="U116" i="12"/>
  <c r="R116" i="12"/>
  <c r="Q92" i="12"/>
  <c r="U92" i="12"/>
  <c r="R92" i="12"/>
  <c r="Q68" i="12"/>
  <c r="R68" i="12"/>
  <c r="T68" i="12"/>
  <c r="U68" i="12"/>
  <c r="Q65" i="12"/>
  <c r="U65" i="12"/>
  <c r="R65" i="12"/>
  <c r="Q56" i="12"/>
  <c r="T56" i="12"/>
  <c r="R53" i="12"/>
  <c r="Q53" i="12"/>
  <c r="T53" i="12"/>
  <c r="V53" i="12"/>
  <c r="Q50" i="12"/>
  <c r="T50" i="12"/>
  <c r="U50" i="12"/>
  <c r="Q47" i="12"/>
  <c r="T47" i="12"/>
  <c r="V47" i="12"/>
  <c r="U47" i="12"/>
  <c r="S32" i="12"/>
  <c r="S14" i="12"/>
  <c r="R14" i="12"/>
  <c r="U134" i="12"/>
  <c r="U131" i="12"/>
  <c r="U110" i="12"/>
  <c r="U107" i="12"/>
  <c r="U86" i="12"/>
  <c r="U83" i="12"/>
  <c r="U62" i="12"/>
  <c r="U59" i="12"/>
  <c r="U38" i="12"/>
  <c r="U35" i="12"/>
  <c r="R167" i="12"/>
  <c r="R149" i="12"/>
  <c r="R146" i="12"/>
  <c r="R98" i="12"/>
  <c r="R95" i="12"/>
  <c r="R74" i="12"/>
  <c r="R71" i="12"/>
  <c r="U170" i="12"/>
  <c r="U149" i="12"/>
  <c r="U146" i="12"/>
  <c r="U98" i="12"/>
  <c r="U95" i="12"/>
  <c r="U74" i="12"/>
  <c r="U71" i="12"/>
  <c r="D265" i="4"/>
  <c r="F265" i="4"/>
  <c r="D264" i="4"/>
  <c r="F264" i="4"/>
  <c r="D263" i="4"/>
  <c r="F263" i="4"/>
  <c r="D262" i="4"/>
  <c r="F262" i="4"/>
  <c r="D261" i="4"/>
  <c r="F261" i="4"/>
  <c r="D260" i="4"/>
  <c r="F260" i="4"/>
  <c r="D259" i="4"/>
  <c r="F259" i="4"/>
  <c r="D258" i="4"/>
  <c r="F258" i="4"/>
  <c r="D257" i="4"/>
  <c r="F257" i="4"/>
  <c r="D256" i="4"/>
  <c r="F256" i="4"/>
  <c r="D254" i="4"/>
  <c r="F254" i="4"/>
  <c r="D253" i="4"/>
  <c r="F253" i="4"/>
  <c r="D252" i="4"/>
  <c r="F252" i="4"/>
  <c r="D251" i="4"/>
  <c r="F251" i="4"/>
  <c r="D250" i="4"/>
  <c r="F250" i="4"/>
  <c r="D249" i="4"/>
  <c r="D248" i="4"/>
  <c r="F248" i="4"/>
  <c r="D247" i="4"/>
  <c r="F247" i="4"/>
  <c r="D246" i="4"/>
  <c r="F246" i="4"/>
  <c r="D245" i="4"/>
  <c r="F245" i="4"/>
  <c r="D244" i="4"/>
  <c r="F244" i="4"/>
  <c r="D243" i="4"/>
  <c r="F243" i="4"/>
  <c r="D242" i="4"/>
  <c r="F242" i="4"/>
  <c r="D241" i="4"/>
  <c r="F241" i="4"/>
  <c r="D240" i="4"/>
  <c r="F240" i="4"/>
  <c r="D239" i="4"/>
  <c r="F239" i="4"/>
  <c r="D238" i="4"/>
  <c r="F238" i="4"/>
  <c r="D237" i="4"/>
  <c r="F237" i="4"/>
  <c r="D236" i="4"/>
  <c r="F236" i="4"/>
  <c r="D235" i="4"/>
  <c r="F235" i="4"/>
  <c r="D234" i="4"/>
  <c r="F234" i="4"/>
  <c r="D233" i="4"/>
  <c r="F233" i="4"/>
  <c r="D232" i="4"/>
  <c r="F232" i="4"/>
  <c r="D231" i="4"/>
  <c r="F231" i="4"/>
  <c r="D230" i="4"/>
  <c r="F230" i="4"/>
  <c r="D229" i="4"/>
  <c r="F229" i="4"/>
  <c r="D228" i="4"/>
  <c r="F228" i="4"/>
  <c r="D227" i="4"/>
  <c r="F227" i="4"/>
  <c r="D226" i="4"/>
  <c r="F226" i="4"/>
  <c r="D225" i="4"/>
  <c r="F225" i="4"/>
  <c r="D224" i="4"/>
  <c r="F224" i="4"/>
  <c r="D223" i="4"/>
  <c r="F223" i="4"/>
  <c r="D222" i="4"/>
  <c r="F222" i="4"/>
  <c r="D221" i="4"/>
  <c r="F221" i="4"/>
  <c r="D220" i="4"/>
  <c r="F220" i="4"/>
  <c r="D219" i="4"/>
  <c r="F219" i="4"/>
  <c r="D218" i="4"/>
  <c r="F218" i="4"/>
  <c r="D217" i="4"/>
  <c r="F217" i="4"/>
  <c r="D216" i="4"/>
  <c r="F216" i="4"/>
  <c r="D215" i="4"/>
  <c r="F215" i="4"/>
  <c r="D214" i="4"/>
  <c r="F214" i="4"/>
  <c r="D213" i="4"/>
  <c r="F213" i="4"/>
  <c r="D212" i="4"/>
  <c r="F212" i="4"/>
  <c r="D211" i="4"/>
  <c r="F211" i="4"/>
  <c r="D210" i="4"/>
  <c r="F210" i="4"/>
  <c r="D209" i="4"/>
  <c r="F209" i="4"/>
  <c r="D208" i="4"/>
  <c r="F208" i="4"/>
  <c r="D207" i="4"/>
  <c r="F207" i="4"/>
  <c r="D206" i="4"/>
  <c r="F206" i="4"/>
  <c r="D205" i="4"/>
  <c r="F205" i="4"/>
  <c r="D204" i="4"/>
  <c r="F204" i="4"/>
  <c r="D203" i="4"/>
  <c r="F203" i="4"/>
  <c r="D202" i="4"/>
  <c r="F202" i="4"/>
  <c r="D201" i="4"/>
  <c r="F201" i="4"/>
  <c r="D200" i="4"/>
  <c r="F200" i="4"/>
  <c r="D199" i="4"/>
  <c r="F199" i="4"/>
  <c r="D198" i="4"/>
  <c r="F198" i="4"/>
  <c r="D197" i="4"/>
  <c r="F197" i="4"/>
  <c r="D196" i="4"/>
  <c r="F196" i="4"/>
  <c r="F195" i="4"/>
  <c r="D194" i="4"/>
  <c r="F194" i="4"/>
  <c r="D193" i="4"/>
  <c r="F193" i="4"/>
  <c r="D192" i="4"/>
  <c r="F192" i="4"/>
  <c r="D191" i="4"/>
  <c r="F191" i="4"/>
  <c r="D190" i="4"/>
  <c r="F190" i="4"/>
  <c r="D189" i="4"/>
  <c r="D188" i="4"/>
  <c r="F188" i="4"/>
  <c r="D187" i="4"/>
  <c r="F187" i="4"/>
  <c r="D186" i="4"/>
  <c r="F186" i="4"/>
  <c r="D185" i="4"/>
  <c r="F185" i="4"/>
  <c r="D184" i="4"/>
  <c r="F184" i="4"/>
  <c r="D183" i="4"/>
  <c r="F183" i="4"/>
  <c r="D182" i="4"/>
  <c r="F182" i="4"/>
  <c r="D181" i="4"/>
  <c r="F181" i="4"/>
  <c r="D180" i="4"/>
  <c r="F180" i="4"/>
  <c r="D179" i="4"/>
  <c r="F179" i="4"/>
  <c r="D178" i="4"/>
  <c r="F178" i="4"/>
  <c r="D177" i="4"/>
  <c r="F177" i="4"/>
  <c r="D176" i="4"/>
  <c r="F176" i="4"/>
  <c r="D175" i="4"/>
  <c r="F175" i="4"/>
  <c r="D174" i="4"/>
  <c r="F174" i="4"/>
  <c r="D173" i="4"/>
  <c r="F173" i="4"/>
  <c r="D172" i="4"/>
  <c r="F172" i="4"/>
  <c r="D171" i="4"/>
  <c r="F171" i="4"/>
  <c r="D170" i="4"/>
  <c r="F170" i="4"/>
  <c r="D169" i="4"/>
  <c r="F169" i="4"/>
  <c r="D168" i="4"/>
  <c r="F168" i="4"/>
  <c r="D167" i="4"/>
  <c r="F167" i="4"/>
  <c r="D166" i="4"/>
  <c r="F166" i="4"/>
  <c r="D165" i="4"/>
  <c r="F165" i="4"/>
  <c r="D164" i="4"/>
  <c r="F164" i="4"/>
  <c r="D163" i="4"/>
  <c r="F163" i="4"/>
  <c r="D162" i="4"/>
  <c r="F162" i="4"/>
  <c r="D161" i="4"/>
  <c r="F161" i="4"/>
  <c r="D160" i="4"/>
  <c r="F160" i="4"/>
  <c r="D159" i="4"/>
  <c r="F159" i="4"/>
  <c r="D158" i="4"/>
  <c r="F158" i="4"/>
  <c r="D157" i="4"/>
  <c r="F157" i="4"/>
  <c r="D156" i="4"/>
  <c r="F156" i="4"/>
  <c r="D155" i="4"/>
  <c r="F155" i="4"/>
  <c r="F154" i="4"/>
  <c r="D154" i="4"/>
  <c r="D153" i="4"/>
  <c r="F153" i="4"/>
  <c r="D152" i="4"/>
  <c r="F152" i="4"/>
  <c r="D151" i="4"/>
  <c r="F151" i="4"/>
  <c r="D150" i="4"/>
  <c r="F150" i="4"/>
  <c r="D149" i="4"/>
  <c r="F149" i="4"/>
  <c r="D148" i="4"/>
  <c r="F148" i="4"/>
  <c r="D147" i="4"/>
  <c r="F147" i="4"/>
  <c r="D146" i="4"/>
  <c r="F146" i="4"/>
  <c r="D145" i="4"/>
  <c r="F145" i="4"/>
  <c r="D144" i="4"/>
  <c r="F144" i="4"/>
  <c r="D143" i="4"/>
  <c r="F143" i="4"/>
  <c r="D142" i="4"/>
  <c r="F142" i="4"/>
  <c r="D141" i="4"/>
  <c r="F141" i="4"/>
  <c r="D140" i="4"/>
  <c r="F140" i="4"/>
  <c r="D139" i="4"/>
  <c r="F139" i="4"/>
  <c r="D138" i="4"/>
  <c r="F138" i="4"/>
  <c r="D137" i="4"/>
  <c r="F137" i="4"/>
  <c r="D136" i="4"/>
  <c r="F136" i="4"/>
  <c r="D135" i="4"/>
  <c r="F135" i="4"/>
  <c r="D134" i="4"/>
  <c r="F134" i="4"/>
  <c r="D133" i="4"/>
  <c r="F133" i="4"/>
  <c r="D132" i="4"/>
  <c r="F132" i="4"/>
  <c r="D131" i="4"/>
  <c r="F131" i="4"/>
  <c r="D130" i="4"/>
  <c r="F130" i="4"/>
  <c r="D129" i="4"/>
  <c r="F129" i="4"/>
  <c r="D128" i="4"/>
  <c r="F128" i="4"/>
  <c r="D127" i="4"/>
  <c r="F127" i="4"/>
  <c r="D126" i="4"/>
  <c r="F126" i="4"/>
  <c r="D125" i="4"/>
  <c r="F125" i="4"/>
  <c r="D124" i="4"/>
  <c r="F124" i="4"/>
  <c r="D123" i="4"/>
  <c r="F123" i="4"/>
  <c r="D122" i="4"/>
  <c r="F122" i="4"/>
  <c r="D121" i="4"/>
  <c r="F121" i="4"/>
  <c r="D120" i="4"/>
  <c r="F120" i="4"/>
  <c r="D119" i="4"/>
  <c r="F119" i="4"/>
  <c r="D118" i="4"/>
  <c r="F118" i="4"/>
  <c r="D117" i="4"/>
  <c r="F117" i="4"/>
  <c r="D116" i="4"/>
  <c r="F116" i="4"/>
  <c r="D115" i="4"/>
  <c r="F115" i="4"/>
  <c r="D114" i="4"/>
  <c r="F114" i="4"/>
  <c r="D113" i="4"/>
  <c r="F113" i="4"/>
  <c r="D112" i="4"/>
  <c r="F112" i="4"/>
  <c r="D111" i="4"/>
  <c r="F111" i="4"/>
  <c r="D110" i="4"/>
  <c r="F110" i="4"/>
  <c r="D109" i="4"/>
  <c r="F109" i="4"/>
  <c r="D108" i="4"/>
  <c r="F108" i="4"/>
  <c r="D107" i="4"/>
  <c r="F107" i="4"/>
  <c r="D106" i="4"/>
  <c r="F106" i="4"/>
  <c r="D105" i="4"/>
  <c r="F105" i="4"/>
  <c r="D104" i="4"/>
  <c r="F104" i="4"/>
  <c r="D103" i="4"/>
  <c r="F103" i="4"/>
  <c r="D102" i="4"/>
  <c r="F102" i="4"/>
  <c r="D101" i="4"/>
  <c r="F101" i="4"/>
  <c r="D100" i="4"/>
  <c r="F100" i="4"/>
  <c r="D99" i="4"/>
  <c r="F99" i="4"/>
  <c r="D98" i="4"/>
  <c r="F98" i="4"/>
  <c r="D97" i="4"/>
  <c r="F97" i="4"/>
  <c r="D96" i="4"/>
  <c r="F96" i="4"/>
  <c r="D95" i="4"/>
  <c r="F95" i="4"/>
  <c r="D94" i="4"/>
  <c r="F94" i="4"/>
  <c r="D93" i="4"/>
  <c r="F93" i="4"/>
  <c r="D92" i="4"/>
  <c r="F92" i="4"/>
  <c r="D91" i="4"/>
  <c r="F91" i="4"/>
  <c r="D90" i="4"/>
  <c r="F90" i="4"/>
  <c r="D89" i="4"/>
  <c r="F89" i="4"/>
  <c r="F88" i="4"/>
  <c r="D88" i="4"/>
  <c r="D87" i="4"/>
  <c r="F87" i="4"/>
  <c r="D86" i="4"/>
  <c r="F86" i="4"/>
  <c r="D85" i="4"/>
  <c r="F85" i="4"/>
  <c r="D84" i="4"/>
  <c r="F84" i="4"/>
  <c r="D83" i="4"/>
  <c r="F83" i="4"/>
  <c r="D82" i="4"/>
  <c r="F82" i="4"/>
  <c r="D81" i="4"/>
  <c r="F81" i="4"/>
  <c r="D80" i="4"/>
  <c r="F80" i="4"/>
  <c r="D79" i="4"/>
  <c r="F79" i="4"/>
  <c r="D78" i="4"/>
  <c r="F78" i="4"/>
  <c r="D77" i="4"/>
  <c r="F77" i="4"/>
  <c r="D76" i="4"/>
  <c r="F76" i="4"/>
  <c r="D75" i="4"/>
  <c r="F75" i="4"/>
  <c r="D74" i="4"/>
  <c r="F74" i="4"/>
  <c r="D73" i="4"/>
  <c r="F73" i="4"/>
  <c r="D72" i="4"/>
  <c r="F72" i="4"/>
  <c r="D71" i="4"/>
  <c r="F71" i="4"/>
  <c r="D70" i="4"/>
  <c r="F70" i="4"/>
  <c r="D69" i="4"/>
  <c r="F69" i="4"/>
  <c r="D68" i="4"/>
  <c r="F68" i="4"/>
  <c r="D67" i="4"/>
  <c r="F67" i="4"/>
  <c r="D66" i="4"/>
  <c r="F66" i="4"/>
  <c r="D65" i="4"/>
  <c r="F65" i="4"/>
  <c r="D64" i="4"/>
  <c r="F64" i="4"/>
  <c r="D63" i="4"/>
  <c r="F63" i="4"/>
  <c r="D62" i="4"/>
  <c r="F62" i="4"/>
  <c r="D61" i="4"/>
  <c r="F61" i="4"/>
  <c r="D60" i="4"/>
  <c r="F60" i="4"/>
  <c r="D59" i="4"/>
  <c r="F59" i="4"/>
  <c r="D58" i="4"/>
  <c r="F58" i="4"/>
  <c r="D57" i="4"/>
  <c r="F57" i="4"/>
  <c r="D56" i="4"/>
  <c r="F56" i="4"/>
  <c r="D55" i="4"/>
  <c r="F55" i="4"/>
  <c r="D54" i="4"/>
  <c r="F54" i="4"/>
  <c r="D53" i="4"/>
  <c r="F53" i="4"/>
  <c r="D52" i="4"/>
  <c r="F52" i="4"/>
  <c r="D51" i="4"/>
  <c r="F51" i="4"/>
  <c r="D50" i="4"/>
  <c r="F50" i="4"/>
  <c r="D49" i="4"/>
  <c r="F49" i="4"/>
  <c r="D48" i="4"/>
  <c r="F48" i="4"/>
  <c r="D47" i="4"/>
  <c r="F47" i="4"/>
  <c r="D46" i="4"/>
  <c r="F46" i="4"/>
  <c r="D45" i="4"/>
  <c r="F45" i="4"/>
  <c r="D44" i="4"/>
  <c r="F44" i="4"/>
  <c r="D43" i="4"/>
  <c r="F43" i="4"/>
  <c r="D42" i="4"/>
  <c r="F42" i="4"/>
  <c r="D41" i="4"/>
  <c r="F41" i="4"/>
  <c r="D40" i="4"/>
  <c r="F40" i="4"/>
  <c r="D39" i="4"/>
  <c r="F39" i="4"/>
  <c r="D38" i="4"/>
  <c r="F38" i="4"/>
  <c r="D37" i="4"/>
  <c r="F37" i="4"/>
  <c r="D36" i="4"/>
  <c r="F36" i="4"/>
  <c r="D35" i="4"/>
  <c r="F35" i="4"/>
  <c r="D34" i="4"/>
  <c r="F34" i="4"/>
  <c r="D33" i="4"/>
  <c r="F33" i="4"/>
  <c r="D32" i="4"/>
  <c r="F32" i="4"/>
  <c r="D31" i="4"/>
  <c r="F31" i="4"/>
  <c r="D30" i="4"/>
  <c r="F30" i="4"/>
  <c r="D29" i="4"/>
  <c r="F29" i="4"/>
  <c r="D28" i="4"/>
  <c r="F28" i="4"/>
  <c r="D27" i="4"/>
  <c r="F27" i="4"/>
  <c r="D26" i="4"/>
  <c r="F26" i="4"/>
  <c r="D25" i="4"/>
  <c r="F25" i="4"/>
  <c r="D24" i="4"/>
  <c r="F24" i="4"/>
  <c r="D23" i="4"/>
  <c r="F23" i="4"/>
  <c r="D22" i="4"/>
  <c r="F22" i="4"/>
  <c r="D21" i="4"/>
  <c r="F21" i="4"/>
  <c r="D20" i="4"/>
  <c r="F20" i="4"/>
  <c r="D19" i="4"/>
  <c r="F19" i="4"/>
  <c r="D18" i="4"/>
  <c r="F18" i="4"/>
  <c r="F17" i="4"/>
  <c r="D16" i="4"/>
  <c r="F16" i="4"/>
  <c r="D15" i="4"/>
  <c r="F15" i="4"/>
  <c r="D14" i="4"/>
  <c r="F14" i="4"/>
  <c r="D13" i="4"/>
  <c r="F13" i="4"/>
  <c r="D12" i="4"/>
  <c r="F12" i="4"/>
  <c r="D11" i="4"/>
  <c r="F11" i="4"/>
  <c r="D10" i="4"/>
  <c r="F10" i="4"/>
  <c r="V13" i="14"/>
  <c r="T19" i="14"/>
  <c r="V19" i="14"/>
  <c r="T116" i="12"/>
  <c r="V116" i="12"/>
  <c r="T149" i="12"/>
  <c r="V149" i="12"/>
  <c r="T161" i="12"/>
  <c r="V161" i="12"/>
  <c r="T14" i="12"/>
  <c r="V14" i="12"/>
  <c r="T44" i="12"/>
  <c r="T98" i="12"/>
  <c r="V98" i="12"/>
  <c r="T113" i="12"/>
  <c r="V113" i="12"/>
  <c r="T167" i="12"/>
  <c r="V167" i="12"/>
  <c r="T95" i="12"/>
  <c r="V95" i="12"/>
  <c r="T251" i="12"/>
  <c r="V251" i="12"/>
  <c r="T254" i="12"/>
  <c r="V254" i="12"/>
  <c r="T320" i="12"/>
  <c r="V320" i="12"/>
  <c r="T200" i="12"/>
  <c r="V200" i="12"/>
  <c r="V242" i="12"/>
  <c r="T278" i="12"/>
  <c r="V278" i="12"/>
  <c r="T341" i="12"/>
  <c r="V341" i="12"/>
  <c r="T395" i="12"/>
  <c r="V395" i="12"/>
  <c r="T419" i="12"/>
  <c r="V419" i="12"/>
  <c r="T443" i="12"/>
  <c r="V443" i="12"/>
  <c r="T467" i="12"/>
  <c r="V467" i="12"/>
  <c r="T428" i="12"/>
  <c r="V428" i="12"/>
  <c r="T500" i="12"/>
  <c r="V500" i="12"/>
  <c r="T545" i="12"/>
  <c r="V545" i="12"/>
  <c r="T593" i="12"/>
  <c r="V593" i="12"/>
  <c r="T614" i="12"/>
  <c r="V614" i="12"/>
  <c r="T554" i="12"/>
  <c r="V554" i="12"/>
  <c r="V602" i="12"/>
  <c r="T644" i="12"/>
  <c r="V644" i="12"/>
  <c r="V755" i="12"/>
  <c r="T776" i="12"/>
  <c r="V776" i="12"/>
  <c r="T11" i="12"/>
  <c r="V11" i="12"/>
  <c r="T122" i="12"/>
  <c r="V122" i="12"/>
  <c r="T209" i="12"/>
  <c r="V209" i="12"/>
  <c r="T350" i="12"/>
  <c r="V350" i="12"/>
  <c r="T248" i="12"/>
  <c r="V248" i="12"/>
  <c r="T299" i="12"/>
  <c r="V299" i="12"/>
  <c r="T347" i="12"/>
  <c r="V347" i="12"/>
  <c r="T377" i="12"/>
  <c r="V377" i="12"/>
  <c r="T425" i="12"/>
  <c r="V425" i="12"/>
  <c r="T473" i="12"/>
  <c r="V473" i="12"/>
  <c r="T404" i="12"/>
  <c r="V404" i="12"/>
  <c r="T617" i="12"/>
  <c r="V617" i="12"/>
  <c r="T557" i="12"/>
  <c r="V557" i="12"/>
  <c r="V605" i="12"/>
  <c r="V656" i="12"/>
  <c r="T770" i="12"/>
  <c r="V770" i="12"/>
  <c r="T146" i="12"/>
  <c r="V146" i="12"/>
  <c r="T71" i="12"/>
  <c r="V71" i="12"/>
  <c r="T119" i="12"/>
  <c r="V119" i="12"/>
  <c r="T215" i="12"/>
  <c r="V215" i="12"/>
  <c r="T326" i="12"/>
  <c r="V326" i="12"/>
  <c r="T380" i="12"/>
  <c r="V380" i="12"/>
  <c r="T530" i="12"/>
  <c r="V530" i="12"/>
  <c r="T458" i="12"/>
  <c r="V458" i="12"/>
  <c r="V578" i="12"/>
  <c r="T620" i="12"/>
  <c r="V620" i="12"/>
  <c r="T635" i="12"/>
  <c r="V635" i="12"/>
  <c r="T65" i="12"/>
  <c r="V65" i="12"/>
  <c r="T92" i="12"/>
  <c r="V92" i="12"/>
  <c r="T140" i="12"/>
  <c r="V140" i="12"/>
  <c r="T20" i="12"/>
  <c r="V20" i="12"/>
  <c r="T26" i="12"/>
  <c r="V26" i="12"/>
  <c r="T74" i="12"/>
  <c r="V74" i="12"/>
  <c r="T89" i="12"/>
  <c r="V89" i="12"/>
  <c r="T143" i="12"/>
  <c r="V143" i="12"/>
  <c r="T257" i="12"/>
  <c r="V257" i="12"/>
  <c r="T344" i="12"/>
  <c r="V344" i="12"/>
  <c r="T269" i="12"/>
  <c r="V269" i="12"/>
  <c r="T302" i="12"/>
  <c r="V302" i="12"/>
  <c r="T365" i="12"/>
  <c r="V365" i="12"/>
  <c r="T398" i="12"/>
  <c r="V398" i="12"/>
  <c r="T422" i="12"/>
  <c r="V422" i="12"/>
  <c r="T446" i="12"/>
  <c r="V446" i="12"/>
  <c r="T470" i="12"/>
  <c r="V470" i="12"/>
  <c r="T275" i="12"/>
  <c r="V275" i="12"/>
  <c r="T323" i="12"/>
  <c r="V323" i="12"/>
  <c r="T371" i="12"/>
  <c r="V371" i="12"/>
  <c r="T401" i="12"/>
  <c r="V401" i="12"/>
  <c r="T449" i="12"/>
  <c r="V449" i="12"/>
  <c r="T224" i="12"/>
  <c r="V224" i="12"/>
  <c r="T452" i="12"/>
  <c r="V452" i="12"/>
  <c r="T524" i="12"/>
  <c r="V524" i="12"/>
  <c r="T623" i="12"/>
  <c r="V623" i="12"/>
  <c r="T506" i="12"/>
  <c r="V506" i="12"/>
  <c r="T569" i="12"/>
  <c r="V569" i="12"/>
  <c r="T626" i="12"/>
  <c r="V626" i="12"/>
  <c r="T650" i="12"/>
  <c r="V650" i="12"/>
  <c r="V581" i="12"/>
  <c r="T758" i="12"/>
  <c r="V758" i="12"/>
  <c r="T767" i="12"/>
  <c r="V767" i="12"/>
</calcChain>
</file>

<file path=xl/sharedStrings.xml><?xml version="1.0" encoding="utf-8"?>
<sst xmlns="http://schemas.openxmlformats.org/spreadsheetml/2006/main" count="1730" uniqueCount="324">
  <si>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</si>
  <si>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</si>
  <si>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</si>
  <si>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</si>
  <si>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</si>
  <si>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</si>
  <si>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</si>
  <si>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</si>
  <si>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</si>
  <si>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</si>
  <si>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</si>
  <si>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</si>
  <si>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</si>
  <si>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</si>
  <si>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</si>
  <si>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</si>
  <si>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</si>
  <si>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</si>
  <si>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</si>
  <si>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</si>
  <si>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</si>
  <si>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</si>
  <si>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</si>
  <si>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</si>
  <si>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</si>
  <si>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</si>
  <si>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</si>
  <si>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</si>
  <si>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</si>
  <si>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</si>
  <si>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</si>
  <si>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</si>
  <si>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</si>
  <si>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</si>
  <si>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</si>
  <si>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</si>
  <si>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</si>
  <si>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</si>
  <si>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</si>
  <si>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</si>
  <si>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</si>
  <si>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t xml:space="preserve">Frequency: 96 hrs  </t>
  </si>
  <si>
    <t>Measurment Tool Recipe: WET_PreSilicon_COPs , WET_PostSilicon_COPs</t>
  </si>
  <si>
    <t>CP count</t>
  </si>
  <si>
    <t>Employee 
Code</t>
  </si>
  <si>
    <t>LPDN values</t>
  </si>
  <si>
    <t>Pre CP</t>
  </si>
  <si>
    <t>Post CP</t>
  </si>
  <si>
    <t>USL</t>
  </si>
  <si>
    <t>Mech CP done.</t>
  </si>
  <si>
    <t>On CPX</t>
  </si>
  <si>
    <t>1428/1400</t>
  </si>
  <si>
    <t>On DIA</t>
  </si>
  <si>
    <t>On CPX, Normal Seasoning</t>
  </si>
  <si>
    <t>On CPX, 10wf seasoning</t>
  </si>
  <si>
    <t>ON DIA</t>
  </si>
  <si>
    <t>ON CPX</t>
  </si>
  <si>
    <t>On DIA tool</t>
  </si>
  <si>
    <t>YEDR1</t>
  </si>
  <si>
    <t>YEDR1 (LPDN pre 88, post 1300)LLB</t>
  </si>
  <si>
    <t>YEDR1 (LPDN pre 117, post2003 )LLB</t>
  </si>
  <si>
    <t>1159/1335</t>
  </si>
  <si>
    <t>YEDR1 (LPDN pre 53 post 1320)</t>
  </si>
  <si>
    <t>YEDR1 (LPDN pre 49 post 1086)</t>
  </si>
  <si>
    <t>YEDR1 (LPDN pre 124 post 837)</t>
  </si>
  <si>
    <t>Red ring ,QC fail.</t>
  </si>
  <si>
    <t>YEDR1 (LPDN pre 42 post 968)</t>
  </si>
  <si>
    <t>YEDR1 (LPDN pre 24 post 945)</t>
  </si>
  <si>
    <t>2 holidays in between. YEDR1 (LPDN PRE 17 POST 884)</t>
  </si>
  <si>
    <t>YEDR1 (LPDN pre 17 post 982)</t>
  </si>
  <si>
    <t>YEDR1 (LPDN pre 62 post 1177)</t>
  </si>
  <si>
    <t>YEDR1 (LPDN pre 16 post 747)</t>
  </si>
  <si>
    <t>YEDR1 (LPDN pre 1 post 329)</t>
  </si>
  <si>
    <t>YEDR1 (LPDN pre 0 post 396)</t>
  </si>
  <si>
    <t>YEDR1 (LPDN pre 0 post 349)</t>
  </si>
  <si>
    <t>red ring ,QC fail.</t>
  </si>
  <si>
    <t>YEDR1 (LPDN pre 01, post 366)</t>
  </si>
  <si>
    <t>YEDR1 (LPDN pre 04, post 179)</t>
  </si>
  <si>
    <t>YEDR1 (LPDN pre 104, post 260)</t>
  </si>
  <si>
    <t>YEDR1 (LPDN pre 114, post 1662)</t>
  </si>
  <si>
    <t>YEDR1 (LPDN pre 16, post 687)</t>
  </si>
  <si>
    <t>YEDR1 (LPDN pre 17, post 581)</t>
  </si>
  <si>
    <t>YEDR1 (LPDN pre 18, post 529)</t>
  </si>
  <si>
    <t>YEDR1 (LPDN pre 82, post 2072)</t>
  </si>
  <si>
    <t>YEDR1 (LPDN pre 54, post 221)</t>
  </si>
  <si>
    <t>YEDR1 (LPDN pre 53, post 1496)</t>
  </si>
  <si>
    <t>YEDR1 (LPDN pre 86, post 1496)</t>
  </si>
  <si>
    <t>YEDR1 (LPDN pre 03, post 1607) QC After Facility Shutdown</t>
  </si>
  <si>
    <t>YEDR1 (LPDN pre110, post 2095)</t>
  </si>
  <si>
    <t>YEDI1 (CPX is down)</t>
  </si>
  <si>
    <t>yedr1lpdn pre 4, post 746</t>
  </si>
  <si>
    <t>on cpx</t>
  </si>
  <si>
    <t>YEDR1 (LPDN pre 118, post 370)</t>
  </si>
  <si>
    <t>YEDR1 (LPDN pre 02, post 281 )</t>
  </si>
  <si>
    <t>YEDR1 (LPDN pre 90, post 319 )</t>
  </si>
  <si>
    <t>YEDR1 (LPDN pre 0, post 21)</t>
  </si>
  <si>
    <t>YEDR1 (LPDN pre 0, post 10)</t>
  </si>
  <si>
    <t>YEDR1 (LPDN pre 3, post 1233)</t>
  </si>
  <si>
    <t>YEDR1 (LPDN pre 0, post 1299)</t>
  </si>
  <si>
    <t>YEDR1 (LPDN pre 12, post 417)</t>
  </si>
  <si>
    <t>YEDR1 (LPDN pre 383, post 664)</t>
  </si>
  <si>
    <t>YEDR1 (LPDN pre 7, post 18)</t>
  </si>
  <si>
    <t>YEDR1(LPDN PRE127,POST388)</t>
  </si>
  <si>
    <t>YEDR1(LPDN PRE12,POST404)</t>
  </si>
  <si>
    <t>YEDR1(LPDN PRE476,POST2028)</t>
  </si>
  <si>
    <t>YEDR1(LPDN PRE75,POST1138)</t>
  </si>
  <si>
    <t>YEDR1(LPDN PRE03,POST424)</t>
  </si>
  <si>
    <t>sea 25 wafer NNIT2800</t>
  </si>
  <si>
    <t>std qc after last QC at19:10</t>
  </si>
  <si>
    <t>YEDR1(LPDN PRE01,POST04)NEW PAD PR WFS</t>
  </si>
  <si>
    <t>YEDR1(LPDN PRE0,POST12)</t>
  </si>
  <si>
    <t>YEDR1(LPDN PRE0,POST09)</t>
  </si>
  <si>
    <t>YEDR1(LPDN PRE02,POST14)</t>
  </si>
  <si>
    <t>YEDR1(LPDN PRE0,POST12)   sea 6wfs NNIT2800</t>
  </si>
  <si>
    <t>YEDR1(LPDN PRE0,POST07)   std QC</t>
  </si>
  <si>
    <t>YEDR1(LPDN PRE0,POST23)   sea 5wfs NNIT2800</t>
  </si>
  <si>
    <t>YEDR1(LPDN PRE0,POST03)   std QC(NEW PAD PR WFS)</t>
  </si>
  <si>
    <t>YEDR1(LPDN PRE 120,POST 1928)</t>
  </si>
  <si>
    <t>YEDR1(LPDN PRE 123,POST 1909)</t>
  </si>
  <si>
    <t>YEDR1(LPDN PRE 100,POST 1993)</t>
  </si>
  <si>
    <t>YEDR1(LPDN PRE ,POST )</t>
  </si>
  <si>
    <t>YEDR1(LPDN PRE 6,POST 365)</t>
  </si>
  <si>
    <t>YEDR1(LPDN PRE 14,POST 323)</t>
  </si>
  <si>
    <t>YEDR1(LPDN PRE 5,POST 399)</t>
  </si>
  <si>
    <t>YEDR1(LPDN PRE 184,POST 383)</t>
  </si>
  <si>
    <t>YEDR1(LPDN PRE 07,POST 503)</t>
  </si>
  <si>
    <t>YEDR1(LPDN PRE 04, POST 499 )</t>
  </si>
  <si>
    <t>YEDR1(LPDN PRE 152, POST 2039 )</t>
  </si>
  <si>
    <t>YEDR1(LPDN PRE 130, POST 1903 )</t>
  </si>
  <si>
    <t>YEDR1(LPDN PRE 02, POST385 )</t>
  </si>
  <si>
    <t>YEDR1(LPDN PRE 1, POST 27)</t>
  </si>
  <si>
    <t>YEDR1(LPDN PRE 0, POST 1117) after 10 wfs PAD PR seasoning</t>
  </si>
  <si>
    <t>YEDR1(LPDN PRE 0, POST 1009) after 10 wfs PAD PR seasoning</t>
  </si>
  <si>
    <t>YEDR1(LPDN PRE 0, POST 20)</t>
  </si>
  <si>
    <t>YEDR1(LPDN PRE 0, POST 10)</t>
  </si>
  <si>
    <t>YEDR1(LPDN PRE 0, POST 13)</t>
  </si>
  <si>
    <t>YEDR1(LPDN PRE 0, POST 926) after std. 5 wfs seasoning</t>
  </si>
  <si>
    <t>YEDR1(LPDN PRE 0, POST 0) after 15 wfs seasoning</t>
  </si>
  <si>
    <t>11/24/2017</t>
  </si>
  <si>
    <t>YEDR1(LPDN PRE 10, POST 2097)</t>
  </si>
  <si>
    <t>YEDI1 (CPX is down) after 10 wfs seasoning</t>
  </si>
  <si>
    <t>YEDR1(LPDN PRE 7, POST 386) after 75 wfs seasoning</t>
  </si>
  <si>
    <t>CP after robot bearing replacement and robot teaching in chamber. Only after 5 sea wfs</t>
  </si>
  <si>
    <t>After running 10 sea wfs</t>
  </si>
  <si>
    <t>YEDR1(LPDN PRE 1, POST 150)</t>
  </si>
  <si>
    <t>YEDR1(LPDN PRE 99, POST 1189)</t>
  </si>
  <si>
    <t>YEDR1(LPDN PRE 0, POST )</t>
  </si>
  <si>
    <t>YEDR1(LPDN PRE 135, POST 1650)</t>
  </si>
  <si>
    <t>YEDR1(LPDN PRE 1, POST 282)</t>
  </si>
  <si>
    <t>YEDR1(LPDN PRE 1, POST 362). Before CP chamber purging performed for approx. 3hrs</t>
  </si>
  <si>
    <t>YEDR1(LPDN PRE 8, POST 606)</t>
  </si>
  <si>
    <t>YEDR1(LPDN PRE 08, POST 376)</t>
  </si>
  <si>
    <t>PM DONE</t>
  </si>
  <si>
    <t>YEDR1(LPDN PRE 64, POST 1271)</t>
  </si>
  <si>
    <t>YEDR1(LPDN PRE 11, POST 30)</t>
  </si>
  <si>
    <t>Transfer ch opened for robot cal in LL. CP run as no information from Orbit team about tool not released</t>
  </si>
  <si>
    <t>YEDR1(LPDN PRE 1, POST 72)</t>
  </si>
  <si>
    <t>YEDR1(LPDN PRE 15, POST 830)</t>
  </si>
  <si>
    <t>YEDR1(LPDN PRE 26, POST 36)</t>
  </si>
  <si>
    <t>YEDR1(LPDN PRE 4, POST 23)</t>
  </si>
  <si>
    <t>YEDR1(LPDN PRE 8, POST 28)</t>
  </si>
  <si>
    <t>YEDR1(LPDN PRE 31, POST 43)</t>
  </si>
  <si>
    <t>YEDR1(LPDN PRE 1, POST 57)</t>
  </si>
  <si>
    <t>YEDR1(LPDN PRE 2, POST 53)</t>
  </si>
  <si>
    <t>YEDR1(LPDN PRE 0, POST 2)</t>
  </si>
  <si>
    <t>After PM</t>
  </si>
  <si>
    <t>1340/121</t>
  </si>
  <si>
    <t>YEDR1(LPDN PRE , POST 1202)</t>
  </si>
  <si>
    <t>YEDR1(LPDN PRE13 , POST 254)</t>
  </si>
  <si>
    <t>YEDR1(LPDN PRE2 , POST 51)</t>
  </si>
  <si>
    <t>YEDR1(LPDN PRE6 , POST 56)</t>
  </si>
  <si>
    <t>YEDR1(LPDN PRE1 , POST 89)</t>
  </si>
  <si>
    <t>YEDR1(LPDN PRE8 , POST 101)</t>
  </si>
  <si>
    <t>YEDR1(LPDN PRE6 , POST 24)</t>
  </si>
  <si>
    <t>YEDR1(LPDN PRE 68, POST 1954)</t>
  </si>
  <si>
    <t>YEDR1(LPDN PRE 14, POST 529)</t>
  </si>
  <si>
    <t>YEDR1(LPDN PRE 13, POST 412)</t>
  </si>
  <si>
    <t>DIA</t>
  </si>
  <si>
    <t>YEDR1(LPDN PRE 2, POST 16)</t>
  </si>
  <si>
    <t>YEDR1(LPDN PRE 2, POST 7)</t>
  </si>
  <si>
    <t>Area Count is very high</t>
  </si>
  <si>
    <t>1159/1340</t>
  </si>
  <si>
    <t>YEDR1(LPDN PRE 01, POST 19)</t>
  </si>
  <si>
    <t>YEDR1(LPDN PRE 0, POST 27)</t>
  </si>
  <si>
    <t>Q19050038.F1</t>
  </si>
  <si>
    <t>YEDR1(LPDN PRE 0, POST 27) TOOL DOWN FOR CP TROUBLSHOOTING</t>
  </si>
  <si>
    <t>YEDR1(LPDN PRE 1, POST 4)</t>
  </si>
  <si>
    <t>YEDR1(LPDN PRE 7, POST 5)</t>
  </si>
  <si>
    <t>YEDR1(LPDN PRE 0, POST 17)</t>
  </si>
  <si>
    <t>YEDR1(LPDN PRE 0, POST 12)</t>
  </si>
  <si>
    <t>YEDR1(LPDN PRE 5, POST 12)</t>
  </si>
  <si>
    <t>YEDR1(LPDN PRE 12, POST 245)</t>
  </si>
  <si>
    <t>YEDR1(LPDN PRE 11, POST 15)</t>
  </si>
  <si>
    <t>YEDR1(LPDN PRE 0, POST 1)</t>
  </si>
  <si>
    <t>YEDR1(LPDN PRE 0, POST 0)</t>
  </si>
  <si>
    <t>YEDR1(LPDN PRE 0, POST 4)</t>
  </si>
  <si>
    <t>YEDR1(LPDN PRE 02, POST 5)</t>
  </si>
  <si>
    <t>Fail</t>
  </si>
  <si>
    <t>YEDR1(LPDN PRE 0, POST 37)</t>
  </si>
  <si>
    <t>ON YEDI1</t>
  </si>
  <si>
    <t>Bare Si wf taken from new bank</t>
  </si>
  <si>
    <t>Q19140110.F1</t>
  </si>
  <si>
    <t>YEDR1(LPDN PRE 03, POST 244)</t>
  </si>
  <si>
    <t xml:space="preserve">∆ /Time=ERÅ/Min
</t>
  </si>
  <si>
    <t>Post</t>
  </si>
  <si>
    <t>Pre</t>
  </si>
  <si>
    <t>TEOS</t>
  </si>
  <si>
    <t>Q19180132.F1</t>
  </si>
  <si>
    <t>SiN</t>
  </si>
  <si>
    <t>Q19170066.F1</t>
  </si>
  <si>
    <t>102/1340</t>
  </si>
  <si>
    <t>Q19150143.F1</t>
  </si>
  <si>
    <t>Q19150070.F1</t>
  </si>
  <si>
    <t>Q19150069.F1</t>
  </si>
  <si>
    <t>Q19130100.F1</t>
  </si>
  <si>
    <t>Q19120025.F1</t>
  </si>
  <si>
    <t>Q19110106.F1</t>
  </si>
  <si>
    <t>Q19110059.F1</t>
  </si>
  <si>
    <t>Q19100025.F1</t>
  </si>
  <si>
    <t>Q19090098.F1</t>
  </si>
  <si>
    <t>Q19090039.F1</t>
  </si>
  <si>
    <t>1340/1159</t>
  </si>
  <si>
    <t>Q19080125.F1</t>
  </si>
  <si>
    <t>Q19080051.F1</t>
  </si>
  <si>
    <t>Q19070078.F1</t>
  </si>
  <si>
    <t>Q19060054.F1</t>
  </si>
  <si>
    <t>Q19040063.F1</t>
  </si>
  <si>
    <t>Q19030040.F1</t>
  </si>
  <si>
    <t>Q19020026.F1</t>
  </si>
  <si>
    <t>Q18470053.F1</t>
  </si>
  <si>
    <t>Q18440057.F1</t>
  </si>
  <si>
    <t>Q18430065.F1</t>
  </si>
  <si>
    <t>Q18400085.F1</t>
  </si>
  <si>
    <t>After CH RF PM</t>
  </si>
  <si>
    <t>After CH RF PM,CL Changed</t>
  </si>
  <si>
    <t>He B/S leak alarm after 23.2 sec</t>
  </si>
  <si>
    <t>After 10 seasoning wfs.</t>
  </si>
  <si>
    <t>121/102</t>
  </si>
  <si>
    <t>Q17440027.F1</t>
  </si>
  <si>
    <t>1335/102</t>
  </si>
  <si>
    <t>Q17410029.F1</t>
  </si>
  <si>
    <t>QC AFTER CH.PM</t>
  </si>
  <si>
    <t>Q17360001.F1</t>
  </si>
  <si>
    <t>Q17310077.F1</t>
  </si>
  <si>
    <t>Q17310074.F1</t>
  </si>
  <si>
    <t>Q17280071.F1</t>
  </si>
  <si>
    <t>Q17270049.F1</t>
  </si>
  <si>
    <t>Q17270038.F1</t>
  </si>
  <si>
    <t>Q17270050.F1</t>
  </si>
  <si>
    <t>Q17250037.F1</t>
  </si>
  <si>
    <t>Q17280060.F1</t>
  </si>
  <si>
    <t>Q17280058.F1</t>
  </si>
  <si>
    <t>Q17280057.F1</t>
  </si>
  <si>
    <t>1400/1428</t>
  </si>
  <si>
    <t>Q17090001.F1</t>
  </si>
  <si>
    <t>Q17060046.F1</t>
  </si>
  <si>
    <t>Q17020063.F1</t>
  </si>
  <si>
    <t>Q16520020.F1</t>
  </si>
  <si>
    <t>Q16500049.F1</t>
  </si>
  <si>
    <t>Q16500026.F1</t>
  </si>
  <si>
    <t>Q16490073.F1</t>
  </si>
  <si>
    <t>Q16480049.F1</t>
  </si>
  <si>
    <t>Q16480002.F1</t>
  </si>
  <si>
    <t>Q16470021.F1</t>
  </si>
  <si>
    <t>Q16460027.F1</t>
  </si>
  <si>
    <t>Patterened wafer</t>
  </si>
  <si>
    <t>Q16450066.F1</t>
  </si>
  <si>
    <t>Q16450006.F1</t>
  </si>
  <si>
    <t>Q16440021.F1</t>
  </si>
  <si>
    <t>Q16420035.F1</t>
  </si>
  <si>
    <t>Q16400041.F1</t>
  </si>
  <si>
    <t>Q16380095.F1</t>
  </si>
  <si>
    <t>% Uni USL</t>
  </si>
  <si>
    <t>% Uni UCL</t>
  </si>
  <si>
    <t>UCL</t>
  </si>
  <si>
    <t>LCL</t>
  </si>
  <si>
    <t>LSL</t>
  </si>
  <si>
    <t>Tech EC</t>
  </si>
  <si>
    <t>STDEV</t>
  </si>
  <si>
    <t>%Uniformity</t>
  </si>
  <si>
    <t>Etch Rate Å/Min</t>
  </si>
  <si>
    <t>Min Etch Rate</t>
  </si>
  <si>
    <t>Max Etch Rate</t>
  </si>
  <si>
    <t>Pre Thickkness  Å</t>
  </si>
  <si>
    <t>Date
(MM/DD/YY)
&amp; Parameter</t>
  </si>
  <si>
    <t>Pass Criteria:</t>
  </si>
  <si>
    <t xml:space="preserve"> Uniformity</t>
  </si>
  <si>
    <r>
      <t xml:space="preserve">Measurment Tool recipe: </t>
    </r>
    <r>
      <rPr>
        <b/>
        <sz val="9"/>
        <rFont val="Arial"/>
        <family val="2"/>
      </rPr>
      <t>ETCH/SUPER-E/TVTEOS13, ETCH/SUPER-E/TV-P-SIN</t>
    </r>
  </si>
  <si>
    <t>SiN Etch rate</t>
  </si>
  <si>
    <t>Recipe; TEOS ER &amp; SiN ER</t>
  </si>
  <si>
    <r>
      <t>Wafer Type</t>
    </r>
    <r>
      <rPr>
        <b/>
        <sz val="9"/>
        <rFont val="Arial"/>
        <family val="2"/>
      </rPr>
      <t>: V33ZP91,TVZP91</t>
    </r>
  </si>
  <si>
    <t>TEOS etch rate</t>
  </si>
  <si>
    <r>
      <t xml:space="preserve">     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</si>
  <si>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TEOS etch rate &amp; SiN Etch rate</t>
    </r>
  </si>
  <si>
    <t>Parameter</t>
  </si>
  <si>
    <t>Pad etch Redundant chamber exp. In REOX1B @25C</t>
  </si>
  <si>
    <t/>
  </si>
  <si>
    <t>@25C B</t>
  </si>
  <si>
    <t>Pass</t>
  </si>
  <si>
    <t>STDV</t>
  </si>
  <si>
    <t>Recipes -B:V33ZP91, B:TVZP91</t>
  </si>
  <si>
    <t>Recipes -B:V33ZP91, B:TVZP92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</si>
  <si>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</si>
  <si>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REOX1A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</si>
  <si>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</si>
  <si>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t xml:space="preserve">Recipe: </t>
    </r>
    <r>
      <rPr>
        <b/>
        <sz val="10"/>
        <rFont val="Calibri"/>
        <family val="2"/>
        <scheme val="minor"/>
      </rPr>
      <t>CS PARTICLES CHECK</t>
    </r>
  </si>
  <si>
    <r>
      <t>Wafer Type</t>
    </r>
    <r>
      <rPr>
        <b/>
        <sz val="10"/>
        <rFont val="Calibri"/>
        <family val="2"/>
        <scheme val="minor"/>
      </rPr>
      <t>: REGRIND NON METAL (&lt;50 Particle of size &gt;0.2 µ)</t>
    </r>
  </si>
  <si>
    <r>
      <t>Pass Criteria</t>
    </r>
    <r>
      <rPr>
        <b/>
        <sz val="10"/>
        <rFont val="Calibri"/>
        <family val="2"/>
        <scheme val="minor"/>
      </rPr>
      <t>:  LSL = 0, USL = 40</t>
    </r>
  </si>
  <si>
    <t>Date (MM/DD/YYYY)</t>
  </si>
  <si>
    <t>delta CP</t>
  </si>
  <si>
    <r>
      <t xml:space="preserve">YEDR1(LPDN PRE5,POST0381)   std QC(NEW PAD PR WFS) </t>
    </r>
    <r>
      <rPr>
        <b/>
        <sz val="10"/>
        <rFont val="Calibri"/>
        <family val="2"/>
        <scheme val="minor"/>
      </rPr>
      <t>QC AFTER CHAMBER PM</t>
    </r>
  </si>
  <si>
    <t>Lot ID</t>
  </si>
  <si>
    <t xml:space="preserve"> Q16410050.F1</t>
  </si>
  <si>
    <t xml:space="preserve"> Q16420035.F1</t>
  </si>
  <si>
    <t>V33ZP91 etch time decreased  from 60s to 30s</t>
  </si>
  <si>
    <t>TVZP91 etch time decreased from 30s to 20s</t>
  </si>
  <si>
    <t>Site</t>
  </si>
  <si>
    <t>Etch Rate (A/Min)</t>
  </si>
  <si>
    <t>% Uniformity</t>
  </si>
  <si>
    <t>Layers</t>
  </si>
  <si>
    <t>Thickness  (Å)</t>
  </si>
  <si>
    <t>QC after Facility Shutdown</t>
  </si>
  <si>
    <t>Q17030001.F1</t>
  </si>
  <si>
    <t>Unpatterned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</si>
</sst>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\/dd\/yyyy"/>
    <numFmt numFmtId="165" formatCode="0.00_);\(0.00\)"/>
    <numFmt numFmtId="166" formatCode="0.00;[Red]0.00"/>
    <numFmt numFmtId="167" formatCode="m/d/yyyy;@"/>
  </numFmts>
  <fonts count="3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rgb="FF000000"/>
      <name val="Calibri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sz val="9"/>
      <color rgb="FFFF0000"/>
      <name val="Arial"/>
      <family val="2"/>
    </font>
    <font>
      <sz val="11"/>
      <color indexed="12"/>
      <name val="Calibri"/>
      <family val="2"/>
    </font>
    <font>
      <sz val="11"/>
      <name val="Calibri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2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B05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9" fillId="0" borderId="0"/>
    <xf numFmtId="0" fontId="2" fillId="0" borderId="0"/>
    <xf numFmtId="0" fontId="2" fillId="0" borderId="0"/>
    <xf numFmtId="0" fontId="2" fillId="0" borderId="0"/>
  </cellStyleXfs>
  <cellXfs count="302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6" fillId="2" borderId="0" xfId="0" applyFont="1" applyFill="1" applyAlignment="1"/>
    <xf numFmtId="0" fontId="5" fillId="2" borderId="4" xfId="0" applyFont="1" applyFill="1" applyBorder="1" applyAlignment="1"/>
    <xf numFmtId="0" fontId="8" fillId="0" borderId="0" xfId="0" applyFont="1" applyBorder="1"/>
    <xf numFmtId="0" fontId="5" fillId="2" borderId="0" xfId="0" applyFont="1" applyFill="1" applyBorder="1" applyAlignment="1"/>
    <xf numFmtId="0" fontId="7" fillId="2" borderId="0" xfId="0" applyFont="1" applyFill="1" applyBorder="1" applyAlignment="1"/>
    <xf numFmtId="0" fontId="5" fillId="2" borderId="5" xfId="0" applyFont="1" applyFill="1" applyBorder="1" applyAlignment="1">
      <alignment horizontal="right"/>
    </xf>
    <xf numFmtId="0" fontId="9" fillId="2" borderId="0" xfId="0" applyFont="1" applyFill="1" applyAlignment="1"/>
    <xf numFmtId="0" fontId="10" fillId="2" borderId="0" xfId="0" applyFont="1" applyFill="1" applyAlignment="1"/>
    <xf numFmtId="0" fontId="5" fillId="2" borderId="4" xfId="0" applyFont="1" applyFill="1" applyBorder="1" applyAlignment="1">
      <alignment horizontal="left"/>
    </xf>
    <xf numFmtId="0" fontId="8" fillId="2" borderId="0" xfId="0" applyFont="1" applyFill="1" applyBorder="1"/>
    <xf numFmtId="0" fontId="10" fillId="0" borderId="0" xfId="0" applyFont="1" applyBorder="1" applyAlignment="1"/>
    <xf numFmtId="0" fontId="11" fillId="0" borderId="0" xfId="0" applyFont="1" applyBorder="1" applyAlignment="1">
      <alignment wrapText="1"/>
    </xf>
    <xf numFmtId="0" fontId="7" fillId="2" borderId="0" xfId="0" applyFont="1" applyFill="1" applyBorder="1" applyAlignment="1">
      <alignment horizontal="right"/>
    </xf>
    <xf numFmtId="0" fontId="7" fillId="2" borderId="5" xfId="0" applyFont="1" applyFill="1" applyBorder="1" applyAlignment="1">
      <alignment horizontal="right"/>
    </xf>
    <xf numFmtId="0" fontId="7" fillId="2" borderId="5" xfId="0" applyFont="1" applyFill="1" applyBorder="1" applyAlignment="1"/>
    <xf numFmtId="0" fontId="7" fillId="2" borderId="4" xfId="0" applyFont="1" applyFill="1" applyBorder="1" applyAlignment="1"/>
    <xf numFmtId="0" fontId="7" fillId="2" borderId="0" xfId="0" applyFont="1" applyFill="1" applyBorder="1" applyAlignment="1">
      <alignment horizontal="left"/>
    </xf>
    <xf numFmtId="0" fontId="7" fillId="2" borderId="6" xfId="0" applyFont="1" applyFill="1" applyBorder="1" applyAlignment="1"/>
    <xf numFmtId="0" fontId="7" fillId="2" borderId="7" xfId="0" applyFont="1" applyFill="1" applyBorder="1" applyAlignment="1">
      <alignment horizontal="left"/>
    </xf>
    <xf numFmtId="0" fontId="7" fillId="2" borderId="7" xfId="0" applyFont="1" applyFill="1" applyBorder="1" applyAlignment="1"/>
    <xf numFmtId="0" fontId="7" fillId="2" borderId="8" xfId="0" applyFont="1" applyFill="1" applyBorder="1" applyAlignment="1"/>
    <xf numFmtId="0" fontId="12" fillId="0" borderId="9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/>
    </xf>
    <xf numFmtId="0" fontId="10" fillId="0" borderId="0" xfId="0" applyFont="1" applyBorder="1"/>
    <xf numFmtId="0" fontId="8" fillId="0" borderId="9" xfId="0" applyFont="1" applyBorder="1" applyAlignment="1">
      <alignment horizontal="center"/>
    </xf>
    <xf numFmtId="0" fontId="8" fillId="0" borderId="9" xfId="0" applyFont="1" applyBorder="1" applyAlignment="1">
      <alignment horizontal="center" wrapText="1"/>
    </xf>
    <xf numFmtId="0" fontId="13" fillId="0" borderId="9" xfId="0" applyFont="1" applyBorder="1" applyAlignment="1"/>
    <xf numFmtId="0" fontId="9" fillId="0" borderId="9" xfId="0" applyFont="1" applyBorder="1" applyAlignment="1"/>
    <xf numFmtId="0" fontId="9" fillId="0" borderId="0" xfId="0" applyFont="1" applyBorder="1" applyAlignment="1"/>
    <xf numFmtId="0" fontId="9" fillId="0" borderId="0" xfId="0" applyFont="1" applyBorder="1"/>
    <xf numFmtId="164" fontId="0" fillId="0" borderId="0" xfId="0" applyNumberFormat="1"/>
    <xf numFmtId="0" fontId="9" fillId="0" borderId="0" xfId="1"/>
    <xf numFmtId="0" fontId="9" fillId="0" borderId="0" xfId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9" fillId="0" borderId="0" xfId="1" applyAlignment="1">
      <alignment horizontal="center"/>
    </xf>
    <xf numFmtId="165" fontId="9" fillId="0" borderId="0" xfId="1" applyNumberFormat="1" applyAlignment="1">
      <alignment horizontal="center" vertical="center"/>
    </xf>
    <xf numFmtId="164" fontId="9" fillId="0" borderId="0" xfId="1" applyNumberFormat="1" applyAlignment="1">
      <alignment horizontal="center"/>
    </xf>
    <xf numFmtId="0" fontId="9" fillId="0" borderId="15" xfId="1" applyFont="1" applyBorder="1" applyAlignment="1">
      <alignment horizontal="center" vertical="center"/>
    </xf>
    <xf numFmtId="0" fontId="8" fillId="0" borderId="16" xfId="1" applyFont="1" applyFill="1" applyBorder="1" applyAlignment="1">
      <alignment vertical="top" wrapText="1"/>
    </xf>
    <xf numFmtId="0" fontId="8" fillId="0" borderId="16" xfId="1" applyFont="1" applyFill="1" applyBorder="1" applyAlignment="1">
      <alignment vertical="top"/>
    </xf>
    <xf numFmtId="0" fontId="9" fillId="0" borderId="16" xfId="1" applyFont="1" applyFill="1" applyBorder="1" applyAlignment="1">
      <alignment horizontal="center" wrapText="1"/>
    </xf>
    <xf numFmtId="164" fontId="9" fillId="0" borderId="17" xfId="1" applyNumberFormat="1" applyBorder="1" applyAlignment="1">
      <alignment horizontal="center"/>
    </xf>
    <xf numFmtId="0" fontId="9" fillId="0" borderId="18" xfId="1" applyFont="1" applyBorder="1" applyAlignment="1">
      <alignment horizontal="center" vertical="center"/>
    </xf>
    <xf numFmtId="0" fontId="8" fillId="0" borderId="11" xfId="1" applyFont="1" applyFill="1" applyBorder="1" applyAlignment="1">
      <alignment vertical="top" wrapText="1"/>
    </xf>
    <xf numFmtId="0" fontId="8" fillId="0" borderId="11" xfId="1" applyFont="1" applyFill="1" applyBorder="1" applyAlignment="1">
      <alignment vertical="top"/>
    </xf>
    <xf numFmtId="164" fontId="9" fillId="0" borderId="19" xfId="1" applyNumberFormat="1" applyBorder="1" applyAlignment="1">
      <alignment horizontal="center"/>
    </xf>
    <xf numFmtId="0" fontId="8" fillId="0" borderId="10" xfId="1" applyFont="1" applyFill="1" applyBorder="1" applyAlignment="1">
      <alignment vertical="top" wrapText="1"/>
    </xf>
    <xf numFmtId="0" fontId="8" fillId="0" borderId="10" xfId="1" applyFont="1" applyFill="1" applyBorder="1" applyAlignment="1">
      <alignment vertical="top"/>
    </xf>
    <xf numFmtId="165" fontId="8" fillId="0" borderId="10" xfId="1" applyNumberFormat="1" applyFont="1" applyFill="1" applyBorder="1" applyAlignment="1">
      <alignment horizontal="center" vertical="center" wrapText="1"/>
    </xf>
    <xf numFmtId="165" fontId="8" fillId="0" borderId="20" xfId="1" applyNumberFormat="1" applyFont="1" applyFill="1" applyBorder="1" applyAlignment="1">
      <alignment horizontal="center" vertical="center" wrapText="1"/>
    </xf>
    <xf numFmtId="0" fontId="9" fillId="0" borderId="10" xfId="1" applyFont="1" applyFill="1" applyBorder="1" applyAlignment="1">
      <alignment horizontal="center" wrapText="1"/>
    </xf>
    <xf numFmtId="0" fontId="9" fillId="3" borderId="0" xfId="1" applyFill="1" applyBorder="1"/>
    <xf numFmtId="0" fontId="8" fillId="0" borderId="9" xfId="1" applyFont="1" applyFill="1" applyBorder="1" applyAlignment="1">
      <alignment vertical="top" wrapText="1"/>
    </xf>
    <xf numFmtId="0" fontId="8" fillId="0" borderId="20" xfId="1" applyFont="1" applyFill="1" applyBorder="1" applyAlignment="1">
      <alignment vertical="top" wrapText="1"/>
    </xf>
    <xf numFmtId="0" fontId="8" fillId="0" borderId="20" xfId="1" applyFont="1" applyFill="1" applyBorder="1" applyAlignment="1">
      <alignment vertical="top"/>
    </xf>
    <xf numFmtId="166" fontId="8" fillId="0" borderId="20" xfId="1" applyNumberFormat="1" applyFont="1" applyFill="1" applyBorder="1" applyAlignment="1">
      <alignment vertical="top" wrapText="1"/>
    </xf>
    <xf numFmtId="0" fontId="9" fillId="3" borderId="22" xfId="1" applyFill="1" applyBorder="1"/>
    <xf numFmtId="0" fontId="8" fillId="0" borderId="23" xfId="1" applyFont="1" applyFill="1" applyBorder="1" applyAlignment="1">
      <alignment vertical="top" wrapText="1"/>
    </xf>
    <xf numFmtId="0" fontId="9" fillId="0" borderId="0" xfId="1" applyProtection="1">
      <protection locked="0"/>
    </xf>
    <xf numFmtId="0" fontId="10" fillId="0" borderId="4" xfId="1" applyFont="1" applyBorder="1" applyAlignment="1">
      <alignment horizontal="center" vertical="center"/>
    </xf>
    <xf numFmtId="0" fontId="9" fillId="0" borderId="0" xfId="1" applyFill="1" applyBorder="1" applyProtection="1">
      <protection locked="0"/>
    </xf>
    <xf numFmtId="0" fontId="9" fillId="0" borderId="4" xfId="1" applyBorder="1" applyAlignment="1">
      <alignment horizontal="center" vertical="center"/>
    </xf>
    <xf numFmtId="0" fontId="9" fillId="0" borderId="0" xfId="1" applyFill="1" applyBorder="1"/>
    <xf numFmtId="164" fontId="9" fillId="0" borderId="26" xfId="1" applyNumberFormat="1" applyBorder="1" applyAlignment="1">
      <alignment horizontal="center"/>
    </xf>
    <xf numFmtId="0" fontId="9" fillId="0" borderId="21" xfId="1" applyFont="1" applyBorder="1" applyAlignment="1">
      <alignment horizontal="center" vertical="center"/>
    </xf>
    <xf numFmtId="0" fontId="14" fillId="0" borderId="0" xfId="1" applyFont="1" applyFill="1" applyBorder="1" applyAlignment="1">
      <alignment horizontal="center" vertical="center"/>
    </xf>
    <xf numFmtId="0" fontId="14" fillId="0" borderId="0" xfId="1" applyFont="1" applyFill="1" applyBorder="1"/>
    <xf numFmtId="0" fontId="14" fillId="0" borderId="0" xfId="1" applyFont="1"/>
    <xf numFmtId="0" fontId="9" fillId="0" borderId="15" xfId="1" applyBorder="1" applyAlignment="1">
      <alignment horizontal="center" vertical="center"/>
    </xf>
    <xf numFmtId="0" fontId="9" fillId="0" borderId="18" xfId="1" applyBorder="1" applyAlignment="1">
      <alignment horizontal="center" vertical="center"/>
    </xf>
    <xf numFmtId="0" fontId="9" fillId="0" borderId="21" xfId="1" applyBorder="1" applyAlignment="1">
      <alignment horizontal="center" vertical="center"/>
    </xf>
    <xf numFmtId="0" fontId="9" fillId="0" borderId="9" xfId="1" applyFont="1" applyBorder="1" applyAlignment="1">
      <alignment horizontal="center" vertical="center"/>
    </xf>
    <xf numFmtId="0" fontId="8" fillId="0" borderId="27" xfId="1" applyFont="1" applyFill="1" applyBorder="1" applyAlignment="1">
      <alignment vertical="top" wrapText="1"/>
    </xf>
    <xf numFmtId="166" fontId="8" fillId="0" borderId="10" xfId="1" applyNumberFormat="1" applyFont="1" applyFill="1" applyBorder="1" applyAlignment="1">
      <alignment vertical="top" wrapText="1"/>
    </xf>
    <xf numFmtId="0" fontId="14" fillId="0" borderId="9" xfId="1" applyFont="1" applyBorder="1" applyAlignment="1">
      <alignment horizontal="center" vertical="center"/>
    </xf>
    <xf numFmtId="0" fontId="9" fillId="0" borderId="11" xfId="1" applyFont="1" applyFill="1" applyBorder="1" applyAlignment="1">
      <alignment horizontal="center" wrapText="1"/>
    </xf>
    <xf numFmtId="0" fontId="8" fillId="0" borderId="12" xfId="1" applyFont="1" applyFill="1" applyBorder="1" applyAlignment="1">
      <alignment vertical="top" wrapText="1"/>
    </xf>
    <xf numFmtId="164" fontId="9" fillId="0" borderId="28" xfId="1" applyNumberFormat="1" applyBorder="1" applyAlignment="1">
      <alignment horizontal="center"/>
    </xf>
    <xf numFmtId="164" fontId="9" fillId="0" borderId="29" xfId="1" applyNumberFormat="1" applyBorder="1" applyAlignment="1">
      <alignment horizontal="center"/>
    </xf>
    <xf numFmtId="0" fontId="9" fillId="0" borderId="21" xfId="1" applyBorder="1" applyAlignment="1">
      <alignment horizontal="center"/>
    </xf>
    <xf numFmtId="0" fontId="9" fillId="0" borderId="27" xfId="1" applyFont="1" applyFill="1" applyBorder="1" applyAlignment="1">
      <alignment horizontal="center" wrapText="1"/>
    </xf>
    <xf numFmtId="0" fontId="8" fillId="0" borderId="12" xfId="1" applyFont="1" applyFill="1" applyBorder="1" applyAlignment="1">
      <alignment vertical="top"/>
    </xf>
    <xf numFmtId="0" fontId="9" fillId="0" borderId="12" xfId="1" applyFont="1" applyFill="1" applyBorder="1" applyAlignment="1">
      <alignment horizontal="center" wrapText="1"/>
    </xf>
    <xf numFmtId="0" fontId="9" fillId="0" borderId="0" xfId="1" applyBorder="1"/>
    <xf numFmtId="0" fontId="9" fillId="0" borderId="22" xfId="1" applyBorder="1"/>
    <xf numFmtId="164" fontId="9" fillId="0" borderId="11" xfId="1" applyNumberFormat="1" applyBorder="1" applyAlignment="1">
      <alignment horizontal="center"/>
    </xf>
    <xf numFmtId="164" fontId="9" fillId="0" borderId="9" xfId="1" applyNumberFormat="1" applyBorder="1" applyAlignment="1">
      <alignment horizontal="center"/>
    </xf>
    <xf numFmtId="164" fontId="9" fillId="0" borderId="12" xfId="1" applyNumberFormat="1" applyBorder="1" applyAlignment="1">
      <alignment horizontal="center"/>
    </xf>
    <xf numFmtId="0" fontId="9" fillId="0" borderId="11" xfId="1" applyFill="1" applyBorder="1"/>
    <xf numFmtId="0" fontId="9" fillId="0" borderId="11" xfId="1" applyBorder="1"/>
    <xf numFmtId="0" fontId="9" fillId="0" borderId="10" xfId="1" applyFill="1" applyBorder="1"/>
    <xf numFmtId="0" fontId="9" fillId="0" borderId="10" xfId="1" applyBorder="1"/>
    <xf numFmtId="164" fontId="9" fillId="0" borderId="10" xfId="1" applyNumberFormat="1" applyBorder="1" applyAlignment="1">
      <alignment horizontal="center"/>
    </xf>
    <xf numFmtId="0" fontId="9" fillId="0" borderId="9" xfId="1" applyFont="1" applyFill="1" applyBorder="1" applyAlignment="1">
      <alignment horizontal="center" wrapText="1"/>
    </xf>
    <xf numFmtId="0" fontId="8" fillId="0" borderId="21" xfId="1" applyFont="1" applyFill="1" applyBorder="1" applyAlignment="1">
      <alignment horizontal="center" vertical="center"/>
    </xf>
    <xf numFmtId="0" fontId="8" fillId="0" borderId="30" xfId="1" applyFont="1" applyFill="1" applyBorder="1" applyAlignment="1">
      <alignment horizontal="center" vertical="center"/>
    </xf>
    <xf numFmtId="164" fontId="9" fillId="0" borderId="10" xfId="1" applyNumberFormat="1" applyFont="1" applyBorder="1" applyAlignment="1">
      <alignment horizontal="center"/>
    </xf>
    <xf numFmtId="0" fontId="8" fillId="0" borderId="15" xfId="1" applyFont="1" applyFill="1" applyBorder="1" applyAlignment="1">
      <alignment horizontal="center" vertical="center"/>
    </xf>
    <xf numFmtId="0" fontId="8" fillId="0" borderId="18" xfId="1" applyFont="1" applyFill="1" applyBorder="1" applyAlignment="1">
      <alignment horizontal="center" vertical="center"/>
    </xf>
    <xf numFmtId="0" fontId="2" fillId="0" borderId="0" xfId="2" applyFill="1" applyBorder="1"/>
    <xf numFmtId="0" fontId="2" fillId="0" borderId="0" xfId="2"/>
    <xf numFmtId="0" fontId="2" fillId="0" borderId="0" xfId="3"/>
    <xf numFmtId="0" fontId="2" fillId="0" borderId="0" xfId="4"/>
    <xf numFmtId="0" fontId="15" fillId="0" borderId="15" xfId="1" applyFont="1" applyFill="1" applyBorder="1" applyAlignment="1">
      <alignment horizontal="center" vertical="center"/>
    </xf>
    <xf numFmtId="0" fontId="15" fillId="0" borderId="18" xfId="1" applyFont="1" applyFill="1" applyBorder="1" applyAlignment="1">
      <alignment horizontal="center" vertical="center"/>
    </xf>
    <xf numFmtId="165" fontId="8" fillId="0" borderId="11" xfId="1" applyNumberFormat="1" applyFont="1" applyFill="1" applyBorder="1" applyAlignment="1">
      <alignment horizontal="center" vertical="center" wrapText="1"/>
    </xf>
    <xf numFmtId="0" fontId="8" fillId="0" borderId="31" xfId="1" applyFont="1" applyFill="1" applyBorder="1" applyAlignment="1">
      <alignment horizontal="center" vertical="top"/>
    </xf>
    <xf numFmtId="0" fontId="8" fillId="0" borderId="4" xfId="1" applyFont="1" applyFill="1" applyBorder="1" applyAlignment="1">
      <alignment horizontal="center" vertical="top"/>
    </xf>
    <xf numFmtId="0" fontId="8" fillId="0" borderId="32" xfId="1" applyFont="1" applyFill="1" applyBorder="1" applyAlignment="1">
      <alignment horizontal="center" vertical="top" wrapText="1"/>
    </xf>
    <xf numFmtId="0" fontId="8" fillId="0" borderId="15" xfId="1" applyFont="1" applyFill="1" applyBorder="1" applyAlignment="1">
      <alignment horizontal="center" vertical="top"/>
    </xf>
    <xf numFmtId="0" fontId="8" fillId="0" borderId="18" xfId="1" applyFont="1" applyFill="1" applyBorder="1" applyAlignment="1">
      <alignment horizontal="center" vertical="top"/>
    </xf>
    <xf numFmtId="164" fontId="9" fillId="0" borderId="33" xfId="1" applyNumberFormat="1" applyBorder="1" applyAlignment="1">
      <alignment horizontal="center"/>
    </xf>
    <xf numFmtId="164" fontId="9" fillId="0" borderId="34" xfId="1" applyNumberFormat="1" applyBorder="1" applyAlignment="1">
      <alignment horizontal="center"/>
    </xf>
    <xf numFmtId="164" fontId="9" fillId="0" borderId="35" xfId="1" applyNumberFormat="1" applyBorder="1" applyAlignment="1">
      <alignment horizontal="center"/>
    </xf>
    <xf numFmtId="164" fontId="9" fillId="0" borderId="36" xfId="1" applyNumberFormat="1" applyBorder="1" applyAlignment="1">
      <alignment horizontal="center"/>
    </xf>
    <xf numFmtId="164" fontId="8" fillId="0" borderId="17" xfId="1" applyNumberFormat="1" applyFont="1" applyFill="1" applyBorder="1" applyAlignment="1">
      <alignment vertical="top" wrapText="1"/>
    </xf>
    <xf numFmtId="164" fontId="8" fillId="0" borderId="19" xfId="1" applyNumberFormat="1" applyFont="1" applyFill="1" applyBorder="1" applyAlignment="1">
      <alignment vertical="top" wrapText="1"/>
    </xf>
    <xf numFmtId="164" fontId="8" fillId="0" borderId="28" xfId="1" applyNumberFormat="1" applyFont="1" applyFill="1" applyBorder="1" applyAlignment="1">
      <alignment vertical="top" wrapText="1"/>
    </xf>
    <xf numFmtId="0" fontId="8" fillId="0" borderId="37" xfId="1" applyFont="1" applyFill="1" applyBorder="1" applyAlignment="1">
      <alignment horizontal="center" vertical="top"/>
    </xf>
    <xf numFmtId="0" fontId="8" fillId="0" borderId="30" xfId="1" applyFont="1" applyFill="1" applyBorder="1" applyAlignment="1">
      <alignment horizontal="center" vertical="top"/>
    </xf>
    <xf numFmtId="0" fontId="8" fillId="0" borderId="21" xfId="1" applyFont="1" applyFill="1" applyBorder="1" applyAlignment="1">
      <alignment horizontal="center" vertical="top"/>
    </xf>
    <xf numFmtId="165" fontId="8" fillId="0" borderId="20" xfId="1" applyNumberFormat="1" applyFont="1" applyFill="1" applyBorder="1" applyAlignment="1">
      <alignment vertical="center" wrapText="1"/>
    </xf>
    <xf numFmtId="164" fontId="8" fillId="0" borderId="34" xfId="1" applyNumberFormat="1" applyFont="1" applyFill="1" applyBorder="1" applyAlignment="1">
      <alignment vertical="top" wrapText="1"/>
    </xf>
    <xf numFmtId="166" fontId="8" fillId="0" borderId="10" xfId="1" applyNumberFormat="1" applyFont="1" applyFill="1" applyBorder="1" applyAlignment="1">
      <alignment horizontal="center" vertical="top" wrapText="1"/>
    </xf>
    <xf numFmtId="165" fontId="8" fillId="4" borderId="10" xfId="1" applyNumberFormat="1" applyFont="1" applyFill="1" applyBorder="1" applyAlignment="1">
      <alignment horizontal="center" vertical="center" wrapText="1"/>
    </xf>
    <xf numFmtId="0" fontId="8" fillId="0" borderId="9" xfId="1" applyFont="1" applyBorder="1" applyAlignment="1">
      <alignment horizontal="center" vertical="top"/>
    </xf>
    <xf numFmtId="0" fontId="8" fillId="0" borderId="9" xfId="1" applyFont="1" applyBorder="1" applyAlignment="1">
      <alignment horizontal="center" vertical="top" wrapText="1"/>
    </xf>
    <xf numFmtId="165" fontId="8" fillId="0" borderId="9" xfId="1" applyNumberFormat="1" applyFont="1" applyBorder="1" applyAlignment="1">
      <alignment horizontal="center" vertical="center" wrapText="1"/>
    </xf>
    <xf numFmtId="165" fontId="8" fillId="0" borderId="38" xfId="1" applyNumberFormat="1" applyFont="1" applyBorder="1" applyAlignment="1">
      <alignment horizontal="center" vertical="center" wrapText="1"/>
    </xf>
    <xf numFmtId="0" fontId="8" fillId="0" borderId="38" xfId="1" applyFont="1" applyBorder="1" applyAlignment="1">
      <alignment vertical="top" wrapText="1"/>
    </xf>
    <xf numFmtId="0" fontId="8" fillId="0" borderId="13" xfId="1" applyFont="1" applyBorder="1" applyAlignment="1">
      <alignment vertical="top" wrapText="1"/>
    </xf>
    <xf numFmtId="0" fontId="8" fillId="0" borderId="13" xfId="1" applyFont="1" applyBorder="1" applyAlignment="1">
      <alignment horizontal="center" vertical="top" wrapText="1"/>
    </xf>
    <xf numFmtId="164" fontId="8" fillId="0" borderId="9" xfId="1" applyNumberFormat="1" applyFont="1" applyBorder="1" applyAlignment="1">
      <alignment horizontal="center" vertical="top" wrapText="1"/>
    </xf>
    <xf numFmtId="0" fontId="7" fillId="2" borderId="8" xfId="1" applyFont="1" applyFill="1" applyBorder="1" applyAlignment="1">
      <alignment horizontal="center"/>
    </xf>
    <xf numFmtId="0" fontId="7" fillId="2" borderId="7" xfId="1" applyFont="1" applyFill="1" applyBorder="1" applyAlignment="1">
      <alignment horizontal="center"/>
    </xf>
    <xf numFmtId="165" fontId="7" fillId="2" borderId="7" xfId="1" applyNumberFormat="1" applyFont="1" applyFill="1" applyBorder="1" applyAlignment="1">
      <alignment horizontal="center" vertical="center"/>
    </xf>
    <xf numFmtId="165" fontId="8" fillId="2" borderId="7" xfId="1" applyNumberFormat="1" applyFont="1" applyFill="1" applyBorder="1" applyAlignment="1">
      <alignment horizontal="center" vertical="center"/>
    </xf>
    <xf numFmtId="0" fontId="7" fillId="2" borderId="8" xfId="1" applyFont="1" applyFill="1" applyBorder="1" applyAlignment="1"/>
    <xf numFmtId="0" fontId="7" fillId="2" borderId="7" xfId="1" applyFont="1" applyFill="1" applyBorder="1" applyAlignment="1"/>
    <xf numFmtId="0" fontId="8" fillId="2" borderId="7" xfId="1" applyFont="1" applyFill="1" applyBorder="1" applyAlignment="1"/>
    <xf numFmtId="164" fontId="7" fillId="2" borderId="7" xfId="1" applyNumberFormat="1" applyFont="1" applyFill="1" applyBorder="1" applyAlignment="1">
      <alignment horizontal="center"/>
    </xf>
    <xf numFmtId="0" fontId="9" fillId="0" borderId="5" xfId="1" applyBorder="1" applyAlignment="1">
      <alignment horizontal="center" vertical="center"/>
    </xf>
    <xf numFmtId="0" fontId="9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165" fontId="16" fillId="2" borderId="0" xfId="1" applyNumberFormat="1" applyFont="1" applyFill="1" applyBorder="1" applyAlignment="1">
      <alignment horizontal="center" vertical="center"/>
    </xf>
    <xf numFmtId="165" fontId="7" fillId="2" borderId="0" xfId="1" applyNumberFormat="1" applyFont="1" applyFill="1" applyBorder="1" applyAlignment="1">
      <alignment horizontal="center" vertical="center"/>
    </xf>
    <xf numFmtId="165" fontId="8" fillId="2" borderId="0" xfId="1" applyNumberFormat="1" applyFont="1" applyFill="1" applyBorder="1" applyAlignment="1">
      <alignment horizontal="center" vertical="center"/>
    </xf>
    <xf numFmtId="0" fontId="7" fillId="2" borderId="5" xfId="1" applyFont="1" applyFill="1" applyBorder="1" applyAlignment="1"/>
    <xf numFmtId="0" fontId="7" fillId="2" borderId="0" xfId="1" applyFont="1" applyFill="1" applyBorder="1" applyAlignment="1"/>
    <xf numFmtId="0" fontId="8" fillId="2" borderId="0" xfId="1" applyFont="1" applyFill="1" applyBorder="1"/>
    <xf numFmtId="0" fontId="5" fillId="2" borderId="0" xfId="1" applyFont="1" applyFill="1" applyBorder="1" applyAlignment="1"/>
    <xf numFmtId="164" fontId="5" fillId="2" borderId="0" xfId="1" applyNumberFormat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0" fontId="9" fillId="0" borderId="9" xfId="1" applyFill="1" applyBorder="1" applyAlignment="1">
      <alignment horizontal="center" vertical="center"/>
    </xf>
    <xf numFmtId="165" fontId="17" fillId="0" borderId="9" xfId="1" applyNumberFormat="1" applyFont="1" applyFill="1" applyBorder="1" applyAlignment="1">
      <alignment horizontal="center" vertical="center"/>
    </xf>
    <xf numFmtId="165" fontId="8" fillId="2" borderId="14" xfId="1" applyNumberFormat="1" applyFont="1" applyFill="1" applyBorder="1" applyAlignment="1">
      <alignment vertical="center"/>
    </xf>
    <xf numFmtId="165" fontId="8" fillId="2" borderId="13" xfId="1" applyNumberFormat="1" applyFont="1" applyFill="1" applyBorder="1" applyAlignment="1">
      <alignment vertical="center"/>
    </xf>
    <xf numFmtId="0" fontId="7" fillId="2" borderId="0" xfId="1" applyFont="1" applyFill="1" applyBorder="1"/>
    <xf numFmtId="0" fontId="5" fillId="2" borderId="0" xfId="1" applyFont="1" applyFill="1" applyBorder="1" applyAlignment="1">
      <alignment horizontal="left"/>
    </xf>
    <xf numFmtId="0" fontId="5" fillId="2" borderId="5" xfId="1" applyFont="1" applyFill="1" applyBorder="1" applyAlignment="1">
      <alignment horizontal="center"/>
    </xf>
    <xf numFmtId="0" fontId="7" fillId="2" borderId="9" xfId="1" applyFont="1" applyFill="1" applyBorder="1" applyAlignment="1">
      <alignment horizontal="center"/>
    </xf>
    <xf numFmtId="165" fontId="10" fillId="0" borderId="9" xfId="1" applyNumberFormat="1" applyFont="1" applyBorder="1" applyAlignment="1">
      <alignment horizontal="center" vertical="center"/>
    </xf>
    <xf numFmtId="165" fontId="7" fillId="2" borderId="14" xfId="1" applyNumberFormat="1" applyFont="1" applyFill="1" applyBorder="1" applyAlignment="1">
      <alignment vertical="center"/>
    </xf>
    <xf numFmtId="165" fontId="7" fillId="2" borderId="13" xfId="1" applyNumberFormat="1" applyFont="1" applyFill="1" applyBorder="1" applyAlignment="1">
      <alignment vertical="center"/>
    </xf>
    <xf numFmtId="0" fontId="5" fillId="2" borderId="5" xfId="1" applyFont="1" applyFill="1" applyBorder="1" applyAlignment="1"/>
    <xf numFmtId="0" fontId="8" fillId="0" borderId="0" xfId="1" applyFont="1" applyBorder="1"/>
    <xf numFmtId="0" fontId="6" fillId="2" borderId="0" xfId="1" applyFont="1" applyFill="1" applyAlignment="1"/>
    <xf numFmtId="0" fontId="6" fillId="2" borderId="0" xfId="1" applyFont="1" applyFill="1" applyAlignment="1">
      <alignment horizontal="center" vertical="center"/>
    </xf>
    <xf numFmtId="0" fontId="19" fillId="2" borderId="0" xfId="1" applyFont="1" applyFill="1" applyAlignment="1">
      <alignment horizontal="center" vertical="center"/>
    </xf>
    <xf numFmtId="0" fontId="5" fillId="2" borderId="3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165" fontId="5" fillId="2" borderId="2" xfId="1" applyNumberFormat="1" applyFont="1" applyFill="1" applyBorder="1" applyAlignment="1">
      <alignment horizontal="center" vertical="center"/>
    </xf>
    <xf numFmtId="49" fontId="8" fillId="0" borderId="11" xfId="1" applyNumberFormat="1" applyFont="1" applyFill="1" applyBorder="1" applyAlignment="1">
      <alignment vertical="top"/>
    </xf>
    <xf numFmtId="11" fontId="8" fillId="0" borderId="11" xfId="1" applyNumberFormat="1" applyFont="1" applyFill="1" applyBorder="1" applyAlignment="1">
      <alignment vertical="top" wrapText="1"/>
    </xf>
    <xf numFmtId="164" fontId="5" fillId="2" borderId="0" xfId="1" applyNumberFormat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20" fillId="2" borderId="0" xfId="0" applyFont="1" applyFill="1" applyBorder="1" applyAlignment="1"/>
    <xf numFmtId="164" fontId="21" fillId="2" borderId="4" xfId="0" applyNumberFormat="1" applyFont="1" applyFill="1" applyBorder="1" applyAlignment="1"/>
    <xf numFmtId="0" fontId="22" fillId="0" borderId="0" xfId="0" applyFont="1" applyBorder="1"/>
    <xf numFmtId="0" fontId="21" fillId="2" borderId="0" xfId="0" applyFont="1" applyFill="1" applyBorder="1" applyAlignment="1"/>
    <xf numFmtId="0" fontId="21" fillId="2" borderId="5" xfId="0" applyFont="1" applyFill="1" applyBorder="1" applyAlignment="1">
      <alignment horizontal="right"/>
    </xf>
    <xf numFmtId="0" fontId="23" fillId="0" borderId="0" xfId="0" applyFont="1"/>
    <xf numFmtId="164" fontId="21" fillId="2" borderId="4" xfId="0" applyNumberFormat="1" applyFont="1" applyFill="1" applyBorder="1" applyAlignment="1">
      <alignment horizontal="left"/>
    </xf>
    <xf numFmtId="0" fontId="20" fillId="2" borderId="5" xfId="0" applyFont="1" applyFill="1" applyBorder="1" applyAlignment="1"/>
    <xf numFmtId="0" fontId="24" fillId="0" borderId="0" xfId="0" applyFont="1" applyAlignment="1">
      <alignment horizontal="center" vertical="top"/>
    </xf>
    <xf numFmtId="164" fontId="20" fillId="0" borderId="9" xfId="0" applyNumberFormat="1" applyFont="1" applyBorder="1" applyAlignment="1">
      <alignment horizontal="center" vertical="top" wrapText="1"/>
    </xf>
    <xf numFmtId="0" fontId="20" fillId="0" borderId="9" xfId="0" applyFont="1" applyBorder="1" applyAlignment="1">
      <alignment horizontal="center" vertical="top" wrapText="1"/>
    </xf>
    <xf numFmtId="0" fontId="20" fillId="0" borderId="9" xfId="0" applyFont="1" applyBorder="1" applyAlignment="1">
      <alignment horizontal="center" vertical="top"/>
    </xf>
    <xf numFmtId="0" fontId="24" fillId="0" borderId="9" xfId="0" applyFont="1" applyBorder="1" applyAlignment="1">
      <alignment horizontal="center" vertical="top" wrapText="1"/>
    </xf>
    <xf numFmtId="0" fontId="24" fillId="0" borderId="9" xfId="0" applyFont="1" applyBorder="1" applyAlignment="1">
      <alignment horizontal="center" vertical="top"/>
    </xf>
    <xf numFmtId="164" fontId="20" fillId="2" borderId="4" xfId="0" applyNumberFormat="1" applyFont="1" applyFill="1" applyBorder="1" applyAlignment="1"/>
    <xf numFmtId="0" fontId="22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/>
    </xf>
    <xf numFmtId="164" fontId="22" fillId="0" borderId="9" xfId="0" applyNumberFormat="1" applyFont="1" applyFill="1" applyBorder="1" applyAlignment="1">
      <alignment horizontal="center" vertical="center" wrapText="1"/>
    </xf>
    <xf numFmtId="164" fontId="23" fillId="0" borderId="9" xfId="0" applyNumberFormat="1" applyFont="1" applyBorder="1" applyAlignment="1">
      <alignment horizontal="center"/>
    </xf>
    <xf numFmtId="0" fontId="22" fillId="0" borderId="9" xfId="0" applyFont="1" applyBorder="1" applyAlignment="1">
      <alignment horizontal="center" wrapText="1"/>
    </xf>
    <xf numFmtId="0" fontId="22" fillId="0" borderId="9" xfId="0" applyFont="1" applyBorder="1" applyAlignment="1" applyProtection="1">
      <alignment horizontal="center" wrapText="1"/>
    </xf>
    <xf numFmtId="0" fontId="25" fillId="0" borderId="9" xfId="0" applyFont="1" applyBorder="1" applyAlignment="1">
      <alignment horizontal="center" wrapText="1"/>
    </xf>
    <xf numFmtId="0" fontId="23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 wrapText="1"/>
    </xf>
    <xf numFmtId="0" fontId="22" fillId="0" borderId="9" xfId="0" applyFont="1" applyFill="1" applyBorder="1" applyAlignment="1" applyProtection="1">
      <alignment horizontal="center" wrapText="1"/>
    </xf>
    <xf numFmtId="0" fontId="25" fillId="0" borderId="9" xfId="0" applyFont="1" applyFill="1" applyBorder="1" applyAlignment="1">
      <alignment horizontal="center" wrapText="1"/>
    </xf>
    <xf numFmtId="0" fontId="23" fillId="0" borderId="9" xfId="0" applyFont="1" applyFill="1" applyBorder="1" applyAlignment="1">
      <alignment horizontal="center"/>
    </xf>
    <xf numFmtId="18" fontId="23" fillId="0" borderId="9" xfId="0" applyNumberFormat="1" applyFont="1" applyBorder="1" applyAlignment="1">
      <alignment horizontal="center"/>
    </xf>
    <xf numFmtId="0" fontId="23" fillId="0" borderId="9" xfId="0" applyFont="1" applyBorder="1" applyAlignment="1">
      <alignment vertical="center"/>
    </xf>
    <xf numFmtId="0" fontId="13" fillId="2" borderId="10" xfId="0" applyFont="1" applyFill="1" applyBorder="1" applyAlignment="1">
      <alignment horizontal="center" vertical="top"/>
    </xf>
    <xf numFmtId="0" fontId="13" fillId="2" borderId="11" xfId="0" applyFont="1" applyFill="1" applyBorder="1" applyAlignment="1">
      <alignment horizontal="center" vertical="top"/>
    </xf>
    <xf numFmtId="0" fontId="13" fillId="2" borderId="12" xfId="0" applyFont="1" applyFill="1" applyBorder="1" applyAlignment="1">
      <alignment horizontal="center" vertical="top"/>
    </xf>
    <xf numFmtId="0" fontId="9" fillId="0" borderId="9" xfId="0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5" xfId="0" applyFont="1" applyFill="1" applyBorder="1" applyAlignment="1">
      <alignment horizontal="right"/>
    </xf>
    <xf numFmtId="0" fontId="21" fillId="2" borderId="1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right"/>
    </xf>
    <xf numFmtId="0" fontId="20" fillId="2" borderId="5" xfId="0" applyFont="1" applyFill="1" applyBorder="1" applyAlignment="1">
      <alignment horizontal="right"/>
    </xf>
    <xf numFmtId="0" fontId="20" fillId="0" borderId="9" xfId="0" applyFont="1" applyBorder="1" applyAlignment="1">
      <alignment horizontal="center" vertical="top" wrapText="1"/>
    </xf>
    <xf numFmtId="0" fontId="20" fillId="0" borderId="9" xfId="0" applyFont="1" applyBorder="1" applyAlignment="1">
      <alignment horizontal="center" vertical="top"/>
    </xf>
    <xf numFmtId="0" fontId="8" fillId="0" borderId="21" xfId="1" applyFont="1" applyFill="1" applyBorder="1" applyAlignment="1">
      <alignment horizontal="center" vertical="center"/>
    </xf>
    <xf numFmtId="0" fontId="8" fillId="0" borderId="18" xfId="1" applyFont="1" applyFill="1" applyBorder="1" applyAlignment="1">
      <alignment horizontal="center" vertical="center"/>
    </xf>
    <xf numFmtId="0" fontId="8" fillId="0" borderId="15" xfId="1" applyFont="1" applyFill="1" applyBorder="1" applyAlignment="1">
      <alignment horizontal="center" vertical="center"/>
    </xf>
    <xf numFmtId="0" fontId="8" fillId="0" borderId="30" xfId="1" applyFont="1" applyFill="1" applyBorder="1" applyAlignment="1">
      <alignment horizontal="center" vertical="center"/>
    </xf>
    <xf numFmtId="0" fontId="8" fillId="0" borderId="10" xfId="1" applyFont="1" applyFill="1" applyBorder="1" applyAlignment="1">
      <alignment horizontal="center" vertical="center"/>
    </xf>
    <xf numFmtId="0" fontId="8" fillId="0" borderId="11" xfId="1" applyFont="1" applyFill="1" applyBorder="1" applyAlignment="1">
      <alignment horizontal="center" vertical="center"/>
    </xf>
    <xf numFmtId="0" fontId="8" fillId="0" borderId="12" xfId="1" applyFont="1" applyFill="1" applyBorder="1" applyAlignment="1">
      <alignment horizontal="center" vertical="center"/>
    </xf>
    <xf numFmtId="0" fontId="10" fillId="0" borderId="41" xfId="1" applyFont="1" applyFill="1" applyBorder="1" applyAlignment="1">
      <alignment horizontal="center" vertical="center" wrapText="1"/>
    </xf>
    <xf numFmtId="0" fontId="10" fillId="0" borderId="40" xfId="1" applyFont="1" applyFill="1" applyBorder="1" applyAlignment="1">
      <alignment horizontal="center" vertical="center" wrapText="1"/>
    </xf>
    <xf numFmtId="0" fontId="10" fillId="0" borderId="39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5" fillId="2" borderId="5" xfId="1" applyNumberFormat="1" applyFont="1" applyFill="1" applyBorder="1" applyAlignment="1">
      <alignment horizontal="center"/>
    </xf>
    <xf numFmtId="0" fontId="10" fillId="0" borderId="21" xfId="1" applyFont="1" applyFill="1" applyBorder="1" applyAlignment="1">
      <alignment horizontal="center" vertical="center" wrapText="1"/>
    </xf>
    <xf numFmtId="0" fontId="10" fillId="0" borderId="18" xfId="1" applyFont="1" applyFill="1" applyBorder="1" applyAlignment="1">
      <alignment horizontal="center" vertical="center" wrapText="1"/>
    </xf>
    <xf numFmtId="0" fontId="10" fillId="0" borderId="15" xfId="1" applyFont="1" applyFill="1" applyBorder="1" applyAlignment="1">
      <alignment horizontal="center" vertical="center" wrapText="1"/>
    </xf>
    <xf numFmtId="0" fontId="7" fillId="0" borderId="13" xfId="1" applyFont="1" applyBorder="1" applyAlignment="1">
      <alignment horizontal="center" vertical="center" wrapText="1"/>
    </xf>
    <xf numFmtId="0" fontId="7" fillId="0" borderId="38" xfId="1" applyFont="1" applyBorder="1" applyAlignment="1">
      <alignment horizontal="center" vertical="center" wrapText="1"/>
    </xf>
    <xf numFmtId="165" fontId="8" fillId="0" borderId="11" xfId="1" applyNumberFormat="1" applyFont="1" applyFill="1" applyBorder="1" applyAlignment="1">
      <alignment vertical="center" wrapText="1"/>
    </xf>
    <xf numFmtId="0" fontId="8" fillId="0" borderId="42" xfId="1" applyFont="1" applyFill="1" applyBorder="1" applyAlignment="1">
      <alignment horizontal="center" vertical="top"/>
    </xf>
    <xf numFmtId="0" fontId="14" fillId="0" borderId="7" xfId="1" applyFont="1" applyBorder="1" applyAlignment="1">
      <alignment horizontal="center" vertical="center"/>
    </xf>
    <xf numFmtId="0" fontId="14" fillId="0" borderId="7" xfId="1" applyFont="1" applyFill="1" applyBorder="1" applyAlignment="1">
      <alignment horizontal="center" vertical="center"/>
    </xf>
    <xf numFmtId="0" fontId="9" fillId="0" borderId="7" xfId="1" applyBorder="1"/>
    <xf numFmtId="0" fontId="9" fillId="0" borderId="18" xfId="1" applyBorder="1" applyAlignment="1">
      <alignment horizontal="center"/>
    </xf>
    <xf numFmtId="0" fontId="9" fillId="0" borderId="15" xfId="1" applyBorder="1" applyAlignment="1">
      <alignment horizontal="center"/>
    </xf>
    <xf numFmtId="0" fontId="9" fillId="0" borderId="18" xfId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9" fillId="0" borderId="0" xfId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top"/>
    </xf>
    <xf numFmtId="0" fontId="8" fillId="0" borderId="7" xfId="1" applyFont="1" applyFill="1" applyBorder="1" applyAlignment="1">
      <alignment horizontal="center" vertical="top"/>
    </xf>
    <xf numFmtId="0" fontId="8" fillId="0" borderId="0" xfId="1" applyFont="1" applyFill="1" applyBorder="1" applyAlignment="1">
      <alignment horizontal="center" vertical="center"/>
    </xf>
    <xf numFmtId="0" fontId="9" fillId="0" borderId="0" xfId="1" applyBorder="1" applyAlignment="1">
      <alignment horizontal="center"/>
    </xf>
    <xf numFmtId="0" fontId="9" fillId="0" borderId="0" xfId="1" applyBorder="1" applyAlignment="1">
      <alignment vertical="center"/>
    </xf>
    <xf numFmtId="0" fontId="9" fillId="0" borderId="0" xfId="1" applyFont="1" applyBorder="1" applyAlignment="1">
      <alignment vertical="center"/>
    </xf>
    <xf numFmtId="0" fontId="10" fillId="0" borderId="0" xfId="1" applyFont="1" applyBorder="1" applyAlignment="1">
      <alignment horizontal="center" vertical="center"/>
    </xf>
    <xf numFmtId="0" fontId="9" fillId="0" borderId="15" xfId="1" applyBorder="1" applyAlignment="1">
      <alignment horizontal="center"/>
    </xf>
    <xf numFmtId="0" fontId="9" fillId="0" borderId="4" xfId="1" applyFont="1" applyBorder="1" applyAlignment="1">
      <alignment horizontal="center" vertical="center"/>
    </xf>
    <xf numFmtId="14" fontId="28" fillId="0" borderId="10" xfId="0" applyNumberFormat="1" applyFont="1" applyBorder="1" applyAlignment="1">
      <alignment horizontal="center" vertical="top" wrapText="1"/>
    </xf>
    <xf numFmtId="0" fontId="28" fillId="0" borderId="1" xfId="0" applyFont="1" applyBorder="1" applyAlignment="1">
      <alignment horizontal="center" vertical="top" wrapText="1"/>
    </xf>
    <xf numFmtId="0" fontId="28" fillId="0" borderId="2" xfId="0" applyFont="1" applyBorder="1" applyAlignment="1">
      <alignment vertical="top" wrapText="1"/>
    </xf>
    <xf numFmtId="0" fontId="28" fillId="0" borderId="3" xfId="0" applyFont="1" applyBorder="1" applyAlignment="1">
      <alignment vertical="top" wrapText="1"/>
    </xf>
    <xf numFmtId="0" fontId="1" fillId="0" borderId="0" xfId="0" applyFont="1"/>
    <xf numFmtId="0" fontId="1" fillId="0" borderId="2" xfId="0" applyFont="1" applyBorder="1"/>
    <xf numFmtId="167" fontId="29" fillId="0" borderId="43" xfId="0" applyNumberFormat="1" applyFont="1" applyBorder="1" applyAlignment="1">
      <alignment horizontal="center" vertical="top" wrapText="1"/>
    </xf>
    <xf numFmtId="0" fontId="29" fillId="0" borderId="44" xfId="0" applyFont="1" applyBorder="1" applyAlignment="1">
      <alignment horizontal="center" vertical="top" wrapText="1"/>
    </xf>
    <xf numFmtId="0" fontId="26" fillId="0" borderId="0" xfId="0" applyFont="1" applyAlignment="1">
      <alignment horizontal="center" vertical="top"/>
    </xf>
    <xf numFmtId="0" fontId="8" fillId="0" borderId="10" xfId="1" applyFont="1" applyFill="1" applyBorder="1" applyAlignment="1">
      <alignment horizontal="center" vertical="top"/>
    </xf>
    <xf numFmtId="0" fontId="8" fillId="0" borderId="11" xfId="1" applyFont="1" applyFill="1" applyBorder="1" applyAlignment="1">
      <alignment horizontal="center" vertical="top"/>
    </xf>
    <xf numFmtId="0" fontId="8" fillId="0" borderId="16" xfId="1" applyFont="1" applyFill="1" applyBorder="1" applyAlignment="1">
      <alignment horizontal="center" vertical="top"/>
    </xf>
    <xf numFmtId="0" fontId="8" fillId="0" borderId="20" xfId="1" applyFont="1" applyFill="1" applyBorder="1" applyAlignment="1">
      <alignment horizontal="center" vertical="top"/>
    </xf>
    <xf numFmtId="0" fontId="8" fillId="0" borderId="12" xfId="1" applyFont="1" applyFill="1" applyBorder="1" applyAlignment="1">
      <alignment horizontal="center" vertical="top"/>
    </xf>
    <xf numFmtId="164" fontId="8" fillId="0" borderId="33" xfId="1" applyNumberFormat="1" applyFont="1" applyFill="1" applyBorder="1" applyAlignment="1">
      <alignment horizontal="center" vertical="top" wrapText="1"/>
    </xf>
    <xf numFmtId="164" fontId="8" fillId="0" borderId="19" xfId="1" applyNumberFormat="1" applyFont="1" applyFill="1" applyBorder="1" applyAlignment="1">
      <alignment horizontal="center" vertical="top" wrapText="1"/>
    </xf>
    <xf numFmtId="164" fontId="8" fillId="0" borderId="17" xfId="1" applyNumberFormat="1" applyFont="1" applyFill="1" applyBorder="1" applyAlignment="1">
      <alignment horizontal="center" vertical="top" wrapText="1"/>
    </xf>
    <xf numFmtId="164" fontId="8" fillId="0" borderId="34" xfId="1" applyNumberFormat="1" applyFont="1" applyFill="1" applyBorder="1" applyAlignment="1">
      <alignment horizontal="center" vertical="top" wrapText="1"/>
    </xf>
    <xf numFmtId="164" fontId="8" fillId="0" borderId="28" xfId="1" applyNumberFormat="1" applyFont="1" applyFill="1" applyBorder="1" applyAlignment="1">
      <alignment horizontal="center" vertical="top" wrapText="1"/>
    </xf>
    <xf numFmtId="164" fontId="9" fillId="0" borderId="25" xfId="1" applyNumberFormat="1" applyBorder="1" applyAlignment="1">
      <alignment horizontal="center" vertical="center"/>
    </xf>
    <xf numFmtId="0" fontId="9" fillId="0" borderId="5" xfId="1" applyBorder="1" applyAlignment="1">
      <alignment horizontal="center" vertical="center"/>
    </xf>
    <xf numFmtId="164" fontId="9" fillId="0" borderId="5" xfId="1" applyNumberFormat="1" applyBorder="1" applyAlignment="1">
      <alignment horizontal="center" vertical="center"/>
    </xf>
    <xf numFmtId="0" fontId="9" fillId="0" borderId="24" xfId="1" applyBorder="1" applyAlignment="1">
      <alignment horizontal="center" vertical="center"/>
    </xf>
    <xf numFmtId="14" fontId="28" fillId="0" borderId="1" xfId="0" applyNumberFormat="1" applyFont="1" applyBorder="1" applyAlignment="1">
      <alignment horizontal="center" vertical="top" wrapText="1"/>
    </xf>
    <xf numFmtId="14" fontId="28" fillId="0" borderId="2" xfId="0" applyNumberFormat="1" applyFont="1" applyBorder="1" applyAlignment="1">
      <alignment horizontal="center" vertical="top" wrapText="1"/>
    </xf>
    <xf numFmtId="166" fontId="8" fillId="0" borderId="11" xfId="1" applyNumberFormat="1" applyFont="1" applyFill="1" applyBorder="1" applyAlignment="1">
      <alignment vertical="top" wrapText="1"/>
    </xf>
    <xf numFmtId="165" fontId="8" fillId="4" borderId="11" xfId="1" applyNumberFormat="1" applyFont="1" applyFill="1" applyBorder="1" applyAlignment="1">
      <alignment horizontal="center" vertical="center" wrapText="1"/>
    </xf>
    <xf numFmtId="165" fontId="7" fillId="0" borderId="44" xfId="1" applyNumberFormat="1" applyFont="1" applyBorder="1" applyAlignment="1">
      <alignment horizontal="center" vertical="center" wrapText="1"/>
    </xf>
    <xf numFmtId="0" fontId="7" fillId="0" borderId="44" xfId="1" applyFont="1" applyBorder="1" applyAlignment="1">
      <alignment horizontal="center" vertical="top"/>
    </xf>
    <xf numFmtId="0" fontId="7" fillId="0" borderId="44" xfId="1" applyFont="1" applyBorder="1" applyAlignment="1">
      <alignment horizontal="center" vertical="top" wrapText="1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2" fontId="1" fillId="0" borderId="0" xfId="0" applyNumberFormat="1" applyFont="1" applyBorder="1"/>
    <xf numFmtId="0" fontId="1" fillId="0" borderId="0" xfId="0" applyFont="1" applyBorder="1" applyAlignment="1">
      <alignment horizontal="left" vertical="top"/>
    </xf>
    <xf numFmtId="0" fontId="26" fillId="0" borderId="44" xfId="0" applyFont="1" applyBorder="1" applyAlignment="1">
      <alignment horizontal="center" vertical="top"/>
    </xf>
    <xf numFmtId="0" fontId="27" fillId="0" borderId="44" xfId="1" applyFont="1" applyBorder="1" applyAlignment="1">
      <alignment horizontal="center" vertical="center"/>
    </xf>
    <xf numFmtId="0" fontId="27" fillId="0" borderId="44" xfId="1" applyFont="1" applyFill="1" applyBorder="1" applyAlignment="1">
      <alignment horizontal="center" vertical="center"/>
    </xf>
    <xf numFmtId="0" fontId="0" fillId="0" borderId="9" xfId="0" applyFont="1" applyBorder="1"/>
  </cellXfs>
  <cellStyles count="5">
    <cellStyle name="Normal" xfId="0" builtinId="0"/>
    <cellStyle name="Normal 17" xfId="4"/>
    <cellStyle name="Normal 18" xfId="3"/>
    <cellStyle name="Normal 19" xfId="2"/>
    <cellStyle name="Normal 2" xfId="1"/>
  </cellStyles>
  <dxfs count="16949"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ill>
        <patternFill>
          <bgColor indexed="57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407963</xdr:colOff>
          <xdr:row>5</xdr:row>
          <xdr:rowOff>21102</xdr:rowOff>
        </xdr:from>
        <xdr:to>
          <xdr:col>6</xdr:col>
          <xdr:colOff>84406</xdr:colOff>
          <xdr:row>8</xdr:row>
          <xdr:rowOff>49237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2"/>
  <sheetViews>
    <sheetView workbookViewId="0">
      <selection activeCell="C22" sqref="C22"/>
    </sheetView>
  </sheetViews>
  <sheetFormatPr defaultRowHeight="16.100000000000001" x14ac:dyDescent="0.35"/>
  <cols>
    <col min="1" max="1" width="9.7265625" customWidth="1"/>
    <col min="2" max="2" width="10.6328125" customWidth="1"/>
    <col min="3" max="3" width="6.7265625" customWidth="1"/>
    <col min="4" max="4" width="13" customWidth="1"/>
    <col min="5" max="5" width="6.26953125" customWidth="1"/>
    <col min="6" max="6" width="9.6328125" customWidth="1"/>
    <col min="7" max="7" width="27.90625" customWidth="1"/>
    <col min="257" max="257" width="9.7265625" customWidth="1"/>
    <col min="258" max="258" width="10.6328125" customWidth="1"/>
    <col min="259" max="259" width="6.7265625" customWidth="1"/>
    <col min="260" max="260" width="13" customWidth="1"/>
    <col min="261" max="261" width="6.26953125" customWidth="1"/>
    <col min="262" max="262" width="9.6328125" customWidth="1"/>
    <col min="263" max="263" width="27.90625" customWidth="1"/>
    <col min="513" max="513" width="9.7265625" customWidth="1"/>
    <col min="514" max="514" width="10.6328125" customWidth="1"/>
    <col min="515" max="515" width="6.7265625" customWidth="1"/>
    <col min="516" max="516" width="13" customWidth="1"/>
    <col min="517" max="517" width="6.26953125" customWidth="1"/>
    <col min="518" max="518" width="9.6328125" customWidth="1"/>
    <col min="519" max="519" width="27.90625" customWidth="1"/>
    <col min="769" max="769" width="9.7265625" customWidth="1"/>
    <col min="770" max="770" width="10.6328125" customWidth="1"/>
    <col min="771" max="771" width="6.7265625" customWidth="1"/>
    <col min="772" max="772" width="13" customWidth="1"/>
    <col min="773" max="773" width="6.26953125" customWidth="1"/>
    <col min="774" max="774" width="9.6328125" customWidth="1"/>
    <col min="775" max="775" width="27.90625" customWidth="1"/>
    <col min="1025" max="1025" width="9.7265625" customWidth="1"/>
    <col min="1026" max="1026" width="10.6328125" customWidth="1"/>
    <col min="1027" max="1027" width="6.7265625" customWidth="1"/>
    <col min="1028" max="1028" width="13" customWidth="1"/>
    <col min="1029" max="1029" width="6.26953125" customWidth="1"/>
    <col min="1030" max="1030" width="9.6328125" customWidth="1"/>
    <col min="1031" max="1031" width="27.90625" customWidth="1"/>
    <col min="1281" max="1281" width="9.7265625" customWidth="1"/>
    <col min="1282" max="1282" width="10.6328125" customWidth="1"/>
    <col min="1283" max="1283" width="6.7265625" customWidth="1"/>
    <col min="1284" max="1284" width="13" customWidth="1"/>
    <col min="1285" max="1285" width="6.26953125" customWidth="1"/>
    <col min="1286" max="1286" width="9.6328125" customWidth="1"/>
    <col min="1287" max="1287" width="27.90625" customWidth="1"/>
    <col min="1537" max="1537" width="9.7265625" customWidth="1"/>
    <col min="1538" max="1538" width="10.6328125" customWidth="1"/>
    <col min="1539" max="1539" width="6.7265625" customWidth="1"/>
    <col min="1540" max="1540" width="13" customWidth="1"/>
    <col min="1541" max="1541" width="6.26953125" customWidth="1"/>
    <col min="1542" max="1542" width="9.6328125" customWidth="1"/>
    <col min="1543" max="1543" width="27.90625" customWidth="1"/>
    <col min="1793" max="1793" width="9.7265625" customWidth="1"/>
    <col min="1794" max="1794" width="10.6328125" customWidth="1"/>
    <col min="1795" max="1795" width="6.7265625" customWidth="1"/>
    <col min="1796" max="1796" width="13" customWidth="1"/>
    <col min="1797" max="1797" width="6.26953125" customWidth="1"/>
    <col min="1798" max="1798" width="9.6328125" customWidth="1"/>
    <col min="1799" max="1799" width="27.90625" customWidth="1"/>
    <col min="2049" max="2049" width="9.7265625" customWidth="1"/>
    <col min="2050" max="2050" width="10.6328125" customWidth="1"/>
    <col min="2051" max="2051" width="6.7265625" customWidth="1"/>
    <col min="2052" max="2052" width="13" customWidth="1"/>
    <col min="2053" max="2053" width="6.26953125" customWidth="1"/>
    <col min="2054" max="2054" width="9.6328125" customWidth="1"/>
    <col min="2055" max="2055" width="27.90625" customWidth="1"/>
    <col min="2305" max="2305" width="9.7265625" customWidth="1"/>
    <col min="2306" max="2306" width="10.6328125" customWidth="1"/>
    <col min="2307" max="2307" width="6.7265625" customWidth="1"/>
    <col min="2308" max="2308" width="13" customWidth="1"/>
    <col min="2309" max="2309" width="6.26953125" customWidth="1"/>
    <col min="2310" max="2310" width="9.6328125" customWidth="1"/>
    <col min="2311" max="2311" width="27.90625" customWidth="1"/>
    <col min="2561" max="2561" width="9.7265625" customWidth="1"/>
    <col min="2562" max="2562" width="10.6328125" customWidth="1"/>
    <col min="2563" max="2563" width="6.7265625" customWidth="1"/>
    <col min="2564" max="2564" width="13" customWidth="1"/>
    <col min="2565" max="2565" width="6.26953125" customWidth="1"/>
    <col min="2566" max="2566" width="9.6328125" customWidth="1"/>
    <col min="2567" max="2567" width="27.90625" customWidth="1"/>
    <col min="2817" max="2817" width="9.7265625" customWidth="1"/>
    <col min="2818" max="2818" width="10.6328125" customWidth="1"/>
    <col min="2819" max="2819" width="6.7265625" customWidth="1"/>
    <col min="2820" max="2820" width="13" customWidth="1"/>
    <col min="2821" max="2821" width="6.26953125" customWidth="1"/>
    <col min="2822" max="2822" width="9.6328125" customWidth="1"/>
    <col min="2823" max="2823" width="27.90625" customWidth="1"/>
    <col min="3073" max="3073" width="9.7265625" customWidth="1"/>
    <col min="3074" max="3074" width="10.6328125" customWidth="1"/>
    <col min="3075" max="3075" width="6.7265625" customWidth="1"/>
    <col min="3076" max="3076" width="13" customWidth="1"/>
    <col min="3077" max="3077" width="6.26953125" customWidth="1"/>
    <col min="3078" max="3078" width="9.6328125" customWidth="1"/>
    <col min="3079" max="3079" width="27.90625" customWidth="1"/>
    <col min="3329" max="3329" width="9.7265625" customWidth="1"/>
    <col min="3330" max="3330" width="10.6328125" customWidth="1"/>
    <col min="3331" max="3331" width="6.7265625" customWidth="1"/>
    <col min="3332" max="3332" width="13" customWidth="1"/>
    <col min="3333" max="3333" width="6.26953125" customWidth="1"/>
    <col min="3334" max="3334" width="9.6328125" customWidth="1"/>
    <col min="3335" max="3335" width="27.90625" customWidth="1"/>
    <col min="3585" max="3585" width="9.7265625" customWidth="1"/>
    <col min="3586" max="3586" width="10.6328125" customWidth="1"/>
    <col min="3587" max="3587" width="6.7265625" customWidth="1"/>
    <col min="3588" max="3588" width="13" customWidth="1"/>
    <col min="3589" max="3589" width="6.26953125" customWidth="1"/>
    <col min="3590" max="3590" width="9.6328125" customWidth="1"/>
    <col min="3591" max="3591" width="27.90625" customWidth="1"/>
    <col min="3841" max="3841" width="9.7265625" customWidth="1"/>
    <col min="3842" max="3842" width="10.6328125" customWidth="1"/>
    <col min="3843" max="3843" width="6.7265625" customWidth="1"/>
    <col min="3844" max="3844" width="13" customWidth="1"/>
    <col min="3845" max="3845" width="6.26953125" customWidth="1"/>
    <col min="3846" max="3846" width="9.6328125" customWidth="1"/>
    <col min="3847" max="3847" width="27.90625" customWidth="1"/>
    <col min="4097" max="4097" width="9.7265625" customWidth="1"/>
    <col min="4098" max="4098" width="10.6328125" customWidth="1"/>
    <col min="4099" max="4099" width="6.7265625" customWidth="1"/>
    <col min="4100" max="4100" width="13" customWidth="1"/>
    <col min="4101" max="4101" width="6.26953125" customWidth="1"/>
    <col min="4102" max="4102" width="9.6328125" customWidth="1"/>
    <col min="4103" max="4103" width="27.90625" customWidth="1"/>
    <col min="4353" max="4353" width="9.7265625" customWidth="1"/>
    <col min="4354" max="4354" width="10.6328125" customWidth="1"/>
    <col min="4355" max="4355" width="6.7265625" customWidth="1"/>
    <col min="4356" max="4356" width="13" customWidth="1"/>
    <col min="4357" max="4357" width="6.26953125" customWidth="1"/>
    <col min="4358" max="4358" width="9.6328125" customWidth="1"/>
    <col min="4359" max="4359" width="27.90625" customWidth="1"/>
    <col min="4609" max="4609" width="9.7265625" customWidth="1"/>
    <col min="4610" max="4610" width="10.6328125" customWidth="1"/>
    <col min="4611" max="4611" width="6.7265625" customWidth="1"/>
    <col min="4612" max="4612" width="13" customWidth="1"/>
    <col min="4613" max="4613" width="6.26953125" customWidth="1"/>
    <col min="4614" max="4614" width="9.6328125" customWidth="1"/>
    <col min="4615" max="4615" width="27.90625" customWidth="1"/>
    <col min="4865" max="4865" width="9.7265625" customWidth="1"/>
    <col min="4866" max="4866" width="10.6328125" customWidth="1"/>
    <col min="4867" max="4867" width="6.7265625" customWidth="1"/>
    <col min="4868" max="4868" width="13" customWidth="1"/>
    <col min="4869" max="4869" width="6.26953125" customWidth="1"/>
    <col min="4870" max="4870" width="9.6328125" customWidth="1"/>
    <col min="4871" max="4871" width="27.90625" customWidth="1"/>
    <col min="5121" max="5121" width="9.7265625" customWidth="1"/>
    <col min="5122" max="5122" width="10.6328125" customWidth="1"/>
    <col min="5123" max="5123" width="6.7265625" customWidth="1"/>
    <col min="5124" max="5124" width="13" customWidth="1"/>
    <col min="5125" max="5125" width="6.26953125" customWidth="1"/>
    <col min="5126" max="5126" width="9.6328125" customWidth="1"/>
    <col min="5127" max="5127" width="27.90625" customWidth="1"/>
    <col min="5377" max="5377" width="9.7265625" customWidth="1"/>
    <col min="5378" max="5378" width="10.6328125" customWidth="1"/>
    <col min="5379" max="5379" width="6.7265625" customWidth="1"/>
    <col min="5380" max="5380" width="13" customWidth="1"/>
    <col min="5381" max="5381" width="6.26953125" customWidth="1"/>
    <col min="5382" max="5382" width="9.6328125" customWidth="1"/>
    <col min="5383" max="5383" width="27.90625" customWidth="1"/>
    <col min="5633" max="5633" width="9.7265625" customWidth="1"/>
    <col min="5634" max="5634" width="10.6328125" customWidth="1"/>
    <col min="5635" max="5635" width="6.7265625" customWidth="1"/>
    <col min="5636" max="5636" width="13" customWidth="1"/>
    <col min="5637" max="5637" width="6.26953125" customWidth="1"/>
    <col min="5638" max="5638" width="9.6328125" customWidth="1"/>
    <col min="5639" max="5639" width="27.90625" customWidth="1"/>
    <col min="5889" max="5889" width="9.7265625" customWidth="1"/>
    <col min="5890" max="5890" width="10.6328125" customWidth="1"/>
    <col min="5891" max="5891" width="6.7265625" customWidth="1"/>
    <col min="5892" max="5892" width="13" customWidth="1"/>
    <col min="5893" max="5893" width="6.26953125" customWidth="1"/>
    <col min="5894" max="5894" width="9.6328125" customWidth="1"/>
    <col min="5895" max="5895" width="27.90625" customWidth="1"/>
    <col min="6145" max="6145" width="9.7265625" customWidth="1"/>
    <col min="6146" max="6146" width="10.6328125" customWidth="1"/>
    <col min="6147" max="6147" width="6.7265625" customWidth="1"/>
    <col min="6148" max="6148" width="13" customWidth="1"/>
    <col min="6149" max="6149" width="6.26953125" customWidth="1"/>
    <col min="6150" max="6150" width="9.6328125" customWidth="1"/>
    <col min="6151" max="6151" width="27.90625" customWidth="1"/>
    <col min="6401" max="6401" width="9.7265625" customWidth="1"/>
    <col min="6402" max="6402" width="10.6328125" customWidth="1"/>
    <col min="6403" max="6403" width="6.7265625" customWidth="1"/>
    <col min="6404" max="6404" width="13" customWidth="1"/>
    <col min="6405" max="6405" width="6.26953125" customWidth="1"/>
    <col min="6406" max="6406" width="9.6328125" customWidth="1"/>
    <col min="6407" max="6407" width="27.90625" customWidth="1"/>
    <col min="6657" max="6657" width="9.7265625" customWidth="1"/>
    <col min="6658" max="6658" width="10.6328125" customWidth="1"/>
    <col min="6659" max="6659" width="6.7265625" customWidth="1"/>
    <col min="6660" max="6660" width="13" customWidth="1"/>
    <col min="6661" max="6661" width="6.26953125" customWidth="1"/>
    <col min="6662" max="6662" width="9.6328125" customWidth="1"/>
    <col min="6663" max="6663" width="27.90625" customWidth="1"/>
    <col min="6913" max="6913" width="9.7265625" customWidth="1"/>
    <col min="6914" max="6914" width="10.6328125" customWidth="1"/>
    <col min="6915" max="6915" width="6.7265625" customWidth="1"/>
    <col min="6916" max="6916" width="13" customWidth="1"/>
    <col min="6917" max="6917" width="6.26953125" customWidth="1"/>
    <col min="6918" max="6918" width="9.6328125" customWidth="1"/>
    <col min="6919" max="6919" width="27.90625" customWidth="1"/>
    <col min="7169" max="7169" width="9.7265625" customWidth="1"/>
    <col min="7170" max="7170" width="10.6328125" customWidth="1"/>
    <col min="7171" max="7171" width="6.7265625" customWidth="1"/>
    <col min="7172" max="7172" width="13" customWidth="1"/>
    <col min="7173" max="7173" width="6.26953125" customWidth="1"/>
    <col min="7174" max="7174" width="9.6328125" customWidth="1"/>
    <col min="7175" max="7175" width="27.90625" customWidth="1"/>
    <col min="7425" max="7425" width="9.7265625" customWidth="1"/>
    <col min="7426" max="7426" width="10.6328125" customWidth="1"/>
    <col min="7427" max="7427" width="6.7265625" customWidth="1"/>
    <col min="7428" max="7428" width="13" customWidth="1"/>
    <col min="7429" max="7429" width="6.26953125" customWidth="1"/>
    <col min="7430" max="7430" width="9.6328125" customWidth="1"/>
    <col min="7431" max="7431" width="27.90625" customWidth="1"/>
    <col min="7681" max="7681" width="9.7265625" customWidth="1"/>
    <col min="7682" max="7682" width="10.6328125" customWidth="1"/>
    <col min="7683" max="7683" width="6.7265625" customWidth="1"/>
    <col min="7684" max="7684" width="13" customWidth="1"/>
    <col min="7685" max="7685" width="6.26953125" customWidth="1"/>
    <col min="7686" max="7686" width="9.6328125" customWidth="1"/>
    <col min="7687" max="7687" width="27.90625" customWidth="1"/>
    <col min="7937" max="7937" width="9.7265625" customWidth="1"/>
    <col min="7938" max="7938" width="10.6328125" customWidth="1"/>
    <col min="7939" max="7939" width="6.7265625" customWidth="1"/>
    <col min="7940" max="7940" width="13" customWidth="1"/>
    <col min="7941" max="7941" width="6.26953125" customWidth="1"/>
    <col min="7942" max="7942" width="9.6328125" customWidth="1"/>
    <col min="7943" max="7943" width="27.90625" customWidth="1"/>
    <col min="8193" max="8193" width="9.7265625" customWidth="1"/>
    <col min="8194" max="8194" width="10.6328125" customWidth="1"/>
    <col min="8195" max="8195" width="6.7265625" customWidth="1"/>
    <col min="8196" max="8196" width="13" customWidth="1"/>
    <col min="8197" max="8197" width="6.26953125" customWidth="1"/>
    <col min="8198" max="8198" width="9.6328125" customWidth="1"/>
    <col min="8199" max="8199" width="27.90625" customWidth="1"/>
    <col min="8449" max="8449" width="9.7265625" customWidth="1"/>
    <col min="8450" max="8450" width="10.6328125" customWidth="1"/>
    <col min="8451" max="8451" width="6.7265625" customWidth="1"/>
    <col min="8452" max="8452" width="13" customWidth="1"/>
    <col min="8453" max="8453" width="6.26953125" customWidth="1"/>
    <col min="8454" max="8454" width="9.6328125" customWidth="1"/>
    <col min="8455" max="8455" width="27.90625" customWidth="1"/>
    <col min="8705" max="8705" width="9.7265625" customWidth="1"/>
    <col min="8706" max="8706" width="10.6328125" customWidth="1"/>
    <col min="8707" max="8707" width="6.7265625" customWidth="1"/>
    <col min="8708" max="8708" width="13" customWidth="1"/>
    <col min="8709" max="8709" width="6.26953125" customWidth="1"/>
    <col min="8710" max="8710" width="9.6328125" customWidth="1"/>
    <col min="8711" max="8711" width="27.90625" customWidth="1"/>
    <col min="8961" max="8961" width="9.7265625" customWidth="1"/>
    <col min="8962" max="8962" width="10.6328125" customWidth="1"/>
    <col min="8963" max="8963" width="6.7265625" customWidth="1"/>
    <col min="8964" max="8964" width="13" customWidth="1"/>
    <col min="8965" max="8965" width="6.26953125" customWidth="1"/>
    <col min="8966" max="8966" width="9.6328125" customWidth="1"/>
    <col min="8967" max="8967" width="27.90625" customWidth="1"/>
    <col min="9217" max="9217" width="9.7265625" customWidth="1"/>
    <col min="9218" max="9218" width="10.6328125" customWidth="1"/>
    <col min="9219" max="9219" width="6.7265625" customWidth="1"/>
    <col min="9220" max="9220" width="13" customWidth="1"/>
    <col min="9221" max="9221" width="6.26953125" customWidth="1"/>
    <col min="9222" max="9222" width="9.6328125" customWidth="1"/>
    <col min="9223" max="9223" width="27.90625" customWidth="1"/>
    <col min="9473" max="9473" width="9.7265625" customWidth="1"/>
    <col min="9474" max="9474" width="10.6328125" customWidth="1"/>
    <col min="9475" max="9475" width="6.7265625" customWidth="1"/>
    <col min="9476" max="9476" width="13" customWidth="1"/>
    <col min="9477" max="9477" width="6.26953125" customWidth="1"/>
    <col min="9478" max="9478" width="9.6328125" customWidth="1"/>
    <col min="9479" max="9479" width="27.90625" customWidth="1"/>
    <col min="9729" max="9729" width="9.7265625" customWidth="1"/>
    <col min="9730" max="9730" width="10.6328125" customWidth="1"/>
    <col min="9731" max="9731" width="6.7265625" customWidth="1"/>
    <col min="9732" max="9732" width="13" customWidth="1"/>
    <col min="9733" max="9733" width="6.26953125" customWidth="1"/>
    <col min="9734" max="9734" width="9.6328125" customWidth="1"/>
    <col min="9735" max="9735" width="27.90625" customWidth="1"/>
    <col min="9985" max="9985" width="9.7265625" customWidth="1"/>
    <col min="9986" max="9986" width="10.6328125" customWidth="1"/>
    <col min="9987" max="9987" width="6.7265625" customWidth="1"/>
    <col min="9988" max="9988" width="13" customWidth="1"/>
    <col min="9989" max="9989" width="6.26953125" customWidth="1"/>
    <col min="9990" max="9990" width="9.6328125" customWidth="1"/>
    <col min="9991" max="9991" width="27.90625" customWidth="1"/>
    <col min="10241" max="10241" width="9.7265625" customWidth="1"/>
    <col min="10242" max="10242" width="10.6328125" customWidth="1"/>
    <col min="10243" max="10243" width="6.7265625" customWidth="1"/>
    <col min="10244" max="10244" width="13" customWidth="1"/>
    <col min="10245" max="10245" width="6.26953125" customWidth="1"/>
    <col min="10246" max="10246" width="9.6328125" customWidth="1"/>
    <col min="10247" max="10247" width="27.90625" customWidth="1"/>
    <col min="10497" max="10497" width="9.7265625" customWidth="1"/>
    <col min="10498" max="10498" width="10.6328125" customWidth="1"/>
    <col min="10499" max="10499" width="6.7265625" customWidth="1"/>
    <col min="10500" max="10500" width="13" customWidth="1"/>
    <col min="10501" max="10501" width="6.26953125" customWidth="1"/>
    <col min="10502" max="10502" width="9.6328125" customWidth="1"/>
    <col min="10503" max="10503" width="27.90625" customWidth="1"/>
    <col min="10753" max="10753" width="9.7265625" customWidth="1"/>
    <col min="10754" max="10754" width="10.6328125" customWidth="1"/>
    <col min="10755" max="10755" width="6.7265625" customWidth="1"/>
    <col min="10756" max="10756" width="13" customWidth="1"/>
    <col min="10757" max="10757" width="6.26953125" customWidth="1"/>
    <col min="10758" max="10758" width="9.6328125" customWidth="1"/>
    <col min="10759" max="10759" width="27.90625" customWidth="1"/>
    <col min="11009" max="11009" width="9.7265625" customWidth="1"/>
    <col min="11010" max="11010" width="10.6328125" customWidth="1"/>
    <col min="11011" max="11011" width="6.7265625" customWidth="1"/>
    <col min="11012" max="11012" width="13" customWidth="1"/>
    <col min="11013" max="11013" width="6.26953125" customWidth="1"/>
    <col min="11014" max="11014" width="9.6328125" customWidth="1"/>
    <col min="11015" max="11015" width="27.90625" customWidth="1"/>
    <col min="11265" max="11265" width="9.7265625" customWidth="1"/>
    <col min="11266" max="11266" width="10.6328125" customWidth="1"/>
    <col min="11267" max="11267" width="6.7265625" customWidth="1"/>
    <col min="11268" max="11268" width="13" customWidth="1"/>
    <col min="11269" max="11269" width="6.26953125" customWidth="1"/>
    <col min="11270" max="11270" width="9.6328125" customWidth="1"/>
    <col min="11271" max="11271" width="27.90625" customWidth="1"/>
    <col min="11521" max="11521" width="9.7265625" customWidth="1"/>
    <col min="11522" max="11522" width="10.6328125" customWidth="1"/>
    <col min="11523" max="11523" width="6.7265625" customWidth="1"/>
    <col min="11524" max="11524" width="13" customWidth="1"/>
    <col min="11525" max="11525" width="6.26953125" customWidth="1"/>
    <col min="11526" max="11526" width="9.6328125" customWidth="1"/>
    <col min="11527" max="11527" width="27.90625" customWidth="1"/>
    <col min="11777" max="11777" width="9.7265625" customWidth="1"/>
    <col min="11778" max="11778" width="10.6328125" customWidth="1"/>
    <col min="11779" max="11779" width="6.7265625" customWidth="1"/>
    <col min="11780" max="11780" width="13" customWidth="1"/>
    <col min="11781" max="11781" width="6.26953125" customWidth="1"/>
    <col min="11782" max="11782" width="9.6328125" customWidth="1"/>
    <col min="11783" max="11783" width="27.90625" customWidth="1"/>
    <col min="12033" max="12033" width="9.7265625" customWidth="1"/>
    <col min="12034" max="12034" width="10.6328125" customWidth="1"/>
    <col min="12035" max="12035" width="6.7265625" customWidth="1"/>
    <col min="12036" max="12036" width="13" customWidth="1"/>
    <col min="12037" max="12037" width="6.26953125" customWidth="1"/>
    <col min="12038" max="12038" width="9.6328125" customWidth="1"/>
    <col min="12039" max="12039" width="27.90625" customWidth="1"/>
    <col min="12289" max="12289" width="9.7265625" customWidth="1"/>
    <col min="12290" max="12290" width="10.6328125" customWidth="1"/>
    <col min="12291" max="12291" width="6.7265625" customWidth="1"/>
    <col min="12292" max="12292" width="13" customWidth="1"/>
    <col min="12293" max="12293" width="6.26953125" customWidth="1"/>
    <col min="12294" max="12294" width="9.6328125" customWidth="1"/>
    <col min="12295" max="12295" width="27.90625" customWidth="1"/>
    <col min="12545" max="12545" width="9.7265625" customWidth="1"/>
    <col min="12546" max="12546" width="10.6328125" customWidth="1"/>
    <col min="12547" max="12547" width="6.7265625" customWidth="1"/>
    <col min="12548" max="12548" width="13" customWidth="1"/>
    <col min="12549" max="12549" width="6.26953125" customWidth="1"/>
    <col min="12550" max="12550" width="9.6328125" customWidth="1"/>
    <col min="12551" max="12551" width="27.90625" customWidth="1"/>
    <col min="12801" max="12801" width="9.7265625" customWidth="1"/>
    <col min="12802" max="12802" width="10.6328125" customWidth="1"/>
    <col min="12803" max="12803" width="6.7265625" customWidth="1"/>
    <col min="12804" max="12804" width="13" customWidth="1"/>
    <col min="12805" max="12805" width="6.26953125" customWidth="1"/>
    <col min="12806" max="12806" width="9.6328125" customWidth="1"/>
    <col min="12807" max="12807" width="27.90625" customWidth="1"/>
    <col min="13057" max="13057" width="9.7265625" customWidth="1"/>
    <col min="13058" max="13058" width="10.6328125" customWidth="1"/>
    <col min="13059" max="13059" width="6.7265625" customWidth="1"/>
    <col min="13060" max="13060" width="13" customWidth="1"/>
    <col min="13061" max="13061" width="6.26953125" customWidth="1"/>
    <col min="13062" max="13062" width="9.6328125" customWidth="1"/>
    <col min="13063" max="13063" width="27.90625" customWidth="1"/>
    <col min="13313" max="13313" width="9.7265625" customWidth="1"/>
    <col min="13314" max="13314" width="10.6328125" customWidth="1"/>
    <col min="13315" max="13315" width="6.7265625" customWidth="1"/>
    <col min="13316" max="13316" width="13" customWidth="1"/>
    <col min="13317" max="13317" width="6.26953125" customWidth="1"/>
    <col min="13318" max="13318" width="9.6328125" customWidth="1"/>
    <col min="13319" max="13319" width="27.90625" customWidth="1"/>
    <col min="13569" max="13569" width="9.7265625" customWidth="1"/>
    <col min="13570" max="13570" width="10.6328125" customWidth="1"/>
    <col min="13571" max="13571" width="6.7265625" customWidth="1"/>
    <col min="13572" max="13572" width="13" customWidth="1"/>
    <col min="13573" max="13573" width="6.26953125" customWidth="1"/>
    <col min="13574" max="13574" width="9.6328125" customWidth="1"/>
    <col min="13575" max="13575" width="27.90625" customWidth="1"/>
    <col min="13825" max="13825" width="9.7265625" customWidth="1"/>
    <col min="13826" max="13826" width="10.6328125" customWidth="1"/>
    <col min="13827" max="13827" width="6.7265625" customWidth="1"/>
    <col min="13828" max="13828" width="13" customWidth="1"/>
    <col min="13829" max="13829" width="6.26953125" customWidth="1"/>
    <col min="13830" max="13830" width="9.6328125" customWidth="1"/>
    <col min="13831" max="13831" width="27.90625" customWidth="1"/>
    <col min="14081" max="14081" width="9.7265625" customWidth="1"/>
    <col min="14082" max="14082" width="10.6328125" customWidth="1"/>
    <col min="14083" max="14083" width="6.7265625" customWidth="1"/>
    <col min="14084" max="14084" width="13" customWidth="1"/>
    <col min="14085" max="14085" width="6.26953125" customWidth="1"/>
    <col min="14086" max="14086" width="9.6328125" customWidth="1"/>
    <col min="14087" max="14087" width="27.90625" customWidth="1"/>
    <col min="14337" max="14337" width="9.7265625" customWidth="1"/>
    <col min="14338" max="14338" width="10.6328125" customWidth="1"/>
    <col min="14339" max="14339" width="6.7265625" customWidth="1"/>
    <col min="14340" max="14340" width="13" customWidth="1"/>
    <col min="14341" max="14341" width="6.26953125" customWidth="1"/>
    <col min="14342" max="14342" width="9.6328125" customWidth="1"/>
    <col min="14343" max="14343" width="27.90625" customWidth="1"/>
    <col min="14593" max="14593" width="9.7265625" customWidth="1"/>
    <col min="14594" max="14594" width="10.6328125" customWidth="1"/>
    <col min="14595" max="14595" width="6.7265625" customWidth="1"/>
    <col min="14596" max="14596" width="13" customWidth="1"/>
    <col min="14597" max="14597" width="6.26953125" customWidth="1"/>
    <col min="14598" max="14598" width="9.6328125" customWidth="1"/>
    <col min="14599" max="14599" width="27.90625" customWidth="1"/>
    <col min="14849" max="14849" width="9.7265625" customWidth="1"/>
    <col min="14850" max="14850" width="10.6328125" customWidth="1"/>
    <col min="14851" max="14851" width="6.7265625" customWidth="1"/>
    <col min="14852" max="14852" width="13" customWidth="1"/>
    <col min="14853" max="14853" width="6.26953125" customWidth="1"/>
    <col min="14854" max="14854" width="9.6328125" customWidth="1"/>
    <col min="14855" max="14855" width="27.90625" customWidth="1"/>
    <col min="15105" max="15105" width="9.7265625" customWidth="1"/>
    <col min="15106" max="15106" width="10.6328125" customWidth="1"/>
    <col min="15107" max="15107" width="6.7265625" customWidth="1"/>
    <col min="15108" max="15108" width="13" customWidth="1"/>
    <col min="15109" max="15109" width="6.26953125" customWidth="1"/>
    <col min="15110" max="15110" width="9.6328125" customWidth="1"/>
    <col min="15111" max="15111" width="27.90625" customWidth="1"/>
    <col min="15361" max="15361" width="9.7265625" customWidth="1"/>
    <col min="15362" max="15362" width="10.6328125" customWidth="1"/>
    <col min="15363" max="15363" width="6.7265625" customWidth="1"/>
    <col min="15364" max="15364" width="13" customWidth="1"/>
    <col min="15365" max="15365" width="6.26953125" customWidth="1"/>
    <col min="15366" max="15366" width="9.6328125" customWidth="1"/>
    <col min="15367" max="15367" width="27.90625" customWidth="1"/>
    <col min="15617" max="15617" width="9.7265625" customWidth="1"/>
    <col min="15618" max="15618" width="10.6328125" customWidth="1"/>
    <col min="15619" max="15619" width="6.7265625" customWidth="1"/>
    <col min="15620" max="15620" width="13" customWidth="1"/>
    <col min="15621" max="15621" width="6.26953125" customWidth="1"/>
    <col min="15622" max="15622" width="9.6328125" customWidth="1"/>
    <col min="15623" max="15623" width="27.90625" customWidth="1"/>
    <col min="15873" max="15873" width="9.7265625" customWidth="1"/>
    <col min="15874" max="15874" width="10.6328125" customWidth="1"/>
    <col min="15875" max="15875" width="6.7265625" customWidth="1"/>
    <col min="15876" max="15876" width="13" customWidth="1"/>
    <col min="15877" max="15877" width="6.26953125" customWidth="1"/>
    <col min="15878" max="15878" width="9.6328125" customWidth="1"/>
    <col min="15879" max="15879" width="27.90625" customWidth="1"/>
    <col min="16129" max="16129" width="9.7265625" customWidth="1"/>
    <col min="16130" max="16130" width="10.6328125" customWidth="1"/>
    <col min="16131" max="16131" width="6.7265625" customWidth="1"/>
    <col min="16132" max="16132" width="13" customWidth="1"/>
    <col min="16133" max="16133" width="6.26953125" customWidth="1"/>
    <col min="16134" max="16134" width="9.6328125" customWidth="1"/>
    <col min="16135" max="16135" width="27.90625" customWidth="1"/>
  </cols>
  <sheetData>
    <row r="1" spans="1:20" s="3" customFormat="1" ht="12.75" customHeight="1" x14ac:dyDescent="0.25">
      <c r="A1" s="214" t="s">
        <v>14</v>
      </c>
      <c r="B1" s="215"/>
      <c r="C1" s="215"/>
      <c r="D1" s="215"/>
      <c r="E1" s="215"/>
      <c r="F1" s="215"/>
      <c r="G1" s="216"/>
    </row>
    <row r="2" spans="1:20" ht="12.75" customHeight="1" x14ac:dyDescent="0.35">
      <c r="A2" s="4" t="s">
        <v>15</v>
      </c>
      <c r="B2" s="5"/>
      <c r="C2" s="6"/>
      <c r="D2" s="7"/>
      <c r="E2" s="7"/>
      <c r="F2" s="5"/>
      <c r="G2" s="8" t="s">
        <v>16</v>
      </c>
      <c r="H2" s="9"/>
      <c r="I2" s="9"/>
      <c r="J2" s="9"/>
      <c r="K2" s="10"/>
      <c r="L2" s="10"/>
      <c r="M2" s="10"/>
      <c r="N2" s="9"/>
      <c r="O2" s="9"/>
      <c r="P2" s="9"/>
      <c r="Q2" s="9"/>
      <c r="R2" s="9"/>
      <c r="S2" s="9"/>
      <c r="T2" s="9"/>
    </row>
    <row r="3" spans="1:20" ht="12.75" customHeight="1" x14ac:dyDescent="0.35">
      <c r="A3" s="11" t="s">
        <v>17</v>
      </c>
      <c r="B3" s="12"/>
      <c r="C3" s="7"/>
      <c r="D3" s="7"/>
      <c r="E3" s="7"/>
      <c r="F3" s="217" t="s">
        <v>18</v>
      </c>
      <c r="G3" s="218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 x14ac:dyDescent="0.35">
      <c r="A4" s="11" t="s">
        <v>19</v>
      </c>
      <c r="B4" s="12"/>
      <c r="C4" s="7"/>
      <c r="D4" s="7"/>
      <c r="E4" s="7" t="s">
        <v>20</v>
      </c>
      <c r="F4" s="15"/>
      <c r="G4" s="1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350000000000001" customHeight="1" x14ac:dyDescent="0.35">
      <c r="A5" s="4" t="s">
        <v>21</v>
      </c>
      <c r="B5" s="12"/>
      <c r="C5" s="7"/>
      <c r="D5" s="7"/>
      <c r="E5" s="7"/>
      <c r="F5" s="7"/>
      <c r="G5" s="17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 x14ac:dyDescent="0.35">
      <c r="A6" s="4" t="s">
        <v>22</v>
      </c>
      <c r="B6" s="12"/>
      <c r="C6" s="7"/>
      <c r="D6" s="7"/>
      <c r="E6" s="7"/>
      <c r="F6" s="7"/>
      <c r="G6" s="17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 x14ac:dyDescent="0.35">
      <c r="A7" s="18"/>
      <c r="B7" s="19" t="s">
        <v>23</v>
      </c>
      <c r="C7" s="7"/>
      <c r="D7" s="7"/>
      <c r="E7" s="7"/>
      <c r="F7" s="7"/>
      <c r="G7" s="17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 x14ac:dyDescent="0.35">
      <c r="A8" s="18"/>
      <c r="B8" s="19" t="s">
        <v>24</v>
      </c>
      <c r="C8" s="7"/>
      <c r="D8" s="7"/>
      <c r="E8" s="7"/>
      <c r="F8" s="7"/>
      <c r="G8" s="17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 x14ac:dyDescent="0.35">
      <c r="A9" s="18"/>
      <c r="B9" s="19" t="s">
        <v>25</v>
      </c>
      <c r="C9" s="7"/>
      <c r="D9" s="7"/>
      <c r="E9" s="7"/>
      <c r="F9" s="7"/>
      <c r="G9" s="17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 x14ac:dyDescent="0.35">
      <c r="A10" s="18"/>
      <c r="B10" s="19" t="s">
        <v>26</v>
      </c>
      <c r="C10" s="7"/>
      <c r="D10" s="7"/>
      <c r="E10" s="7"/>
      <c r="F10" s="7"/>
      <c r="G10" s="17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 x14ac:dyDescent="0.35">
      <c r="A11" s="20"/>
      <c r="B11" s="21" t="s">
        <v>27</v>
      </c>
      <c r="C11" s="22"/>
      <c r="D11" s="22"/>
      <c r="E11" s="22"/>
      <c r="F11" s="22"/>
      <c r="G11" s="2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2.15" x14ac:dyDescent="0.35">
      <c r="A12" s="24" t="s">
        <v>28</v>
      </c>
      <c r="B12" s="25" t="s">
        <v>29</v>
      </c>
      <c r="C12" s="26" t="s">
        <v>30</v>
      </c>
      <c r="D12" s="26" t="s">
        <v>31</v>
      </c>
      <c r="E12" s="26" t="s">
        <v>32</v>
      </c>
      <c r="F12" s="25" t="s">
        <v>33</v>
      </c>
      <c r="G12" s="26" t="s">
        <v>34</v>
      </c>
      <c r="H12" s="13"/>
      <c r="I12" s="27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4.95" customHeight="1" x14ac:dyDescent="0.35">
      <c r="A13" s="210"/>
      <c r="B13" s="28" t="s">
        <v>35</v>
      </c>
      <c r="C13" s="29"/>
      <c r="D13" s="28" t="s">
        <v>36</v>
      </c>
      <c r="E13" s="30"/>
      <c r="F13" s="213"/>
      <c r="G13" s="31"/>
      <c r="H13" s="32"/>
      <c r="I13" s="33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14"/>
    </row>
    <row r="14" spans="1:20" ht="14.95" customHeight="1" x14ac:dyDescent="0.35">
      <c r="A14" s="211"/>
      <c r="B14" s="28" t="s">
        <v>37</v>
      </c>
      <c r="C14" s="29"/>
      <c r="D14" s="28" t="s">
        <v>36</v>
      </c>
      <c r="E14" s="30"/>
      <c r="F14" s="213"/>
      <c r="G14" s="31"/>
      <c r="H14" s="32"/>
      <c r="I14" s="33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14"/>
    </row>
    <row r="15" spans="1:20" ht="14.95" customHeight="1" x14ac:dyDescent="0.35">
      <c r="A15" s="211"/>
      <c r="B15" s="28" t="s">
        <v>38</v>
      </c>
      <c r="C15" s="29"/>
      <c r="D15" s="28" t="s">
        <v>36</v>
      </c>
      <c r="E15" s="30"/>
      <c r="F15" s="213"/>
      <c r="G15" s="31"/>
      <c r="H15" s="32"/>
      <c r="I15" s="33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14"/>
    </row>
    <row r="16" spans="1:20" ht="14.95" customHeight="1" x14ac:dyDescent="0.35">
      <c r="A16" s="211"/>
      <c r="B16" s="28" t="s">
        <v>39</v>
      </c>
      <c r="C16" s="29"/>
      <c r="D16" s="28" t="s">
        <v>36</v>
      </c>
      <c r="E16" s="30"/>
      <c r="F16" s="213"/>
      <c r="G16" s="31"/>
      <c r="H16" s="32"/>
      <c r="I16" s="33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14"/>
    </row>
    <row r="17" spans="1:20" ht="14.3" customHeight="1" x14ac:dyDescent="0.35">
      <c r="A17" s="212"/>
      <c r="B17" s="28" t="s">
        <v>40</v>
      </c>
      <c r="C17" s="29"/>
      <c r="D17" s="28" t="s">
        <v>36</v>
      </c>
      <c r="E17" s="30"/>
      <c r="F17" s="213"/>
      <c r="G17" s="31"/>
      <c r="H17" s="32"/>
      <c r="I17" s="33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14"/>
    </row>
    <row r="18" spans="1:20" ht="12.75" customHeight="1" x14ac:dyDescent="0.35">
      <c r="A18" s="210"/>
      <c r="B18" s="28" t="s">
        <v>35</v>
      </c>
      <c r="C18" s="29"/>
      <c r="D18" s="28" t="s">
        <v>36</v>
      </c>
      <c r="E18" s="30"/>
      <c r="F18" s="213"/>
      <c r="G18" s="31"/>
    </row>
    <row r="19" spans="1:20" ht="12.75" customHeight="1" x14ac:dyDescent="0.35">
      <c r="A19" s="211"/>
      <c r="B19" s="28" t="s">
        <v>37</v>
      </c>
      <c r="C19" s="29"/>
      <c r="D19" s="28" t="s">
        <v>36</v>
      </c>
      <c r="E19" s="30"/>
      <c r="F19" s="213"/>
      <c r="G19" s="31"/>
    </row>
    <row r="20" spans="1:20" ht="12.75" customHeight="1" x14ac:dyDescent="0.35">
      <c r="A20" s="211"/>
      <c r="B20" s="28" t="s">
        <v>38</v>
      </c>
      <c r="C20" s="29"/>
      <c r="D20" s="28" t="s">
        <v>36</v>
      </c>
      <c r="E20" s="30"/>
      <c r="F20" s="213"/>
      <c r="G20" s="31"/>
    </row>
    <row r="21" spans="1:20" ht="12.75" customHeight="1" x14ac:dyDescent="0.35">
      <c r="A21" s="211"/>
      <c r="B21" s="28" t="s">
        <v>39</v>
      </c>
      <c r="C21" s="29"/>
      <c r="D21" s="28" t="s">
        <v>36</v>
      </c>
      <c r="E21" s="30"/>
      <c r="F21" s="213"/>
      <c r="G21" s="31"/>
    </row>
    <row r="22" spans="1:20" ht="12.75" customHeight="1" x14ac:dyDescent="0.35">
      <c r="A22" s="212"/>
      <c r="B22" s="28" t="s">
        <v>40</v>
      </c>
      <c r="C22" s="29"/>
      <c r="D22" s="28" t="s">
        <v>36</v>
      </c>
      <c r="E22" s="30"/>
      <c r="F22" s="213"/>
      <c r="G22" s="31"/>
    </row>
    <row r="23" spans="1:20" ht="12.75" customHeight="1" x14ac:dyDescent="0.35">
      <c r="A23" s="210"/>
      <c r="B23" s="28" t="s">
        <v>35</v>
      </c>
      <c r="C23" s="29"/>
      <c r="D23" s="28" t="s">
        <v>36</v>
      </c>
      <c r="E23" s="30"/>
      <c r="F23" s="213"/>
      <c r="G23" s="31"/>
    </row>
    <row r="24" spans="1:20" ht="12.75" customHeight="1" x14ac:dyDescent="0.35">
      <c r="A24" s="211"/>
      <c r="B24" s="28" t="s">
        <v>37</v>
      </c>
      <c r="C24" s="29"/>
      <c r="D24" s="28" t="s">
        <v>36</v>
      </c>
      <c r="E24" s="30"/>
      <c r="F24" s="213"/>
      <c r="G24" s="31"/>
    </row>
    <row r="25" spans="1:20" ht="12.75" customHeight="1" x14ac:dyDescent="0.35">
      <c r="A25" s="211"/>
      <c r="B25" s="28" t="s">
        <v>38</v>
      </c>
      <c r="C25" s="29"/>
      <c r="D25" s="28" t="s">
        <v>36</v>
      </c>
      <c r="E25" s="30"/>
      <c r="F25" s="213"/>
      <c r="G25" s="31"/>
    </row>
    <row r="26" spans="1:20" ht="12.75" customHeight="1" x14ac:dyDescent="0.35">
      <c r="A26" s="211"/>
      <c r="B26" s="28" t="s">
        <v>39</v>
      </c>
      <c r="C26" s="29"/>
      <c r="D26" s="28" t="s">
        <v>36</v>
      </c>
      <c r="E26" s="30"/>
      <c r="F26" s="213"/>
      <c r="G26" s="31"/>
    </row>
    <row r="27" spans="1:20" ht="12.75" customHeight="1" x14ac:dyDescent="0.35">
      <c r="A27" s="212"/>
      <c r="B27" s="28" t="s">
        <v>40</v>
      </c>
      <c r="C27" s="29"/>
      <c r="D27" s="28" t="s">
        <v>36</v>
      </c>
      <c r="E27" s="30"/>
      <c r="F27" s="213"/>
      <c r="G27" s="31"/>
    </row>
    <row r="28" spans="1:20" ht="12.75" customHeight="1" x14ac:dyDescent="0.35">
      <c r="A28" s="210"/>
      <c r="B28" s="28" t="s">
        <v>35</v>
      </c>
      <c r="C28" s="29"/>
      <c r="D28" s="28" t="s">
        <v>36</v>
      </c>
      <c r="E28" s="30"/>
      <c r="F28" s="213"/>
      <c r="G28" s="31"/>
    </row>
    <row r="29" spans="1:20" ht="12.75" customHeight="1" x14ac:dyDescent="0.35">
      <c r="A29" s="211"/>
      <c r="B29" s="28" t="s">
        <v>37</v>
      </c>
      <c r="C29" s="29"/>
      <c r="D29" s="28" t="s">
        <v>36</v>
      </c>
      <c r="E29" s="30"/>
      <c r="F29" s="213"/>
      <c r="G29" s="31"/>
    </row>
    <row r="30" spans="1:20" ht="12.75" customHeight="1" x14ac:dyDescent="0.35">
      <c r="A30" s="211"/>
      <c r="B30" s="28" t="s">
        <v>38</v>
      </c>
      <c r="C30" s="29"/>
      <c r="D30" s="28" t="s">
        <v>36</v>
      </c>
      <c r="E30" s="30"/>
      <c r="F30" s="213"/>
      <c r="G30" s="31"/>
    </row>
    <row r="31" spans="1:20" ht="12.75" customHeight="1" x14ac:dyDescent="0.35">
      <c r="A31" s="211"/>
      <c r="B31" s="28" t="s">
        <v>39</v>
      </c>
      <c r="C31" s="29"/>
      <c r="D31" s="28" t="s">
        <v>36</v>
      </c>
      <c r="E31" s="30"/>
      <c r="F31" s="213"/>
      <c r="G31" s="31"/>
    </row>
    <row r="32" spans="1:20" ht="12.75" customHeight="1" x14ac:dyDescent="0.35">
      <c r="A32" s="212"/>
      <c r="B32" s="28" t="s">
        <v>40</v>
      </c>
      <c r="C32" s="29"/>
      <c r="D32" s="28" t="s">
        <v>36</v>
      </c>
      <c r="E32" s="30"/>
      <c r="F32" s="213"/>
      <c r="G32" s="31"/>
    </row>
    <row r="33" spans="1:7" ht="12.75" customHeight="1" x14ac:dyDescent="0.35">
      <c r="A33" s="210"/>
      <c r="B33" s="28" t="s">
        <v>35</v>
      </c>
      <c r="C33" s="29"/>
      <c r="D33" s="28" t="s">
        <v>36</v>
      </c>
      <c r="E33" s="30"/>
      <c r="F33" s="213"/>
      <c r="G33" s="31"/>
    </row>
    <row r="34" spans="1:7" ht="12.75" customHeight="1" x14ac:dyDescent="0.35">
      <c r="A34" s="211"/>
      <c r="B34" s="28" t="s">
        <v>37</v>
      </c>
      <c r="C34" s="29"/>
      <c r="D34" s="28" t="s">
        <v>36</v>
      </c>
      <c r="E34" s="30"/>
      <c r="F34" s="213"/>
      <c r="G34" s="31"/>
    </row>
    <row r="35" spans="1:7" ht="12.75" customHeight="1" x14ac:dyDescent="0.35">
      <c r="A35" s="211"/>
      <c r="B35" s="28" t="s">
        <v>38</v>
      </c>
      <c r="C35" s="29"/>
      <c r="D35" s="28" t="s">
        <v>36</v>
      </c>
      <c r="E35" s="30"/>
      <c r="F35" s="213"/>
      <c r="G35" s="31"/>
    </row>
    <row r="36" spans="1:7" ht="12.75" customHeight="1" x14ac:dyDescent="0.35">
      <c r="A36" s="211"/>
      <c r="B36" s="28" t="s">
        <v>39</v>
      </c>
      <c r="C36" s="29"/>
      <c r="D36" s="28" t="s">
        <v>36</v>
      </c>
      <c r="E36" s="30"/>
      <c r="F36" s="213"/>
      <c r="G36" s="31"/>
    </row>
    <row r="37" spans="1:7" ht="12.75" customHeight="1" x14ac:dyDescent="0.35">
      <c r="A37" s="212"/>
      <c r="B37" s="28" t="s">
        <v>40</v>
      </c>
      <c r="C37" s="29"/>
      <c r="D37" s="28" t="s">
        <v>36</v>
      </c>
      <c r="E37" s="30"/>
      <c r="F37" s="213"/>
      <c r="G37" s="31"/>
    </row>
    <row r="38" spans="1:7" ht="12.75" customHeight="1" x14ac:dyDescent="0.35">
      <c r="A38" s="210"/>
      <c r="B38" s="28" t="s">
        <v>35</v>
      </c>
      <c r="C38" s="29"/>
      <c r="D38" s="28" t="s">
        <v>36</v>
      </c>
      <c r="E38" s="30"/>
      <c r="F38" s="213"/>
      <c r="G38" s="31"/>
    </row>
    <row r="39" spans="1:7" ht="12.75" customHeight="1" x14ac:dyDescent="0.35">
      <c r="A39" s="211"/>
      <c r="B39" s="28" t="s">
        <v>37</v>
      </c>
      <c r="C39" s="29"/>
      <c r="D39" s="28" t="s">
        <v>36</v>
      </c>
      <c r="E39" s="30"/>
      <c r="F39" s="213"/>
      <c r="G39" s="31"/>
    </row>
    <row r="40" spans="1:7" ht="12.75" customHeight="1" x14ac:dyDescent="0.35">
      <c r="A40" s="211"/>
      <c r="B40" s="28" t="s">
        <v>38</v>
      </c>
      <c r="C40" s="29"/>
      <c r="D40" s="28" t="s">
        <v>36</v>
      </c>
      <c r="E40" s="30"/>
      <c r="F40" s="213"/>
      <c r="G40" s="31"/>
    </row>
    <row r="41" spans="1:7" ht="12.75" customHeight="1" x14ac:dyDescent="0.35">
      <c r="A41" s="211"/>
      <c r="B41" s="28" t="s">
        <v>39</v>
      </c>
      <c r="C41" s="29"/>
      <c r="D41" s="28" t="s">
        <v>36</v>
      </c>
      <c r="E41" s="30"/>
      <c r="F41" s="213"/>
      <c r="G41" s="31"/>
    </row>
    <row r="42" spans="1:7" ht="12.75" customHeight="1" x14ac:dyDescent="0.35">
      <c r="A42" s="212"/>
      <c r="B42" s="28" t="s">
        <v>40</v>
      </c>
      <c r="C42" s="29"/>
      <c r="D42" s="28" t="s">
        <v>36</v>
      </c>
      <c r="E42" s="30"/>
      <c r="F42" s="213"/>
      <c r="G42" s="31"/>
    </row>
    <row r="43" spans="1:7" ht="12.75" customHeight="1" x14ac:dyDescent="0.35">
      <c r="A43" s="210"/>
      <c r="B43" s="28" t="s">
        <v>35</v>
      </c>
      <c r="C43" s="29"/>
      <c r="D43" s="28" t="s">
        <v>36</v>
      </c>
      <c r="E43" s="30"/>
      <c r="F43" s="213"/>
      <c r="G43" s="31"/>
    </row>
    <row r="44" spans="1:7" ht="12.75" customHeight="1" x14ac:dyDescent="0.35">
      <c r="A44" s="211"/>
      <c r="B44" s="28" t="s">
        <v>37</v>
      </c>
      <c r="C44" s="29"/>
      <c r="D44" s="28" t="s">
        <v>36</v>
      </c>
      <c r="E44" s="30"/>
      <c r="F44" s="213"/>
      <c r="G44" s="31"/>
    </row>
    <row r="45" spans="1:7" ht="12.75" customHeight="1" x14ac:dyDescent="0.35">
      <c r="A45" s="211"/>
      <c r="B45" s="28" t="s">
        <v>38</v>
      </c>
      <c r="C45" s="29"/>
      <c r="D45" s="28" t="s">
        <v>36</v>
      </c>
      <c r="E45" s="30"/>
      <c r="F45" s="213"/>
      <c r="G45" s="31"/>
    </row>
    <row r="46" spans="1:7" ht="12.75" customHeight="1" x14ac:dyDescent="0.35">
      <c r="A46" s="211"/>
      <c r="B46" s="28" t="s">
        <v>39</v>
      </c>
      <c r="C46" s="29"/>
      <c r="D46" s="28" t="s">
        <v>36</v>
      </c>
      <c r="E46" s="30"/>
      <c r="F46" s="213"/>
      <c r="G46" s="31"/>
    </row>
    <row r="47" spans="1:7" ht="12.75" customHeight="1" x14ac:dyDescent="0.35">
      <c r="A47" s="212"/>
      <c r="B47" s="28" t="s">
        <v>40</v>
      </c>
      <c r="C47" s="29"/>
      <c r="D47" s="28" t="s">
        <v>36</v>
      </c>
      <c r="E47" s="30"/>
      <c r="F47" s="213"/>
      <c r="G47" s="31"/>
    </row>
    <row r="48" spans="1:7" ht="12.75" customHeight="1" x14ac:dyDescent="0.35">
      <c r="A48" s="210"/>
      <c r="B48" s="28" t="s">
        <v>35</v>
      </c>
      <c r="C48" s="29"/>
      <c r="D48" s="28" t="s">
        <v>36</v>
      </c>
      <c r="E48" s="30"/>
      <c r="F48" s="213"/>
      <c r="G48" s="31"/>
    </row>
    <row r="49" spans="1:7" ht="12.75" customHeight="1" x14ac:dyDescent="0.35">
      <c r="A49" s="211"/>
      <c r="B49" s="28" t="s">
        <v>37</v>
      </c>
      <c r="C49" s="29"/>
      <c r="D49" s="28" t="s">
        <v>36</v>
      </c>
      <c r="E49" s="30"/>
      <c r="F49" s="213"/>
      <c r="G49" s="31"/>
    </row>
    <row r="50" spans="1:7" ht="12.75" customHeight="1" x14ac:dyDescent="0.35">
      <c r="A50" s="211"/>
      <c r="B50" s="28" t="s">
        <v>38</v>
      </c>
      <c r="C50" s="29"/>
      <c r="D50" s="28" t="s">
        <v>36</v>
      </c>
      <c r="E50" s="30"/>
      <c r="F50" s="213"/>
      <c r="G50" s="31"/>
    </row>
    <row r="51" spans="1:7" ht="12.75" customHeight="1" x14ac:dyDescent="0.35">
      <c r="A51" s="211"/>
      <c r="B51" s="28" t="s">
        <v>39</v>
      </c>
      <c r="C51" s="29"/>
      <c r="D51" s="28" t="s">
        <v>36</v>
      </c>
      <c r="E51" s="30"/>
      <c r="F51" s="213"/>
      <c r="G51" s="31"/>
    </row>
    <row r="52" spans="1:7" ht="12.75" customHeight="1" x14ac:dyDescent="0.35">
      <c r="A52" s="212"/>
      <c r="B52" s="28" t="s">
        <v>40</v>
      </c>
      <c r="C52" s="29"/>
      <c r="D52" s="28" t="s">
        <v>36</v>
      </c>
      <c r="E52" s="30"/>
      <c r="F52" s="213"/>
      <c r="G52" s="31"/>
    </row>
  </sheetData>
  <mergeCells count="17">
    <mergeCell ref="F42:F47"/>
    <mergeCell ref="A43:A47"/>
    <mergeCell ref="A48:A52"/>
    <mergeCell ref="F48:F52"/>
    <mergeCell ref="A1:G1"/>
    <mergeCell ref="F3:G3"/>
    <mergeCell ref="A13:A17"/>
    <mergeCell ref="F13:F17"/>
    <mergeCell ref="A18:A22"/>
    <mergeCell ref="F18:F23"/>
    <mergeCell ref="A23:A27"/>
    <mergeCell ref="F24:F29"/>
    <mergeCell ref="A28:A32"/>
    <mergeCell ref="F30:F35"/>
    <mergeCell ref="A33:A37"/>
    <mergeCell ref="F36:F41"/>
    <mergeCell ref="A38:A4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65"/>
  <sheetViews>
    <sheetView workbookViewId="0">
      <pane ySplit="9" topLeftCell="A244" activePane="bottomLeft" state="frozen"/>
      <selection pane="bottomLeft" activeCell="H264" sqref="H264"/>
    </sheetView>
  </sheetViews>
  <sheetFormatPr defaultRowHeight="16.100000000000001" x14ac:dyDescent="0.35"/>
  <cols>
    <col min="1" max="1" width="13.453125" style="34" customWidth="1"/>
    <col min="2" max="2" width="7.1796875" customWidth="1"/>
    <col min="3" max="3" width="7.36328125" customWidth="1"/>
    <col min="4" max="4" width="7.90625" customWidth="1"/>
    <col min="5" max="5" width="5.54296875" customWidth="1"/>
    <col min="6" max="6" width="9.7265625" customWidth="1"/>
    <col min="7" max="7" width="12.1796875" customWidth="1"/>
    <col min="8" max="8" width="72.08984375" bestFit="1" customWidth="1"/>
    <col min="9" max="9" width="30.54296875" bestFit="1" customWidth="1"/>
    <col min="256" max="256" width="11.26953125" customWidth="1"/>
    <col min="257" max="257" width="8.453125" customWidth="1"/>
    <col min="258" max="258" width="7.1796875" customWidth="1"/>
    <col min="259" max="259" width="7.36328125" customWidth="1"/>
    <col min="260" max="260" width="7.90625" customWidth="1"/>
    <col min="261" max="261" width="5.54296875" customWidth="1"/>
    <col min="262" max="262" width="9.7265625" customWidth="1"/>
    <col min="263" max="263" width="12.1796875" customWidth="1"/>
    <col min="264" max="264" width="72.08984375" bestFit="1" customWidth="1"/>
    <col min="265" max="265" width="30.54296875" bestFit="1" customWidth="1"/>
    <col min="512" max="512" width="11.26953125" customWidth="1"/>
    <col min="513" max="513" width="8.453125" customWidth="1"/>
    <col min="514" max="514" width="7.1796875" customWidth="1"/>
    <col min="515" max="515" width="7.36328125" customWidth="1"/>
    <col min="516" max="516" width="7.90625" customWidth="1"/>
    <col min="517" max="517" width="5.54296875" customWidth="1"/>
    <col min="518" max="518" width="9.7265625" customWidth="1"/>
    <col min="519" max="519" width="12.1796875" customWidth="1"/>
    <col min="520" max="520" width="72.08984375" bestFit="1" customWidth="1"/>
    <col min="521" max="521" width="30.54296875" bestFit="1" customWidth="1"/>
    <col min="768" max="768" width="11.26953125" customWidth="1"/>
    <col min="769" max="769" width="8.453125" customWidth="1"/>
    <col min="770" max="770" width="7.1796875" customWidth="1"/>
    <col min="771" max="771" width="7.36328125" customWidth="1"/>
    <col min="772" max="772" width="7.90625" customWidth="1"/>
    <col min="773" max="773" width="5.54296875" customWidth="1"/>
    <col min="774" max="774" width="9.7265625" customWidth="1"/>
    <col min="775" max="775" width="12.1796875" customWidth="1"/>
    <col min="776" max="776" width="72.08984375" bestFit="1" customWidth="1"/>
    <col min="777" max="777" width="30.54296875" bestFit="1" customWidth="1"/>
    <col min="1024" max="1024" width="11.26953125" customWidth="1"/>
    <col min="1025" max="1025" width="8.453125" customWidth="1"/>
    <col min="1026" max="1026" width="7.1796875" customWidth="1"/>
    <col min="1027" max="1027" width="7.36328125" customWidth="1"/>
    <col min="1028" max="1028" width="7.90625" customWidth="1"/>
    <col min="1029" max="1029" width="5.54296875" customWidth="1"/>
    <col min="1030" max="1030" width="9.7265625" customWidth="1"/>
    <col min="1031" max="1031" width="12.1796875" customWidth="1"/>
    <col min="1032" max="1032" width="72.08984375" bestFit="1" customWidth="1"/>
    <col min="1033" max="1033" width="30.54296875" bestFit="1" customWidth="1"/>
    <col min="1280" max="1280" width="11.26953125" customWidth="1"/>
    <col min="1281" max="1281" width="8.453125" customWidth="1"/>
    <col min="1282" max="1282" width="7.1796875" customWidth="1"/>
    <col min="1283" max="1283" width="7.36328125" customWidth="1"/>
    <col min="1284" max="1284" width="7.90625" customWidth="1"/>
    <col min="1285" max="1285" width="5.54296875" customWidth="1"/>
    <col min="1286" max="1286" width="9.7265625" customWidth="1"/>
    <col min="1287" max="1287" width="12.1796875" customWidth="1"/>
    <col min="1288" max="1288" width="72.08984375" bestFit="1" customWidth="1"/>
    <col min="1289" max="1289" width="30.54296875" bestFit="1" customWidth="1"/>
    <col min="1536" max="1536" width="11.26953125" customWidth="1"/>
    <col min="1537" max="1537" width="8.453125" customWidth="1"/>
    <col min="1538" max="1538" width="7.1796875" customWidth="1"/>
    <col min="1539" max="1539" width="7.36328125" customWidth="1"/>
    <col min="1540" max="1540" width="7.90625" customWidth="1"/>
    <col min="1541" max="1541" width="5.54296875" customWidth="1"/>
    <col min="1542" max="1542" width="9.7265625" customWidth="1"/>
    <col min="1543" max="1543" width="12.1796875" customWidth="1"/>
    <col min="1544" max="1544" width="72.08984375" bestFit="1" customWidth="1"/>
    <col min="1545" max="1545" width="30.54296875" bestFit="1" customWidth="1"/>
    <col min="1792" max="1792" width="11.26953125" customWidth="1"/>
    <col min="1793" max="1793" width="8.453125" customWidth="1"/>
    <col min="1794" max="1794" width="7.1796875" customWidth="1"/>
    <col min="1795" max="1795" width="7.36328125" customWidth="1"/>
    <col min="1796" max="1796" width="7.90625" customWidth="1"/>
    <col min="1797" max="1797" width="5.54296875" customWidth="1"/>
    <col min="1798" max="1798" width="9.7265625" customWidth="1"/>
    <col min="1799" max="1799" width="12.1796875" customWidth="1"/>
    <col min="1800" max="1800" width="72.08984375" bestFit="1" customWidth="1"/>
    <col min="1801" max="1801" width="30.54296875" bestFit="1" customWidth="1"/>
    <col min="2048" max="2048" width="11.26953125" customWidth="1"/>
    <col min="2049" max="2049" width="8.453125" customWidth="1"/>
    <col min="2050" max="2050" width="7.1796875" customWidth="1"/>
    <col min="2051" max="2051" width="7.36328125" customWidth="1"/>
    <col min="2052" max="2052" width="7.90625" customWidth="1"/>
    <col min="2053" max="2053" width="5.54296875" customWidth="1"/>
    <col min="2054" max="2054" width="9.7265625" customWidth="1"/>
    <col min="2055" max="2055" width="12.1796875" customWidth="1"/>
    <col min="2056" max="2056" width="72.08984375" bestFit="1" customWidth="1"/>
    <col min="2057" max="2057" width="30.54296875" bestFit="1" customWidth="1"/>
    <col min="2304" max="2304" width="11.26953125" customWidth="1"/>
    <col min="2305" max="2305" width="8.453125" customWidth="1"/>
    <col min="2306" max="2306" width="7.1796875" customWidth="1"/>
    <col min="2307" max="2307" width="7.36328125" customWidth="1"/>
    <col min="2308" max="2308" width="7.90625" customWidth="1"/>
    <col min="2309" max="2309" width="5.54296875" customWidth="1"/>
    <col min="2310" max="2310" width="9.7265625" customWidth="1"/>
    <col min="2311" max="2311" width="12.1796875" customWidth="1"/>
    <col min="2312" max="2312" width="72.08984375" bestFit="1" customWidth="1"/>
    <col min="2313" max="2313" width="30.54296875" bestFit="1" customWidth="1"/>
    <col min="2560" max="2560" width="11.26953125" customWidth="1"/>
    <col min="2561" max="2561" width="8.453125" customWidth="1"/>
    <col min="2562" max="2562" width="7.1796875" customWidth="1"/>
    <col min="2563" max="2563" width="7.36328125" customWidth="1"/>
    <col min="2564" max="2564" width="7.90625" customWidth="1"/>
    <col min="2565" max="2565" width="5.54296875" customWidth="1"/>
    <col min="2566" max="2566" width="9.7265625" customWidth="1"/>
    <col min="2567" max="2567" width="12.1796875" customWidth="1"/>
    <col min="2568" max="2568" width="72.08984375" bestFit="1" customWidth="1"/>
    <col min="2569" max="2569" width="30.54296875" bestFit="1" customWidth="1"/>
    <col min="2816" max="2816" width="11.26953125" customWidth="1"/>
    <col min="2817" max="2817" width="8.453125" customWidth="1"/>
    <col min="2818" max="2818" width="7.1796875" customWidth="1"/>
    <col min="2819" max="2819" width="7.36328125" customWidth="1"/>
    <col min="2820" max="2820" width="7.90625" customWidth="1"/>
    <col min="2821" max="2821" width="5.54296875" customWidth="1"/>
    <col min="2822" max="2822" width="9.7265625" customWidth="1"/>
    <col min="2823" max="2823" width="12.1796875" customWidth="1"/>
    <col min="2824" max="2824" width="72.08984375" bestFit="1" customWidth="1"/>
    <col min="2825" max="2825" width="30.54296875" bestFit="1" customWidth="1"/>
    <col min="3072" max="3072" width="11.26953125" customWidth="1"/>
    <col min="3073" max="3073" width="8.453125" customWidth="1"/>
    <col min="3074" max="3074" width="7.1796875" customWidth="1"/>
    <col min="3075" max="3075" width="7.36328125" customWidth="1"/>
    <col min="3076" max="3076" width="7.90625" customWidth="1"/>
    <col min="3077" max="3077" width="5.54296875" customWidth="1"/>
    <col min="3078" max="3078" width="9.7265625" customWidth="1"/>
    <col min="3079" max="3079" width="12.1796875" customWidth="1"/>
    <col min="3080" max="3080" width="72.08984375" bestFit="1" customWidth="1"/>
    <col min="3081" max="3081" width="30.54296875" bestFit="1" customWidth="1"/>
    <col min="3328" max="3328" width="11.26953125" customWidth="1"/>
    <col min="3329" max="3329" width="8.453125" customWidth="1"/>
    <col min="3330" max="3330" width="7.1796875" customWidth="1"/>
    <col min="3331" max="3331" width="7.36328125" customWidth="1"/>
    <col min="3332" max="3332" width="7.90625" customWidth="1"/>
    <col min="3333" max="3333" width="5.54296875" customWidth="1"/>
    <col min="3334" max="3334" width="9.7265625" customWidth="1"/>
    <col min="3335" max="3335" width="12.1796875" customWidth="1"/>
    <col min="3336" max="3336" width="72.08984375" bestFit="1" customWidth="1"/>
    <col min="3337" max="3337" width="30.54296875" bestFit="1" customWidth="1"/>
    <col min="3584" max="3584" width="11.26953125" customWidth="1"/>
    <col min="3585" max="3585" width="8.453125" customWidth="1"/>
    <col min="3586" max="3586" width="7.1796875" customWidth="1"/>
    <col min="3587" max="3587" width="7.36328125" customWidth="1"/>
    <col min="3588" max="3588" width="7.90625" customWidth="1"/>
    <col min="3589" max="3589" width="5.54296875" customWidth="1"/>
    <col min="3590" max="3590" width="9.7265625" customWidth="1"/>
    <col min="3591" max="3591" width="12.1796875" customWidth="1"/>
    <col min="3592" max="3592" width="72.08984375" bestFit="1" customWidth="1"/>
    <col min="3593" max="3593" width="30.54296875" bestFit="1" customWidth="1"/>
    <col min="3840" max="3840" width="11.26953125" customWidth="1"/>
    <col min="3841" max="3841" width="8.453125" customWidth="1"/>
    <col min="3842" max="3842" width="7.1796875" customWidth="1"/>
    <col min="3843" max="3843" width="7.36328125" customWidth="1"/>
    <col min="3844" max="3844" width="7.90625" customWidth="1"/>
    <col min="3845" max="3845" width="5.54296875" customWidth="1"/>
    <col min="3846" max="3846" width="9.7265625" customWidth="1"/>
    <col min="3847" max="3847" width="12.1796875" customWidth="1"/>
    <col min="3848" max="3848" width="72.08984375" bestFit="1" customWidth="1"/>
    <col min="3849" max="3849" width="30.54296875" bestFit="1" customWidth="1"/>
    <col min="4096" max="4096" width="11.26953125" customWidth="1"/>
    <col min="4097" max="4097" width="8.453125" customWidth="1"/>
    <col min="4098" max="4098" width="7.1796875" customWidth="1"/>
    <col min="4099" max="4099" width="7.36328125" customWidth="1"/>
    <col min="4100" max="4100" width="7.90625" customWidth="1"/>
    <col min="4101" max="4101" width="5.54296875" customWidth="1"/>
    <col min="4102" max="4102" width="9.7265625" customWidth="1"/>
    <col min="4103" max="4103" width="12.1796875" customWidth="1"/>
    <col min="4104" max="4104" width="72.08984375" bestFit="1" customWidth="1"/>
    <col min="4105" max="4105" width="30.54296875" bestFit="1" customWidth="1"/>
    <col min="4352" max="4352" width="11.26953125" customWidth="1"/>
    <col min="4353" max="4353" width="8.453125" customWidth="1"/>
    <col min="4354" max="4354" width="7.1796875" customWidth="1"/>
    <col min="4355" max="4355" width="7.36328125" customWidth="1"/>
    <col min="4356" max="4356" width="7.90625" customWidth="1"/>
    <col min="4357" max="4357" width="5.54296875" customWidth="1"/>
    <col min="4358" max="4358" width="9.7265625" customWidth="1"/>
    <col min="4359" max="4359" width="12.1796875" customWidth="1"/>
    <col min="4360" max="4360" width="72.08984375" bestFit="1" customWidth="1"/>
    <col min="4361" max="4361" width="30.54296875" bestFit="1" customWidth="1"/>
    <col min="4608" max="4608" width="11.26953125" customWidth="1"/>
    <col min="4609" max="4609" width="8.453125" customWidth="1"/>
    <col min="4610" max="4610" width="7.1796875" customWidth="1"/>
    <col min="4611" max="4611" width="7.36328125" customWidth="1"/>
    <col min="4612" max="4612" width="7.90625" customWidth="1"/>
    <col min="4613" max="4613" width="5.54296875" customWidth="1"/>
    <col min="4614" max="4614" width="9.7265625" customWidth="1"/>
    <col min="4615" max="4615" width="12.1796875" customWidth="1"/>
    <col min="4616" max="4616" width="72.08984375" bestFit="1" customWidth="1"/>
    <col min="4617" max="4617" width="30.54296875" bestFit="1" customWidth="1"/>
    <col min="4864" max="4864" width="11.26953125" customWidth="1"/>
    <col min="4865" max="4865" width="8.453125" customWidth="1"/>
    <col min="4866" max="4866" width="7.1796875" customWidth="1"/>
    <col min="4867" max="4867" width="7.36328125" customWidth="1"/>
    <col min="4868" max="4868" width="7.90625" customWidth="1"/>
    <col min="4869" max="4869" width="5.54296875" customWidth="1"/>
    <col min="4870" max="4870" width="9.7265625" customWidth="1"/>
    <col min="4871" max="4871" width="12.1796875" customWidth="1"/>
    <col min="4872" max="4872" width="72.08984375" bestFit="1" customWidth="1"/>
    <col min="4873" max="4873" width="30.54296875" bestFit="1" customWidth="1"/>
    <col min="5120" max="5120" width="11.26953125" customWidth="1"/>
    <col min="5121" max="5121" width="8.453125" customWidth="1"/>
    <col min="5122" max="5122" width="7.1796875" customWidth="1"/>
    <col min="5123" max="5123" width="7.36328125" customWidth="1"/>
    <col min="5124" max="5124" width="7.90625" customWidth="1"/>
    <col min="5125" max="5125" width="5.54296875" customWidth="1"/>
    <col min="5126" max="5126" width="9.7265625" customWidth="1"/>
    <col min="5127" max="5127" width="12.1796875" customWidth="1"/>
    <col min="5128" max="5128" width="72.08984375" bestFit="1" customWidth="1"/>
    <col min="5129" max="5129" width="30.54296875" bestFit="1" customWidth="1"/>
    <col min="5376" max="5376" width="11.26953125" customWidth="1"/>
    <col min="5377" max="5377" width="8.453125" customWidth="1"/>
    <col min="5378" max="5378" width="7.1796875" customWidth="1"/>
    <col min="5379" max="5379" width="7.36328125" customWidth="1"/>
    <col min="5380" max="5380" width="7.90625" customWidth="1"/>
    <col min="5381" max="5381" width="5.54296875" customWidth="1"/>
    <col min="5382" max="5382" width="9.7265625" customWidth="1"/>
    <col min="5383" max="5383" width="12.1796875" customWidth="1"/>
    <col min="5384" max="5384" width="72.08984375" bestFit="1" customWidth="1"/>
    <col min="5385" max="5385" width="30.54296875" bestFit="1" customWidth="1"/>
    <col min="5632" max="5632" width="11.26953125" customWidth="1"/>
    <col min="5633" max="5633" width="8.453125" customWidth="1"/>
    <col min="5634" max="5634" width="7.1796875" customWidth="1"/>
    <col min="5635" max="5635" width="7.36328125" customWidth="1"/>
    <col min="5636" max="5636" width="7.90625" customWidth="1"/>
    <col min="5637" max="5637" width="5.54296875" customWidth="1"/>
    <col min="5638" max="5638" width="9.7265625" customWidth="1"/>
    <col min="5639" max="5639" width="12.1796875" customWidth="1"/>
    <col min="5640" max="5640" width="72.08984375" bestFit="1" customWidth="1"/>
    <col min="5641" max="5641" width="30.54296875" bestFit="1" customWidth="1"/>
    <col min="5888" max="5888" width="11.26953125" customWidth="1"/>
    <col min="5889" max="5889" width="8.453125" customWidth="1"/>
    <col min="5890" max="5890" width="7.1796875" customWidth="1"/>
    <col min="5891" max="5891" width="7.36328125" customWidth="1"/>
    <col min="5892" max="5892" width="7.90625" customWidth="1"/>
    <col min="5893" max="5893" width="5.54296875" customWidth="1"/>
    <col min="5894" max="5894" width="9.7265625" customWidth="1"/>
    <col min="5895" max="5895" width="12.1796875" customWidth="1"/>
    <col min="5896" max="5896" width="72.08984375" bestFit="1" customWidth="1"/>
    <col min="5897" max="5897" width="30.54296875" bestFit="1" customWidth="1"/>
    <col min="6144" max="6144" width="11.26953125" customWidth="1"/>
    <col min="6145" max="6145" width="8.453125" customWidth="1"/>
    <col min="6146" max="6146" width="7.1796875" customWidth="1"/>
    <col min="6147" max="6147" width="7.36328125" customWidth="1"/>
    <col min="6148" max="6148" width="7.90625" customWidth="1"/>
    <col min="6149" max="6149" width="5.54296875" customWidth="1"/>
    <col min="6150" max="6150" width="9.7265625" customWidth="1"/>
    <col min="6151" max="6151" width="12.1796875" customWidth="1"/>
    <col min="6152" max="6152" width="72.08984375" bestFit="1" customWidth="1"/>
    <col min="6153" max="6153" width="30.54296875" bestFit="1" customWidth="1"/>
    <col min="6400" max="6400" width="11.26953125" customWidth="1"/>
    <col min="6401" max="6401" width="8.453125" customWidth="1"/>
    <col min="6402" max="6402" width="7.1796875" customWidth="1"/>
    <col min="6403" max="6403" width="7.36328125" customWidth="1"/>
    <col min="6404" max="6404" width="7.90625" customWidth="1"/>
    <col min="6405" max="6405" width="5.54296875" customWidth="1"/>
    <col min="6406" max="6406" width="9.7265625" customWidth="1"/>
    <col min="6407" max="6407" width="12.1796875" customWidth="1"/>
    <col min="6408" max="6408" width="72.08984375" bestFit="1" customWidth="1"/>
    <col min="6409" max="6409" width="30.54296875" bestFit="1" customWidth="1"/>
    <col min="6656" max="6656" width="11.26953125" customWidth="1"/>
    <col min="6657" max="6657" width="8.453125" customWidth="1"/>
    <col min="6658" max="6658" width="7.1796875" customWidth="1"/>
    <col min="6659" max="6659" width="7.36328125" customWidth="1"/>
    <col min="6660" max="6660" width="7.90625" customWidth="1"/>
    <col min="6661" max="6661" width="5.54296875" customWidth="1"/>
    <col min="6662" max="6662" width="9.7265625" customWidth="1"/>
    <col min="6663" max="6663" width="12.1796875" customWidth="1"/>
    <col min="6664" max="6664" width="72.08984375" bestFit="1" customWidth="1"/>
    <col min="6665" max="6665" width="30.54296875" bestFit="1" customWidth="1"/>
    <col min="6912" max="6912" width="11.26953125" customWidth="1"/>
    <col min="6913" max="6913" width="8.453125" customWidth="1"/>
    <col min="6914" max="6914" width="7.1796875" customWidth="1"/>
    <col min="6915" max="6915" width="7.36328125" customWidth="1"/>
    <col min="6916" max="6916" width="7.90625" customWidth="1"/>
    <col min="6917" max="6917" width="5.54296875" customWidth="1"/>
    <col min="6918" max="6918" width="9.7265625" customWidth="1"/>
    <col min="6919" max="6919" width="12.1796875" customWidth="1"/>
    <col min="6920" max="6920" width="72.08984375" bestFit="1" customWidth="1"/>
    <col min="6921" max="6921" width="30.54296875" bestFit="1" customWidth="1"/>
    <col min="7168" max="7168" width="11.26953125" customWidth="1"/>
    <col min="7169" max="7169" width="8.453125" customWidth="1"/>
    <col min="7170" max="7170" width="7.1796875" customWidth="1"/>
    <col min="7171" max="7171" width="7.36328125" customWidth="1"/>
    <col min="7172" max="7172" width="7.90625" customWidth="1"/>
    <col min="7173" max="7173" width="5.54296875" customWidth="1"/>
    <col min="7174" max="7174" width="9.7265625" customWidth="1"/>
    <col min="7175" max="7175" width="12.1796875" customWidth="1"/>
    <col min="7176" max="7176" width="72.08984375" bestFit="1" customWidth="1"/>
    <col min="7177" max="7177" width="30.54296875" bestFit="1" customWidth="1"/>
    <col min="7424" max="7424" width="11.26953125" customWidth="1"/>
    <col min="7425" max="7425" width="8.453125" customWidth="1"/>
    <col min="7426" max="7426" width="7.1796875" customWidth="1"/>
    <col min="7427" max="7427" width="7.36328125" customWidth="1"/>
    <col min="7428" max="7428" width="7.90625" customWidth="1"/>
    <col min="7429" max="7429" width="5.54296875" customWidth="1"/>
    <col min="7430" max="7430" width="9.7265625" customWidth="1"/>
    <col min="7431" max="7431" width="12.1796875" customWidth="1"/>
    <col min="7432" max="7432" width="72.08984375" bestFit="1" customWidth="1"/>
    <col min="7433" max="7433" width="30.54296875" bestFit="1" customWidth="1"/>
    <col min="7680" max="7680" width="11.26953125" customWidth="1"/>
    <col min="7681" max="7681" width="8.453125" customWidth="1"/>
    <col min="7682" max="7682" width="7.1796875" customWidth="1"/>
    <col min="7683" max="7683" width="7.36328125" customWidth="1"/>
    <col min="7684" max="7684" width="7.90625" customWidth="1"/>
    <col min="7685" max="7685" width="5.54296875" customWidth="1"/>
    <col min="7686" max="7686" width="9.7265625" customWidth="1"/>
    <col min="7687" max="7687" width="12.1796875" customWidth="1"/>
    <col min="7688" max="7688" width="72.08984375" bestFit="1" customWidth="1"/>
    <col min="7689" max="7689" width="30.54296875" bestFit="1" customWidth="1"/>
    <col min="7936" max="7936" width="11.26953125" customWidth="1"/>
    <col min="7937" max="7937" width="8.453125" customWidth="1"/>
    <col min="7938" max="7938" width="7.1796875" customWidth="1"/>
    <col min="7939" max="7939" width="7.36328125" customWidth="1"/>
    <col min="7940" max="7940" width="7.90625" customWidth="1"/>
    <col min="7941" max="7941" width="5.54296875" customWidth="1"/>
    <col min="7942" max="7942" width="9.7265625" customWidth="1"/>
    <col min="7943" max="7943" width="12.1796875" customWidth="1"/>
    <col min="7944" max="7944" width="72.08984375" bestFit="1" customWidth="1"/>
    <col min="7945" max="7945" width="30.54296875" bestFit="1" customWidth="1"/>
    <col min="8192" max="8192" width="11.26953125" customWidth="1"/>
    <col min="8193" max="8193" width="8.453125" customWidth="1"/>
    <col min="8194" max="8194" width="7.1796875" customWidth="1"/>
    <col min="8195" max="8195" width="7.36328125" customWidth="1"/>
    <col min="8196" max="8196" width="7.90625" customWidth="1"/>
    <col min="8197" max="8197" width="5.54296875" customWidth="1"/>
    <col min="8198" max="8198" width="9.7265625" customWidth="1"/>
    <col min="8199" max="8199" width="12.1796875" customWidth="1"/>
    <col min="8200" max="8200" width="72.08984375" bestFit="1" customWidth="1"/>
    <col min="8201" max="8201" width="30.54296875" bestFit="1" customWidth="1"/>
    <col min="8448" max="8448" width="11.26953125" customWidth="1"/>
    <col min="8449" max="8449" width="8.453125" customWidth="1"/>
    <col min="8450" max="8450" width="7.1796875" customWidth="1"/>
    <col min="8451" max="8451" width="7.36328125" customWidth="1"/>
    <col min="8452" max="8452" width="7.90625" customWidth="1"/>
    <col min="8453" max="8453" width="5.54296875" customWidth="1"/>
    <col min="8454" max="8454" width="9.7265625" customWidth="1"/>
    <col min="8455" max="8455" width="12.1796875" customWidth="1"/>
    <col min="8456" max="8456" width="72.08984375" bestFit="1" customWidth="1"/>
    <col min="8457" max="8457" width="30.54296875" bestFit="1" customWidth="1"/>
    <col min="8704" max="8704" width="11.26953125" customWidth="1"/>
    <col min="8705" max="8705" width="8.453125" customWidth="1"/>
    <col min="8706" max="8706" width="7.1796875" customWidth="1"/>
    <col min="8707" max="8707" width="7.36328125" customWidth="1"/>
    <col min="8708" max="8708" width="7.90625" customWidth="1"/>
    <col min="8709" max="8709" width="5.54296875" customWidth="1"/>
    <col min="8710" max="8710" width="9.7265625" customWidth="1"/>
    <col min="8711" max="8711" width="12.1796875" customWidth="1"/>
    <col min="8712" max="8712" width="72.08984375" bestFit="1" customWidth="1"/>
    <col min="8713" max="8713" width="30.54296875" bestFit="1" customWidth="1"/>
    <col min="8960" max="8960" width="11.26953125" customWidth="1"/>
    <col min="8961" max="8961" width="8.453125" customWidth="1"/>
    <col min="8962" max="8962" width="7.1796875" customWidth="1"/>
    <col min="8963" max="8963" width="7.36328125" customWidth="1"/>
    <col min="8964" max="8964" width="7.90625" customWidth="1"/>
    <col min="8965" max="8965" width="5.54296875" customWidth="1"/>
    <col min="8966" max="8966" width="9.7265625" customWidth="1"/>
    <col min="8967" max="8967" width="12.1796875" customWidth="1"/>
    <col min="8968" max="8968" width="72.08984375" bestFit="1" customWidth="1"/>
    <col min="8969" max="8969" width="30.54296875" bestFit="1" customWidth="1"/>
    <col min="9216" max="9216" width="11.26953125" customWidth="1"/>
    <col min="9217" max="9217" width="8.453125" customWidth="1"/>
    <col min="9218" max="9218" width="7.1796875" customWidth="1"/>
    <col min="9219" max="9219" width="7.36328125" customWidth="1"/>
    <col min="9220" max="9220" width="7.90625" customWidth="1"/>
    <col min="9221" max="9221" width="5.54296875" customWidth="1"/>
    <col min="9222" max="9222" width="9.7265625" customWidth="1"/>
    <col min="9223" max="9223" width="12.1796875" customWidth="1"/>
    <col min="9224" max="9224" width="72.08984375" bestFit="1" customWidth="1"/>
    <col min="9225" max="9225" width="30.54296875" bestFit="1" customWidth="1"/>
    <col min="9472" max="9472" width="11.26953125" customWidth="1"/>
    <col min="9473" max="9473" width="8.453125" customWidth="1"/>
    <col min="9474" max="9474" width="7.1796875" customWidth="1"/>
    <col min="9475" max="9475" width="7.36328125" customWidth="1"/>
    <col min="9476" max="9476" width="7.90625" customWidth="1"/>
    <col min="9477" max="9477" width="5.54296875" customWidth="1"/>
    <col min="9478" max="9478" width="9.7265625" customWidth="1"/>
    <col min="9479" max="9479" width="12.1796875" customWidth="1"/>
    <col min="9480" max="9480" width="72.08984375" bestFit="1" customWidth="1"/>
    <col min="9481" max="9481" width="30.54296875" bestFit="1" customWidth="1"/>
    <col min="9728" max="9728" width="11.26953125" customWidth="1"/>
    <col min="9729" max="9729" width="8.453125" customWidth="1"/>
    <col min="9730" max="9730" width="7.1796875" customWidth="1"/>
    <col min="9731" max="9731" width="7.36328125" customWidth="1"/>
    <col min="9732" max="9732" width="7.90625" customWidth="1"/>
    <col min="9733" max="9733" width="5.54296875" customWidth="1"/>
    <col min="9734" max="9734" width="9.7265625" customWidth="1"/>
    <col min="9735" max="9735" width="12.1796875" customWidth="1"/>
    <col min="9736" max="9736" width="72.08984375" bestFit="1" customWidth="1"/>
    <col min="9737" max="9737" width="30.54296875" bestFit="1" customWidth="1"/>
    <col min="9984" max="9984" width="11.26953125" customWidth="1"/>
    <col min="9985" max="9985" width="8.453125" customWidth="1"/>
    <col min="9986" max="9986" width="7.1796875" customWidth="1"/>
    <col min="9987" max="9987" width="7.36328125" customWidth="1"/>
    <col min="9988" max="9988" width="7.90625" customWidth="1"/>
    <col min="9989" max="9989" width="5.54296875" customWidth="1"/>
    <col min="9990" max="9990" width="9.7265625" customWidth="1"/>
    <col min="9991" max="9991" width="12.1796875" customWidth="1"/>
    <col min="9992" max="9992" width="72.08984375" bestFit="1" customWidth="1"/>
    <col min="9993" max="9993" width="30.54296875" bestFit="1" customWidth="1"/>
    <col min="10240" max="10240" width="11.26953125" customWidth="1"/>
    <col min="10241" max="10241" width="8.453125" customWidth="1"/>
    <col min="10242" max="10242" width="7.1796875" customWidth="1"/>
    <col min="10243" max="10243" width="7.36328125" customWidth="1"/>
    <col min="10244" max="10244" width="7.90625" customWidth="1"/>
    <col min="10245" max="10245" width="5.54296875" customWidth="1"/>
    <col min="10246" max="10246" width="9.7265625" customWidth="1"/>
    <col min="10247" max="10247" width="12.1796875" customWidth="1"/>
    <col min="10248" max="10248" width="72.08984375" bestFit="1" customWidth="1"/>
    <col min="10249" max="10249" width="30.54296875" bestFit="1" customWidth="1"/>
    <col min="10496" max="10496" width="11.26953125" customWidth="1"/>
    <col min="10497" max="10497" width="8.453125" customWidth="1"/>
    <col min="10498" max="10498" width="7.1796875" customWidth="1"/>
    <col min="10499" max="10499" width="7.36328125" customWidth="1"/>
    <col min="10500" max="10500" width="7.90625" customWidth="1"/>
    <col min="10501" max="10501" width="5.54296875" customWidth="1"/>
    <col min="10502" max="10502" width="9.7265625" customWidth="1"/>
    <col min="10503" max="10503" width="12.1796875" customWidth="1"/>
    <col min="10504" max="10504" width="72.08984375" bestFit="1" customWidth="1"/>
    <col min="10505" max="10505" width="30.54296875" bestFit="1" customWidth="1"/>
    <col min="10752" max="10752" width="11.26953125" customWidth="1"/>
    <col min="10753" max="10753" width="8.453125" customWidth="1"/>
    <col min="10754" max="10754" width="7.1796875" customWidth="1"/>
    <col min="10755" max="10755" width="7.36328125" customWidth="1"/>
    <col min="10756" max="10756" width="7.90625" customWidth="1"/>
    <col min="10757" max="10757" width="5.54296875" customWidth="1"/>
    <col min="10758" max="10758" width="9.7265625" customWidth="1"/>
    <col min="10759" max="10759" width="12.1796875" customWidth="1"/>
    <col min="10760" max="10760" width="72.08984375" bestFit="1" customWidth="1"/>
    <col min="10761" max="10761" width="30.54296875" bestFit="1" customWidth="1"/>
    <col min="11008" max="11008" width="11.26953125" customWidth="1"/>
    <col min="11009" max="11009" width="8.453125" customWidth="1"/>
    <col min="11010" max="11010" width="7.1796875" customWidth="1"/>
    <col min="11011" max="11011" width="7.36328125" customWidth="1"/>
    <col min="11012" max="11012" width="7.90625" customWidth="1"/>
    <col min="11013" max="11013" width="5.54296875" customWidth="1"/>
    <col min="11014" max="11014" width="9.7265625" customWidth="1"/>
    <col min="11015" max="11015" width="12.1796875" customWidth="1"/>
    <col min="11016" max="11016" width="72.08984375" bestFit="1" customWidth="1"/>
    <col min="11017" max="11017" width="30.54296875" bestFit="1" customWidth="1"/>
    <col min="11264" max="11264" width="11.26953125" customWidth="1"/>
    <col min="11265" max="11265" width="8.453125" customWidth="1"/>
    <col min="11266" max="11266" width="7.1796875" customWidth="1"/>
    <col min="11267" max="11267" width="7.36328125" customWidth="1"/>
    <col min="11268" max="11268" width="7.90625" customWidth="1"/>
    <col min="11269" max="11269" width="5.54296875" customWidth="1"/>
    <col min="11270" max="11270" width="9.7265625" customWidth="1"/>
    <col min="11271" max="11271" width="12.1796875" customWidth="1"/>
    <col min="11272" max="11272" width="72.08984375" bestFit="1" customWidth="1"/>
    <col min="11273" max="11273" width="30.54296875" bestFit="1" customWidth="1"/>
    <col min="11520" max="11520" width="11.26953125" customWidth="1"/>
    <col min="11521" max="11521" width="8.453125" customWidth="1"/>
    <col min="11522" max="11522" width="7.1796875" customWidth="1"/>
    <col min="11523" max="11523" width="7.36328125" customWidth="1"/>
    <col min="11524" max="11524" width="7.90625" customWidth="1"/>
    <col min="11525" max="11525" width="5.54296875" customWidth="1"/>
    <col min="11526" max="11526" width="9.7265625" customWidth="1"/>
    <col min="11527" max="11527" width="12.1796875" customWidth="1"/>
    <col min="11528" max="11528" width="72.08984375" bestFit="1" customWidth="1"/>
    <col min="11529" max="11529" width="30.54296875" bestFit="1" customWidth="1"/>
    <col min="11776" max="11776" width="11.26953125" customWidth="1"/>
    <col min="11777" max="11777" width="8.453125" customWidth="1"/>
    <col min="11778" max="11778" width="7.1796875" customWidth="1"/>
    <col min="11779" max="11779" width="7.36328125" customWidth="1"/>
    <col min="11780" max="11780" width="7.90625" customWidth="1"/>
    <col min="11781" max="11781" width="5.54296875" customWidth="1"/>
    <col min="11782" max="11782" width="9.7265625" customWidth="1"/>
    <col min="11783" max="11783" width="12.1796875" customWidth="1"/>
    <col min="11784" max="11784" width="72.08984375" bestFit="1" customWidth="1"/>
    <col min="11785" max="11785" width="30.54296875" bestFit="1" customWidth="1"/>
    <col min="12032" max="12032" width="11.26953125" customWidth="1"/>
    <col min="12033" max="12033" width="8.453125" customWidth="1"/>
    <col min="12034" max="12034" width="7.1796875" customWidth="1"/>
    <col min="12035" max="12035" width="7.36328125" customWidth="1"/>
    <col min="12036" max="12036" width="7.90625" customWidth="1"/>
    <col min="12037" max="12037" width="5.54296875" customWidth="1"/>
    <col min="12038" max="12038" width="9.7265625" customWidth="1"/>
    <col min="12039" max="12039" width="12.1796875" customWidth="1"/>
    <col min="12040" max="12040" width="72.08984375" bestFit="1" customWidth="1"/>
    <col min="12041" max="12041" width="30.54296875" bestFit="1" customWidth="1"/>
    <col min="12288" max="12288" width="11.26953125" customWidth="1"/>
    <col min="12289" max="12289" width="8.453125" customWidth="1"/>
    <col min="12290" max="12290" width="7.1796875" customWidth="1"/>
    <col min="12291" max="12291" width="7.36328125" customWidth="1"/>
    <col min="12292" max="12292" width="7.90625" customWidth="1"/>
    <col min="12293" max="12293" width="5.54296875" customWidth="1"/>
    <col min="12294" max="12294" width="9.7265625" customWidth="1"/>
    <col min="12295" max="12295" width="12.1796875" customWidth="1"/>
    <col min="12296" max="12296" width="72.08984375" bestFit="1" customWidth="1"/>
    <col min="12297" max="12297" width="30.54296875" bestFit="1" customWidth="1"/>
    <col min="12544" max="12544" width="11.26953125" customWidth="1"/>
    <col min="12545" max="12545" width="8.453125" customWidth="1"/>
    <col min="12546" max="12546" width="7.1796875" customWidth="1"/>
    <col min="12547" max="12547" width="7.36328125" customWidth="1"/>
    <col min="12548" max="12548" width="7.90625" customWidth="1"/>
    <col min="12549" max="12549" width="5.54296875" customWidth="1"/>
    <col min="12550" max="12550" width="9.7265625" customWidth="1"/>
    <col min="12551" max="12551" width="12.1796875" customWidth="1"/>
    <col min="12552" max="12552" width="72.08984375" bestFit="1" customWidth="1"/>
    <col min="12553" max="12553" width="30.54296875" bestFit="1" customWidth="1"/>
    <col min="12800" max="12800" width="11.26953125" customWidth="1"/>
    <col min="12801" max="12801" width="8.453125" customWidth="1"/>
    <col min="12802" max="12802" width="7.1796875" customWidth="1"/>
    <col min="12803" max="12803" width="7.36328125" customWidth="1"/>
    <col min="12804" max="12804" width="7.90625" customWidth="1"/>
    <col min="12805" max="12805" width="5.54296875" customWidth="1"/>
    <col min="12806" max="12806" width="9.7265625" customWidth="1"/>
    <col min="12807" max="12807" width="12.1796875" customWidth="1"/>
    <col min="12808" max="12808" width="72.08984375" bestFit="1" customWidth="1"/>
    <col min="12809" max="12809" width="30.54296875" bestFit="1" customWidth="1"/>
    <col min="13056" max="13056" width="11.26953125" customWidth="1"/>
    <col min="13057" max="13057" width="8.453125" customWidth="1"/>
    <col min="13058" max="13058" width="7.1796875" customWidth="1"/>
    <col min="13059" max="13059" width="7.36328125" customWidth="1"/>
    <col min="13060" max="13060" width="7.90625" customWidth="1"/>
    <col min="13061" max="13061" width="5.54296875" customWidth="1"/>
    <col min="13062" max="13062" width="9.7265625" customWidth="1"/>
    <col min="13063" max="13063" width="12.1796875" customWidth="1"/>
    <col min="13064" max="13064" width="72.08984375" bestFit="1" customWidth="1"/>
    <col min="13065" max="13065" width="30.54296875" bestFit="1" customWidth="1"/>
    <col min="13312" max="13312" width="11.26953125" customWidth="1"/>
    <col min="13313" max="13313" width="8.453125" customWidth="1"/>
    <col min="13314" max="13314" width="7.1796875" customWidth="1"/>
    <col min="13315" max="13315" width="7.36328125" customWidth="1"/>
    <col min="13316" max="13316" width="7.90625" customWidth="1"/>
    <col min="13317" max="13317" width="5.54296875" customWidth="1"/>
    <col min="13318" max="13318" width="9.7265625" customWidth="1"/>
    <col min="13319" max="13319" width="12.1796875" customWidth="1"/>
    <col min="13320" max="13320" width="72.08984375" bestFit="1" customWidth="1"/>
    <col min="13321" max="13321" width="30.54296875" bestFit="1" customWidth="1"/>
    <col min="13568" max="13568" width="11.26953125" customWidth="1"/>
    <col min="13569" max="13569" width="8.453125" customWidth="1"/>
    <col min="13570" max="13570" width="7.1796875" customWidth="1"/>
    <col min="13571" max="13571" width="7.36328125" customWidth="1"/>
    <col min="13572" max="13572" width="7.90625" customWidth="1"/>
    <col min="13573" max="13573" width="5.54296875" customWidth="1"/>
    <col min="13574" max="13574" width="9.7265625" customWidth="1"/>
    <col min="13575" max="13575" width="12.1796875" customWidth="1"/>
    <col min="13576" max="13576" width="72.08984375" bestFit="1" customWidth="1"/>
    <col min="13577" max="13577" width="30.54296875" bestFit="1" customWidth="1"/>
    <col min="13824" max="13824" width="11.26953125" customWidth="1"/>
    <col min="13825" max="13825" width="8.453125" customWidth="1"/>
    <col min="13826" max="13826" width="7.1796875" customWidth="1"/>
    <col min="13827" max="13827" width="7.36328125" customWidth="1"/>
    <col min="13828" max="13828" width="7.90625" customWidth="1"/>
    <col min="13829" max="13829" width="5.54296875" customWidth="1"/>
    <col min="13830" max="13830" width="9.7265625" customWidth="1"/>
    <col min="13831" max="13831" width="12.1796875" customWidth="1"/>
    <col min="13832" max="13832" width="72.08984375" bestFit="1" customWidth="1"/>
    <col min="13833" max="13833" width="30.54296875" bestFit="1" customWidth="1"/>
    <col min="14080" max="14080" width="11.26953125" customWidth="1"/>
    <col min="14081" max="14081" width="8.453125" customWidth="1"/>
    <col min="14082" max="14082" width="7.1796875" customWidth="1"/>
    <col min="14083" max="14083" width="7.36328125" customWidth="1"/>
    <col min="14084" max="14084" width="7.90625" customWidth="1"/>
    <col min="14085" max="14085" width="5.54296875" customWidth="1"/>
    <col min="14086" max="14086" width="9.7265625" customWidth="1"/>
    <col min="14087" max="14087" width="12.1796875" customWidth="1"/>
    <col min="14088" max="14088" width="72.08984375" bestFit="1" customWidth="1"/>
    <col min="14089" max="14089" width="30.54296875" bestFit="1" customWidth="1"/>
    <col min="14336" max="14336" width="11.26953125" customWidth="1"/>
    <col min="14337" max="14337" width="8.453125" customWidth="1"/>
    <col min="14338" max="14338" width="7.1796875" customWidth="1"/>
    <col min="14339" max="14339" width="7.36328125" customWidth="1"/>
    <col min="14340" max="14340" width="7.90625" customWidth="1"/>
    <col min="14341" max="14341" width="5.54296875" customWidth="1"/>
    <col min="14342" max="14342" width="9.7265625" customWidth="1"/>
    <col min="14343" max="14343" width="12.1796875" customWidth="1"/>
    <col min="14344" max="14344" width="72.08984375" bestFit="1" customWidth="1"/>
    <col min="14345" max="14345" width="30.54296875" bestFit="1" customWidth="1"/>
    <col min="14592" max="14592" width="11.26953125" customWidth="1"/>
    <col min="14593" max="14593" width="8.453125" customWidth="1"/>
    <col min="14594" max="14594" width="7.1796875" customWidth="1"/>
    <col min="14595" max="14595" width="7.36328125" customWidth="1"/>
    <col min="14596" max="14596" width="7.90625" customWidth="1"/>
    <col min="14597" max="14597" width="5.54296875" customWidth="1"/>
    <col min="14598" max="14598" width="9.7265625" customWidth="1"/>
    <col min="14599" max="14599" width="12.1796875" customWidth="1"/>
    <col min="14600" max="14600" width="72.08984375" bestFit="1" customWidth="1"/>
    <col min="14601" max="14601" width="30.54296875" bestFit="1" customWidth="1"/>
    <col min="14848" max="14848" width="11.26953125" customWidth="1"/>
    <col min="14849" max="14849" width="8.453125" customWidth="1"/>
    <col min="14850" max="14850" width="7.1796875" customWidth="1"/>
    <col min="14851" max="14851" width="7.36328125" customWidth="1"/>
    <col min="14852" max="14852" width="7.90625" customWidth="1"/>
    <col min="14853" max="14853" width="5.54296875" customWidth="1"/>
    <col min="14854" max="14854" width="9.7265625" customWidth="1"/>
    <col min="14855" max="14855" width="12.1796875" customWidth="1"/>
    <col min="14856" max="14856" width="72.08984375" bestFit="1" customWidth="1"/>
    <col min="14857" max="14857" width="30.54296875" bestFit="1" customWidth="1"/>
    <col min="15104" max="15104" width="11.26953125" customWidth="1"/>
    <col min="15105" max="15105" width="8.453125" customWidth="1"/>
    <col min="15106" max="15106" width="7.1796875" customWidth="1"/>
    <col min="15107" max="15107" width="7.36328125" customWidth="1"/>
    <col min="15108" max="15108" width="7.90625" customWidth="1"/>
    <col min="15109" max="15109" width="5.54296875" customWidth="1"/>
    <col min="15110" max="15110" width="9.7265625" customWidth="1"/>
    <col min="15111" max="15111" width="12.1796875" customWidth="1"/>
    <col min="15112" max="15112" width="72.08984375" bestFit="1" customWidth="1"/>
    <col min="15113" max="15113" width="30.54296875" bestFit="1" customWidth="1"/>
    <col min="15360" max="15360" width="11.26953125" customWidth="1"/>
    <col min="15361" max="15361" width="8.453125" customWidth="1"/>
    <col min="15362" max="15362" width="7.1796875" customWidth="1"/>
    <col min="15363" max="15363" width="7.36328125" customWidth="1"/>
    <col min="15364" max="15364" width="7.90625" customWidth="1"/>
    <col min="15365" max="15365" width="5.54296875" customWidth="1"/>
    <col min="15366" max="15366" width="9.7265625" customWidth="1"/>
    <col min="15367" max="15367" width="12.1796875" customWidth="1"/>
    <col min="15368" max="15368" width="72.08984375" bestFit="1" customWidth="1"/>
    <col min="15369" max="15369" width="30.54296875" bestFit="1" customWidth="1"/>
    <col min="15616" max="15616" width="11.26953125" customWidth="1"/>
    <col min="15617" max="15617" width="8.453125" customWidth="1"/>
    <col min="15618" max="15618" width="7.1796875" customWidth="1"/>
    <col min="15619" max="15619" width="7.36328125" customWidth="1"/>
    <col min="15620" max="15620" width="7.90625" customWidth="1"/>
    <col min="15621" max="15621" width="5.54296875" customWidth="1"/>
    <col min="15622" max="15622" width="9.7265625" customWidth="1"/>
    <col min="15623" max="15623" width="12.1796875" customWidth="1"/>
    <col min="15624" max="15624" width="72.08984375" bestFit="1" customWidth="1"/>
    <col min="15625" max="15625" width="30.54296875" bestFit="1" customWidth="1"/>
    <col min="15872" max="15872" width="11.26953125" customWidth="1"/>
    <col min="15873" max="15873" width="8.453125" customWidth="1"/>
    <col min="15874" max="15874" width="7.1796875" customWidth="1"/>
    <col min="15875" max="15875" width="7.36328125" customWidth="1"/>
    <col min="15876" max="15876" width="7.90625" customWidth="1"/>
    <col min="15877" max="15877" width="5.54296875" customWidth="1"/>
    <col min="15878" max="15878" width="9.7265625" customWidth="1"/>
    <col min="15879" max="15879" width="12.1796875" customWidth="1"/>
    <col min="15880" max="15880" width="72.08984375" bestFit="1" customWidth="1"/>
    <col min="15881" max="15881" width="30.54296875" bestFit="1" customWidth="1"/>
    <col min="16128" max="16128" width="11.26953125" customWidth="1"/>
    <col min="16129" max="16129" width="8.453125" customWidth="1"/>
    <col min="16130" max="16130" width="7.1796875" customWidth="1"/>
    <col min="16131" max="16131" width="7.36328125" customWidth="1"/>
    <col min="16132" max="16132" width="7.90625" customWidth="1"/>
    <col min="16133" max="16133" width="5.54296875" customWidth="1"/>
    <col min="16134" max="16134" width="9.7265625" customWidth="1"/>
    <col min="16135" max="16135" width="12.1796875" customWidth="1"/>
    <col min="16136" max="16136" width="72.08984375" bestFit="1" customWidth="1"/>
    <col min="16137" max="16137" width="30.54296875" bestFit="1" customWidth="1"/>
  </cols>
  <sheetData>
    <row r="1" spans="1:9" s="3" customFormat="1" ht="12.75" customHeight="1" x14ac:dyDescent="0.3">
      <c r="A1" s="219" t="s">
        <v>14</v>
      </c>
      <c r="B1" s="220"/>
      <c r="C1" s="220"/>
      <c r="D1" s="220"/>
      <c r="E1" s="220"/>
      <c r="F1" s="220"/>
      <c r="G1" s="220"/>
      <c r="H1" s="221"/>
    </row>
    <row r="2" spans="1:9" s="186" customFormat="1" ht="12.75" customHeight="1" x14ac:dyDescent="0.3">
      <c r="A2" s="182" t="s">
        <v>302</v>
      </c>
      <c r="B2" s="184"/>
      <c r="C2" s="184"/>
      <c r="D2" s="184"/>
      <c r="E2" s="184"/>
      <c r="F2" s="181"/>
      <c r="G2" s="183"/>
      <c r="H2" s="185" t="s">
        <v>303</v>
      </c>
    </row>
    <row r="3" spans="1:9" s="186" customFormat="1" ht="12.75" customHeight="1" x14ac:dyDescent="0.3">
      <c r="A3" s="187" t="s">
        <v>304</v>
      </c>
      <c r="B3" s="181"/>
      <c r="C3" s="181"/>
      <c r="D3" s="181"/>
      <c r="E3" s="181"/>
      <c r="F3" s="222" t="s">
        <v>41</v>
      </c>
      <c r="G3" s="222"/>
      <c r="H3" s="223"/>
    </row>
    <row r="4" spans="1:9" s="186" customFormat="1" ht="12.75" customHeight="1" x14ac:dyDescent="0.3">
      <c r="A4" s="187" t="s">
        <v>305</v>
      </c>
      <c r="B4" s="181"/>
      <c r="C4" s="181"/>
      <c r="D4" s="181"/>
      <c r="E4" s="181"/>
      <c r="F4" s="181" t="s">
        <v>42</v>
      </c>
      <c r="G4" s="181"/>
      <c r="H4" s="188"/>
    </row>
    <row r="5" spans="1:9" s="186" customFormat="1" ht="12.75" customHeight="1" x14ac:dyDescent="0.3">
      <c r="A5" s="182" t="s">
        <v>306</v>
      </c>
      <c r="B5" s="181"/>
      <c r="C5" s="181"/>
      <c r="D5" s="181"/>
      <c r="E5" s="181"/>
      <c r="F5" s="181"/>
      <c r="G5" s="181"/>
      <c r="H5" s="188"/>
    </row>
    <row r="6" spans="1:9" s="186" customFormat="1" ht="12.75" customHeight="1" x14ac:dyDescent="0.3">
      <c r="A6" s="182" t="s">
        <v>307</v>
      </c>
      <c r="B6" s="181"/>
      <c r="C6" s="181"/>
      <c r="D6" s="181"/>
      <c r="E6" s="181"/>
      <c r="F6" s="181"/>
      <c r="G6" s="181"/>
      <c r="H6" s="188"/>
    </row>
    <row r="7" spans="1:9" s="186" customFormat="1" ht="12.75" customHeight="1" x14ac:dyDescent="0.3">
      <c r="A7" s="195"/>
      <c r="B7" s="181"/>
      <c r="C7" s="181"/>
      <c r="D7" s="181"/>
      <c r="E7" s="181"/>
      <c r="F7" s="181"/>
      <c r="G7" s="181"/>
      <c r="H7" s="188"/>
    </row>
    <row r="8" spans="1:9" s="189" customFormat="1" ht="17.2" customHeight="1" x14ac:dyDescent="0.35">
      <c r="A8" s="190"/>
      <c r="B8" s="224" t="s">
        <v>43</v>
      </c>
      <c r="C8" s="224"/>
      <c r="D8" s="225"/>
      <c r="E8" s="225"/>
      <c r="F8" s="225"/>
      <c r="G8" s="225"/>
      <c r="H8" s="225"/>
      <c r="I8" s="194"/>
    </row>
    <row r="9" spans="1:9" s="189" customFormat="1" ht="28.8" customHeight="1" x14ac:dyDescent="0.35">
      <c r="A9" s="190" t="s">
        <v>308</v>
      </c>
      <c r="B9" s="191" t="s">
        <v>46</v>
      </c>
      <c r="C9" s="192" t="s">
        <v>47</v>
      </c>
      <c r="D9" s="192" t="s">
        <v>309</v>
      </c>
      <c r="E9" s="191" t="s">
        <v>48</v>
      </c>
      <c r="F9" s="191" t="s">
        <v>32</v>
      </c>
      <c r="G9" s="193" t="s">
        <v>44</v>
      </c>
      <c r="H9" s="194" t="s">
        <v>45</v>
      </c>
      <c r="I9" s="194" t="s">
        <v>34</v>
      </c>
    </row>
    <row r="10" spans="1:9" ht="14.95" customHeight="1" x14ac:dyDescent="0.35">
      <c r="A10" s="198">
        <v>41366</v>
      </c>
      <c r="B10" s="200">
        <v>1</v>
      </c>
      <c r="C10" s="200">
        <v>131</v>
      </c>
      <c r="D10" s="201">
        <f t="shared" ref="D10:D16" si="0">IF(((B10="")*AND(C10="")),"",C10-B10)</f>
        <v>130</v>
      </c>
      <c r="E10" s="201">
        <v>40</v>
      </c>
      <c r="F10" s="202" t="str">
        <f t="shared" ref="F10:F71" si="1">IF(D10="","",IF(D10&lt;=40,"Pass","Fail"))</f>
        <v>Fail</v>
      </c>
      <c r="G10" s="196"/>
      <c r="H10" s="196"/>
      <c r="I10" s="203"/>
    </row>
    <row r="11" spans="1:9" ht="14.95" customHeight="1" x14ac:dyDescent="0.35">
      <c r="A11" s="198">
        <v>41366</v>
      </c>
      <c r="B11" s="200">
        <v>18</v>
      </c>
      <c r="C11" s="200">
        <v>79</v>
      </c>
      <c r="D11" s="201">
        <f t="shared" si="0"/>
        <v>61</v>
      </c>
      <c r="E11" s="201">
        <v>40</v>
      </c>
      <c r="F11" s="202" t="str">
        <f t="shared" si="1"/>
        <v>Fail</v>
      </c>
      <c r="G11" s="196"/>
      <c r="H11" s="196"/>
      <c r="I11" s="203"/>
    </row>
    <row r="12" spans="1:9" ht="12.75" customHeight="1" x14ac:dyDescent="0.35">
      <c r="A12" s="198">
        <v>41543</v>
      </c>
      <c r="B12" s="200">
        <v>3</v>
      </c>
      <c r="C12" s="200">
        <v>65000</v>
      </c>
      <c r="D12" s="201">
        <f t="shared" si="0"/>
        <v>64997</v>
      </c>
      <c r="E12" s="201">
        <v>40</v>
      </c>
      <c r="F12" s="202" t="str">
        <f t="shared" si="1"/>
        <v>Fail</v>
      </c>
      <c r="G12" s="196">
        <v>1400</v>
      </c>
      <c r="H12" s="196" t="s">
        <v>49</v>
      </c>
      <c r="I12" s="203"/>
    </row>
    <row r="13" spans="1:9" ht="12.75" customHeight="1" x14ac:dyDescent="0.35">
      <c r="A13" s="199">
        <v>41661</v>
      </c>
      <c r="B13" s="204">
        <v>11</v>
      </c>
      <c r="C13" s="204">
        <v>130</v>
      </c>
      <c r="D13" s="205">
        <f t="shared" si="0"/>
        <v>119</v>
      </c>
      <c r="E13" s="201">
        <v>40</v>
      </c>
      <c r="F13" s="202" t="str">
        <f t="shared" si="1"/>
        <v>Fail</v>
      </c>
      <c r="G13" s="197">
        <v>1400</v>
      </c>
      <c r="H13" s="197" t="s">
        <v>50</v>
      </c>
      <c r="I13" s="203"/>
    </row>
    <row r="14" spans="1:9" ht="12.75" customHeight="1" x14ac:dyDescent="0.35">
      <c r="A14" s="199">
        <v>41688</v>
      </c>
      <c r="B14" s="204">
        <v>15</v>
      </c>
      <c r="C14" s="204">
        <v>522</v>
      </c>
      <c r="D14" s="205">
        <f t="shared" si="0"/>
        <v>507</v>
      </c>
      <c r="E14" s="201">
        <v>40</v>
      </c>
      <c r="F14" s="202" t="str">
        <f t="shared" si="1"/>
        <v>Fail</v>
      </c>
      <c r="G14" s="196" t="s">
        <v>51</v>
      </c>
      <c r="H14" s="197" t="s">
        <v>52</v>
      </c>
      <c r="I14" s="203"/>
    </row>
    <row r="15" spans="1:9" ht="12.75" customHeight="1" x14ac:dyDescent="0.35">
      <c r="A15" s="199">
        <v>41694</v>
      </c>
      <c r="B15" s="204">
        <v>8</v>
      </c>
      <c r="C15" s="204">
        <v>62</v>
      </c>
      <c r="D15" s="205">
        <f t="shared" si="0"/>
        <v>54</v>
      </c>
      <c r="E15" s="201">
        <v>40</v>
      </c>
      <c r="F15" s="202" t="str">
        <f t="shared" si="1"/>
        <v>Fail</v>
      </c>
      <c r="G15" s="196">
        <v>1400</v>
      </c>
      <c r="H15" s="197" t="s">
        <v>53</v>
      </c>
      <c r="I15" s="203"/>
    </row>
    <row r="16" spans="1:9" ht="12.75" customHeight="1" x14ac:dyDescent="0.35">
      <c r="A16" s="199">
        <v>41695</v>
      </c>
      <c r="B16" s="204">
        <v>62</v>
      </c>
      <c r="C16" s="204">
        <v>142</v>
      </c>
      <c r="D16" s="205">
        <f t="shared" si="0"/>
        <v>80</v>
      </c>
      <c r="E16" s="201">
        <v>40</v>
      </c>
      <c r="F16" s="202" t="str">
        <f t="shared" si="1"/>
        <v>Fail</v>
      </c>
      <c r="G16" s="196">
        <v>1400</v>
      </c>
      <c r="H16" s="197" t="s">
        <v>53</v>
      </c>
      <c r="I16" s="203"/>
    </row>
    <row r="17" spans="1:9" ht="12.75" customHeight="1" x14ac:dyDescent="0.35">
      <c r="A17" s="199">
        <v>41695</v>
      </c>
      <c r="B17" s="204">
        <v>62</v>
      </c>
      <c r="C17" s="204">
        <v>6</v>
      </c>
      <c r="D17" s="205">
        <v>50</v>
      </c>
      <c r="E17" s="201">
        <v>40</v>
      </c>
      <c r="F17" s="202" t="str">
        <f t="shared" si="1"/>
        <v>Fail</v>
      </c>
      <c r="G17" s="196">
        <v>1400</v>
      </c>
      <c r="H17" s="197" t="s">
        <v>54</v>
      </c>
      <c r="I17" s="203"/>
    </row>
    <row r="18" spans="1:9" ht="12.75" customHeight="1" x14ac:dyDescent="0.35">
      <c r="A18" s="199">
        <v>41695</v>
      </c>
      <c r="B18" s="204">
        <v>50</v>
      </c>
      <c r="C18" s="204">
        <v>484</v>
      </c>
      <c r="D18" s="205">
        <f t="shared" ref="D18:D81" si="2">IF(((B18="")*AND(C18="")),"",C18-B18)</f>
        <v>434</v>
      </c>
      <c r="E18" s="201">
        <v>40</v>
      </c>
      <c r="F18" s="202" t="str">
        <f t="shared" si="1"/>
        <v>Fail</v>
      </c>
      <c r="G18" s="196">
        <v>1400</v>
      </c>
      <c r="H18" s="197" t="s">
        <v>54</v>
      </c>
      <c r="I18" s="203"/>
    </row>
    <row r="19" spans="1:9" ht="12.75" customHeight="1" x14ac:dyDescent="0.35">
      <c r="A19" s="199">
        <v>41771</v>
      </c>
      <c r="B19" s="204">
        <v>65</v>
      </c>
      <c r="C19" s="204">
        <v>111</v>
      </c>
      <c r="D19" s="205">
        <f t="shared" si="2"/>
        <v>46</v>
      </c>
      <c r="E19" s="201">
        <v>40</v>
      </c>
      <c r="F19" s="206" t="str">
        <f t="shared" si="1"/>
        <v>Fail</v>
      </c>
      <c r="G19" s="197">
        <v>1400</v>
      </c>
      <c r="H19" s="207" t="s">
        <v>55</v>
      </c>
      <c r="I19" s="203"/>
    </row>
    <row r="20" spans="1:9" ht="12.75" customHeight="1" x14ac:dyDescent="0.35">
      <c r="A20" s="199">
        <v>41676</v>
      </c>
      <c r="B20" s="204">
        <v>32</v>
      </c>
      <c r="C20" s="204">
        <v>65000</v>
      </c>
      <c r="D20" s="205">
        <f t="shared" si="2"/>
        <v>64968</v>
      </c>
      <c r="E20" s="201">
        <v>40</v>
      </c>
      <c r="F20" s="206" t="str">
        <f t="shared" si="1"/>
        <v>Fail</v>
      </c>
      <c r="G20" s="197">
        <v>1428</v>
      </c>
      <c r="H20" s="207" t="s">
        <v>52</v>
      </c>
      <c r="I20" s="203"/>
    </row>
    <row r="21" spans="1:9" ht="12.75" customHeight="1" x14ac:dyDescent="0.35">
      <c r="A21" s="199">
        <v>41803</v>
      </c>
      <c r="B21" s="204">
        <v>44</v>
      </c>
      <c r="C21" s="204">
        <v>91</v>
      </c>
      <c r="D21" s="205">
        <f t="shared" si="2"/>
        <v>47</v>
      </c>
      <c r="E21" s="201">
        <v>40</v>
      </c>
      <c r="F21" s="206" t="str">
        <f t="shared" si="1"/>
        <v>Fail</v>
      </c>
      <c r="G21" s="197">
        <v>1400</v>
      </c>
      <c r="H21" s="197" t="s">
        <v>55</v>
      </c>
      <c r="I21" s="203"/>
    </row>
    <row r="22" spans="1:9" ht="12.75" customHeight="1" x14ac:dyDescent="0.35">
      <c r="A22" s="199">
        <v>41808</v>
      </c>
      <c r="B22" s="204">
        <v>43</v>
      </c>
      <c r="C22" s="204">
        <v>105</v>
      </c>
      <c r="D22" s="205">
        <f t="shared" si="2"/>
        <v>62</v>
      </c>
      <c r="E22" s="201">
        <v>40</v>
      </c>
      <c r="F22" s="206" t="str">
        <f t="shared" si="1"/>
        <v>Fail</v>
      </c>
      <c r="G22" s="197">
        <v>64</v>
      </c>
      <c r="H22" s="197" t="s">
        <v>55</v>
      </c>
      <c r="I22" s="203"/>
    </row>
    <row r="23" spans="1:9" ht="12.75" customHeight="1" x14ac:dyDescent="0.35">
      <c r="A23" s="199">
        <v>41808</v>
      </c>
      <c r="B23" s="204">
        <v>1</v>
      </c>
      <c r="C23" s="204">
        <v>48000</v>
      </c>
      <c r="D23" s="205">
        <f t="shared" si="2"/>
        <v>47999</v>
      </c>
      <c r="E23" s="201">
        <v>40</v>
      </c>
      <c r="F23" s="206" t="str">
        <f t="shared" si="1"/>
        <v>Fail</v>
      </c>
      <c r="G23" s="197">
        <v>1400</v>
      </c>
      <c r="H23" s="197" t="s">
        <v>55</v>
      </c>
      <c r="I23" s="203"/>
    </row>
    <row r="24" spans="1:9" ht="12.75" customHeight="1" x14ac:dyDescent="0.35">
      <c r="A24" s="199">
        <v>41820</v>
      </c>
      <c r="B24" s="204">
        <v>3</v>
      </c>
      <c r="C24" s="204">
        <v>67</v>
      </c>
      <c r="D24" s="205">
        <f t="shared" si="2"/>
        <v>64</v>
      </c>
      <c r="E24" s="201">
        <v>40</v>
      </c>
      <c r="F24" s="206" t="str">
        <f t="shared" si="1"/>
        <v>Fail</v>
      </c>
      <c r="G24" s="197">
        <v>1400</v>
      </c>
      <c r="H24" s="197" t="s">
        <v>56</v>
      </c>
      <c r="I24" s="203"/>
    </row>
    <row r="25" spans="1:9" ht="12.75" customHeight="1" x14ac:dyDescent="0.35">
      <c r="A25" s="199">
        <v>42002</v>
      </c>
      <c r="B25" s="204">
        <v>2</v>
      </c>
      <c r="C25" s="204">
        <v>741</v>
      </c>
      <c r="D25" s="205">
        <f t="shared" si="2"/>
        <v>739</v>
      </c>
      <c r="E25" s="201">
        <v>40</v>
      </c>
      <c r="F25" s="206" t="str">
        <f t="shared" si="1"/>
        <v>Fail</v>
      </c>
      <c r="G25" s="197">
        <v>102</v>
      </c>
      <c r="H25" s="197" t="s">
        <v>56</v>
      </c>
      <c r="I25" s="203"/>
    </row>
    <row r="26" spans="1:9" ht="12.75" customHeight="1" x14ac:dyDescent="0.35">
      <c r="A26" s="199">
        <v>42028</v>
      </c>
      <c r="B26" s="204">
        <v>1</v>
      </c>
      <c r="C26" s="204">
        <v>141</v>
      </c>
      <c r="D26" s="205">
        <f t="shared" si="2"/>
        <v>140</v>
      </c>
      <c r="E26" s="201">
        <v>40</v>
      </c>
      <c r="F26" s="206" t="str">
        <f t="shared" si="1"/>
        <v>Fail</v>
      </c>
      <c r="G26" s="197">
        <v>1428</v>
      </c>
      <c r="H26" s="197" t="s">
        <v>56</v>
      </c>
      <c r="I26" s="203"/>
    </row>
    <row r="27" spans="1:9" ht="12.75" customHeight="1" x14ac:dyDescent="0.35">
      <c r="A27" s="199">
        <v>42062</v>
      </c>
      <c r="B27" s="204">
        <v>7</v>
      </c>
      <c r="C27" s="204">
        <v>1000</v>
      </c>
      <c r="D27" s="205">
        <f t="shared" si="2"/>
        <v>993</v>
      </c>
      <c r="E27" s="201">
        <v>40</v>
      </c>
      <c r="F27" s="206" t="str">
        <f t="shared" si="1"/>
        <v>Fail</v>
      </c>
      <c r="G27" s="197">
        <v>1400</v>
      </c>
      <c r="H27" s="197" t="s">
        <v>56</v>
      </c>
      <c r="I27" s="203"/>
    </row>
    <row r="28" spans="1:9" ht="12.75" customHeight="1" x14ac:dyDescent="0.35">
      <c r="A28" s="199">
        <v>42080</v>
      </c>
      <c r="B28" s="204">
        <v>44</v>
      </c>
      <c r="C28" s="204">
        <v>198</v>
      </c>
      <c r="D28" s="205">
        <f t="shared" si="2"/>
        <v>154</v>
      </c>
      <c r="E28" s="201">
        <v>40</v>
      </c>
      <c r="F28" s="206" t="str">
        <f t="shared" si="1"/>
        <v>Fail</v>
      </c>
      <c r="G28" s="197">
        <v>1400</v>
      </c>
      <c r="H28" s="197" t="s">
        <v>56</v>
      </c>
      <c r="I28" s="203"/>
    </row>
    <row r="29" spans="1:9" ht="12.75" customHeight="1" x14ac:dyDescent="0.35">
      <c r="A29" s="199">
        <v>42149</v>
      </c>
      <c r="B29" s="204">
        <v>1</v>
      </c>
      <c r="C29" s="204">
        <v>19760</v>
      </c>
      <c r="D29" s="205">
        <f t="shared" si="2"/>
        <v>19759</v>
      </c>
      <c r="E29" s="201">
        <v>40</v>
      </c>
      <c r="F29" s="206" t="str">
        <f t="shared" si="1"/>
        <v>Fail</v>
      </c>
      <c r="G29" s="197">
        <v>102</v>
      </c>
      <c r="H29" s="197" t="s">
        <v>57</v>
      </c>
      <c r="I29" s="203"/>
    </row>
    <row r="30" spans="1:9" ht="12.75" customHeight="1" x14ac:dyDescent="0.35">
      <c r="A30" s="199">
        <v>42149</v>
      </c>
      <c r="B30" s="204">
        <v>2</v>
      </c>
      <c r="C30" s="204">
        <v>7850</v>
      </c>
      <c r="D30" s="205">
        <f t="shared" si="2"/>
        <v>7848</v>
      </c>
      <c r="E30" s="201">
        <v>40</v>
      </c>
      <c r="F30" s="206" t="str">
        <f t="shared" si="1"/>
        <v>Fail</v>
      </c>
      <c r="G30" s="197">
        <v>102</v>
      </c>
      <c r="H30" s="197" t="s">
        <v>57</v>
      </c>
      <c r="I30" s="203"/>
    </row>
    <row r="31" spans="1:9" ht="12.75" customHeight="1" x14ac:dyDescent="0.35">
      <c r="A31" s="199">
        <v>42149</v>
      </c>
      <c r="B31" s="204">
        <v>6</v>
      </c>
      <c r="C31" s="204">
        <v>75</v>
      </c>
      <c r="D31" s="205">
        <f t="shared" si="2"/>
        <v>69</v>
      </c>
      <c r="E31" s="201">
        <v>40</v>
      </c>
      <c r="F31" s="206" t="str">
        <f t="shared" si="1"/>
        <v>Fail</v>
      </c>
      <c r="G31" s="197">
        <v>1159</v>
      </c>
      <c r="H31" s="197" t="s">
        <v>57</v>
      </c>
      <c r="I31" s="203"/>
    </row>
    <row r="32" spans="1:9" ht="12.75" customHeight="1" x14ac:dyDescent="0.35">
      <c r="A32" s="199">
        <v>42172</v>
      </c>
      <c r="B32" s="204">
        <v>0</v>
      </c>
      <c r="C32" s="204">
        <v>48</v>
      </c>
      <c r="D32" s="205">
        <f t="shared" si="2"/>
        <v>48</v>
      </c>
      <c r="E32" s="201">
        <v>40</v>
      </c>
      <c r="F32" s="206" t="str">
        <f t="shared" si="1"/>
        <v>Fail</v>
      </c>
      <c r="G32" s="197">
        <v>1159</v>
      </c>
      <c r="H32" s="197" t="s">
        <v>56</v>
      </c>
      <c r="I32" s="203"/>
    </row>
    <row r="33" spans="1:9" ht="12.75" customHeight="1" x14ac:dyDescent="0.35">
      <c r="A33" s="199">
        <v>42215</v>
      </c>
      <c r="B33" s="204">
        <v>2</v>
      </c>
      <c r="C33" s="204">
        <v>2974</v>
      </c>
      <c r="D33" s="205">
        <f t="shared" si="2"/>
        <v>2972</v>
      </c>
      <c r="E33" s="201">
        <v>40</v>
      </c>
      <c r="F33" s="206" t="str">
        <f t="shared" si="1"/>
        <v>Fail</v>
      </c>
      <c r="G33" s="197">
        <v>1400</v>
      </c>
      <c r="H33" s="197" t="s">
        <v>52</v>
      </c>
      <c r="I33" s="203"/>
    </row>
    <row r="34" spans="1:9" ht="12.75" customHeight="1" x14ac:dyDescent="0.35">
      <c r="A34" s="199">
        <v>42275</v>
      </c>
      <c r="B34" s="204">
        <v>33</v>
      </c>
      <c r="C34" s="204">
        <v>115</v>
      </c>
      <c r="D34" s="205">
        <f t="shared" si="2"/>
        <v>82</v>
      </c>
      <c r="E34" s="201">
        <v>40</v>
      </c>
      <c r="F34" s="206" t="str">
        <f t="shared" si="1"/>
        <v>Fail</v>
      </c>
      <c r="G34" s="197">
        <v>1428</v>
      </c>
      <c r="H34" s="197" t="s">
        <v>58</v>
      </c>
      <c r="I34" s="203"/>
    </row>
    <row r="35" spans="1:9" ht="12.75" customHeight="1" x14ac:dyDescent="0.35">
      <c r="A35" s="199">
        <v>42293</v>
      </c>
      <c r="B35" s="204">
        <v>2</v>
      </c>
      <c r="C35" s="204">
        <v>100</v>
      </c>
      <c r="D35" s="205">
        <f t="shared" si="2"/>
        <v>98</v>
      </c>
      <c r="E35" s="201">
        <v>40</v>
      </c>
      <c r="F35" s="206" t="str">
        <f t="shared" si="1"/>
        <v>Fail</v>
      </c>
      <c r="G35" s="197">
        <v>1159</v>
      </c>
      <c r="H35" s="197" t="s">
        <v>59</v>
      </c>
      <c r="I35" s="203"/>
    </row>
    <row r="36" spans="1:9" ht="12.75" customHeight="1" x14ac:dyDescent="0.35">
      <c r="A36" s="199">
        <v>42293</v>
      </c>
      <c r="B36" s="204">
        <v>5</v>
      </c>
      <c r="C36" s="204">
        <v>447</v>
      </c>
      <c r="D36" s="205">
        <f t="shared" si="2"/>
        <v>442</v>
      </c>
      <c r="E36" s="201">
        <v>40</v>
      </c>
      <c r="F36" s="206" t="str">
        <f t="shared" si="1"/>
        <v>Fail</v>
      </c>
      <c r="G36" s="197">
        <v>1159</v>
      </c>
      <c r="H36" s="197" t="s">
        <v>60</v>
      </c>
      <c r="I36" s="203"/>
    </row>
    <row r="37" spans="1:9" ht="12.75" customHeight="1" x14ac:dyDescent="0.35">
      <c r="A37" s="199">
        <v>42305</v>
      </c>
      <c r="B37" s="204">
        <v>4</v>
      </c>
      <c r="C37" s="204">
        <v>67</v>
      </c>
      <c r="D37" s="205">
        <f t="shared" si="2"/>
        <v>63</v>
      </c>
      <c r="E37" s="201">
        <v>40</v>
      </c>
      <c r="F37" s="206" t="str">
        <f t="shared" si="1"/>
        <v>Fail</v>
      </c>
      <c r="G37" s="203" t="s">
        <v>61</v>
      </c>
      <c r="H37" s="203"/>
      <c r="I37" s="203"/>
    </row>
    <row r="38" spans="1:9" ht="12.75" customHeight="1" x14ac:dyDescent="0.35">
      <c r="A38" s="199">
        <v>42404</v>
      </c>
      <c r="B38" s="204">
        <v>24</v>
      </c>
      <c r="C38" s="204">
        <v>64</v>
      </c>
      <c r="D38" s="205">
        <f t="shared" si="2"/>
        <v>40</v>
      </c>
      <c r="E38" s="201">
        <v>40</v>
      </c>
      <c r="F38" s="206" t="str">
        <f t="shared" si="1"/>
        <v>Pass</v>
      </c>
      <c r="G38" s="197">
        <v>1428</v>
      </c>
      <c r="H38" s="197" t="s">
        <v>58</v>
      </c>
      <c r="I38" s="203"/>
    </row>
    <row r="39" spans="1:9" ht="12.75" customHeight="1" x14ac:dyDescent="0.35">
      <c r="A39" s="199">
        <v>42417</v>
      </c>
      <c r="B39" s="204">
        <v>2</v>
      </c>
      <c r="C39" s="204">
        <v>96</v>
      </c>
      <c r="D39" s="205">
        <f t="shared" si="2"/>
        <v>94</v>
      </c>
      <c r="E39" s="201">
        <v>40</v>
      </c>
      <c r="F39" s="206" t="str">
        <f t="shared" si="1"/>
        <v>Fail</v>
      </c>
      <c r="G39" s="197">
        <v>1159</v>
      </c>
      <c r="H39" s="197" t="s">
        <v>62</v>
      </c>
      <c r="I39" s="203"/>
    </row>
    <row r="40" spans="1:9" ht="12.75" customHeight="1" x14ac:dyDescent="0.35">
      <c r="A40" s="199">
        <v>42417</v>
      </c>
      <c r="B40" s="204">
        <v>1</v>
      </c>
      <c r="C40" s="204">
        <v>35</v>
      </c>
      <c r="D40" s="205">
        <f t="shared" si="2"/>
        <v>34</v>
      </c>
      <c r="E40" s="201">
        <v>40</v>
      </c>
      <c r="F40" s="206" t="str">
        <f t="shared" si="1"/>
        <v>Pass</v>
      </c>
      <c r="G40" s="197">
        <v>1159</v>
      </c>
      <c r="H40" s="197" t="s">
        <v>63</v>
      </c>
      <c r="I40" s="203"/>
    </row>
    <row r="41" spans="1:9" ht="12.75" customHeight="1" x14ac:dyDescent="0.35">
      <c r="A41" s="199">
        <v>42445</v>
      </c>
      <c r="B41" s="204">
        <v>9</v>
      </c>
      <c r="C41" s="204">
        <v>42</v>
      </c>
      <c r="D41" s="205">
        <f t="shared" si="2"/>
        <v>33</v>
      </c>
      <c r="E41" s="201">
        <v>40</v>
      </c>
      <c r="F41" s="206" t="str">
        <f t="shared" si="1"/>
        <v>Pass</v>
      </c>
      <c r="G41" s="197">
        <v>102</v>
      </c>
      <c r="H41" s="197" t="s">
        <v>58</v>
      </c>
      <c r="I41" s="203"/>
    </row>
    <row r="42" spans="1:9" ht="12.75" customHeight="1" x14ac:dyDescent="0.35">
      <c r="A42" s="199">
        <v>42465</v>
      </c>
      <c r="B42" s="204">
        <v>16</v>
      </c>
      <c r="C42" s="204">
        <v>204</v>
      </c>
      <c r="D42" s="205">
        <f t="shared" si="2"/>
        <v>188</v>
      </c>
      <c r="E42" s="205">
        <v>40</v>
      </c>
      <c r="F42" s="206" t="str">
        <f t="shared" si="1"/>
        <v>Fail</v>
      </c>
      <c r="G42" s="197">
        <v>1159</v>
      </c>
      <c r="H42" s="197" t="s">
        <v>64</v>
      </c>
      <c r="I42" s="203"/>
    </row>
    <row r="43" spans="1:9" ht="12.75" customHeight="1" x14ac:dyDescent="0.35">
      <c r="A43" s="199">
        <v>42465</v>
      </c>
      <c r="B43" s="204">
        <v>15</v>
      </c>
      <c r="C43" s="203"/>
      <c r="D43" s="205">
        <f t="shared" si="2"/>
        <v>-15</v>
      </c>
      <c r="E43" s="205">
        <v>40</v>
      </c>
      <c r="F43" s="206" t="str">
        <f t="shared" si="1"/>
        <v>Pass</v>
      </c>
      <c r="G43" s="197">
        <v>1159</v>
      </c>
      <c r="H43" s="197" t="s">
        <v>65</v>
      </c>
      <c r="I43" s="203"/>
    </row>
    <row r="44" spans="1:9" ht="12.75" customHeight="1" x14ac:dyDescent="0.35">
      <c r="A44" s="199">
        <v>42465</v>
      </c>
      <c r="B44" s="204">
        <v>2</v>
      </c>
      <c r="C44" s="204">
        <v>24</v>
      </c>
      <c r="D44" s="205">
        <f t="shared" si="2"/>
        <v>22</v>
      </c>
      <c r="E44" s="205">
        <v>40</v>
      </c>
      <c r="F44" s="206" t="str">
        <f t="shared" si="1"/>
        <v>Pass</v>
      </c>
      <c r="G44" s="197">
        <v>1159</v>
      </c>
      <c r="H44" s="197" t="s">
        <v>66</v>
      </c>
      <c r="I44" s="203"/>
    </row>
    <row r="45" spans="1:9" ht="12.75" customHeight="1" x14ac:dyDescent="0.35">
      <c r="A45" s="199">
        <v>42475</v>
      </c>
      <c r="B45" s="204">
        <v>7</v>
      </c>
      <c r="C45" s="204">
        <v>86</v>
      </c>
      <c r="D45" s="205">
        <f t="shared" si="2"/>
        <v>79</v>
      </c>
      <c r="E45" s="201">
        <v>40</v>
      </c>
      <c r="F45" s="206" t="str">
        <f t="shared" si="1"/>
        <v>Fail</v>
      </c>
      <c r="G45" s="197">
        <v>1159</v>
      </c>
      <c r="H45" s="197" t="s">
        <v>67</v>
      </c>
      <c r="I45" s="203"/>
    </row>
    <row r="46" spans="1:9" ht="12.75" customHeight="1" x14ac:dyDescent="0.35">
      <c r="A46" s="199">
        <v>42478</v>
      </c>
      <c r="B46" s="204">
        <v>6</v>
      </c>
      <c r="C46" s="204">
        <v>42</v>
      </c>
      <c r="D46" s="205">
        <f t="shared" si="2"/>
        <v>36</v>
      </c>
      <c r="E46" s="201">
        <v>40</v>
      </c>
      <c r="F46" s="206" t="str">
        <f t="shared" si="1"/>
        <v>Pass</v>
      </c>
      <c r="G46" s="197">
        <v>1159</v>
      </c>
      <c r="H46" s="197" t="s">
        <v>68</v>
      </c>
      <c r="I46" s="203"/>
    </row>
    <row r="47" spans="1:9" ht="12.75" customHeight="1" x14ac:dyDescent="0.35">
      <c r="A47" s="199">
        <v>42487</v>
      </c>
      <c r="B47" s="204">
        <v>5</v>
      </c>
      <c r="C47" s="204">
        <v>179</v>
      </c>
      <c r="D47" s="205">
        <f t="shared" si="2"/>
        <v>174</v>
      </c>
      <c r="E47" s="205">
        <v>40</v>
      </c>
      <c r="F47" s="206" t="str">
        <f t="shared" si="1"/>
        <v>Fail</v>
      </c>
      <c r="G47" s="197">
        <v>1159</v>
      </c>
      <c r="H47" s="197" t="s">
        <v>69</v>
      </c>
      <c r="I47" s="203"/>
    </row>
    <row r="48" spans="1:9" ht="12.75" customHeight="1" x14ac:dyDescent="0.35">
      <c r="A48" s="199">
        <v>42487</v>
      </c>
      <c r="B48" s="204">
        <v>26</v>
      </c>
      <c r="C48" s="204">
        <v>115</v>
      </c>
      <c r="D48" s="205">
        <f t="shared" si="2"/>
        <v>89</v>
      </c>
      <c r="E48" s="201">
        <v>40</v>
      </c>
      <c r="F48" s="206" t="str">
        <f t="shared" si="1"/>
        <v>Fail</v>
      </c>
      <c r="G48" s="197">
        <v>1159</v>
      </c>
      <c r="H48" s="197" t="s">
        <v>70</v>
      </c>
      <c r="I48" s="203"/>
    </row>
    <row r="49" spans="1:9" ht="12.75" customHeight="1" x14ac:dyDescent="0.35">
      <c r="A49" s="199">
        <v>42487</v>
      </c>
      <c r="B49" s="204">
        <v>5</v>
      </c>
      <c r="C49" s="204">
        <v>54</v>
      </c>
      <c r="D49" s="205">
        <f t="shared" si="2"/>
        <v>49</v>
      </c>
      <c r="E49" s="201">
        <v>40</v>
      </c>
      <c r="F49" s="206" t="str">
        <f t="shared" si="1"/>
        <v>Fail</v>
      </c>
      <c r="G49" s="197">
        <v>1159</v>
      </c>
      <c r="H49" s="197" t="s">
        <v>71</v>
      </c>
      <c r="I49" s="203"/>
    </row>
    <row r="50" spans="1:9" ht="12.75" customHeight="1" x14ac:dyDescent="0.35">
      <c r="A50" s="199">
        <v>42526</v>
      </c>
      <c r="B50" s="204">
        <v>14</v>
      </c>
      <c r="C50" s="204">
        <v>28</v>
      </c>
      <c r="D50" s="205">
        <f t="shared" si="2"/>
        <v>14</v>
      </c>
      <c r="E50" s="205">
        <v>40</v>
      </c>
      <c r="F50" s="206" t="str">
        <f t="shared" si="1"/>
        <v>Pass</v>
      </c>
      <c r="G50" s="197">
        <v>1428</v>
      </c>
      <c r="H50" s="203"/>
      <c r="I50" s="203"/>
    </row>
    <row r="51" spans="1:9" ht="12.75" customHeight="1" x14ac:dyDescent="0.35">
      <c r="A51" s="199">
        <v>42542</v>
      </c>
      <c r="B51" s="204">
        <v>1</v>
      </c>
      <c r="C51" s="204">
        <v>27</v>
      </c>
      <c r="D51" s="205">
        <f t="shared" si="2"/>
        <v>26</v>
      </c>
      <c r="E51" s="205">
        <v>40</v>
      </c>
      <c r="F51" s="206" t="str">
        <f t="shared" si="1"/>
        <v>Pass</v>
      </c>
      <c r="G51" s="197">
        <v>1400</v>
      </c>
      <c r="H51" s="203" t="s">
        <v>58</v>
      </c>
      <c r="I51" s="203"/>
    </row>
    <row r="52" spans="1:9" ht="12.75" customHeight="1" x14ac:dyDescent="0.35">
      <c r="A52" s="199">
        <v>42545</v>
      </c>
      <c r="B52" s="204">
        <v>14</v>
      </c>
      <c r="C52" s="204">
        <v>32</v>
      </c>
      <c r="D52" s="205">
        <f t="shared" si="2"/>
        <v>18</v>
      </c>
      <c r="E52" s="205">
        <v>40</v>
      </c>
      <c r="F52" s="206" t="str">
        <f t="shared" si="1"/>
        <v>Pass</v>
      </c>
      <c r="G52" s="197">
        <v>1335</v>
      </c>
      <c r="H52" s="203" t="s">
        <v>58</v>
      </c>
      <c r="I52" s="203"/>
    </row>
    <row r="53" spans="1:9" ht="12.75" customHeight="1" x14ac:dyDescent="0.35">
      <c r="A53" s="199">
        <v>42555</v>
      </c>
      <c r="B53" s="204">
        <v>6</v>
      </c>
      <c r="C53" s="204">
        <v>39</v>
      </c>
      <c r="D53" s="205">
        <f t="shared" si="2"/>
        <v>33</v>
      </c>
      <c r="E53" s="205">
        <v>40</v>
      </c>
      <c r="F53" s="206" t="str">
        <f>IF(D53="","",IF(D53&lt;=40,"Pass","Fail"))</f>
        <v>Pass</v>
      </c>
      <c r="G53" s="197">
        <v>1400</v>
      </c>
      <c r="H53" s="203" t="s">
        <v>58</v>
      </c>
      <c r="I53" s="203"/>
    </row>
    <row r="54" spans="1:9" ht="12.75" customHeight="1" x14ac:dyDescent="0.35">
      <c r="A54" s="199">
        <v>42564</v>
      </c>
      <c r="B54" s="204">
        <v>4</v>
      </c>
      <c r="C54" s="204">
        <v>35</v>
      </c>
      <c r="D54" s="205">
        <f t="shared" si="2"/>
        <v>31</v>
      </c>
      <c r="E54" s="205">
        <v>40</v>
      </c>
      <c r="F54" s="206" t="str">
        <f t="shared" si="1"/>
        <v>Pass</v>
      </c>
      <c r="G54" s="197">
        <v>1159</v>
      </c>
      <c r="H54" s="203" t="s">
        <v>58</v>
      </c>
      <c r="I54" s="203"/>
    </row>
    <row r="55" spans="1:9" ht="12.75" customHeight="1" x14ac:dyDescent="0.35">
      <c r="A55" s="199">
        <v>42577</v>
      </c>
      <c r="B55" s="204">
        <v>3</v>
      </c>
      <c r="C55" s="204">
        <v>2</v>
      </c>
      <c r="D55" s="205">
        <f t="shared" si="2"/>
        <v>-1</v>
      </c>
      <c r="E55" s="205">
        <v>40</v>
      </c>
      <c r="F55" s="206" t="str">
        <f t="shared" si="1"/>
        <v>Pass</v>
      </c>
      <c r="G55" s="197">
        <v>1335</v>
      </c>
      <c r="H55" s="203" t="s">
        <v>58</v>
      </c>
      <c r="I55" s="203"/>
    </row>
    <row r="56" spans="1:9" ht="12.75" customHeight="1" x14ac:dyDescent="0.35">
      <c r="A56" s="199">
        <v>42590</v>
      </c>
      <c r="B56" s="204">
        <v>2</v>
      </c>
      <c r="C56" s="204">
        <v>71</v>
      </c>
      <c r="D56" s="205">
        <f t="shared" si="2"/>
        <v>69</v>
      </c>
      <c r="E56" s="205">
        <v>40</v>
      </c>
      <c r="F56" s="206" t="str">
        <f t="shared" si="1"/>
        <v>Fail</v>
      </c>
      <c r="G56" s="197">
        <v>1159</v>
      </c>
      <c r="H56" s="197" t="s">
        <v>72</v>
      </c>
      <c r="I56" s="203"/>
    </row>
    <row r="57" spans="1:9" ht="12.75" customHeight="1" x14ac:dyDescent="0.35">
      <c r="A57" s="199">
        <v>42590</v>
      </c>
      <c r="B57" s="204">
        <v>3</v>
      </c>
      <c r="C57" s="204">
        <v>30</v>
      </c>
      <c r="D57" s="205">
        <f t="shared" si="2"/>
        <v>27</v>
      </c>
      <c r="E57" s="205">
        <v>40</v>
      </c>
      <c r="F57" s="206" t="str">
        <f t="shared" si="1"/>
        <v>Pass</v>
      </c>
      <c r="G57" s="197">
        <v>1159</v>
      </c>
      <c r="H57" s="197" t="s">
        <v>73</v>
      </c>
      <c r="I57" s="203"/>
    </row>
    <row r="58" spans="1:9" ht="12.75" customHeight="1" x14ac:dyDescent="0.35">
      <c r="A58" s="199">
        <v>42593</v>
      </c>
      <c r="B58" s="204">
        <v>3</v>
      </c>
      <c r="C58" s="204">
        <v>23</v>
      </c>
      <c r="D58" s="205">
        <f t="shared" si="2"/>
        <v>20</v>
      </c>
      <c r="E58" s="205">
        <v>40</v>
      </c>
      <c r="F58" s="206" t="str">
        <f t="shared" si="1"/>
        <v>Pass</v>
      </c>
      <c r="G58" s="197">
        <v>1159</v>
      </c>
      <c r="H58" s="197" t="s">
        <v>74</v>
      </c>
      <c r="I58" s="203"/>
    </row>
    <row r="59" spans="1:9" ht="12.75" customHeight="1" x14ac:dyDescent="0.35">
      <c r="A59" s="199">
        <v>42614</v>
      </c>
      <c r="B59" s="204">
        <v>1</v>
      </c>
      <c r="C59" s="203"/>
      <c r="D59" s="205">
        <f t="shared" si="2"/>
        <v>-1</v>
      </c>
      <c r="E59" s="205">
        <v>40</v>
      </c>
      <c r="F59" s="206" t="str">
        <f t="shared" si="1"/>
        <v>Pass</v>
      </c>
      <c r="G59" s="197">
        <v>1159</v>
      </c>
      <c r="H59" s="197" t="s">
        <v>75</v>
      </c>
      <c r="I59" s="203"/>
    </row>
    <row r="60" spans="1:9" ht="12.75" customHeight="1" x14ac:dyDescent="0.35">
      <c r="A60" s="199">
        <v>42614</v>
      </c>
      <c r="B60" s="204">
        <v>0</v>
      </c>
      <c r="C60" s="204">
        <v>31</v>
      </c>
      <c r="D60" s="205">
        <f t="shared" si="2"/>
        <v>31</v>
      </c>
      <c r="E60" s="205">
        <v>40</v>
      </c>
      <c r="F60" s="206" t="str">
        <f t="shared" si="1"/>
        <v>Pass</v>
      </c>
      <c r="G60" s="197">
        <v>1159</v>
      </c>
      <c r="H60" s="197" t="s">
        <v>76</v>
      </c>
      <c r="I60" s="203"/>
    </row>
    <row r="61" spans="1:9" ht="12.75" customHeight="1" x14ac:dyDescent="0.35">
      <c r="A61" s="199">
        <v>42630</v>
      </c>
      <c r="B61" s="204">
        <v>4</v>
      </c>
      <c r="C61" s="204">
        <v>32</v>
      </c>
      <c r="D61" s="205">
        <f t="shared" si="2"/>
        <v>28</v>
      </c>
      <c r="E61" s="205">
        <v>40</v>
      </c>
      <c r="F61" s="206" t="str">
        <f t="shared" si="1"/>
        <v>Pass</v>
      </c>
      <c r="G61" s="197">
        <v>1159</v>
      </c>
      <c r="H61" s="197" t="s">
        <v>77</v>
      </c>
      <c r="I61" s="203"/>
    </row>
    <row r="62" spans="1:9" ht="12.75" customHeight="1" x14ac:dyDescent="0.35">
      <c r="A62" s="199">
        <v>42641</v>
      </c>
      <c r="B62" s="204">
        <v>28</v>
      </c>
      <c r="C62" s="204">
        <v>56</v>
      </c>
      <c r="D62" s="205">
        <f t="shared" si="2"/>
        <v>28</v>
      </c>
      <c r="E62" s="205">
        <v>40</v>
      </c>
      <c r="F62" s="206" t="str">
        <f t="shared" si="1"/>
        <v>Pass</v>
      </c>
      <c r="G62" s="197">
        <v>1400</v>
      </c>
      <c r="H62" s="203" t="s">
        <v>58</v>
      </c>
      <c r="I62" s="203"/>
    </row>
    <row r="63" spans="1:9" ht="12.75" customHeight="1" x14ac:dyDescent="0.35">
      <c r="A63" s="199">
        <v>42470</v>
      </c>
      <c r="B63" s="204">
        <v>3</v>
      </c>
      <c r="C63" s="204">
        <v>29</v>
      </c>
      <c r="D63" s="205">
        <f t="shared" si="2"/>
        <v>26</v>
      </c>
      <c r="E63" s="205">
        <v>40</v>
      </c>
      <c r="F63" s="206" t="str">
        <f t="shared" si="1"/>
        <v>Pass</v>
      </c>
      <c r="G63" s="197">
        <v>1400</v>
      </c>
      <c r="H63" s="197" t="s">
        <v>78</v>
      </c>
      <c r="I63" s="203"/>
    </row>
    <row r="64" spans="1:9" ht="12.75" customHeight="1" x14ac:dyDescent="0.35">
      <c r="A64" s="199">
        <v>42656</v>
      </c>
      <c r="B64" s="204">
        <v>2</v>
      </c>
      <c r="C64" s="204">
        <v>38</v>
      </c>
      <c r="D64" s="205">
        <f t="shared" si="2"/>
        <v>36</v>
      </c>
      <c r="E64" s="205">
        <v>40</v>
      </c>
      <c r="F64" s="206" t="str">
        <f t="shared" si="1"/>
        <v>Pass</v>
      </c>
      <c r="G64" s="197">
        <v>1400</v>
      </c>
      <c r="H64" s="197" t="s">
        <v>79</v>
      </c>
      <c r="I64" s="203"/>
    </row>
    <row r="65" spans="1:9" ht="12.75" customHeight="1" x14ac:dyDescent="0.35">
      <c r="A65" s="199">
        <v>42668</v>
      </c>
      <c r="B65" s="204">
        <v>43</v>
      </c>
      <c r="C65" s="204">
        <v>70</v>
      </c>
      <c r="D65" s="205">
        <f t="shared" si="2"/>
        <v>27</v>
      </c>
      <c r="E65" s="205">
        <v>40</v>
      </c>
      <c r="F65" s="206" t="str">
        <f t="shared" si="1"/>
        <v>Pass</v>
      </c>
      <c r="G65" s="197">
        <v>1400</v>
      </c>
      <c r="H65" s="203" t="s">
        <v>58</v>
      </c>
      <c r="I65" s="203"/>
    </row>
    <row r="66" spans="1:9" ht="12.75" customHeight="1" x14ac:dyDescent="0.35">
      <c r="A66" s="199">
        <v>42674</v>
      </c>
      <c r="B66" s="204">
        <v>1</v>
      </c>
      <c r="C66" s="204">
        <v>29</v>
      </c>
      <c r="D66" s="205">
        <f t="shared" si="2"/>
        <v>28</v>
      </c>
      <c r="E66" s="205">
        <v>40</v>
      </c>
      <c r="F66" s="206" t="str">
        <f t="shared" si="1"/>
        <v>Pass</v>
      </c>
      <c r="G66" s="197">
        <v>1400</v>
      </c>
      <c r="H66" s="203" t="s">
        <v>58</v>
      </c>
      <c r="I66" s="203"/>
    </row>
    <row r="67" spans="1:9" ht="12.75" customHeight="1" x14ac:dyDescent="0.35">
      <c r="A67" s="199">
        <v>42682</v>
      </c>
      <c r="B67" s="204">
        <v>1</v>
      </c>
      <c r="C67" s="204">
        <v>18</v>
      </c>
      <c r="D67" s="205">
        <f t="shared" si="2"/>
        <v>17</v>
      </c>
      <c r="E67" s="205">
        <v>40</v>
      </c>
      <c r="F67" s="206" t="str">
        <f t="shared" si="1"/>
        <v>Pass</v>
      </c>
      <c r="G67" s="197">
        <v>1428</v>
      </c>
      <c r="H67" s="203"/>
      <c r="I67" s="203"/>
    </row>
    <row r="68" spans="1:9" ht="12.75" customHeight="1" x14ac:dyDescent="0.35">
      <c r="A68" s="199">
        <v>42689</v>
      </c>
      <c r="B68" s="204">
        <v>1</v>
      </c>
      <c r="C68" s="204">
        <v>68</v>
      </c>
      <c r="D68" s="205">
        <f t="shared" si="2"/>
        <v>67</v>
      </c>
      <c r="E68" s="205">
        <v>40</v>
      </c>
      <c r="F68" s="206" t="str">
        <f t="shared" si="1"/>
        <v>Fail</v>
      </c>
      <c r="G68" s="197">
        <v>1159</v>
      </c>
      <c r="H68" s="197" t="s">
        <v>80</v>
      </c>
      <c r="I68" s="203"/>
    </row>
    <row r="69" spans="1:9" ht="12.75" customHeight="1" x14ac:dyDescent="0.35">
      <c r="A69" s="199">
        <v>42689</v>
      </c>
      <c r="B69" s="204">
        <v>2</v>
      </c>
      <c r="C69" s="204">
        <v>27</v>
      </c>
      <c r="D69" s="205">
        <f t="shared" si="2"/>
        <v>25</v>
      </c>
      <c r="E69" s="205">
        <v>40</v>
      </c>
      <c r="F69" s="206" t="str">
        <f>IF(D69="","",IF(D69&lt;=40,"Pass","Fail"))</f>
        <v>Pass</v>
      </c>
      <c r="G69" s="197">
        <v>1400</v>
      </c>
      <c r="H69" s="197" t="s">
        <v>81</v>
      </c>
      <c r="I69" s="203"/>
    </row>
    <row r="70" spans="1:9" ht="12.75" customHeight="1" x14ac:dyDescent="0.35">
      <c r="A70" s="199">
        <v>42692</v>
      </c>
      <c r="B70" s="204">
        <v>21</v>
      </c>
      <c r="C70" s="204">
        <v>4</v>
      </c>
      <c r="D70" s="205">
        <f t="shared" si="2"/>
        <v>-17</v>
      </c>
      <c r="E70" s="205">
        <v>40</v>
      </c>
      <c r="F70" s="206" t="str">
        <f t="shared" si="1"/>
        <v>Pass</v>
      </c>
      <c r="G70" s="197">
        <v>1335</v>
      </c>
      <c r="H70" s="197" t="s">
        <v>58</v>
      </c>
      <c r="I70" s="203"/>
    </row>
    <row r="71" spans="1:9" ht="12.75" customHeight="1" x14ac:dyDescent="0.35">
      <c r="A71" s="199">
        <v>42697</v>
      </c>
      <c r="B71" s="204">
        <v>5</v>
      </c>
      <c r="C71" s="204">
        <v>42</v>
      </c>
      <c r="D71" s="205">
        <f t="shared" si="2"/>
        <v>37</v>
      </c>
      <c r="E71" s="205">
        <v>40</v>
      </c>
      <c r="F71" s="206" t="str">
        <f t="shared" si="1"/>
        <v>Pass</v>
      </c>
      <c r="G71" s="197">
        <v>1335</v>
      </c>
      <c r="H71" s="197" t="s">
        <v>58</v>
      </c>
      <c r="I71" s="203"/>
    </row>
    <row r="72" spans="1:9" ht="12.75" customHeight="1" x14ac:dyDescent="0.35">
      <c r="A72" s="199">
        <v>42706</v>
      </c>
      <c r="B72" s="204">
        <v>27</v>
      </c>
      <c r="C72" s="204">
        <v>45</v>
      </c>
      <c r="D72" s="205">
        <f t="shared" si="2"/>
        <v>18</v>
      </c>
      <c r="E72" s="205">
        <v>40</v>
      </c>
      <c r="F72" s="206" t="str">
        <f>IF(D72="","",IF(D72&lt;=40,"Pass","Fail"))</f>
        <v>Pass</v>
      </c>
      <c r="G72" s="197">
        <v>1335</v>
      </c>
      <c r="H72" s="197" t="s">
        <v>82</v>
      </c>
      <c r="I72" s="203"/>
    </row>
    <row r="73" spans="1:9" ht="12.75" customHeight="1" x14ac:dyDescent="0.35">
      <c r="A73" s="199">
        <v>42709</v>
      </c>
      <c r="B73" s="204">
        <v>10</v>
      </c>
      <c r="C73" s="204">
        <v>20</v>
      </c>
      <c r="D73" s="205">
        <f t="shared" si="2"/>
        <v>10</v>
      </c>
      <c r="E73" s="205">
        <v>40</v>
      </c>
      <c r="F73" s="206" t="str">
        <f>IF(D73="","",IF(D73&lt;=40,"Pass","Fail"))</f>
        <v>Pass</v>
      </c>
      <c r="G73" s="197">
        <v>102</v>
      </c>
      <c r="H73" s="197" t="s">
        <v>58</v>
      </c>
      <c r="I73" s="203"/>
    </row>
    <row r="74" spans="1:9" ht="12.75" customHeight="1" x14ac:dyDescent="0.35">
      <c r="A74" s="199">
        <v>42714</v>
      </c>
      <c r="B74" s="204">
        <v>1</v>
      </c>
      <c r="C74" s="204">
        <v>68</v>
      </c>
      <c r="D74" s="205">
        <f t="shared" si="2"/>
        <v>67</v>
      </c>
      <c r="E74" s="205">
        <v>40</v>
      </c>
      <c r="F74" s="206" t="str">
        <f>IF(D74="","",IF(D74&lt;=40,"Pass","Fail"))</f>
        <v>Fail</v>
      </c>
      <c r="G74" s="197">
        <v>64</v>
      </c>
      <c r="H74" s="197" t="s">
        <v>58</v>
      </c>
      <c r="I74" s="203"/>
    </row>
    <row r="75" spans="1:9" ht="12.75" customHeight="1" x14ac:dyDescent="0.35">
      <c r="A75" s="199">
        <v>42714</v>
      </c>
      <c r="B75" s="204">
        <v>2</v>
      </c>
      <c r="C75" s="204">
        <v>37</v>
      </c>
      <c r="D75" s="205">
        <f t="shared" si="2"/>
        <v>35</v>
      </c>
      <c r="E75" s="205">
        <v>40</v>
      </c>
      <c r="F75" s="206" t="str">
        <f>IF(D75="","",IF(D75&lt;=40,"Pass","Fail"))</f>
        <v>Pass</v>
      </c>
      <c r="G75" s="197">
        <v>64</v>
      </c>
      <c r="H75" s="197" t="s">
        <v>58</v>
      </c>
      <c r="I75" s="203"/>
    </row>
    <row r="76" spans="1:9" ht="12.75" customHeight="1" x14ac:dyDescent="0.35">
      <c r="A76" s="199">
        <v>42723</v>
      </c>
      <c r="B76" s="204">
        <v>82</v>
      </c>
      <c r="C76" s="204">
        <v>115</v>
      </c>
      <c r="D76" s="205">
        <f t="shared" si="2"/>
        <v>33</v>
      </c>
      <c r="E76" s="205">
        <v>40</v>
      </c>
      <c r="F76" s="206" t="str">
        <f>IF(D76="","",IF(D76&lt;=40,"Pass","Fail"))</f>
        <v>Pass</v>
      </c>
      <c r="G76" s="197">
        <v>1428</v>
      </c>
      <c r="H76" s="197" t="s">
        <v>58</v>
      </c>
      <c r="I76" s="203"/>
    </row>
    <row r="77" spans="1:9" ht="12.75" customHeight="1" x14ac:dyDescent="0.35">
      <c r="A77" s="199">
        <v>42727</v>
      </c>
      <c r="B77" s="204">
        <v>1</v>
      </c>
      <c r="C77" s="204">
        <v>135</v>
      </c>
      <c r="D77" s="205">
        <f t="shared" si="2"/>
        <v>134</v>
      </c>
      <c r="E77" s="205">
        <v>40</v>
      </c>
      <c r="F77" s="206" t="str">
        <f t="shared" ref="F77:F134" si="3">IF(D77="","",IF(D77&lt;=40,"Pass","Fail"))</f>
        <v>Fail</v>
      </c>
      <c r="G77" s="197">
        <v>1428</v>
      </c>
      <c r="H77" s="197" t="s">
        <v>58</v>
      </c>
      <c r="I77" s="203"/>
    </row>
    <row r="78" spans="1:9" ht="12.75" customHeight="1" x14ac:dyDescent="0.35">
      <c r="A78" s="199">
        <v>42727</v>
      </c>
      <c r="B78" s="204">
        <v>2</v>
      </c>
      <c r="C78" s="204">
        <v>8</v>
      </c>
      <c r="D78" s="205">
        <f t="shared" si="2"/>
        <v>6</v>
      </c>
      <c r="E78" s="205">
        <v>40</v>
      </c>
      <c r="F78" s="206" t="str">
        <f t="shared" si="3"/>
        <v>Pass</v>
      </c>
      <c r="G78" s="197">
        <v>1428</v>
      </c>
      <c r="H78" s="197" t="s">
        <v>58</v>
      </c>
      <c r="I78" s="203"/>
    </row>
    <row r="79" spans="1:9" ht="12.75" customHeight="1" x14ac:dyDescent="0.35">
      <c r="A79" s="199">
        <v>42732</v>
      </c>
      <c r="B79" s="204">
        <v>0</v>
      </c>
      <c r="C79" s="204">
        <v>23</v>
      </c>
      <c r="D79" s="205">
        <f t="shared" si="2"/>
        <v>23</v>
      </c>
      <c r="E79" s="205">
        <v>40</v>
      </c>
      <c r="F79" s="206" t="str">
        <f t="shared" si="3"/>
        <v>Pass</v>
      </c>
      <c r="G79" s="197">
        <v>1335</v>
      </c>
      <c r="H79" s="197" t="s">
        <v>58</v>
      </c>
      <c r="I79" s="197"/>
    </row>
    <row r="80" spans="1:9" ht="12.75" customHeight="1" x14ac:dyDescent="0.35">
      <c r="A80" s="199">
        <v>42739</v>
      </c>
      <c r="B80" s="204">
        <v>2</v>
      </c>
      <c r="C80" s="204">
        <v>21</v>
      </c>
      <c r="D80" s="205">
        <f t="shared" si="2"/>
        <v>19</v>
      </c>
      <c r="E80" s="205">
        <v>40</v>
      </c>
      <c r="F80" s="206" t="str">
        <f t="shared" si="3"/>
        <v>Pass</v>
      </c>
      <c r="G80" s="197">
        <v>1335</v>
      </c>
      <c r="H80" s="197" t="s">
        <v>58</v>
      </c>
      <c r="I80" s="203"/>
    </row>
    <row r="81" spans="1:9" ht="12.75" customHeight="1" x14ac:dyDescent="0.35">
      <c r="A81" s="199">
        <v>42746</v>
      </c>
      <c r="B81" s="204">
        <v>5</v>
      </c>
      <c r="C81" s="204">
        <v>122</v>
      </c>
      <c r="D81" s="205">
        <f t="shared" si="2"/>
        <v>117</v>
      </c>
      <c r="E81" s="205">
        <v>40</v>
      </c>
      <c r="F81" s="206" t="str">
        <f t="shared" si="3"/>
        <v>Fail</v>
      </c>
      <c r="G81" s="197">
        <v>1159</v>
      </c>
      <c r="H81" s="197" t="s">
        <v>83</v>
      </c>
      <c r="I81" s="203"/>
    </row>
    <row r="82" spans="1:9" ht="12.75" customHeight="1" x14ac:dyDescent="0.35">
      <c r="A82" s="199">
        <v>42746</v>
      </c>
      <c r="B82" s="204">
        <v>0</v>
      </c>
      <c r="C82" s="204">
        <v>48</v>
      </c>
      <c r="D82" s="205">
        <f t="shared" ref="D82:D134" si="4">IF(((B82="")*AND(C82="")),"",C82-B82)</f>
        <v>48</v>
      </c>
      <c r="E82" s="205">
        <v>40</v>
      </c>
      <c r="F82" s="206" t="str">
        <f t="shared" si="3"/>
        <v>Fail</v>
      </c>
      <c r="G82" s="197">
        <v>1159</v>
      </c>
      <c r="H82" s="197" t="s">
        <v>84</v>
      </c>
      <c r="I82" s="203"/>
    </row>
    <row r="83" spans="1:9" ht="12.75" customHeight="1" x14ac:dyDescent="0.35">
      <c r="A83" s="199">
        <v>42746</v>
      </c>
      <c r="B83" s="204">
        <v>3</v>
      </c>
      <c r="C83" s="204">
        <v>78</v>
      </c>
      <c r="D83" s="205">
        <f t="shared" si="4"/>
        <v>75</v>
      </c>
      <c r="E83" s="205">
        <v>40</v>
      </c>
      <c r="F83" s="206" t="str">
        <f t="shared" si="3"/>
        <v>Fail</v>
      </c>
      <c r="G83" s="197">
        <v>1159</v>
      </c>
      <c r="H83" s="197" t="s">
        <v>85</v>
      </c>
      <c r="I83" s="203"/>
    </row>
    <row r="84" spans="1:9" ht="12.75" customHeight="1" x14ac:dyDescent="0.35">
      <c r="A84" s="199">
        <v>42746</v>
      </c>
      <c r="B84" s="204">
        <v>5</v>
      </c>
      <c r="C84" s="204">
        <v>36</v>
      </c>
      <c r="D84" s="205">
        <f t="shared" si="4"/>
        <v>31</v>
      </c>
      <c r="E84" s="205">
        <v>40</v>
      </c>
      <c r="F84" s="206" t="str">
        <f t="shared" si="3"/>
        <v>Pass</v>
      </c>
      <c r="G84" s="197">
        <v>1159</v>
      </c>
      <c r="H84" s="197" t="s">
        <v>86</v>
      </c>
      <c r="I84" s="203"/>
    </row>
    <row r="85" spans="1:9" ht="12.75" customHeight="1" x14ac:dyDescent="0.35">
      <c r="A85" s="199">
        <v>42750</v>
      </c>
      <c r="B85" s="204">
        <v>3</v>
      </c>
      <c r="C85" s="204">
        <v>33</v>
      </c>
      <c r="D85" s="205">
        <f t="shared" si="4"/>
        <v>30</v>
      </c>
      <c r="E85" s="205">
        <v>40</v>
      </c>
      <c r="F85" s="206" t="str">
        <f t="shared" si="3"/>
        <v>Pass</v>
      </c>
      <c r="G85" s="197">
        <v>1159</v>
      </c>
      <c r="H85" s="197" t="s">
        <v>87</v>
      </c>
      <c r="I85" s="203"/>
    </row>
    <row r="86" spans="1:9" ht="12.75" customHeight="1" x14ac:dyDescent="0.35">
      <c r="A86" s="199">
        <v>42773</v>
      </c>
      <c r="B86" s="204">
        <v>5</v>
      </c>
      <c r="C86" s="204">
        <v>38</v>
      </c>
      <c r="D86" s="205">
        <f t="shared" si="4"/>
        <v>33</v>
      </c>
      <c r="E86" s="205">
        <v>40</v>
      </c>
      <c r="F86" s="206" t="str">
        <f t="shared" si="3"/>
        <v>Pass</v>
      </c>
      <c r="G86" s="197">
        <v>1400</v>
      </c>
      <c r="H86" s="197" t="s">
        <v>88</v>
      </c>
      <c r="I86" s="203"/>
    </row>
    <row r="87" spans="1:9" ht="12.75" customHeight="1" x14ac:dyDescent="0.35">
      <c r="A87" s="199">
        <v>42792</v>
      </c>
      <c r="B87" s="204">
        <v>16</v>
      </c>
      <c r="C87" s="204">
        <v>49</v>
      </c>
      <c r="D87" s="205">
        <f t="shared" si="4"/>
        <v>33</v>
      </c>
      <c r="E87" s="205">
        <v>40</v>
      </c>
      <c r="F87" s="206" t="str">
        <f t="shared" si="3"/>
        <v>Pass</v>
      </c>
      <c r="G87" s="203">
        <v>1159</v>
      </c>
      <c r="H87" s="203"/>
      <c r="I87" s="203"/>
    </row>
    <row r="88" spans="1:9" ht="12.75" customHeight="1" x14ac:dyDescent="0.35">
      <c r="A88" s="199">
        <v>42836</v>
      </c>
      <c r="B88" s="204">
        <v>2</v>
      </c>
      <c r="C88" s="204">
        <v>127</v>
      </c>
      <c r="D88" s="205">
        <f t="shared" si="4"/>
        <v>125</v>
      </c>
      <c r="E88" s="205">
        <v>40</v>
      </c>
      <c r="F88" s="206" t="str">
        <f t="shared" si="3"/>
        <v>Fail</v>
      </c>
      <c r="G88" s="197">
        <v>1400</v>
      </c>
      <c r="H88" s="203" t="s">
        <v>89</v>
      </c>
      <c r="I88" s="203"/>
    </row>
    <row r="89" spans="1:9" ht="12.75" customHeight="1" x14ac:dyDescent="0.35">
      <c r="A89" s="199">
        <v>42845</v>
      </c>
      <c r="B89" s="204">
        <v>3</v>
      </c>
      <c r="C89" s="204">
        <v>200</v>
      </c>
      <c r="D89" s="205">
        <f t="shared" si="4"/>
        <v>197</v>
      </c>
      <c r="E89" s="205">
        <v>40</v>
      </c>
      <c r="F89" s="206" t="str">
        <f t="shared" si="3"/>
        <v>Fail</v>
      </c>
      <c r="G89" s="197">
        <v>1335</v>
      </c>
      <c r="H89" s="197" t="s">
        <v>90</v>
      </c>
      <c r="I89" s="203"/>
    </row>
    <row r="90" spans="1:9" ht="12.75" customHeight="1" x14ac:dyDescent="0.35">
      <c r="A90" s="199">
        <v>42849</v>
      </c>
      <c r="B90" s="204">
        <v>23</v>
      </c>
      <c r="C90" s="204">
        <v>186</v>
      </c>
      <c r="D90" s="205">
        <f t="shared" si="4"/>
        <v>163</v>
      </c>
      <c r="E90" s="205">
        <v>40</v>
      </c>
      <c r="F90" s="206" t="str">
        <f t="shared" si="3"/>
        <v>Fail</v>
      </c>
      <c r="G90" s="197">
        <v>64</v>
      </c>
      <c r="H90" s="197" t="s">
        <v>91</v>
      </c>
      <c r="I90" s="203"/>
    </row>
    <row r="91" spans="1:9" ht="12.75" customHeight="1" x14ac:dyDescent="0.35">
      <c r="A91" s="199">
        <v>42905</v>
      </c>
      <c r="B91" s="204">
        <v>3</v>
      </c>
      <c r="C91" s="204">
        <v>72</v>
      </c>
      <c r="D91" s="205">
        <f t="shared" si="4"/>
        <v>69</v>
      </c>
      <c r="E91" s="205">
        <v>40</v>
      </c>
      <c r="F91" s="206" t="str">
        <f t="shared" si="3"/>
        <v>Fail</v>
      </c>
      <c r="G91" s="197">
        <v>1159</v>
      </c>
      <c r="H91" s="197" t="s">
        <v>92</v>
      </c>
      <c r="I91" s="203"/>
    </row>
    <row r="92" spans="1:9" ht="12.75" customHeight="1" x14ac:dyDescent="0.35">
      <c r="A92" s="199">
        <v>42905</v>
      </c>
      <c r="B92" s="204">
        <v>9</v>
      </c>
      <c r="C92" s="204">
        <v>24</v>
      </c>
      <c r="D92" s="205">
        <f t="shared" si="4"/>
        <v>15</v>
      </c>
      <c r="E92" s="205">
        <v>40</v>
      </c>
      <c r="F92" s="206" t="str">
        <f t="shared" si="3"/>
        <v>Pass</v>
      </c>
      <c r="G92" s="197">
        <v>1159</v>
      </c>
      <c r="H92" s="197" t="s">
        <v>93</v>
      </c>
      <c r="I92" s="203"/>
    </row>
    <row r="93" spans="1:9" ht="12.75" customHeight="1" x14ac:dyDescent="0.35">
      <c r="A93" s="199">
        <v>42912</v>
      </c>
      <c r="B93" s="204">
        <v>3</v>
      </c>
      <c r="C93" s="204">
        <v>90</v>
      </c>
      <c r="D93" s="205">
        <f t="shared" si="4"/>
        <v>87</v>
      </c>
      <c r="E93" s="205">
        <v>40</v>
      </c>
      <c r="F93" s="206" t="str">
        <f t="shared" si="3"/>
        <v>Fail</v>
      </c>
      <c r="G93" s="197">
        <v>1159</v>
      </c>
      <c r="H93" s="197" t="s">
        <v>94</v>
      </c>
      <c r="I93" s="203"/>
    </row>
    <row r="94" spans="1:9" ht="12.75" customHeight="1" x14ac:dyDescent="0.35">
      <c r="A94" s="199">
        <v>42912</v>
      </c>
      <c r="B94" s="204">
        <v>5</v>
      </c>
      <c r="C94" s="204">
        <v>40</v>
      </c>
      <c r="D94" s="205">
        <f t="shared" si="4"/>
        <v>35</v>
      </c>
      <c r="E94" s="205">
        <v>40</v>
      </c>
      <c r="F94" s="206" t="str">
        <f t="shared" si="3"/>
        <v>Pass</v>
      </c>
      <c r="G94" s="197">
        <v>1159</v>
      </c>
      <c r="H94" s="197" t="s">
        <v>94</v>
      </c>
      <c r="I94" s="203"/>
    </row>
    <row r="95" spans="1:9" ht="12.75" customHeight="1" x14ac:dyDescent="0.35">
      <c r="A95" s="199">
        <v>42916</v>
      </c>
      <c r="B95" s="204">
        <v>6</v>
      </c>
      <c r="C95" s="204">
        <v>39</v>
      </c>
      <c r="D95" s="205">
        <f t="shared" si="4"/>
        <v>33</v>
      </c>
      <c r="E95" s="205">
        <v>40</v>
      </c>
      <c r="F95" s="206" t="str">
        <f t="shared" si="3"/>
        <v>Pass</v>
      </c>
      <c r="G95" s="197">
        <v>102</v>
      </c>
      <c r="H95" s="203" t="s">
        <v>89</v>
      </c>
      <c r="I95" s="203"/>
    </row>
    <row r="96" spans="1:9" ht="12.75" customHeight="1" x14ac:dyDescent="0.35">
      <c r="A96" s="199">
        <v>42922</v>
      </c>
      <c r="B96" s="204">
        <v>9</v>
      </c>
      <c r="C96" s="204">
        <v>39</v>
      </c>
      <c r="D96" s="205">
        <f t="shared" si="4"/>
        <v>30</v>
      </c>
      <c r="E96" s="205">
        <v>40</v>
      </c>
      <c r="F96" s="206" t="str">
        <f t="shared" si="3"/>
        <v>Pass</v>
      </c>
      <c r="G96" s="197">
        <v>102</v>
      </c>
      <c r="H96" s="203" t="s">
        <v>89</v>
      </c>
      <c r="I96" s="203"/>
    </row>
    <row r="97" spans="1:9" ht="12.75" customHeight="1" x14ac:dyDescent="0.35">
      <c r="A97" s="199">
        <v>42930</v>
      </c>
      <c r="B97" s="204">
        <v>1</v>
      </c>
      <c r="C97" s="204">
        <v>43</v>
      </c>
      <c r="D97" s="205">
        <f t="shared" si="4"/>
        <v>42</v>
      </c>
      <c r="E97" s="205">
        <v>40</v>
      </c>
      <c r="F97" s="206" t="str">
        <f t="shared" si="3"/>
        <v>Fail</v>
      </c>
      <c r="G97" s="197">
        <v>102</v>
      </c>
      <c r="H97" s="197" t="s">
        <v>95</v>
      </c>
      <c r="I97" s="203"/>
    </row>
    <row r="98" spans="1:9" ht="12.75" customHeight="1" x14ac:dyDescent="0.35">
      <c r="A98" s="199">
        <v>42930</v>
      </c>
      <c r="B98" s="204">
        <v>2</v>
      </c>
      <c r="C98" s="204">
        <v>13</v>
      </c>
      <c r="D98" s="205">
        <f t="shared" si="4"/>
        <v>11</v>
      </c>
      <c r="E98" s="205">
        <v>40</v>
      </c>
      <c r="F98" s="206" t="str">
        <f t="shared" si="3"/>
        <v>Pass</v>
      </c>
      <c r="G98" s="197">
        <v>102</v>
      </c>
      <c r="H98" s="197" t="s">
        <v>96</v>
      </c>
      <c r="I98" s="203"/>
    </row>
    <row r="99" spans="1:9" ht="12.75" customHeight="1" x14ac:dyDescent="0.35">
      <c r="A99" s="199">
        <v>42936</v>
      </c>
      <c r="B99" s="204">
        <v>7</v>
      </c>
      <c r="C99" s="204">
        <v>78</v>
      </c>
      <c r="D99" s="205">
        <f t="shared" si="4"/>
        <v>71</v>
      </c>
      <c r="E99" s="205">
        <v>40</v>
      </c>
      <c r="F99" s="206" t="str">
        <f t="shared" si="3"/>
        <v>Fail</v>
      </c>
      <c r="G99" s="197">
        <v>121</v>
      </c>
      <c r="H99" s="197" t="s">
        <v>97</v>
      </c>
      <c r="I99" s="203"/>
    </row>
    <row r="100" spans="1:9" ht="12.75" customHeight="1" x14ac:dyDescent="0.35">
      <c r="A100" s="199">
        <v>42936</v>
      </c>
      <c r="B100" s="204">
        <v>3</v>
      </c>
      <c r="C100" s="204">
        <v>32</v>
      </c>
      <c r="D100" s="205">
        <f t="shared" si="4"/>
        <v>29</v>
      </c>
      <c r="E100" s="205">
        <v>40</v>
      </c>
      <c r="F100" s="206" t="str">
        <f t="shared" si="3"/>
        <v>Pass</v>
      </c>
      <c r="G100" s="197">
        <v>121</v>
      </c>
      <c r="H100" s="197" t="s">
        <v>98</v>
      </c>
      <c r="I100" s="203"/>
    </row>
    <row r="101" spans="1:9" ht="12.75" customHeight="1" x14ac:dyDescent="0.35">
      <c r="A101" s="199">
        <v>42941</v>
      </c>
      <c r="B101" s="204">
        <v>13</v>
      </c>
      <c r="C101" s="204">
        <v>62</v>
      </c>
      <c r="D101" s="205">
        <f t="shared" si="4"/>
        <v>49</v>
      </c>
      <c r="E101" s="205">
        <v>40</v>
      </c>
      <c r="F101" s="206" t="str">
        <f t="shared" si="3"/>
        <v>Fail</v>
      </c>
      <c r="G101" s="197">
        <v>1159</v>
      </c>
      <c r="H101" s="197" t="s">
        <v>99</v>
      </c>
      <c r="I101" s="203"/>
    </row>
    <row r="102" spans="1:9" ht="12.75" customHeight="1" x14ac:dyDescent="0.35">
      <c r="A102" s="199">
        <v>42941</v>
      </c>
      <c r="B102" s="204">
        <v>17</v>
      </c>
      <c r="C102" s="204">
        <v>56</v>
      </c>
      <c r="D102" s="205">
        <f t="shared" si="4"/>
        <v>39</v>
      </c>
      <c r="E102" s="205">
        <v>40</v>
      </c>
      <c r="F102" s="206" t="str">
        <f t="shared" si="3"/>
        <v>Pass</v>
      </c>
      <c r="G102" s="197">
        <v>1159</v>
      </c>
      <c r="H102" s="197" t="s">
        <v>100</v>
      </c>
      <c r="I102" s="203"/>
    </row>
    <row r="103" spans="1:9" ht="12.75" customHeight="1" x14ac:dyDescent="0.35">
      <c r="A103" s="199">
        <v>42945</v>
      </c>
      <c r="B103" s="204">
        <v>3</v>
      </c>
      <c r="C103" s="204">
        <v>14</v>
      </c>
      <c r="D103" s="205">
        <f t="shared" si="4"/>
        <v>11</v>
      </c>
      <c r="E103" s="205">
        <v>40</v>
      </c>
      <c r="F103" s="206" t="str">
        <f t="shared" si="3"/>
        <v>Pass</v>
      </c>
      <c r="G103" s="197">
        <v>102</v>
      </c>
      <c r="H103" s="197" t="s">
        <v>101</v>
      </c>
      <c r="I103" s="203"/>
    </row>
    <row r="104" spans="1:9" ht="12.75" customHeight="1" x14ac:dyDescent="0.35">
      <c r="A104" s="199">
        <v>42951</v>
      </c>
      <c r="B104" s="200">
        <v>16</v>
      </c>
      <c r="C104" s="200">
        <v>53</v>
      </c>
      <c r="D104" s="201">
        <f t="shared" si="4"/>
        <v>37</v>
      </c>
      <c r="E104" s="201">
        <v>40</v>
      </c>
      <c r="F104" s="202" t="str">
        <f t="shared" si="3"/>
        <v>Pass</v>
      </c>
      <c r="G104" s="196">
        <v>1159</v>
      </c>
      <c r="H104" s="196" t="s">
        <v>102</v>
      </c>
      <c r="I104" s="203"/>
    </row>
    <row r="105" spans="1:9" ht="12.75" customHeight="1" x14ac:dyDescent="0.35">
      <c r="A105" s="199">
        <v>42959</v>
      </c>
      <c r="B105" s="200">
        <v>16</v>
      </c>
      <c r="C105" s="200">
        <v>55</v>
      </c>
      <c r="D105" s="201">
        <f t="shared" si="4"/>
        <v>39</v>
      </c>
      <c r="E105" s="201">
        <v>40</v>
      </c>
      <c r="F105" s="202" t="str">
        <f t="shared" si="3"/>
        <v>Pass</v>
      </c>
      <c r="G105" s="196">
        <v>102</v>
      </c>
      <c r="H105" s="196" t="s">
        <v>103</v>
      </c>
      <c r="I105" s="203"/>
    </row>
    <row r="106" spans="1:9" ht="12.75" customHeight="1" x14ac:dyDescent="0.35">
      <c r="A106" s="199">
        <v>42968</v>
      </c>
      <c r="B106" s="200">
        <v>4</v>
      </c>
      <c r="C106" s="200">
        <v>239</v>
      </c>
      <c r="D106" s="201">
        <f t="shared" si="4"/>
        <v>235</v>
      </c>
      <c r="E106" s="201">
        <v>40</v>
      </c>
      <c r="F106" s="202" t="str">
        <f t="shared" si="3"/>
        <v>Fail</v>
      </c>
      <c r="G106" s="196">
        <v>1159</v>
      </c>
      <c r="H106" s="196" t="s">
        <v>104</v>
      </c>
      <c r="I106" s="203"/>
    </row>
    <row r="107" spans="1:9" ht="12.75" customHeight="1" x14ac:dyDescent="0.35">
      <c r="A107" s="199">
        <v>42968</v>
      </c>
      <c r="B107" s="200">
        <v>36</v>
      </c>
      <c r="C107" s="200">
        <v>231</v>
      </c>
      <c r="D107" s="201">
        <f t="shared" si="4"/>
        <v>195</v>
      </c>
      <c r="E107" s="201">
        <v>40</v>
      </c>
      <c r="F107" s="202" t="str">
        <f t="shared" si="3"/>
        <v>Fail</v>
      </c>
      <c r="G107" s="196">
        <v>1159</v>
      </c>
      <c r="H107" s="196" t="s">
        <v>105</v>
      </c>
      <c r="I107" s="203"/>
    </row>
    <row r="108" spans="1:9" ht="12.75" customHeight="1" x14ac:dyDescent="0.35">
      <c r="A108" s="199">
        <v>42969</v>
      </c>
      <c r="B108" s="200">
        <v>5</v>
      </c>
      <c r="C108" s="200">
        <v>216</v>
      </c>
      <c r="D108" s="201">
        <f t="shared" si="4"/>
        <v>211</v>
      </c>
      <c r="E108" s="201">
        <v>40</v>
      </c>
      <c r="F108" s="202" t="str">
        <f t="shared" si="3"/>
        <v>Fail</v>
      </c>
      <c r="G108" s="196">
        <v>1159</v>
      </c>
      <c r="H108" s="196" t="s">
        <v>106</v>
      </c>
      <c r="I108" s="203"/>
    </row>
    <row r="109" spans="1:9" ht="12.75" customHeight="1" x14ac:dyDescent="0.35">
      <c r="A109" s="199">
        <v>42970</v>
      </c>
      <c r="B109" s="200">
        <v>6</v>
      </c>
      <c r="C109" s="200">
        <v>84</v>
      </c>
      <c r="D109" s="201">
        <f t="shared" si="4"/>
        <v>78</v>
      </c>
      <c r="E109" s="201">
        <v>40</v>
      </c>
      <c r="F109" s="202" t="str">
        <f t="shared" si="3"/>
        <v>Fail</v>
      </c>
      <c r="G109" s="196">
        <v>1534</v>
      </c>
      <c r="H109" s="196" t="s">
        <v>107</v>
      </c>
      <c r="I109" s="203"/>
    </row>
    <row r="110" spans="1:9" ht="12.75" customHeight="1" x14ac:dyDescent="0.35">
      <c r="A110" s="199">
        <v>42970</v>
      </c>
      <c r="B110" s="200">
        <v>3</v>
      </c>
      <c r="C110" s="200">
        <v>29</v>
      </c>
      <c r="D110" s="201">
        <f t="shared" si="4"/>
        <v>26</v>
      </c>
      <c r="E110" s="201">
        <v>40</v>
      </c>
      <c r="F110" s="202" t="str">
        <f t="shared" si="3"/>
        <v>Pass</v>
      </c>
      <c r="G110" s="196">
        <v>1534</v>
      </c>
      <c r="H110" s="196" t="s">
        <v>108</v>
      </c>
      <c r="I110" s="203"/>
    </row>
    <row r="111" spans="1:9" ht="12.75" customHeight="1" x14ac:dyDescent="0.35">
      <c r="A111" s="199">
        <v>42976</v>
      </c>
      <c r="B111" s="200">
        <v>1</v>
      </c>
      <c r="C111" s="200">
        <v>12</v>
      </c>
      <c r="D111" s="201">
        <f t="shared" si="4"/>
        <v>11</v>
      </c>
      <c r="E111" s="201">
        <v>40</v>
      </c>
      <c r="F111" s="202" t="str">
        <f t="shared" si="3"/>
        <v>Pass</v>
      </c>
      <c r="G111" s="196">
        <v>1428</v>
      </c>
      <c r="H111" s="196"/>
      <c r="I111" s="203"/>
    </row>
    <row r="112" spans="1:9" ht="12.75" customHeight="1" x14ac:dyDescent="0.35">
      <c r="A112" s="199">
        <v>42981</v>
      </c>
      <c r="B112" s="200">
        <v>8</v>
      </c>
      <c r="C112" s="200">
        <v>115</v>
      </c>
      <c r="D112" s="201">
        <f t="shared" si="4"/>
        <v>107</v>
      </c>
      <c r="E112" s="201">
        <v>40</v>
      </c>
      <c r="F112" s="202" t="str">
        <f t="shared" si="3"/>
        <v>Fail</v>
      </c>
      <c r="G112" s="196">
        <v>1159</v>
      </c>
      <c r="H112" s="196" t="s">
        <v>109</v>
      </c>
      <c r="I112" s="203"/>
    </row>
    <row r="113" spans="1:9" ht="12.75" customHeight="1" x14ac:dyDescent="0.35">
      <c r="A113" s="199">
        <v>42981</v>
      </c>
      <c r="B113" s="200">
        <v>6</v>
      </c>
      <c r="C113" s="200">
        <v>89</v>
      </c>
      <c r="D113" s="201">
        <f t="shared" si="4"/>
        <v>83</v>
      </c>
      <c r="E113" s="201">
        <v>40</v>
      </c>
      <c r="F113" s="202" t="str">
        <f t="shared" si="3"/>
        <v>Fail</v>
      </c>
      <c r="G113" s="196">
        <v>1159</v>
      </c>
      <c r="H113" s="196" t="s">
        <v>110</v>
      </c>
      <c r="I113" s="203"/>
    </row>
    <row r="114" spans="1:9" ht="12.75" customHeight="1" x14ac:dyDescent="0.35">
      <c r="A114" s="199">
        <v>42981</v>
      </c>
      <c r="B114" s="200">
        <v>11</v>
      </c>
      <c r="C114" s="200">
        <v>153</v>
      </c>
      <c r="D114" s="201">
        <f t="shared" si="4"/>
        <v>142</v>
      </c>
      <c r="E114" s="201">
        <v>40</v>
      </c>
      <c r="F114" s="202" t="str">
        <f t="shared" si="3"/>
        <v>Fail</v>
      </c>
      <c r="G114" s="196">
        <v>1159</v>
      </c>
      <c r="H114" s="196" t="s">
        <v>111</v>
      </c>
      <c r="I114" s="203"/>
    </row>
    <row r="115" spans="1:9" ht="12.75" customHeight="1" x14ac:dyDescent="0.35">
      <c r="A115" s="199">
        <v>42981</v>
      </c>
      <c r="B115" s="200">
        <v>7</v>
      </c>
      <c r="C115" s="200">
        <v>146</v>
      </c>
      <c r="D115" s="201">
        <f t="shared" si="4"/>
        <v>139</v>
      </c>
      <c r="E115" s="201">
        <v>40</v>
      </c>
      <c r="F115" s="202" t="str">
        <f t="shared" si="3"/>
        <v>Fail</v>
      </c>
      <c r="G115" s="196">
        <v>1159</v>
      </c>
      <c r="H115" s="196" t="s">
        <v>112</v>
      </c>
      <c r="I115" s="203"/>
    </row>
    <row r="116" spans="1:9" ht="12.75" customHeight="1" x14ac:dyDescent="0.35">
      <c r="A116" s="199">
        <v>42981</v>
      </c>
      <c r="B116" s="200">
        <v>15</v>
      </c>
      <c r="C116" s="200">
        <v>136</v>
      </c>
      <c r="D116" s="201">
        <f t="shared" si="4"/>
        <v>121</v>
      </c>
      <c r="E116" s="201">
        <v>40</v>
      </c>
      <c r="F116" s="202" t="str">
        <f t="shared" si="3"/>
        <v>Fail</v>
      </c>
      <c r="G116" s="196">
        <v>1159</v>
      </c>
      <c r="H116" s="196" t="s">
        <v>113</v>
      </c>
      <c r="I116" s="203"/>
    </row>
    <row r="117" spans="1:9" ht="12.75" customHeight="1" x14ac:dyDescent="0.35">
      <c r="A117" s="199">
        <v>42981</v>
      </c>
      <c r="B117" s="200">
        <v>4</v>
      </c>
      <c r="C117" s="200">
        <v>126</v>
      </c>
      <c r="D117" s="201">
        <f t="shared" si="4"/>
        <v>122</v>
      </c>
      <c r="E117" s="201">
        <v>40</v>
      </c>
      <c r="F117" s="202" t="str">
        <f t="shared" si="3"/>
        <v>Fail</v>
      </c>
      <c r="G117" s="196">
        <v>1159</v>
      </c>
      <c r="H117" s="196" t="s">
        <v>114</v>
      </c>
      <c r="I117" s="203"/>
    </row>
    <row r="118" spans="1:9" ht="12.75" customHeight="1" x14ac:dyDescent="0.35">
      <c r="A118" s="199">
        <v>42981</v>
      </c>
      <c r="B118" s="200">
        <v>7</v>
      </c>
      <c r="C118" s="200">
        <v>260</v>
      </c>
      <c r="D118" s="201">
        <f t="shared" si="4"/>
        <v>253</v>
      </c>
      <c r="E118" s="201">
        <v>40</v>
      </c>
      <c r="F118" s="202" t="str">
        <f t="shared" si="3"/>
        <v>Fail</v>
      </c>
      <c r="G118" s="196">
        <v>1159</v>
      </c>
      <c r="H118" s="196" t="s">
        <v>115</v>
      </c>
      <c r="I118" s="203"/>
    </row>
    <row r="119" spans="1:9" ht="12.75" customHeight="1" x14ac:dyDescent="0.35">
      <c r="A119" s="199">
        <v>42981</v>
      </c>
      <c r="B119" s="200">
        <v>10</v>
      </c>
      <c r="C119" s="200">
        <v>46</v>
      </c>
      <c r="D119" s="201">
        <f t="shared" si="4"/>
        <v>36</v>
      </c>
      <c r="E119" s="201">
        <v>40</v>
      </c>
      <c r="F119" s="202" t="str">
        <f t="shared" si="3"/>
        <v>Pass</v>
      </c>
      <c r="G119" s="196">
        <v>1159</v>
      </c>
      <c r="H119" s="196" t="s">
        <v>116</v>
      </c>
      <c r="I119" s="203"/>
    </row>
    <row r="120" spans="1:9" ht="12.75" customHeight="1" x14ac:dyDescent="0.35">
      <c r="A120" s="199">
        <v>42261</v>
      </c>
      <c r="B120" s="200">
        <v>37</v>
      </c>
      <c r="C120" s="200">
        <v>129</v>
      </c>
      <c r="D120" s="201">
        <f t="shared" si="4"/>
        <v>92</v>
      </c>
      <c r="E120" s="201">
        <v>40</v>
      </c>
      <c r="F120" s="202" t="str">
        <f t="shared" si="3"/>
        <v>Fail</v>
      </c>
      <c r="G120" s="196">
        <v>121</v>
      </c>
      <c r="H120" s="196"/>
      <c r="I120" s="203"/>
    </row>
    <row r="121" spans="1:9" ht="12.75" customHeight="1" x14ac:dyDescent="0.35">
      <c r="A121" s="199">
        <v>42261</v>
      </c>
      <c r="B121" s="200">
        <v>24</v>
      </c>
      <c r="C121" s="200">
        <v>119</v>
      </c>
      <c r="D121" s="201">
        <f t="shared" si="4"/>
        <v>95</v>
      </c>
      <c r="E121" s="201">
        <v>40</v>
      </c>
      <c r="F121" s="202" t="str">
        <f t="shared" si="3"/>
        <v>Fail</v>
      </c>
      <c r="G121" s="196">
        <v>121</v>
      </c>
      <c r="H121" s="196"/>
      <c r="I121" s="203"/>
    </row>
    <row r="122" spans="1:9" ht="12.75" customHeight="1" x14ac:dyDescent="0.35">
      <c r="A122" s="199">
        <v>42997</v>
      </c>
      <c r="B122" s="200">
        <v>1</v>
      </c>
      <c r="C122" s="200">
        <v>30</v>
      </c>
      <c r="D122" s="201">
        <f t="shared" si="4"/>
        <v>29</v>
      </c>
      <c r="E122" s="201">
        <v>40</v>
      </c>
      <c r="F122" s="202" t="str">
        <f t="shared" si="3"/>
        <v>Pass</v>
      </c>
      <c r="G122" s="196">
        <v>1335</v>
      </c>
      <c r="H122" s="196" t="s">
        <v>310</v>
      </c>
      <c r="I122" s="203"/>
    </row>
    <row r="123" spans="1:9" ht="12.75" customHeight="1" x14ac:dyDescent="0.35">
      <c r="A123" s="199">
        <v>43004</v>
      </c>
      <c r="B123" s="200">
        <v>4</v>
      </c>
      <c r="C123" s="200">
        <v>65</v>
      </c>
      <c r="D123" s="201">
        <f t="shared" si="4"/>
        <v>61</v>
      </c>
      <c r="E123" s="201">
        <v>40</v>
      </c>
      <c r="F123" s="202" t="str">
        <f t="shared" si="3"/>
        <v>Fail</v>
      </c>
      <c r="G123" s="196">
        <v>121</v>
      </c>
      <c r="H123" s="196" t="s">
        <v>117</v>
      </c>
      <c r="I123" s="203"/>
    </row>
    <row r="124" spans="1:9" ht="12.75" customHeight="1" x14ac:dyDescent="0.35">
      <c r="A124" s="199">
        <v>43004</v>
      </c>
      <c r="B124" s="200">
        <v>3</v>
      </c>
      <c r="C124" s="200">
        <v>114</v>
      </c>
      <c r="D124" s="201">
        <f t="shared" si="4"/>
        <v>111</v>
      </c>
      <c r="E124" s="201">
        <v>40</v>
      </c>
      <c r="F124" s="202" t="str">
        <f t="shared" si="3"/>
        <v>Fail</v>
      </c>
      <c r="G124" s="196">
        <v>121</v>
      </c>
      <c r="H124" s="196" t="s">
        <v>118</v>
      </c>
      <c r="I124" s="203"/>
    </row>
    <row r="125" spans="1:9" ht="12.75" customHeight="1" x14ac:dyDescent="0.35">
      <c r="A125" s="199">
        <v>43005</v>
      </c>
      <c r="B125" s="200">
        <v>10</v>
      </c>
      <c r="C125" s="200">
        <v>54</v>
      </c>
      <c r="D125" s="201">
        <f t="shared" si="4"/>
        <v>44</v>
      </c>
      <c r="E125" s="201">
        <v>40</v>
      </c>
      <c r="F125" s="202" t="str">
        <f t="shared" si="3"/>
        <v>Fail</v>
      </c>
      <c r="G125" s="196">
        <v>121</v>
      </c>
      <c r="H125" s="196" t="s">
        <v>119</v>
      </c>
      <c r="I125" s="203"/>
    </row>
    <row r="126" spans="1:9" ht="12.75" customHeight="1" x14ac:dyDescent="0.35">
      <c r="A126" s="199">
        <v>43006</v>
      </c>
      <c r="B126" s="200">
        <v>6</v>
      </c>
      <c r="C126" s="200">
        <v>23</v>
      </c>
      <c r="D126" s="201">
        <f t="shared" si="4"/>
        <v>17</v>
      </c>
      <c r="E126" s="201">
        <v>40</v>
      </c>
      <c r="F126" s="202" t="str">
        <f t="shared" si="3"/>
        <v>Pass</v>
      </c>
      <c r="G126" s="196">
        <v>121</v>
      </c>
      <c r="H126" s="196" t="s">
        <v>89</v>
      </c>
      <c r="I126" s="203"/>
    </row>
    <row r="127" spans="1:9" ht="12.75" customHeight="1" x14ac:dyDescent="0.35">
      <c r="A127" s="199">
        <v>43011</v>
      </c>
      <c r="B127" s="200">
        <v>9</v>
      </c>
      <c r="C127" s="200">
        <v>37</v>
      </c>
      <c r="D127" s="201">
        <f t="shared" si="4"/>
        <v>28</v>
      </c>
      <c r="E127" s="201">
        <v>40</v>
      </c>
      <c r="F127" s="202" t="str">
        <f t="shared" si="3"/>
        <v>Pass</v>
      </c>
      <c r="G127" s="196">
        <v>1428</v>
      </c>
      <c r="H127" s="196"/>
      <c r="I127" s="203"/>
    </row>
    <row r="128" spans="1:9" ht="12.75" customHeight="1" x14ac:dyDescent="0.35">
      <c r="A128" s="199">
        <v>43018</v>
      </c>
      <c r="B128" s="200">
        <v>11</v>
      </c>
      <c r="C128" s="200">
        <v>21</v>
      </c>
      <c r="D128" s="201">
        <f t="shared" si="4"/>
        <v>10</v>
      </c>
      <c r="E128" s="201">
        <v>40</v>
      </c>
      <c r="F128" s="202" t="str">
        <f t="shared" si="3"/>
        <v>Pass</v>
      </c>
      <c r="G128" s="196">
        <v>1428</v>
      </c>
      <c r="H128" s="196"/>
      <c r="I128" s="203"/>
    </row>
    <row r="129" spans="1:9" ht="12.75" customHeight="1" x14ac:dyDescent="0.35">
      <c r="A129" s="199">
        <v>43025</v>
      </c>
      <c r="B129" s="200">
        <v>37</v>
      </c>
      <c r="C129" s="200">
        <v>85</v>
      </c>
      <c r="D129" s="201">
        <f t="shared" si="4"/>
        <v>48</v>
      </c>
      <c r="E129" s="201">
        <v>40</v>
      </c>
      <c r="F129" s="202" t="str">
        <f t="shared" si="3"/>
        <v>Fail</v>
      </c>
      <c r="G129" s="196">
        <v>102</v>
      </c>
      <c r="H129" s="196" t="s">
        <v>120</v>
      </c>
      <c r="I129" s="203"/>
    </row>
    <row r="130" spans="1:9" ht="12.75" customHeight="1" x14ac:dyDescent="0.35">
      <c r="A130" s="199">
        <v>43025</v>
      </c>
      <c r="B130" s="200">
        <v>4</v>
      </c>
      <c r="C130" s="200">
        <v>54</v>
      </c>
      <c r="D130" s="201">
        <f t="shared" si="4"/>
        <v>50</v>
      </c>
      <c r="E130" s="201">
        <v>40</v>
      </c>
      <c r="F130" s="202" t="str">
        <f t="shared" si="3"/>
        <v>Fail</v>
      </c>
      <c r="G130" s="196">
        <v>102</v>
      </c>
      <c r="H130" s="196" t="s">
        <v>121</v>
      </c>
      <c r="I130" s="203"/>
    </row>
    <row r="131" spans="1:9" ht="12.75" customHeight="1" x14ac:dyDescent="0.35">
      <c r="A131" s="199">
        <v>43026</v>
      </c>
      <c r="B131" s="204">
        <v>7</v>
      </c>
      <c r="C131" s="204">
        <v>60</v>
      </c>
      <c r="D131" s="205">
        <f t="shared" si="4"/>
        <v>53</v>
      </c>
      <c r="E131" s="205">
        <v>40</v>
      </c>
      <c r="F131" s="202" t="str">
        <f t="shared" si="3"/>
        <v>Fail</v>
      </c>
      <c r="G131" s="197">
        <v>1335</v>
      </c>
      <c r="H131" s="196" t="s">
        <v>122</v>
      </c>
      <c r="I131" s="203"/>
    </row>
    <row r="132" spans="1:9" ht="12.75" customHeight="1" x14ac:dyDescent="0.35">
      <c r="A132" s="199">
        <v>43026</v>
      </c>
      <c r="B132" s="204">
        <v>5</v>
      </c>
      <c r="C132" s="204">
        <v>65</v>
      </c>
      <c r="D132" s="205">
        <f t="shared" si="4"/>
        <v>60</v>
      </c>
      <c r="E132" s="205">
        <v>40</v>
      </c>
      <c r="F132" s="202" t="str">
        <f t="shared" si="3"/>
        <v>Fail</v>
      </c>
      <c r="G132" s="197">
        <v>1335</v>
      </c>
      <c r="H132" s="196" t="s">
        <v>123</v>
      </c>
      <c r="I132" s="203"/>
    </row>
    <row r="133" spans="1:9" ht="12.75" customHeight="1" x14ac:dyDescent="0.35">
      <c r="A133" s="199">
        <v>43031</v>
      </c>
      <c r="B133" s="204">
        <v>20</v>
      </c>
      <c r="C133" s="204">
        <v>67</v>
      </c>
      <c r="D133" s="205">
        <f t="shared" si="4"/>
        <v>47</v>
      </c>
      <c r="E133" s="205">
        <v>40</v>
      </c>
      <c r="F133" s="202" t="str">
        <f t="shared" si="3"/>
        <v>Fail</v>
      </c>
      <c r="G133" s="197">
        <v>1159</v>
      </c>
      <c r="H133" s="196" t="s">
        <v>124</v>
      </c>
      <c r="I133" s="203"/>
    </row>
    <row r="134" spans="1:9" ht="12.75" customHeight="1" x14ac:dyDescent="0.35">
      <c r="A134" s="199">
        <v>43031</v>
      </c>
      <c r="B134" s="204">
        <v>1</v>
      </c>
      <c r="C134" s="204">
        <v>50</v>
      </c>
      <c r="D134" s="205">
        <f t="shared" si="4"/>
        <v>49</v>
      </c>
      <c r="E134" s="205">
        <v>40</v>
      </c>
      <c r="F134" s="202" t="str">
        <f t="shared" si="3"/>
        <v>Fail</v>
      </c>
      <c r="G134" s="197">
        <v>1159</v>
      </c>
      <c r="H134" s="196" t="s">
        <v>125</v>
      </c>
      <c r="I134" s="203"/>
    </row>
    <row r="135" spans="1:9" ht="12.75" customHeight="1" x14ac:dyDescent="0.35">
      <c r="A135" s="199">
        <v>43031</v>
      </c>
      <c r="B135" s="204">
        <v>3</v>
      </c>
      <c r="C135" s="204">
        <v>27</v>
      </c>
      <c r="D135" s="205">
        <f>IF(((B135="")*AND(C135="")),"",C135-B135)</f>
        <v>24</v>
      </c>
      <c r="E135" s="205">
        <v>40</v>
      </c>
      <c r="F135" s="202" t="str">
        <f>IF(D135="","",IF(D135&lt;=40,"Pass","Fail"))</f>
        <v>Pass</v>
      </c>
      <c r="G135" s="197">
        <v>1534</v>
      </c>
      <c r="H135" s="196" t="s">
        <v>126</v>
      </c>
      <c r="I135" s="203"/>
    </row>
    <row r="136" spans="1:9" ht="12.75" customHeight="1" x14ac:dyDescent="0.35">
      <c r="A136" s="199">
        <v>43039</v>
      </c>
      <c r="B136" s="204">
        <v>26</v>
      </c>
      <c r="C136" s="204">
        <v>79</v>
      </c>
      <c r="D136" s="205">
        <f>IF(((B136="")*AND(C136="")),"",C136-B136)</f>
        <v>53</v>
      </c>
      <c r="E136" s="205">
        <v>40</v>
      </c>
      <c r="F136" s="202" t="str">
        <f>IF(D136="","",IF(D136&lt;=40,"Pass","Fail"))</f>
        <v>Fail</v>
      </c>
      <c r="G136" s="197">
        <v>1428</v>
      </c>
      <c r="H136" s="196" t="s">
        <v>127</v>
      </c>
      <c r="I136" s="203"/>
    </row>
    <row r="137" spans="1:9" ht="12.75" customHeight="1" x14ac:dyDescent="0.35">
      <c r="A137" s="199">
        <v>43039</v>
      </c>
      <c r="B137" s="204">
        <v>6</v>
      </c>
      <c r="C137" s="204">
        <v>140</v>
      </c>
      <c r="D137" s="205">
        <f>IF(((B137="")*AND(C137="")),"",C137-B137)</f>
        <v>134</v>
      </c>
      <c r="E137" s="205">
        <v>40</v>
      </c>
      <c r="F137" s="202" t="str">
        <f>IF(D137="","",IF(D137&lt;=40,"Pass","Fail"))</f>
        <v>Fail</v>
      </c>
      <c r="G137" s="197">
        <v>1428</v>
      </c>
      <c r="H137" s="196" t="s">
        <v>128</v>
      </c>
      <c r="I137" s="203"/>
    </row>
    <row r="138" spans="1:9" ht="12.75" customHeight="1" x14ac:dyDescent="0.35">
      <c r="A138" s="199">
        <v>43039</v>
      </c>
      <c r="B138" s="204">
        <v>8</v>
      </c>
      <c r="C138" s="204">
        <v>59</v>
      </c>
      <c r="D138" s="205">
        <f>IF(((B138="")*AND(C138="")),"",C138-B138)</f>
        <v>51</v>
      </c>
      <c r="E138" s="205">
        <v>40</v>
      </c>
      <c r="F138" s="202" t="str">
        <f>IF(D138="","",IF(D138&lt;=40,"Pass","Fail"))</f>
        <v>Fail</v>
      </c>
      <c r="G138" s="197">
        <v>1335</v>
      </c>
      <c r="H138" s="196" t="s">
        <v>129</v>
      </c>
      <c r="I138" s="203"/>
    </row>
    <row r="139" spans="1:9" ht="12.75" customHeight="1" x14ac:dyDescent="0.35">
      <c r="A139" s="199">
        <v>43039</v>
      </c>
      <c r="B139" s="204">
        <v>3</v>
      </c>
      <c r="C139" s="204">
        <v>383</v>
      </c>
      <c r="D139" s="205">
        <f t="shared" ref="D139:D203" si="5">IF(((B139="")*AND(C139="")),"",C139-B139)</f>
        <v>380</v>
      </c>
      <c r="E139" s="205">
        <v>40</v>
      </c>
      <c r="F139" s="202" t="str">
        <f t="shared" ref="F139:F203" si="6">IF(D139="","",IF(D139&lt;=40,"Pass","Fail"))</f>
        <v>Fail</v>
      </c>
      <c r="G139" s="197">
        <v>1335</v>
      </c>
      <c r="H139" s="196" t="s">
        <v>130</v>
      </c>
      <c r="I139" s="203"/>
    </row>
    <row r="140" spans="1:9" ht="12.75" customHeight="1" x14ac:dyDescent="0.35">
      <c r="A140" s="199">
        <v>43040</v>
      </c>
      <c r="B140" s="204">
        <v>10</v>
      </c>
      <c r="C140" s="204">
        <v>106</v>
      </c>
      <c r="D140" s="205">
        <f t="shared" si="5"/>
        <v>96</v>
      </c>
      <c r="E140" s="205">
        <v>40</v>
      </c>
      <c r="F140" s="202" t="str">
        <f t="shared" si="6"/>
        <v>Fail</v>
      </c>
      <c r="G140" s="197">
        <v>121</v>
      </c>
      <c r="H140" s="196" t="s">
        <v>131</v>
      </c>
      <c r="I140" s="203"/>
    </row>
    <row r="141" spans="1:9" ht="12.75" customHeight="1" x14ac:dyDescent="0.35">
      <c r="A141" s="199">
        <v>43040</v>
      </c>
      <c r="B141" s="204">
        <v>3</v>
      </c>
      <c r="C141" s="204">
        <v>48</v>
      </c>
      <c r="D141" s="205">
        <f t="shared" si="5"/>
        <v>45</v>
      </c>
      <c r="E141" s="205">
        <v>40</v>
      </c>
      <c r="F141" s="202" t="str">
        <f t="shared" si="6"/>
        <v>Fail</v>
      </c>
      <c r="G141" s="197">
        <v>121</v>
      </c>
      <c r="H141" s="196" t="s">
        <v>132</v>
      </c>
      <c r="I141" s="203"/>
    </row>
    <row r="142" spans="1:9" ht="12.75" customHeight="1" x14ac:dyDescent="0.35">
      <c r="A142" s="199">
        <v>43040</v>
      </c>
      <c r="B142" s="204">
        <v>8</v>
      </c>
      <c r="C142" s="204">
        <v>136</v>
      </c>
      <c r="D142" s="205">
        <f t="shared" si="5"/>
        <v>128</v>
      </c>
      <c r="E142" s="205">
        <v>40</v>
      </c>
      <c r="F142" s="202" t="str">
        <f t="shared" si="6"/>
        <v>Fail</v>
      </c>
      <c r="G142" s="197">
        <v>102</v>
      </c>
      <c r="H142" s="196" t="s">
        <v>133</v>
      </c>
      <c r="I142" s="203"/>
    </row>
    <row r="143" spans="1:9" ht="12.75" customHeight="1" x14ac:dyDescent="0.35">
      <c r="A143" s="199">
        <v>43040</v>
      </c>
      <c r="B143" s="204">
        <v>6</v>
      </c>
      <c r="C143" s="204">
        <v>91</v>
      </c>
      <c r="D143" s="205">
        <f t="shared" si="5"/>
        <v>85</v>
      </c>
      <c r="E143" s="205">
        <v>40</v>
      </c>
      <c r="F143" s="202" t="str">
        <f>IF(D143="","",IF(D143&lt;=40,"Pass","Fail"))</f>
        <v>Fail</v>
      </c>
      <c r="G143" s="197">
        <v>102</v>
      </c>
      <c r="H143" s="196" t="s">
        <v>134</v>
      </c>
      <c r="I143" s="203"/>
    </row>
    <row r="144" spans="1:9" ht="12.75" customHeight="1" x14ac:dyDescent="0.35">
      <c r="A144" s="199">
        <v>43045</v>
      </c>
      <c r="B144" s="204">
        <v>7</v>
      </c>
      <c r="C144" s="204">
        <v>68</v>
      </c>
      <c r="D144" s="205">
        <f t="shared" si="5"/>
        <v>61</v>
      </c>
      <c r="E144" s="205">
        <v>40</v>
      </c>
      <c r="F144" s="202" t="str">
        <f t="shared" si="6"/>
        <v>Fail</v>
      </c>
      <c r="G144" s="197">
        <v>1159</v>
      </c>
      <c r="H144" s="196" t="s">
        <v>135</v>
      </c>
      <c r="I144" s="203"/>
    </row>
    <row r="145" spans="1:9" ht="12.75" customHeight="1" x14ac:dyDescent="0.35">
      <c r="A145" s="199">
        <v>43047</v>
      </c>
      <c r="B145" s="204">
        <v>4</v>
      </c>
      <c r="C145" s="204">
        <v>34</v>
      </c>
      <c r="D145" s="205">
        <f t="shared" si="5"/>
        <v>30</v>
      </c>
      <c r="E145" s="205">
        <v>40</v>
      </c>
      <c r="F145" s="202" t="str">
        <f t="shared" si="6"/>
        <v>Pass</v>
      </c>
      <c r="G145" s="197">
        <v>102</v>
      </c>
      <c r="H145" s="196" t="s">
        <v>58</v>
      </c>
      <c r="I145" s="203"/>
    </row>
    <row r="146" spans="1:9" ht="12.75" customHeight="1" x14ac:dyDescent="0.35">
      <c r="A146" s="199">
        <v>43053</v>
      </c>
      <c r="B146" s="204">
        <v>25</v>
      </c>
      <c r="C146" s="204">
        <v>79</v>
      </c>
      <c r="D146" s="205">
        <f t="shared" si="5"/>
        <v>54</v>
      </c>
      <c r="E146" s="205">
        <v>40</v>
      </c>
      <c r="F146" s="202" t="str">
        <f t="shared" si="6"/>
        <v>Fail</v>
      </c>
      <c r="G146" s="197">
        <v>1159</v>
      </c>
      <c r="H146" s="196" t="s">
        <v>134</v>
      </c>
      <c r="I146" s="203"/>
    </row>
    <row r="147" spans="1:9" ht="12.75" customHeight="1" x14ac:dyDescent="0.35">
      <c r="A147" s="199">
        <v>43054</v>
      </c>
      <c r="B147" s="204">
        <v>5</v>
      </c>
      <c r="C147" s="204">
        <v>85</v>
      </c>
      <c r="D147" s="205">
        <f t="shared" si="5"/>
        <v>80</v>
      </c>
      <c r="E147" s="205">
        <v>40</v>
      </c>
      <c r="F147" s="202" t="str">
        <f t="shared" si="6"/>
        <v>Fail</v>
      </c>
      <c r="G147" s="197">
        <v>1159</v>
      </c>
      <c r="H147" s="196" t="s">
        <v>134</v>
      </c>
      <c r="I147" s="203"/>
    </row>
    <row r="148" spans="1:9" ht="12.75" customHeight="1" x14ac:dyDescent="0.35">
      <c r="A148" s="199">
        <v>43055</v>
      </c>
      <c r="B148" s="204">
        <v>3</v>
      </c>
      <c r="C148" s="204">
        <v>73</v>
      </c>
      <c r="D148" s="205">
        <f t="shared" si="5"/>
        <v>70</v>
      </c>
      <c r="E148" s="205">
        <v>40</v>
      </c>
      <c r="F148" s="202" t="str">
        <f t="shared" si="6"/>
        <v>Fail</v>
      </c>
      <c r="G148" s="197">
        <v>102</v>
      </c>
      <c r="H148" s="196" t="s">
        <v>136</v>
      </c>
      <c r="I148" s="203"/>
    </row>
    <row r="149" spans="1:9" ht="12.75" customHeight="1" x14ac:dyDescent="0.35">
      <c r="A149" s="199">
        <v>43055</v>
      </c>
      <c r="B149" s="204">
        <v>1</v>
      </c>
      <c r="C149" s="204">
        <v>1</v>
      </c>
      <c r="D149" s="205">
        <f t="shared" si="5"/>
        <v>0</v>
      </c>
      <c r="E149" s="205">
        <v>40</v>
      </c>
      <c r="F149" s="202" t="str">
        <f t="shared" si="6"/>
        <v>Pass</v>
      </c>
      <c r="G149" s="197">
        <v>102</v>
      </c>
      <c r="H149" s="196" t="s">
        <v>137</v>
      </c>
      <c r="I149" s="203"/>
    </row>
    <row r="150" spans="1:9" ht="12.75" customHeight="1" x14ac:dyDescent="0.35">
      <c r="A150" s="199" t="s">
        <v>138</v>
      </c>
      <c r="B150" s="204">
        <v>5</v>
      </c>
      <c r="C150" s="204">
        <v>56</v>
      </c>
      <c r="D150" s="205">
        <f t="shared" si="5"/>
        <v>51</v>
      </c>
      <c r="E150" s="205">
        <v>40</v>
      </c>
      <c r="F150" s="202" t="str">
        <f t="shared" si="6"/>
        <v>Fail</v>
      </c>
      <c r="G150" s="197">
        <v>121</v>
      </c>
      <c r="H150" s="196" t="s">
        <v>139</v>
      </c>
      <c r="I150" s="203"/>
    </row>
    <row r="151" spans="1:9" ht="12.75" customHeight="1" x14ac:dyDescent="0.35">
      <c r="A151" s="199" t="s">
        <v>138</v>
      </c>
      <c r="B151" s="204">
        <v>5</v>
      </c>
      <c r="C151" s="204">
        <v>56</v>
      </c>
      <c r="D151" s="205">
        <f>IF(((B151="")*AND(C151="")),"",C151-B151)</f>
        <v>51</v>
      </c>
      <c r="E151" s="205">
        <v>40</v>
      </c>
      <c r="F151" s="202" t="str">
        <f>IF(D151="","",IF(D151&lt;=40,"Pass","Fail"))</f>
        <v>Fail</v>
      </c>
      <c r="G151" s="197">
        <v>121</v>
      </c>
      <c r="H151" s="196" t="s">
        <v>89</v>
      </c>
      <c r="I151" s="203"/>
    </row>
    <row r="152" spans="1:9" ht="12.75" customHeight="1" x14ac:dyDescent="0.35">
      <c r="A152" s="199">
        <v>43075</v>
      </c>
      <c r="B152" s="204">
        <v>15</v>
      </c>
      <c r="C152" s="204">
        <v>359</v>
      </c>
      <c r="D152" s="205">
        <f t="shared" si="5"/>
        <v>344</v>
      </c>
      <c r="E152" s="205">
        <v>40</v>
      </c>
      <c r="F152" s="202" t="str">
        <f t="shared" si="6"/>
        <v>Fail</v>
      </c>
      <c r="G152" s="197">
        <v>102</v>
      </c>
      <c r="H152" s="196" t="s">
        <v>140</v>
      </c>
      <c r="I152" s="203"/>
    </row>
    <row r="153" spans="1:9" ht="12.75" customHeight="1" x14ac:dyDescent="0.35">
      <c r="A153" s="199">
        <v>43075</v>
      </c>
      <c r="B153" s="204">
        <v>6</v>
      </c>
      <c r="C153" s="204">
        <v>223</v>
      </c>
      <c r="D153" s="205">
        <f t="shared" si="5"/>
        <v>217</v>
      </c>
      <c r="E153" s="205">
        <v>40</v>
      </c>
      <c r="F153" s="202" t="str">
        <f t="shared" si="6"/>
        <v>Fail</v>
      </c>
      <c r="G153" s="197">
        <v>102</v>
      </c>
      <c r="H153" s="196" t="s">
        <v>141</v>
      </c>
      <c r="I153" s="208"/>
    </row>
    <row r="154" spans="1:9" ht="12.75" customHeight="1" x14ac:dyDescent="0.35">
      <c r="A154" s="199">
        <v>43076</v>
      </c>
      <c r="B154" s="204">
        <v>9</v>
      </c>
      <c r="C154" s="204">
        <v>153</v>
      </c>
      <c r="D154" s="205">
        <f>IF(((B154="")*AND(C154="")),"",C154-B154)</f>
        <v>144</v>
      </c>
      <c r="E154" s="205">
        <v>40</v>
      </c>
      <c r="F154" s="202" t="str">
        <f>IF(D154="","",IF(D154&lt;=40,"Pass","Fail"))</f>
        <v>Fail</v>
      </c>
      <c r="G154" s="197">
        <v>102</v>
      </c>
      <c r="H154" s="196"/>
      <c r="I154" s="208"/>
    </row>
    <row r="155" spans="1:9" ht="12.75" customHeight="1" x14ac:dyDescent="0.35">
      <c r="A155" s="199">
        <v>43080</v>
      </c>
      <c r="B155" s="204">
        <v>5</v>
      </c>
      <c r="C155" s="204">
        <v>93</v>
      </c>
      <c r="D155" s="205">
        <f t="shared" si="5"/>
        <v>88</v>
      </c>
      <c r="E155" s="205">
        <v>40</v>
      </c>
      <c r="F155" s="202" t="str">
        <f t="shared" si="6"/>
        <v>Fail</v>
      </c>
      <c r="G155" s="197">
        <v>102</v>
      </c>
      <c r="H155" s="196"/>
      <c r="I155" s="203"/>
    </row>
    <row r="156" spans="1:9" ht="12.75" customHeight="1" x14ac:dyDescent="0.35">
      <c r="A156" s="199">
        <v>43091</v>
      </c>
      <c r="B156" s="204">
        <v>4</v>
      </c>
      <c r="C156" s="204">
        <v>96</v>
      </c>
      <c r="D156" s="205">
        <f t="shared" si="5"/>
        <v>92</v>
      </c>
      <c r="E156" s="205">
        <v>40</v>
      </c>
      <c r="F156" s="202" t="str">
        <f t="shared" si="6"/>
        <v>Fail</v>
      </c>
      <c r="G156" s="197">
        <v>121</v>
      </c>
      <c r="H156" s="196"/>
      <c r="I156" s="203"/>
    </row>
    <row r="157" spans="1:9" ht="12.75" customHeight="1" x14ac:dyDescent="0.35">
      <c r="A157" s="199">
        <v>43091</v>
      </c>
      <c r="B157" s="204">
        <v>11</v>
      </c>
      <c r="C157" s="204">
        <v>54</v>
      </c>
      <c r="D157" s="205">
        <f t="shared" si="5"/>
        <v>43</v>
      </c>
      <c r="E157" s="205">
        <v>40</v>
      </c>
      <c r="F157" s="202" t="str">
        <f t="shared" si="6"/>
        <v>Fail</v>
      </c>
      <c r="G157" s="197">
        <v>1428</v>
      </c>
      <c r="H157" s="196" t="s">
        <v>142</v>
      </c>
      <c r="I157" s="203"/>
    </row>
    <row r="158" spans="1:9" ht="12.75" customHeight="1" x14ac:dyDescent="0.35">
      <c r="A158" s="199">
        <v>43092</v>
      </c>
      <c r="B158" s="204">
        <v>3</v>
      </c>
      <c r="C158" s="204">
        <v>51</v>
      </c>
      <c r="D158" s="205">
        <f t="shared" si="5"/>
        <v>48</v>
      </c>
      <c r="E158" s="205">
        <v>40</v>
      </c>
      <c r="F158" s="202" t="str">
        <f t="shared" si="6"/>
        <v>Fail</v>
      </c>
      <c r="G158" s="197">
        <v>1159</v>
      </c>
      <c r="H158" s="196" t="s">
        <v>143</v>
      </c>
      <c r="I158" s="203"/>
    </row>
    <row r="159" spans="1:9" ht="12.75" customHeight="1" x14ac:dyDescent="0.35">
      <c r="A159" s="199">
        <v>43092</v>
      </c>
      <c r="B159" s="204">
        <v>3</v>
      </c>
      <c r="C159" s="204">
        <v>57</v>
      </c>
      <c r="D159" s="205">
        <f t="shared" si="5"/>
        <v>54</v>
      </c>
      <c r="E159" s="205">
        <v>40</v>
      </c>
      <c r="F159" s="202" t="str">
        <f t="shared" si="6"/>
        <v>Fail</v>
      </c>
      <c r="G159" s="197">
        <v>1159</v>
      </c>
      <c r="H159" s="196"/>
      <c r="I159" s="203"/>
    </row>
    <row r="160" spans="1:9" ht="12.75" customHeight="1" x14ac:dyDescent="0.35">
      <c r="A160" s="199">
        <v>43096</v>
      </c>
      <c r="B160" s="204">
        <v>14</v>
      </c>
      <c r="C160" s="204">
        <v>31</v>
      </c>
      <c r="D160" s="205">
        <f t="shared" si="5"/>
        <v>17</v>
      </c>
      <c r="E160" s="205">
        <v>40</v>
      </c>
      <c r="F160" s="202" t="str">
        <f t="shared" si="6"/>
        <v>Pass</v>
      </c>
      <c r="G160" s="197">
        <v>1428</v>
      </c>
      <c r="H160" s="196"/>
      <c r="I160" s="203"/>
    </row>
    <row r="161" spans="1:9" ht="12.75" customHeight="1" x14ac:dyDescent="0.35">
      <c r="A161" s="199">
        <v>43105</v>
      </c>
      <c r="B161" s="204">
        <v>9</v>
      </c>
      <c r="C161" s="204">
        <v>43</v>
      </c>
      <c r="D161" s="205">
        <f>IF(((B161="")*AND(C161="")),"",C161-B161)</f>
        <v>34</v>
      </c>
      <c r="E161" s="205">
        <v>40</v>
      </c>
      <c r="F161" s="202" t="str">
        <f>IF(D161="","",IF(D161&lt;=40,"Pass","Fail"))</f>
        <v>Pass</v>
      </c>
      <c r="G161" s="197">
        <v>64</v>
      </c>
      <c r="H161" s="196"/>
      <c r="I161" s="203"/>
    </row>
    <row r="162" spans="1:9" ht="12.75" customHeight="1" x14ac:dyDescent="0.35">
      <c r="A162" s="199">
        <v>43105</v>
      </c>
      <c r="B162" s="204">
        <v>3</v>
      </c>
      <c r="C162" s="204">
        <v>28</v>
      </c>
      <c r="D162" s="205">
        <f t="shared" si="5"/>
        <v>25</v>
      </c>
      <c r="E162" s="205">
        <v>40</v>
      </c>
      <c r="F162" s="202" t="str">
        <f t="shared" si="6"/>
        <v>Pass</v>
      </c>
      <c r="G162" s="197">
        <v>1335</v>
      </c>
      <c r="H162" s="196"/>
      <c r="I162" s="203"/>
    </row>
    <row r="163" spans="1:9" ht="12.75" customHeight="1" x14ac:dyDescent="0.35">
      <c r="A163" s="199">
        <v>43108</v>
      </c>
      <c r="B163" s="204">
        <v>9</v>
      </c>
      <c r="C163" s="204">
        <v>33</v>
      </c>
      <c r="D163" s="205">
        <f t="shared" si="5"/>
        <v>24</v>
      </c>
      <c r="E163" s="205">
        <v>40</v>
      </c>
      <c r="F163" s="202" t="str">
        <f t="shared" si="6"/>
        <v>Pass</v>
      </c>
      <c r="G163" s="197">
        <v>1335</v>
      </c>
      <c r="H163" s="196" t="s">
        <v>144</v>
      </c>
      <c r="I163" s="203"/>
    </row>
    <row r="164" spans="1:9" ht="12.75" customHeight="1" x14ac:dyDescent="0.35">
      <c r="A164" s="199">
        <v>43114</v>
      </c>
      <c r="B164" s="204">
        <v>10</v>
      </c>
      <c r="C164" s="204">
        <v>95</v>
      </c>
      <c r="D164" s="205">
        <f t="shared" si="5"/>
        <v>85</v>
      </c>
      <c r="E164" s="205">
        <v>40</v>
      </c>
      <c r="F164" s="202" t="str">
        <f t="shared" si="6"/>
        <v>Fail</v>
      </c>
      <c r="G164" s="197">
        <v>1335</v>
      </c>
      <c r="H164" s="196" t="s">
        <v>145</v>
      </c>
      <c r="I164" s="203"/>
    </row>
    <row r="165" spans="1:9" ht="12.75" customHeight="1" x14ac:dyDescent="0.35">
      <c r="A165" s="199">
        <v>43119</v>
      </c>
      <c r="B165" s="204">
        <v>5</v>
      </c>
      <c r="C165" s="204">
        <v>29</v>
      </c>
      <c r="D165" s="205">
        <f t="shared" si="5"/>
        <v>24</v>
      </c>
      <c r="E165" s="205">
        <v>40</v>
      </c>
      <c r="F165" s="202" t="str">
        <f t="shared" si="6"/>
        <v>Pass</v>
      </c>
      <c r="G165" s="197">
        <v>1519</v>
      </c>
      <c r="H165" s="196" t="s">
        <v>146</v>
      </c>
      <c r="I165" s="203"/>
    </row>
    <row r="166" spans="1:9" ht="12.75" customHeight="1" x14ac:dyDescent="0.35">
      <c r="A166" s="199">
        <v>43125</v>
      </c>
      <c r="B166" s="204">
        <v>27</v>
      </c>
      <c r="C166" s="204">
        <v>44</v>
      </c>
      <c r="D166" s="205">
        <f t="shared" si="5"/>
        <v>17</v>
      </c>
      <c r="E166" s="205">
        <v>40</v>
      </c>
      <c r="F166" s="202" t="str">
        <f t="shared" si="6"/>
        <v>Pass</v>
      </c>
      <c r="G166" s="197">
        <v>1428</v>
      </c>
      <c r="H166" s="196"/>
      <c r="I166" s="203"/>
    </row>
    <row r="167" spans="1:9" ht="12.75" customHeight="1" x14ac:dyDescent="0.35">
      <c r="A167" s="199">
        <v>43129</v>
      </c>
      <c r="B167" s="204">
        <v>2</v>
      </c>
      <c r="C167" s="204">
        <v>26</v>
      </c>
      <c r="D167" s="205">
        <f t="shared" si="5"/>
        <v>24</v>
      </c>
      <c r="E167" s="205">
        <v>40</v>
      </c>
      <c r="F167" s="202" t="str">
        <f t="shared" si="6"/>
        <v>Pass</v>
      </c>
      <c r="G167" s="197">
        <v>121</v>
      </c>
      <c r="H167" s="196" t="s">
        <v>147</v>
      </c>
      <c r="I167" s="203"/>
    </row>
    <row r="168" spans="1:9" ht="12.75" customHeight="1" x14ac:dyDescent="0.35">
      <c r="A168" s="199">
        <v>43135</v>
      </c>
      <c r="B168" s="204">
        <v>11</v>
      </c>
      <c r="C168" s="204">
        <v>53</v>
      </c>
      <c r="D168" s="205">
        <f t="shared" si="5"/>
        <v>42</v>
      </c>
      <c r="E168" s="205">
        <v>40</v>
      </c>
      <c r="F168" s="202" t="str">
        <f t="shared" si="6"/>
        <v>Fail</v>
      </c>
      <c r="G168" s="197">
        <v>1335</v>
      </c>
      <c r="H168" s="196" t="s">
        <v>148</v>
      </c>
      <c r="I168" s="203"/>
    </row>
    <row r="169" spans="1:9" ht="12.75" customHeight="1" x14ac:dyDescent="0.35">
      <c r="A169" s="199">
        <v>43140</v>
      </c>
      <c r="B169" s="204">
        <v>5</v>
      </c>
      <c r="C169" s="204">
        <v>69</v>
      </c>
      <c r="D169" s="205">
        <f t="shared" si="5"/>
        <v>64</v>
      </c>
      <c r="E169" s="205">
        <v>40</v>
      </c>
      <c r="F169" s="202" t="str">
        <f t="shared" si="6"/>
        <v>Fail</v>
      </c>
      <c r="G169" s="197">
        <v>1159</v>
      </c>
      <c r="H169" s="196"/>
      <c r="I169" s="203"/>
    </row>
    <row r="170" spans="1:9" ht="12.75" customHeight="1" x14ac:dyDescent="0.35">
      <c r="A170" s="199">
        <v>43140</v>
      </c>
      <c r="B170" s="204">
        <v>4</v>
      </c>
      <c r="C170" s="204">
        <v>38</v>
      </c>
      <c r="D170" s="205">
        <f t="shared" si="5"/>
        <v>34</v>
      </c>
      <c r="E170" s="205">
        <v>40</v>
      </c>
      <c r="F170" s="202" t="str">
        <f t="shared" si="6"/>
        <v>Pass</v>
      </c>
      <c r="G170" s="197">
        <v>1428</v>
      </c>
      <c r="H170" s="196" t="s">
        <v>149</v>
      </c>
      <c r="I170" s="203"/>
    </row>
    <row r="171" spans="1:9" ht="12.75" customHeight="1" x14ac:dyDescent="0.35">
      <c r="A171" s="199">
        <v>43140</v>
      </c>
      <c r="B171" s="204">
        <v>1</v>
      </c>
      <c r="C171" s="204">
        <v>7</v>
      </c>
      <c r="D171" s="205">
        <f>IF(((B171="")*AND(C171="")),"",C171-B171)</f>
        <v>6</v>
      </c>
      <c r="E171" s="205">
        <v>40</v>
      </c>
      <c r="F171" s="202" t="str">
        <f>IF(D171="","",IF(D171&lt;=40,"Pass","Fail"))</f>
        <v>Pass</v>
      </c>
      <c r="G171" s="197">
        <v>1428</v>
      </c>
      <c r="H171" s="196"/>
      <c r="I171" s="203"/>
    </row>
    <row r="172" spans="1:9" ht="12.75" customHeight="1" x14ac:dyDescent="0.35">
      <c r="A172" s="199">
        <v>43140</v>
      </c>
      <c r="B172" s="204">
        <v>4</v>
      </c>
      <c r="C172" s="204">
        <v>218</v>
      </c>
      <c r="D172" s="205">
        <f>IF(((B172="")*AND(C172="")),"",C172-B172)</f>
        <v>214</v>
      </c>
      <c r="E172" s="205">
        <v>40</v>
      </c>
      <c r="F172" s="202" t="str">
        <f>IF(D172="","",IF(D172&lt;=40,"Pass","Fail"))</f>
        <v>Fail</v>
      </c>
      <c r="G172" s="197">
        <v>102</v>
      </c>
      <c r="H172" s="196" t="s">
        <v>150</v>
      </c>
      <c r="I172" s="203"/>
    </row>
    <row r="173" spans="1:9" ht="12.75" customHeight="1" x14ac:dyDescent="0.35">
      <c r="A173" s="199">
        <v>43198</v>
      </c>
      <c r="B173" s="204">
        <v>3</v>
      </c>
      <c r="C173" s="204">
        <v>76</v>
      </c>
      <c r="D173" s="205">
        <f t="shared" si="5"/>
        <v>73</v>
      </c>
      <c r="E173" s="205">
        <v>40</v>
      </c>
      <c r="F173" s="202" t="str">
        <f t="shared" si="6"/>
        <v>Fail</v>
      </c>
      <c r="G173" s="197"/>
      <c r="H173" s="196"/>
      <c r="I173" s="203"/>
    </row>
    <row r="174" spans="1:9" ht="12.75" customHeight="1" x14ac:dyDescent="0.35">
      <c r="A174" s="199">
        <v>43294</v>
      </c>
      <c r="B174" s="204">
        <v>5</v>
      </c>
      <c r="C174" s="204">
        <v>47</v>
      </c>
      <c r="D174" s="205">
        <f t="shared" si="5"/>
        <v>42</v>
      </c>
      <c r="E174" s="205">
        <v>40</v>
      </c>
      <c r="F174" s="202" t="str">
        <f t="shared" si="6"/>
        <v>Fail</v>
      </c>
      <c r="G174" s="197">
        <v>1335</v>
      </c>
      <c r="H174" s="196"/>
      <c r="I174" s="203"/>
    </row>
    <row r="175" spans="1:9" ht="12.75" customHeight="1" x14ac:dyDescent="0.35">
      <c r="A175" s="199">
        <v>43296</v>
      </c>
      <c r="B175" s="204">
        <v>35</v>
      </c>
      <c r="C175" s="204">
        <v>68</v>
      </c>
      <c r="D175" s="205">
        <f t="shared" si="5"/>
        <v>33</v>
      </c>
      <c r="E175" s="205">
        <v>40</v>
      </c>
      <c r="F175" s="202" t="str">
        <f t="shared" si="6"/>
        <v>Pass</v>
      </c>
      <c r="G175" s="197">
        <v>74</v>
      </c>
      <c r="H175" s="196"/>
      <c r="I175" s="203"/>
    </row>
    <row r="176" spans="1:9" ht="12.75" customHeight="1" x14ac:dyDescent="0.35">
      <c r="A176" s="199">
        <v>43297</v>
      </c>
      <c r="B176" s="204">
        <v>14</v>
      </c>
      <c r="C176" s="204">
        <v>54</v>
      </c>
      <c r="D176" s="205">
        <f t="shared" si="5"/>
        <v>40</v>
      </c>
      <c r="E176" s="205">
        <v>40</v>
      </c>
      <c r="F176" s="202" t="str">
        <f t="shared" si="6"/>
        <v>Pass</v>
      </c>
      <c r="G176" s="197">
        <v>1159</v>
      </c>
      <c r="H176" s="196" t="s">
        <v>151</v>
      </c>
      <c r="I176" s="196" t="s">
        <v>152</v>
      </c>
    </row>
    <row r="177" spans="1:9" ht="12.75" customHeight="1" x14ac:dyDescent="0.35">
      <c r="A177" s="199">
        <v>43297</v>
      </c>
      <c r="B177" s="204">
        <v>23</v>
      </c>
      <c r="C177" s="204">
        <v>40</v>
      </c>
      <c r="D177" s="205">
        <f t="shared" si="5"/>
        <v>17</v>
      </c>
      <c r="E177" s="205">
        <v>40</v>
      </c>
      <c r="F177" s="202" t="str">
        <f t="shared" si="6"/>
        <v>Pass</v>
      </c>
      <c r="G177" s="197">
        <v>1159</v>
      </c>
      <c r="H177" s="196"/>
      <c r="I177" s="203"/>
    </row>
    <row r="178" spans="1:9" ht="12.75" customHeight="1" x14ac:dyDescent="0.35">
      <c r="A178" s="199">
        <v>43304</v>
      </c>
      <c r="B178" s="204">
        <v>23</v>
      </c>
      <c r="C178" s="204">
        <v>29</v>
      </c>
      <c r="D178" s="205">
        <f t="shared" si="5"/>
        <v>6</v>
      </c>
      <c r="E178" s="205">
        <v>40</v>
      </c>
      <c r="F178" s="202" t="str">
        <f t="shared" si="6"/>
        <v>Pass</v>
      </c>
      <c r="G178" s="197">
        <v>121</v>
      </c>
      <c r="H178" s="196" t="s">
        <v>153</v>
      </c>
      <c r="I178" s="203"/>
    </row>
    <row r="179" spans="1:9" ht="12.75" customHeight="1" x14ac:dyDescent="0.35">
      <c r="A179" s="199">
        <v>43304</v>
      </c>
      <c r="B179" s="204">
        <v>17</v>
      </c>
      <c r="C179" s="204">
        <v>34</v>
      </c>
      <c r="D179" s="205">
        <f t="shared" si="5"/>
        <v>17</v>
      </c>
      <c r="E179" s="205">
        <v>40</v>
      </c>
      <c r="F179" s="202" t="str">
        <f t="shared" si="6"/>
        <v>Pass</v>
      </c>
      <c r="G179" s="197">
        <v>121</v>
      </c>
      <c r="H179" s="196" t="s">
        <v>154</v>
      </c>
      <c r="I179" s="203"/>
    </row>
    <row r="180" spans="1:9" ht="13.6" customHeight="1" x14ac:dyDescent="0.35">
      <c r="A180" s="199">
        <v>43305</v>
      </c>
      <c r="B180" s="204">
        <v>24</v>
      </c>
      <c r="C180" s="204">
        <v>127</v>
      </c>
      <c r="D180" s="205">
        <f t="shared" si="5"/>
        <v>103</v>
      </c>
      <c r="E180" s="205">
        <v>40</v>
      </c>
      <c r="F180" s="202" t="str">
        <f t="shared" si="6"/>
        <v>Fail</v>
      </c>
      <c r="G180" s="197">
        <v>74</v>
      </c>
      <c r="H180" s="196"/>
      <c r="I180" s="200" t="s">
        <v>155</v>
      </c>
    </row>
    <row r="181" spans="1:9" ht="13.6" customHeight="1" x14ac:dyDescent="0.35">
      <c r="A181" s="199">
        <v>43305</v>
      </c>
      <c r="B181" s="204">
        <v>25</v>
      </c>
      <c r="C181" s="204">
        <v>57</v>
      </c>
      <c r="D181" s="205">
        <f>IF(((B181="")*AND(C181="")),"",C181-B181)</f>
        <v>32</v>
      </c>
      <c r="E181" s="205">
        <v>40</v>
      </c>
      <c r="F181" s="202" t="str">
        <f>IF(D181="","",IF(D181&lt;=40,"Pass","Fail"))</f>
        <v>Pass</v>
      </c>
      <c r="G181" s="197">
        <v>1335</v>
      </c>
      <c r="H181" s="196" t="s">
        <v>156</v>
      </c>
      <c r="I181" s="200" t="s">
        <v>155</v>
      </c>
    </row>
    <row r="182" spans="1:9" ht="12.75" customHeight="1" x14ac:dyDescent="0.35">
      <c r="A182" s="199">
        <v>43307</v>
      </c>
      <c r="B182" s="204">
        <v>51</v>
      </c>
      <c r="C182" s="204">
        <v>66</v>
      </c>
      <c r="D182" s="205">
        <f t="shared" si="5"/>
        <v>15</v>
      </c>
      <c r="E182" s="205">
        <v>40</v>
      </c>
      <c r="F182" s="202" t="str">
        <f t="shared" si="6"/>
        <v>Pass</v>
      </c>
      <c r="G182" s="197">
        <v>121</v>
      </c>
      <c r="H182" s="196" t="s">
        <v>157</v>
      </c>
      <c r="I182" s="203"/>
    </row>
    <row r="183" spans="1:9" ht="12.75" customHeight="1" x14ac:dyDescent="0.35">
      <c r="A183" s="199">
        <v>43307</v>
      </c>
      <c r="B183" s="204">
        <v>47</v>
      </c>
      <c r="C183" s="204">
        <v>59</v>
      </c>
      <c r="D183" s="205">
        <f t="shared" si="5"/>
        <v>12</v>
      </c>
      <c r="E183" s="205">
        <v>40</v>
      </c>
      <c r="F183" s="202" t="str">
        <f t="shared" si="6"/>
        <v>Pass</v>
      </c>
      <c r="G183" s="197">
        <v>121</v>
      </c>
      <c r="H183" s="196" t="s">
        <v>158</v>
      </c>
      <c r="I183" s="203"/>
    </row>
    <row r="184" spans="1:9" ht="12.75" customHeight="1" x14ac:dyDescent="0.35">
      <c r="A184" s="199">
        <v>43311</v>
      </c>
      <c r="B184" s="204">
        <v>13</v>
      </c>
      <c r="C184" s="204">
        <v>65</v>
      </c>
      <c r="D184" s="205">
        <f t="shared" si="5"/>
        <v>52</v>
      </c>
      <c r="E184" s="205">
        <v>40</v>
      </c>
      <c r="F184" s="202" t="str">
        <f t="shared" si="6"/>
        <v>Fail</v>
      </c>
      <c r="G184" s="197">
        <v>1428</v>
      </c>
      <c r="H184" s="196"/>
      <c r="I184" s="203"/>
    </row>
    <row r="185" spans="1:9" ht="12.75" customHeight="1" x14ac:dyDescent="0.35">
      <c r="A185" s="199">
        <v>43311</v>
      </c>
      <c r="B185" s="204">
        <v>45</v>
      </c>
      <c r="C185" s="204">
        <v>60</v>
      </c>
      <c r="D185" s="205">
        <f t="shared" si="5"/>
        <v>15</v>
      </c>
      <c r="E185" s="205">
        <v>40</v>
      </c>
      <c r="F185" s="202" t="str">
        <f t="shared" si="6"/>
        <v>Pass</v>
      </c>
      <c r="G185" s="197">
        <v>1428</v>
      </c>
      <c r="H185" s="196"/>
      <c r="I185" s="203"/>
    </row>
    <row r="186" spans="1:9" ht="12.75" customHeight="1" x14ac:dyDescent="0.35">
      <c r="A186" s="199">
        <v>43319</v>
      </c>
      <c r="B186" s="204">
        <v>1</v>
      </c>
      <c r="C186" s="204">
        <v>27</v>
      </c>
      <c r="D186" s="205">
        <f t="shared" si="5"/>
        <v>26</v>
      </c>
      <c r="E186" s="205">
        <v>40</v>
      </c>
      <c r="F186" s="202" t="str">
        <f t="shared" si="6"/>
        <v>Pass</v>
      </c>
      <c r="G186" s="197">
        <v>1340</v>
      </c>
      <c r="H186" s="196"/>
      <c r="I186" s="203"/>
    </row>
    <row r="187" spans="1:9" ht="12.75" customHeight="1" x14ac:dyDescent="0.35">
      <c r="A187" s="199">
        <v>43336</v>
      </c>
      <c r="B187" s="204">
        <v>17</v>
      </c>
      <c r="C187" s="204">
        <v>171</v>
      </c>
      <c r="D187" s="205">
        <f t="shared" si="5"/>
        <v>154</v>
      </c>
      <c r="E187" s="205">
        <v>40</v>
      </c>
      <c r="F187" s="202" t="str">
        <f t="shared" si="6"/>
        <v>Fail</v>
      </c>
      <c r="G187" s="197">
        <v>1340</v>
      </c>
      <c r="H187" s="196"/>
      <c r="I187" s="203"/>
    </row>
    <row r="188" spans="1:9" ht="12.75" customHeight="1" x14ac:dyDescent="0.35">
      <c r="A188" s="199">
        <v>43336</v>
      </c>
      <c r="B188" s="204">
        <v>15</v>
      </c>
      <c r="C188" s="204">
        <v>53</v>
      </c>
      <c r="D188" s="205">
        <f t="shared" si="5"/>
        <v>38</v>
      </c>
      <c r="E188" s="205">
        <v>40</v>
      </c>
      <c r="F188" s="202" t="str">
        <f t="shared" si="6"/>
        <v>Pass</v>
      </c>
      <c r="G188" s="197">
        <v>1519</v>
      </c>
      <c r="H188" s="196"/>
      <c r="I188" s="203"/>
    </row>
    <row r="189" spans="1:9" ht="12.75" customHeight="1" x14ac:dyDescent="0.35">
      <c r="A189" s="199">
        <v>43347</v>
      </c>
      <c r="B189" s="204">
        <v>19</v>
      </c>
      <c r="C189" s="204">
        <v>140</v>
      </c>
      <c r="D189" s="205">
        <f t="shared" si="5"/>
        <v>121</v>
      </c>
      <c r="E189" s="205">
        <v>40</v>
      </c>
      <c r="F189" s="202" t="str">
        <f t="shared" si="6"/>
        <v>Fail</v>
      </c>
      <c r="G189" s="197">
        <v>1335</v>
      </c>
      <c r="H189" s="196" t="s">
        <v>159</v>
      </c>
      <c r="I189" s="203"/>
    </row>
    <row r="190" spans="1:9" ht="12.75" customHeight="1" x14ac:dyDescent="0.35">
      <c r="A190" s="199">
        <v>43347</v>
      </c>
      <c r="B190" s="204">
        <v>23</v>
      </c>
      <c r="C190" s="204">
        <v>121</v>
      </c>
      <c r="D190" s="205">
        <f t="shared" si="5"/>
        <v>98</v>
      </c>
      <c r="E190" s="205">
        <v>40</v>
      </c>
      <c r="F190" s="202" t="str">
        <f t="shared" si="6"/>
        <v>Fail</v>
      </c>
      <c r="G190" s="197">
        <v>1335</v>
      </c>
      <c r="H190" s="196" t="s">
        <v>160</v>
      </c>
      <c r="I190" s="203"/>
    </row>
    <row r="191" spans="1:9" ht="12.75" customHeight="1" x14ac:dyDescent="0.35">
      <c r="A191" s="199">
        <v>43350</v>
      </c>
      <c r="B191" s="204">
        <v>20</v>
      </c>
      <c r="C191" s="204">
        <v>99</v>
      </c>
      <c r="D191" s="205">
        <f t="shared" si="5"/>
        <v>79</v>
      </c>
      <c r="E191" s="205">
        <v>40</v>
      </c>
      <c r="F191" s="202" t="str">
        <f t="shared" si="6"/>
        <v>Fail</v>
      </c>
      <c r="G191" s="197">
        <v>1335</v>
      </c>
      <c r="H191" s="196" t="s">
        <v>161</v>
      </c>
      <c r="I191" s="203"/>
    </row>
    <row r="192" spans="1:9" ht="12.75" customHeight="1" x14ac:dyDescent="0.35">
      <c r="A192" s="199">
        <v>43350</v>
      </c>
      <c r="B192" s="204">
        <v>9</v>
      </c>
      <c r="C192" s="204">
        <v>69</v>
      </c>
      <c r="D192" s="205">
        <f t="shared" si="5"/>
        <v>60</v>
      </c>
      <c r="E192" s="205">
        <v>40</v>
      </c>
      <c r="F192" s="202" t="str">
        <f t="shared" si="6"/>
        <v>Fail</v>
      </c>
      <c r="G192" s="197">
        <v>1335</v>
      </c>
      <c r="H192" s="196" t="s">
        <v>162</v>
      </c>
      <c r="I192" s="203"/>
    </row>
    <row r="193" spans="1:9" ht="12.75" customHeight="1" x14ac:dyDescent="0.35">
      <c r="A193" s="199">
        <v>43350</v>
      </c>
      <c r="B193" s="204">
        <v>22</v>
      </c>
      <c r="C193" s="204">
        <v>71</v>
      </c>
      <c r="D193" s="205">
        <f t="shared" si="5"/>
        <v>49</v>
      </c>
      <c r="E193" s="205">
        <v>40</v>
      </c>
      <c r="F193" s="202" t="str">
        <f t="shared" si="6"/>
        <v>Fail</v>
      </c>
      <c r="G193" s="197">
        <v>1335</v>
      </c>
      <c r="H193" s="196" t="s">
        <v>163</v>
      </c>
      <c r="I193" s="203"/>
    </row>
    <row r="194" spans="1:9" ht="12.75" customHeight="1" x14ac:dyDescent="0.35">
      <c r="A194" s="199">
        <v>43350</v>
      </c>
      <c r="B194" s="204">
        <v>11</v>
      </c>
      <c r="C194" s="204">
        <v>49</v>
      </c>
      <c r="D194" s="205">
        <f t="shared" si="5"/>
        <v>38</v>
      </c>
      <c r="E194" s="205">
        <v>40</v>
      </c>
      <c r="F194" s="202" t="str">
        <f t="shared" si="6"/>
        <v>Pass</v>
      </c>
      <c r="G194" s="197">
        <v>1335</v>
      </c>
      <c r="H194" s="196" t="s">
        <v>164</v>
      </c>
      <c r="I194" s="203"/>
    </row>
    <row r="195" spans="1:9" ht="12.75" customHeight="1" x14ac:dyDescent="0.35">
      <c r="A195" s="199">
        <v>43354</v>
      </c>
      <c r="B195" s="204">
        <v>18</v>
      </c>
      <c r="C195" s="204">
        <v>53</v>
      </c>
      <c r="D195" s="205">
        <v>35</v>
      </c>
      <c r="E195" s="205">
        <v>40</v>
      </c>
      <c r="F195" s="202" t="str">
        <f t="shared" si="6"/>
        <v>Pass</v>
      </c>
      <c r="G195" s="197">
        <v>121</v>
      </c>
      <c r="H195" s="196"/>
      <c r="I195" s="203"/>
    </row>
    <row r="196" spans="1:9" ht="12.75" customHeight="1" x14ac:dyDescent="0.35">
      <c r="A196" s="199">
        <v>43356</v>
      </c>
      <c r="B196" s="204">
        <v>9</v>
      </c>
      <c r="C196" s="204">
        <v>30</v>
      </c>
      <c r="D196" s="205">
        <f t="shared" si="5"/>
        <v>21</v>
      </c>
      <c r="E196" s="205">
        <v>40</v>
      </c>
      <c r="F196" s="202" t="str">
        <f t="shared" si="6"/>
        <v>Pass</v>
      </c>
      <c r="G196" s="197">
        <v>1335</v>
      </c>
      <c r="H196" s="196"/>
      <c r="I196" s="203" t="s">
        <v>165</v>
      </c>
    </row>
    <row r="197" spans="1:9" ht="12.75" customHeight="1" x14ac:dyDescent="0.35">
      <c r="A197" s="199">
        <v>43361</v>
      </c>
      <c r="B197" s="204">
        <v>18</v>
      </c>
      <c r="C197" s="204">
        <v>75</v>
      </c>
      <c r="D197" s="205">
        <f t="shared" si="5"/>
        <v>57</v>
      </c>
      <c r="E197" s="205">
        <v>40</v>
      </c>
      <c r="F197" s="202" t="str">
        <f t="shared" si="6"/>
        <v>Fail</v>
      </c>
      <c r="G197" s="197">
        <v>1340</v>
      </c>
      <c r="H197" s="196"/>
      <c r="I197" s="203"/>
    </row>
    <row r="198" spans="1:9" ht="12.75" customHeight="1" x14ac:dyDescent="0.35">
      <c r="A198" s="199">
        <v>43362</v>
      </c>
      <c r="B198" s="204">
        <v>41</v>
      </c>
      <c r="C198" s="204">
        <v>59</v>
      </c>
      <c r="D198" s="205">
        <f t="shared" si="5"/>
        <v>18</v>
      </c>
      <c r="E198" s="205">
        <v>40</v>
      </c>
      <c r="F198" s="202" t="str">
        <f t="shared" si="6"/>
        <v>Pass</v>
      </c>
      <c r="G198" s="197" t="s">
        <v>166</v>
      </c>
      <c r="H198" s="196" t="s">
        <v>167</v>
      </c>
      <c r="I198" s="203"/>
    </row>
    <row r="199" spans="1:9" ht="12.75" customHeight="1" x14ac:dyDescent="0.35">
      <c r="A199" s="199">
        <v>43368</v>
      </c>
      <c r="B199" s="204">
        <v>12</v>
      </c>
      <c r="C199" s="204">
        <v>34</v>
      </c>
      <c r="D199" s="205">
        <f t="shared" si="5"/>
        <v>22</v>
      </c>
      <c r="E199" s="205">
        <v>40</v>
      </c>
      <c r="F199" s="202" t="str">
        <f t="shared" si="6"/>
        <v>Pass</v>
      </c>
      <c r="G199" s="197">
        <v>1335</v>
      </c>
      <c r="H199" s="196"/>
      <c r="I199" s="203"/>
    </row>
    <row r="200" spans="1:9" ht="12.75" customHeight="1" x14ac:dyDescent="0.35">
      <c r="A200" s="199">
        <v>43370</v>
      </c>
      <c r="B200" s="204">
        <v>16</v>
      </c>
      <c r="C200" s="204">
        <v>216</v>
      </c>
      <c r="D200" s="205">
        <f t="shared" si="5"/>
        <v>200</v>
      </c>
      <c r="E200" s="205">
        <v>40</v>
      </c>
      <c r="F200" s="202" t="str">
        <f t="shared" si="6"/>
        <v>Fail</v>
      </c>
      <c r="G200" s="197">
        <v>1340</v>
      </c>
      <c r="H200" s="196"/>
      <c r="I200" s="203"/>
    </row>
    <row r="201" spans="1:9" ht="12.75" customHeight="1" x14ac:dyDescent="0.35">
      <c r="A201" s="199">
        <v>43371</v>
      </c>
      <c r="B201" s="204">
        <v>11</v>
      </c>
      <c r="C201" s="204">
        <v>171</v>
      </c>
      <c r="D201" s="205">
        <f t="shared" si="5"/>
        <v>160</v>
      </c>
      <c r="E201" s="205">
        <v>40</v>
      </c>
      <c r="F201" s="202" t="str">
        <f t="shared" si="6"/>
        <v>Fail</v>
      </c>
      <c r="G201" s="197">
        <v>1340</v>
      </c>
      <c r="H201" s="196"/>
      <c r="I201" s="203"/>
    </row>
    <row r="202" spans="1:9" ht="12.75" customHeight="1" x14ac:dyDescent="0.35">
      <c r="A202" s="199">
        <v>43376</v>
      </c>
      <c r="B202" s="204">
        <v>12</v>
      </c>
      <c r="C202" s="204">
        <v>213</v>
      </c>
      <c r="D202" s="205">
        <f t="shared" si="5"/>
        <v>201</v>
      </c>
      <c r="E202" s="205">
        <v>40</v>
      </c>
      <c r="F202" s="202" t="str">
        <f t="shared" si="6"/>
        <v>Fail</v>
      </c>
      <c r="G202" s="197">
        <v>1340</v>
      </c>
      <c r="H202" s="196"/>
      <c r="I202" s="203"/>
    </row>
    <row r="203" spans="1:9" ht="12.75" customHeight="1" x14ac:dyDescent="0.35">
      <c r="A203" s="199">
        <v>43376</v>
      </c>
      <c r="B203" s="204">
        <v>18</v>
      </c>
      <c r="C203" s="204">
        <v>69</v>
      </c>
      <c r="D203" s="205">
        <f t="shared" si="5"/>
        <v>51</v>
      </c>
      <c r="E203" s="205">
        <v>40</v>
      </c>
      <c r="F203" s="202" t="str">
        <f t="shared" si="6"/>
        <v>Fail</v>
      </c>
      <c r="G203" s="197">
        <v>1340</v>
      </c>
      <c r="H203" s="196"/>
      <c r="I203" s="203"/>
    </row>
    <row r="204" spans="1:9" ht="12.75" customHeight="1" x14ac:dyDescent="0.35">
      <c r="A204" s="199">
        <v>43378</v>
      </c>
      <c r="B204" s="204">
        <v>10</v>
      </c>
      <c r="C204" s="204">
        <v>80</v>
      </c>
      <c r="D204" s="205">
        <f t="shared" ref="D204:D249" si="7">IF(((B204="")*AND(C204="")),"",C204-B204)</f>
        <v>70</v>
      </c>
      <c r="E204" s="205">
        <v>40</v>
      </c>
      <c r="F204" s="202" t="str">
        <f t="shared" ref="F204:F248" si="8">IF(D204="","",IF(D204&lt;=40,"Pass","Fail"))</f>
        <v>Fail</v>
      </c>
      <c r="G204" s="197">
        <v>1340</v>
      </c>
      <c r="H204" s="196"/>
      <c r="I204" s="203"/>
    </row>
    <row r="205" spans="1:9" ht="12.75" customHeight="1" x14ac:dyDescent="0.35">
      <c r="A205" s="199">
        <v>43378</v>
      </c>
      <c r="B205" s="204">
        <v>4</v>
      </c>
      <c r="C205" s="204">
        <v>19</v>
      </c>
      <c r="D205" s="205">
        <f t="shared" si="7"/>
        <v>15</v>
      </c>
      <c r="E205" s="205">
        <v>40</v>
      </c>
      <c r="F205" s="202" t="str">
        <f t="shared" si="8"/>
        <v>Pass</v>
      </c>
      <c r="G205" s="197">
        <v>1340</v>
      </c>
      <c r="H205" s="196"/>
      <c r="I205" s="203"/>
    </row>
    <row r="206" spans="1:9" ht="12.75" customHeight="1" x14ac:dyDescent="0.35">
      <c r="A206" s="199">
        <v>43382</v>
      </c>
      <c r="B206" s="204">
        <v>20</v>
      </c>
      <c r="C206" s="204">
        <v>24</v>
      </c>
      <c r="D206" s="205">
        <f t="shared" si="7"/>
        <v>4</v>
      </c>
      <c r="E206" s="205">
        <v>40</v>
      </c>
      <c r="F206" s="202" t="str">
        <f t="shared" si="8"/>
        <v>Pass</v>
      </c>
      <c r="G206" s="197">
        <v>1340</v>
      </c>
      <c r="H206" s="196"/>
      <c r="I206" s="203"/>
    </row>
    <row r="207" spans="1:9" ht="12.75" customHeight="1" x14ac:dyDescent="0.35">
      <c r="A207" s="199">
        <v>43391</v>
      </c>
      <c r="B207" s="204">
        <v>32</v>
      </c>
      <c r="C207" s="204">
        <v>238</v>
      </c>
      <c r="D207" s="205">
        <f t="shared" si="7"/>
        <v>206</v>
      </c>
      <c r="E207" s="205">
        <v>40</v>
      </c>
      <c r="F207" s="202" t="str">
        <f t="shared" si="8"/>
        <v>Fail</v>
      </c>
      <c r="G207" s="197">
        <v>1159</v>
      </c>
      <c r="H207" s="196" t="s">
        <v>168</v>
      </c>
      <c r="I207" s="203"/>
    </row>
    <row r="208" spans="1:9" ht="12.75" customHeight="1" x14ac:dyDescent="0.35">
      <c r="A208" s="199">
        <v>43391</v>
      </c>
      <c r="B208" s="204">
        <v>6</v>
      </c>
      <c r="C208" s="204">
        <v>54</v>
      </c>
      <c r="D208" s="205">
        <f t="shared" si="7"/>
        <v>48</v>
      </c>
      <c r="E208" s="205">
        <v>40</v>
      </c>
      <c r="F208" s="202" t="str">
        <f t="shared" si="8"/>
        <v>Fail</v>
      </c>
      <c r="G208" s="197">
        <v>1159</v>
      </c>
      <c r="H208" s="196" t="s">
        <v>169</v>
      </c>
      <c r="I208" s="203"/>
    </row>
    <row r="209" spans="1:9" ht="12.75" customHeight="1" x14ac:dyDescent="0.35">
      <c r="A209" s="199">
        <v>43396</v>
      </c>
      <c r="B209" s="204">
        <v>17</v>
      </c>
      <c r="C209" s="204">
        <v>53</v>
      </c>
      <c r="D209" s="205">
        <f t="shared" si="7"/>
        <v>36</v>
      </c>
      <c r="E209" s="205">
        <v>40</v>
      </c>
      <c r="F209" s="202" t="str">
        <f t="shared" si="8"/>
        <v>Pass</v>
      </c>
      <c r="G209" s="197">
        <v>1159</v>
      </c>
      <c r="H209" s="196" t="s">
        <v>170</v>
      </c>
      <c r="I209" s="203"/>
    </row>
    <row r="210" spans="1:9" ht="12.75" customHeight="1" x14ac:dyDescent="0.35">
      <c r="A210" s="199">
        <v>43403</v>
      </c>
      <c r="B210" s="204">
        <v>10</v>
      </c>
      <c r="C210" s="204">
        <v>70</v>
      </c>
      <c r="D210" s="205">
        <f t="shared" si="7"/>
        <v>60</v>
      </c>
      <c r="E210" s="205">
        <v>40</v>
      </c>
      <c r="F210" s="202" t="str">
        <f t="shared" si="8"/>
        <v>Fail</v>
      </c>
      <c r="G210" s="197">
        <v>1335</v>
      </c>
      <c r="H210" s="196" t="s">
        <v>171</v>
      </c>
      <c r="I210" s="203"/>
    </row>
    <row r="211" spans="1:9" ht="12.75" customHeight="1" x14ac:dyDescent="0.35">
      <c r="A211" s="199">
        <v>43403</v>
      </c>
      <c r="B211" s="204">
        <v>13</v>
      </c>
      <c r="C211" s="204">
        <v>61</v>
      </c>
      <c r="D211" s="205">
        <f t="shared" si="7"/>
        <v>48</v>
      </c>
      <c r="E211" s="205">
        <v>40</v>
      </c>
      <c r="F211" s="206" t="str">
        <f t="shared" si="8"/>
        <v>Fail</v>
      </c>
      <c r="G211" s="197">
        <v>1335</v>
      </c>
      <c r="H211" s="196" t="s">
        <v>172</v>
      </c>
      <c r="I211" s="203"/>
    </row>
    <row r="212" spans="1:9" ht="12.75" customHeight="1" x14ac:dyDescent="0.35">
      <c r="A212" s="199">
        <v>43403</v>
      </c>
      <c r="B212" s="204">
        <v>13</v>
      </c>
      <c r="C212" s="204">
        <v>27</v>
      </c>
      <c r="D212" s="205">
        <f t="shared" si="7"/>
        <v>14</v>
      </c>
      <c r="E212" s="205">
        <v>40</v>
      </c>
      <c r="F212" s="206" t="str">
        <f t="shared" si="8"/>
        <v>Pass</v>
      </c>
      <c r="G212" s="197">
        <v>1335</v>
      </c>
      <c r="H212" s="196" t="s">
        <v>173</v>
      </c>
      <c r="I212" s="203"/>
    </row>
    <row r="213" spans="1:9" ht="12.75" customHeight="1" x14ac:dyDescent="0.35">
      <c r="A213" s="199">
        <v>43409</v>
      </c>
      <c r="B213" s="204">
        <v>22</v>
      </c>
      <c r="C213" s="204">
        <v>37</v>
      </c>
      <c r="D213" s="205">
        <f t="shared" si="7"/>
        <v>15</v>
      </c>
      <c r="E213" s="205">
        <v>40</v>
      </c>
      <c r="F213" s="206" t="str">
        <f t="shared" si="8"/>
        <v>Pass</v>
      </c>
      <c r="G213" s="197">
        <v>1340</v>
      </c>
      <c r="H213" s="203"/>
      <c r="I213" s="203"/>
    </row>
    <row r="214" spans="1:9" ht="12.75" customHeight="1" x14ac:dyDescent="0.35">
      <c r="A214" s="199">
        <v>43424</v>
      </c>
      <c r="B214" s="204">
        <v>58</v>
      </c>
      <c r="C214" s="204">
        <v>204</v>
      </c>
      <c r="D214" s="205">
        <f t="shared" si="7"/>
        <v>146</v>
      </c>
      <c r="E214" s="205">
        <v>40</v>
      </c>
      <c r="F214" s="206" t="str">
        <f t="shared" si="8"/>
        <v>Fail</v>
      </c>
      <c r="G214" s="197">
        <v>121</v>
      </c>
      <c r="H214" s="196" t="s">
        <v>174</v>
      </c>
      <c r="I214" s="203"/>
    </row>
    <row r="215" spans="1:9" ht="12.75" customHeight="1" x14ac:dyDescent="0.35">
      <c r="A215" s="199">
        <v>43424</v>
      </c>
      <c r="B215" s="204">
        <v>24</v>
      </c>
      <c r="C215" s="204">
        <v>343</v>
      </c>
      <c r="D215" s="205">
        <f t="shared" si="7"/>
        <v>319</v>
      </c>
      <c r="E215" s="205">
        <v>40</v>
      </c>
      <c r="F215" s="206" t="str">
        <f t="shared" si="8"/>
        <v>Fail</v>
      </c>
      <c r="G215" s="197">
        <v>121</v>
      </c>
      <c r="H215" s="196" t="s">
        <v>175</v>
      </c>
      <c r="I215" s="203"/>
    </row>
    <row r="216" spans="1:9" ht="12.75" customHeight="1" x14ac:dyDescent="0.35">
      <c r="A216" s="199">
        <v>43424</v>
      </c>
      <c r="B216" s="204">
        <v>13</v>
      </c>
      <c r="C216" s="204">
        <v>568</v>
      </c>
      <c r="D216" s="205">
        <f t="shared" si="7"/>
        <v>555</v>
      </c>
      <c r="E216" s="205">
        <v>40</v>
      </c>
      <c r="F216" s="206" t="str">
        <f t="shared" si="8"/>
        <v>Fail</v>
      </c>
      <c r="G216" s="197">
        <v>64</v>
      </c>
      <c r="H216" s="196"/>
      <c r="I216" s="203"/>
    </row>
    <row r="217" spans="1:9" ht="12.75" customHeight="1" x14ac:dyDescent="0.35">
      <c r="A217" s="199">
        <v>43424</v>
      </c>
      <c r="B217" s="204">
        <v>18</v>
      </c>
      <c r="C217" s="204">
        <v>36</v>
      </c>
      <c r="D217" s="205">
        <f t="shared" si="7"/>
        <v>18</v>
      </c>
      <c r="E217" s="205">
        <v>40</v>
      </c>
      <c r="F217" s="206" t="str">
        <f t="shared" si="8"/>
        <v>Pass</v>
      </c>
      <c r="G217" s="197">
        <v>121</v>
      </c>
      <c r="H217" s="196" t="s">
        <v>176</v>
      </c>
      <c r="I217" s="203"/>
    </row>
    <row r="218" spans="1:9" ht="12.75" customHeight="1" x14ac:dyDescent="0.35">
      <c r="A218" s="199">
        <v>43430</v>
      </c>
      <c r="B218" s="204">
        <v>23</v>
      </c>
      <c r="C218" s="204">
        <v>249</v>
      </c>
      <c r="D218" s="205">
        <f t="shared" si="7"/>
        <v>226</v>
      </c>
      <c r="E218" s="205">
        <v>40</v>
      </c>
      <c r="F218" s="206" t="str">
        <f t="shared" si="8"/>
        <v>Fail</v>
      </c>
      <c r="G218" s="197">
        <v>1428</v>
      </c>
      <c r="H218" s="196"/>
      <c r="I218" s="203"/>
    </row>
    <row r="219" spans="1:9" ht="12.75" customHeight="1" x14ac:dyDescent="0.35">
      <c r="A219" s="199">
        <v>43430</v>
      </c>
      <c r="B219" s="204">
        <v>28</v>
      </c>
      <c r="C219" s="204">
        <v>479</v>
      </c>
      <c r="D219" s="205">
        <f t="shared" si="7"/>
        <v>451</v>
      </c>
      <c r="E219" s="205">
        <v>40</v>
      </c>
      <c r="F219" s="206" t="str">
        <f t="shared" si="8"/>
        <v>Fail</v>
      </c>
      <c r="G219" s="197">
        <v>1428</v>
      </c>
      <c r="H219" s="196" t="s">
        <v>176</v>
      </c>
      <c r="I219" s="203"/>
    </row>
    <row r="220" spans="1:9" ht="12.75" customHeight="1" x14ac:dyDescent="0.35">
      <c r="A220" s="199">
        <v>43432</v>
      </c>
      <c r="B220" s="204">
        <v>39</v>
      </c>
      <c r="C220" s="204">
        <v>287</v>
      </c>
      <c r="D220" s="205">
        <f t="shared" si="7"/>
        <v>248</v>
      </c>
      <c r="E220" s="205">
        <v>40</v>
      </c>
      <c r="F220" s="206" t="str">
        <f t="shared" si="8"/>
        <v>Fail</v>
      </c>
      <c r="G220" s="197">
        <v>74</v>
      </c>
      <c r="H220" s="203"/>
      <c r="I220" s="203"/>
    </row>
    <row r="221" spans="1:9" ht="12.75" customHeight="1" x14ac:dyDescent="0.35">
      <c r="A221" s="199">
        <v>43434</v>
      </c>
      <c r="B221" s="204">
        <v>36</v>
      </c>
      <c r="C221" s="204">
        <v>65</v>
      </c>
      <c r="D221" s="205">
        <f t="shared" si="7"/>
        <v>29</v>
      </c>
      <c r="E221" s="205">
        <v>40</v>
      </c>
      <c r="F221" s="206" t="str">
        <f t="shared" si="8"/>
        <v>Pass</v>
      </c>
      <c r="G221" s="197">
        <v>64</v>
      </c>
      <c r="H221" s="203"/>
      <c r="I221" s="203"/>
    </row>
    <row r="222" spans="1:9" ht="12.75" customHeight="1" x14ac:dyDescent="0.35">
      <c r="A222" s="199">
        <v>43445</v>
      </c>
      <c r="B222" s="204">
        <v>6</v>
      </c>
      <c r="C222" s="204">
        <v>15</v>
      </c>
      <c r="D222" s="205">
        <f t="shared" si="7"/>
        <v>9</v>
      </c>
      <c r="E222" s="205">
        <v>40</v>
      </c>
      <c r="F222" s="206" t="str">
        <f t="shared" si="8"/>
        <v>Pass</v>
      </c>
      <c r="G222" s="197">
        <v>1340</v>
      </c>
      <c r="H222" s="203" t="s">
        <v>177</v>
      </c>
      <c r="I222" s="203"/>
    </row>
    <row r="223" spans="1:9" ht="12.75" customHeight="1" x14ac:dyDescent="0.35">
      <c r="A223" s="199">
        <v>43476</v>
      </c>
      <c r="B223" s="204">
        <v>23</v>
      </c>
      <c r="C223" s="204">
        <v>208</v>
      </c>
      <c r="D223" s="205">
        <f t="shared" si="7"/>
        <v>185</v>
      </c>
      <c r="E223" s="205">
        <v>40</v>
      </c>
      <c r="F223" s="206" t="str">
        <f t="shared" si="8"/>
        <v>Fail</v>
      </c>
      <c r="G223" s="197">
        <v>1335</v>
      </c>
      <c r="H223" s="196" t="s">
        <v>178</v>
      </c>
      <c r="I223" s="203"/>
    </row>
    <row r="224" spans="1:9" ht="12.75" customHeight="1" x14ac:dyDescent="0.35">
      <c r="A224" s="199">
        <v>43476</v>
      </c>
      <c r="B224" s="204">
        <v>24</v>
      </c>
      <c r="C224" s="204">
        <v>50</v>
      </c>
      <c r="D224" s="205">
        <f t="shared" si="7"/>
        <v>26</v>
      </c>
      <c r="E224" s="205">
        <v>40</v>
      </c>
      <c r="F224" s="206" t="str">
        <f t="shared" si="8"/>
        <v>Pass</v>
      </c>
      <c r="G224" s="197">
        <v>1335</v>
      </c>
      <c r="H224" s="196" t="s">
        <v>179</v>
      </c>
      <c r="I224" s="203"/>
    </row>
    <row r="225" spans="1:9" ht="12.75" customHeight="1" x14ac:dyDescent="0.35">
      <c r="A225" s="199">
        <v>43480</v>
      </c>
      <c r="B225" s="204">
        <v>24</v>
      </c>
      <c r="C225" s="204">
        <v>2</v>
      </c>
      <c r="D225" s="205">
        <f t="shared" si="7"/>
        <v>-22</v>
      </c>
      <c r="E225" s="205">
        <v>40</v>
      </c>
      <c r="F225" s="206" t="str">
        <f t="shared" si="8"/>
        <v>Pass</v>
      </c>
      <c r="G225" s="197">
        <v>1336</v>
      </c>
      <c r="H225" s="197" t="s">
        <v>180</v>
      </c>
      <c r="I225" s="203"/>
    </row>
    <row r="226" spans="1:9" ht="12.75" customHeight="1" x14ac:dyDescent="0.35">
      <c r="A226" s="199">
        <v>43481</v>
      </c>
      <c r="B226" s="204">
        <v>11</v>
      </c>
      <c r="C226" s="204">
        <v>139</v>
      </c>
      <c r="D226" s="205">
        <f t="shared" si="7"/>
        <v>128</v>
      </c>
      <c r="E226" s="205">
        <v>40</v>
      </c>
      <c r="F226" s="206" t="str">
        <f t="shared" si="8"/>
        <v>Fail</v>
      </c>
      <c r="G226" s="197" t="s">
        <v>181</v>
      </c>
      <c r="H226" s="196"/>
      <c r="I226" s="203"/>
    </row>
    <row r="227" spans="1:9" ht="12.75" customHeight="1" x14ac:dyDescent="0.35">
      <c r="A227" s="199">
        <v>43481</v>
      </c>
      <c r="B227" s="204">
        <v>2</v>
      </c>
      <c r="C227" s="204">
        <v>38</v>
      </c>
      <c r="D227" s="205">
        <f t="shared" si="7"/>
        <v>36</v>
      </c>
      <c r="E227" s="205">
        <v>40</v>
      </c>
      <c r="F227" s="206" t="str">
        <f t="shared" si="8"/>
        <v>Pass</v>
      </c>
      <c r="G227" s="197">
        <v>1159</v>
      </c>
      <c r="H227" s="196" t="s">
        <v>182</v>
      </c>
      <c r="I227" s="203"/>
    </row>
    <row r="228" spans="1:9" ht="12.75" customHeight="1" x14ac:dyDescent="0.35">
      <c r="A228" s="199">
        <v>43481</v>
      </c>
      <c r="B228" s="204">
        <v>8</v>
      </c>
      <c r="C228" s="204">
        <v>34</v>
      </c>
      <c r="D228" s="205">
        <f t="shared" si="7"/>
        <v>26</v>
      </c>
      <c r="E228" s="205">
        <v>40</v>
      </c>
      <c r="F228" s="206" t="str">
        <f t="shared" si="8"/>
        <v>Pass</v>
      </c>
      <c r="G228" s="197">
        <v>1340</v>
      </c>
      <c r="H228" s="197" t="s">
        <v>58</v>
      </c>
      <c r="I228" s="203"/>
    </row>
    <row r="229" spans="1:9" ht="12.75" customHeight="1" x14ac:dyDescent="0.35">
      <c r="A229" s="199">
        <v>43488</v>
      </c>
      <c r="B229" s="204">
        <v>12</v>
      </c>
      <c r="C229" s="204">
        <v>32</v>
      </c>
      <c r="D229" s="205">
        <f t="shared" si="7"/>
        <v>20</v>
      </c>
      <c r="E229" s="205">
        <v>40</v>
      </c>
      <c r="F229" s="206" t="str">
        <f t="shared" si="8"/>
        <v>Pass</v>
      </c>
      <c r="G229" s="197">
        <v>1159</v>
      </c>
      <c r="H229" s="196" t="s">
        <v>183</v>
      </c>
      <c r="I229" s="203"/>
    </row>
    <row r="230" spans="1:9" ht="12.75" customHeight="1" x14ac:dyDescent="0.35">
      <c r="A230" s="199">
        <v>43493</v>
      </c>
      <c r="B230" s="204">
        <v>22</v>
      </c>
      <c r="C230" s="204">
        <v>109</v>
      </c>
      <c r="D230" s="205">
        <f t="shared" si="7"/>
        <v>87</v>
      </c>
      <c r="E230" s="205">
        <v>40</v>
      </c>
      <c r="F230" s="206" t="str">
        <f t="shared" si="8"/>
        <v>Fail</v>
      </c>
      <c r="G230" s="197">
        <v>1159</v>
      </c>
      <c r="H230" s="196" t="s">
        <v>183</v>
      </c>
      <c r="I230" s="196"/>
    </row>
    <row r="231" spans="1:9" ht="12.75" customHeight="1" x14ac:dyDescent="0.35">
      <c r="A231" s="199">
        <v>43493</v>
      </c>
      <c r="B231" s="204">
        <v>32</v>
      </c>
      <c r="C231" s="204">
        <v>293</v>
      </c>
      <c r="D231" s="205">
        <f t="shared" si="7"/>
        <v>261</v>
      </c>
      <c r="E231" s="205">
        <v>40</v>
      </c>
      <c r="F231" s="206" t="str">
        <f t="shared" si="8"/>
        <v>Fail</v>
      </c>
      <c r="G231" s="197">
        <v>64</v>
      </c>
      <c r="H231" s="196" t="s">
        <v>185</v>
      </c>
      <c r="I231" s="196"/>
    </row>
    <row r="232" spans="1:9" ht="12.75" customHeight="1" x14ac:dyDescent="0.35">
      <c r="A232" s="199">
        <v>43494</v>
      </c>
      <c r="B232" s="204">
        <v>9</v>
      </c>
      <c r="C232" s="204">
        <v>17</v>
      </c>
      <c r="D232" s="205">
        <f t="shared" si="7"/>
        <v>8</v>
      </c>
      <c r="E232" s="205">
        <v>40</v>
      </c>
      <c r="F232" s="206" t="str">
        <f t="shared" si="8"/>
        <v>Pass</v>
      </c>
      <c r="G232" s="197">
        <v>1335</v>
      </c>
      <c r="H232" s="196" t="s">
        <v>186</v>
      </c>
      <c r="I232" s="196"/>
    </row>
    <row r="233" spans="1:9" ht="12.75" customHeight="1" x14ac:dyDescent="0.35">
      <c r="A233" s="199">
        <v>43494</v>
      </c>
      <c r="B233" s="204">
        <v>7</v>
      </c>
      <c r="C233" s="204">
        <v>13</v>
      </c>
      <c r="D233" s="205">
        <f t="shared" si="7"/>
        <v>6</v>
      </c>
      <c r="E233" s="205">
        <v>40</v>
      </c>
      <c r="F233" s="206" t="str">
        <f t="shared" si="8"/>
        <v>Pass</v>
      </c>
      <c r="G233" s="197">
        <v>1335</v>
      </c>
      <c r="H233" s="196" t="s">
        <v>187</v>
      </c>
      <c r="I233" s="196"/>
    </row>
    <row r="234" spans="1:9" ht="12.75" customHeight="1" x14ac:dyDescent="0.35">
      <c r="A234" s="199">
        <v>43501</v>
      </c>
      <c r="B234" s="204">
        <v>37</v>
      </c>
      <c r="C234" s="204">
        <v>70</v>
      </c>
      <c r="D234" s="205">
        <f t="shared" si="7"/>
        <v>33</v>
      </c>
      <c r="E234" s="205">
        <v>40</v>
      </c>
      <c r="F234" s="206" t="str">
        <f t="shared" si="8"/>
        <v>Pass</v>
      </c>
      <c r="G234" s="197">
        <v>1159</v>
      </c>
      <c r="H234" s="196" t="s">
        <v>188</v>
      </c>
      <c r="I234" s="203"/>
    </row>
    <row r="235" spans="1:9" ht="12.75" customHeight="1" x14ac:dyDescent="0.35">
      <c r="A235" s="199">
        <v>43507</v>
      </c>
      <c r="B235" s="204">
        <v>25</v>
      </c>
      <c r="C235" s="204">
        <v>111</v>
      </c>
      <c r="D235" s="205">
        <f t="shared" si="7"/>
        <v>86</v>
      </c>
      <c r="E235" s="203"/>
      <c r="F235" s="206" t="str">
        <f t="shared" si="8"/>
        <v>Fail</v>
      </c>
      <c r="G235" s="197">
        <v>1335</v>
      </c>
      <c r="H235" s="196" t="s">
        <v>189</v>
      </c>
      <c r="I235" s="203"/>
    </row>
    <row r="236" spans="1:9" ht="12.75" customHeight="1" x14ac:dyDescent="0.35">
      <c r="A236" s="199">
        <v>43507</v>
      </c>
      <c r="B236" s="204">
        <v>18</v>
      </c>
      <c r="C236" s="204">
        <v>62</v>
      </c>
      <c r="D236" s="205">
        <f t="shared" si="7"/>
        <v>44</v>
      </c>
      <c r="E236" s="203"/>
      <c r="F236" s="206" t="str">
        <f t="shared" si="8"/>
        <v>Fail</v>
      </c>
      <c r="G236" s="197">
        <v>1335</v>
      </c>
      <c r="H236" s="196" t="s">
        <v>190</v>
      </c>
      <c r="I236" s="203"/>
    </row>
    <row r="237" spans="1:9" ht="12.75" customHeight="1" x14ac:dyDescent="0.35">
      <c r="A237" s="199">
        <v>43507</v>
      </c>
      <c r="B237" s="204">
        <v>32</v>
      </c>
      <c r="C237" s="204">
        <v>221</v>
      </c>
      <c r="D237" s="205">
        <f t="shared" si="7"/>
        <v>189</v>
      </c>
      <c r="E237" s="203"/>
      <c r="F237" s="206" t="str">
        <f t="shared" si="8"/>
        <v>Fail</v>
      </c>
      <c r="G237" s="197">
        <v>1335</v>
      </c>
      <c r="H237" s="196" t="s">
        <v>191</v>
      </c>
      <c r="I237" s="203"/>
    </row>
    <row r="238" spans="1:9" ht="12.75" customHeight="1" x14ac:dyDescent="0.35">
      <c r="A238" s="199">
        <v>43507</v>
      </c>
      <c r="B238" s="204">
        <v>17</v>
      </c>
      <c r="C238" s="204">
        <v>74</v>
      </c>
      <c r="D238" s="205">
        <f t="shared" si="7"/>
        <v>57</v>
      </c>
      <c r="E238" s="203"/>
      <c r="F238" s="206" t="str">
        <f t="shared" si="8"/>
        <v>Fail</v>
      </c>
      <c r="G238" s="197">
        <v>1335</v>
      </c>
      <c r="H238" s="196" t="s">
        <v>192</v>
      </c>
      <c r="I238" s="203"/>
    </row>
    <row r="239" spans="1:9" ht="12.75" customHeight="1" x14ac:dyDescent="0.35">
      <c r="A239" s="199">
        <v>43507</v>
      </c>
      <c r="B239" s="204">
        <v>11</v>
      </c>
      <c r="C239" s="204">
        <v>21</v>
      </c>
      <c r="D239" s="205">
        <f t="shared" si="7"/>
        <v>10</v>
      </c>
      <c r="E239" s="203"/>
      <c r="F239" s="206" t="str">
        <f t="shared" si="8"/>
        <v>Pass</v>
      </c>
      <c r="G239" s="197">
        <v>1335</v>
      </c>
      <c r="H239" s="196" t="s">
        <v>193</v>
      </c>
      <c r="I239" s="203"/>
    </row>
    <row r="240" spans="1:9" ht="12.75" customHeight="1" x14ac:dyDescent="0.35">
      <c r="A240" s="199">
        <v>43514</v>
      </c>
      <c r="B240" s="204">
        <v>17</v>
      </c>
      <c r="C240" s="204">
        <v>233</v>
      </c>
      <c r="D240" s="205">
        <f t="shared" si="7"/>
        <v>216</v>
      </c>
      <c r="E240" s="203"/>
      <c r="F240" s="206" t="str">
        <f t="shared" si="8"/>
        <v>Fail</v>
      </c>
      <c r="G240" s="197">
        <v>1340</v>
      </c>
      <c r="H240" s="197" t="s">
        <v>58</v>
      </c>
      <c r="I240" s="203"/>
    </row>
    <row r="241" spans="1:9" ht="12.75" customHeight="1" x14ac:dyDescent="0.35">
      <c r="A241" s="199">
        <v>43514</v>
      </c>
      <c r="B241" s="204">
        <v>9</v>
      </c>
      <c r="C241" s="204">
        <v>78</v>
      </c>
      <c r="D241" s="205">
        <f t="shared" si="7"/>
        <v>69</v>
      </c>
      <c r="E241" s="203"/>
      <c r="F241" s="206" t="str">
        <f t="shared" si="8"/>
        <v>Fail</v>
      </c>
      <c r="G241" s="197">
        <v>1340</v>
      </c>
      <c r="H241" s="197" t="s">
        <v>58</v>
      </c>
      <c r="I241" s="203"/>
    </row>
    <row r="242" spans="1:9" ht="12.75" customHeight="1" x14ac:dyDescent="0.35">
      <c r="A242" s="199">
        <v>43514</v>
      </c>
      <c r="B242" s="204">
        <v>13</v>
      </c>
      <c r="C242" s="204">
        <v>90</v>
      </c>
      <c r="D242" s="205">
        <f t="shared" si="7"/>
        <v>77</v>
      </c>
      <c r="E242" s="203"/>
      <c r="F242" s="206" t="str">
        <f t="shared" si="8"/>
        <v>Fail</v>
      </c>
      <c r="G242" s="197">
        <v>1340</v>
      </c>
      <c r="H242" s="197" t="s">
        <v>58</v>
      </c>
      <c r="I242" s="203"/>
    </row>
    <row r="243" spans="1:9" ht="12.75" customHeight="1" x14ac:dyDescent="0.35">
      <c r="A243" s="199">
        <v>43515</v>
      </c>
      <c r="B243" s="204">
        <v>10</v>
      </c>
      <c r="C243" s="204">
        <v>55</v>
      </c>
      <c r="D243" s="205">
        <f t="shared" si="7"/>
        <v>45</v>
      </c>
      <c r="E243" s="203"/>
      <c r="F243" s="206" t="str">
        <f t="shared" si="8"/>
        <v>Fail</v>
      </c>
      <c r="G243" s="197">
        <v>1340</v>
      </c>
      <c r="H243" s="197" t="s">
        <v>58</v>
      </c>
      <c r="I243" s="203"/>
    </row>
    <row r="244" spans="1:9" ht="12.75" customHeight="1" x14ac:dyDescent="0.35">
      <c r="A244" s="199">
        <v>43515</v>
      </c>
      <c r="B244" s="204">
        <v>16</v>
      </c>
      <c r="C244" s="204">
        <v>75</v>
      </c>
      <c r="D244" s="205">
        <f t="shared" si="7"/>
        <v>59</v>
      </c>
      <c r="E244" s="203"/>
      <c r="F244" s="206" t="str">
        <f t="shared" si="8"/>
        <v>Fail</v>
      </c>
      <c r="G244" s="197">
        <v>1340</v>
      </c>
      <c r="H244" s="197" t="s">
        <v>58</v>
      </c>
      <c r="I244" s="203"/>
    </row>
    <row r="245" spans="1:9" ht="12.75" customHeight="1" x14ac:dyDescent="0.35">
      <c r="A245" s="199">
        <v>43515</v>
      </c>
      <c r="B245" s="204">
        <v>9</v>
      </c>
      <c r="C245" s="204">
        <v>19</v>
      </c>
      <c r="D245" s="205">
        <f t="shared" si="7"/>
        <v>10</v>
      </c>
      <c r="E245" s="203"/>
      <c r="F245" s="206" t="str">
        <f t="shared" si="8"/>
        <v>Pass</v>
      </c>
      <c r="G245" s="197">
        <v>1159</v>
      </c>
      <c r="H245" s="196" t="s">
        <v>194</v>
      </c>
      <c r="I245" s="203"/>
    </row>
    <row r="246" spans="1:9" ht="12.75" customHeight="1" x14ac:dyDescent="0.35">
      <c r="A246" s="199">
        <v>43515</v>
      </c>
      <c r="B246" s="204">
        <v>19</v>
      </c>
      <c r="C246" s="204">
        <v>46</v>
      </c>
      <c r="D246" s="205">
        <f t="shared" si="7"/>
        <v>27</v>
      </c>
      <c r="E246" s="203"/>
      <c r="F246" s="206" t="str">
        <f t="shared" si="8"/>
        <v>Pass</v>
      </c>
      <c r="G246" s="197">
        <v>1159</v>
      </c>
      <c r="H246" s="196" t="s">
        <v>195</v>
      </c>
      <c r="I246" s="203"/>
    </row>
    <row r="247" spans="1:9" ht="12.75" customHeight="1" x14ac:dyDescent="0.35">
      <c r="A247" s="199">
        <v>43517</v>
      </c>
      <c r="B247" s="204">
        <v>6</v>
      </c>
      <c r="C247" s="204">
        <v>37</v>
      </c>
      <c r="D247" s="205">
        <f t="shared" si="7"/>
        <v>31</v>
      </c>
      <c r="E247" s="203"/>
      <c r="F247" s="206" t="str">
        <f t="shared" si="8"/>
        <v>Pass</v>
      </c>
      <c r="G247" s="197">
        <v>1340</v>
      </c>
      <c r="H247" s="196">
        <v>0</v>
      </c>
      <c r="I247" s="203"/>
    </row>
    <row r="248" spans="1:9" ht="12.75" customHeight="1" x14ac:dyDescent="0.35">
      <c r="A248" s="199">
        <v>43521</v>
      </c>
      <c r="B248" s="204">
        <v>14</v>
      </c>
      <c r="C248" s="204">
        <v>53</v>
      </c>
      <c r="D248" s="205">
        <f t="shared" si="7"/>
        <v>39</v>
      </c>
      <c r="E248" s="203"/>
      <c r="F248" s="206" t="str">
        <f t="shared" si="8"/>
        <v>Pass</v>
      </c>
      <c r="G248" s="197">
        <v>1335</v>
      </c>
      <c r="H248" s="196" t="s">
        <v>196</v>
      </c>
      <c r="I248" s="203"/>
    </row>
    <row r="249" spans="1:9" ht="12.75" customHeight="1" x14ac:dyDescent="0.35">
      <c r="A249" s="199">
        <v>43524</v>
      </c>
      <c r="B249" s="204">
        <v>8</v>
      </c>
      <c r="C249" s="204">
        <v>222</v>
      </c>
      <c r="D249" s="205">
        <f t="shared" si="7"/>
        <v>214</v>
      </c>
      <c r="E249" s="203"/>
      <c r="F249" s="206" t="s">
        <v>197</v>
      </c>
      <c r="G249" s="197">
        <v>1335</v>
      </c>
      <c r="H249" s="196" t="s">
        <v>198</v>
      </c>
      <c r="I249" s="203"/>
    </row>
    <row r="250" spans="1:9" ht="12.75" customHeight="1" x14ac:dyDescent="0.35">
      <c r="A250" s="199">
        <v>43528</v>
      </c>
      <c r="B250" s="204">
        <v>14</v>
      </c>
      <c r="C250" s="204">
        <v>33</v>
      </c>
      <c r="D250" s="205">
        <f>IF(((B250="")*AND(C250="")),"",C250-B250)</f>
        <v>19</v>
      </c>
      <c r="E250" s="203"/>
      <c r="F250" s="206" t="str">
        <f>IF(D250="","",IF(D250&lt;=40,"Pass","Fail"))</f>
        <v>Pass</v>
      </c>
      <c r="G250" s="197">
        <v>74</v>
      </c>
      <c r="H250" s="203"/>
      <c r="I250" s="203"/>
    </row>
    <row r="251" spans="1:9" ht="12.75" customHeight="1" x14ac:dyDescent="0.35">
      <c r="A251" s="199">
        <v>43535</v>
      </c>
      <c r="B251" s="204">
        <v>10</v>
      </c>
      <c r="C251" s="204">
        <v>78</v>
      </c>
      <c r="D251" s="205">
        <f>IF(((B251="")*AND(C251="")),"",C251-B251)</f>
        <v>68</v>
      </c>
      <c r="E251" s="203"/>
      <c r="F251" s="206" t="str">
        <f>IF(D251="","",IF(D251&lt;=40,"Pass","Fail"))</f>
        <v>Fail</v>
      </c>
      <c r="G251" s="197">
        <v>1534</v>
      </c>
      <c r="H251" s="203"/>
      <c r="I251" s="203"/>
    </row>
    <row r="252" spans="1:9" ht="12.75" customHeight="1" x14ac:dyDescent="0.35">
      <c r="A252" s="199">
        <v>43535</v>
      </c>
      <c r="B252" s="204">
        <v>15</v>
      </c>
      <c r="C252" s="204">
        <v>39</v>
      </c>
      <c r="D252" s="205">
        <f>IF(((B252="")*AND(C252="")),"",C252-B252)</f>
        <v>24</v>
      </c>
      <c r="E252" s="203"/>
      <c r="F252" s="206" t="str">
        <f>IF(D252="","",IF(D252&lt;=40,"Pass","Fail"))</f>
        <v>Pass</v>
      </c>
      <c r="G252" s="197">
        <v>1428</v>
      </c>
      <c r="H252" s="203"/>
      <c r="I252" s="203"/>
    </row>
    <row r="253" spans="1:9" ht="12.75" customHeight="1" x14ac:dyDescent="0.35">
      <c r="A253" s="199">
        <v>43538</v>
      </c>
      <c r="B253" s="204">
        <v>6</v>
      </c>
      <c r="C253" s="204">
        <v>38</v>
      </c>
      <c r="D253" s="205">
        <f>IF(((B253="")*AND(C253="")),"",C253-B253)</f>
        <v>32</v>
      </c>
      <c r="E253" s="203"/>
      <c r="F253" s="206" t="str">
        <f>IF(D253="","",IF(D253&lt;=40,"Pass","Fail"))</f>
        <v>Pass</v>
      </c>
      <c r="G253" s="197">
        <v>121</v>
      </c>
      <c r="H253" s="203"/>
      <c r="I253" s="203"/>
    </row>
    <row r="254" spans="1:9" ht="12.75" customHeight="1" x14ac:dyDescent="0.35">
      <c r="A254" s="199">
        <v>43546</v>
      </c>
      <c r="B254" s="204">
        <v>29</v>
      </c>
      <c r="C254" s="204">
        <v>48</v>
      </c>
      <c r="D254" s="205">
        <f>IF(((B254="")*AND(C254="")),"",C254-B254)</f>
        <v>19</v>
      </c>
      <c r="E254" s="203"/>
      <c r="F254" s="206" t="str">
        <f>IF(D254="","",IF(D254&lt;=40,"Pass","Fail"))</f>
        <v>Pass</v>
      </c>
      <c r="G254" s="197">
        <v>1340</v>
      </c>
      <c r="H254" s="203"/>
      <c r="I254" s="203"/>
    </row>
    <row r="255" spans="1:9" ht="12.75" customHeight="1" x14ac:dyDescent="0.35">
      <c r="A255" s="199">
        <v>43549</v>
      </c>
      <c r="B255" s="204">
        <v>6</v>
      </c>
      <c r="C255" s="204">
        <v>222</v>
      </c>
      <c r="D255" s="205">
        <v>356</v>
      </c>
      <c r="E255" s="203"/>
      <c r="F255" s="206" t="s">
        <v>197</v>
      </c>
      <c r="G255" s="197">
        <v>1159</v>
      </c>
      <c r="H255" s="196"/>
      <c r="I255" s="203"/>
    </row>
    <row r="256" spans="1:9" ht="12.75" customHeight="1" x14ac:dyDescent="0.35">
      <c r="A256" s="199">
        <v>43551</v>
      </c>
      <c r="B256" s="204">
        <v>7</v>
      </c>
      <c r="C256" s="204">
        <v>41</v>
      </c>
      <c r="D256" s="205">
        <f t="shared" ref="D256:D265" si="9">IF(((B256="")*AND(C256="")),"",C256-B256)</f>
        <v>34</v>
      </c>
      <c r="E256" s="203"/>
      <c r="F256" s="206" t="str">
        <f t="shared" ref="F256:F265" si="10">IF(D256="","",IF(D256&lt;=40,"Pass","Fail"))</f>
        <v>Pass</v>
      </c>
      <c r="G256" s="197">
        <v>1159</v>
      </c>
      <c r="H256" s="203" t="s">
        <v>199</v>
      </c>
      <c r="I256" s="203"/>
    </row>
    <row r="257" spans="1:9" ht="12.75" customHeight="1" x14ac:dyDescent="0.35">
      <c r="A257" s="199">
        <v>43556</v>
      </c>
      <c r="B257" s="204">
        <v>39</v>
      </c>
      <c r="C257" s="204">
        <v>271</v>
      </c>
      <c r="D257" s="205">
        <f t="shared" si="9"/>
        <v>232</v>
      </c>
      <c r="E257" s="203"/>
      <c r="F257" s="206" t="str">
        <f t="shared" si="10"/>
        <v>Fail</v>
      </c>
      <c r="G257" s="197">
        <v>1159</v>
      </c>
      <c r="H257" s="203" t="s">
        <v>199</v>
      </c>
      <c r="I257" s="203"/>
    </row>
    <row r="258" spans="1:9" ht="12.75" customHeight="1" x14ac:dyDescent="0.35">
      <c r="A258" s="199">
        <v>43559</v>
      </c>
      <c r="B258" s="204">
        <v>23</v>
      </c>
      <c r="C258" s="204">
        <v>311</v>
      </c>
      <c r="D258" s="205">
        <f t="shared" si="9"/>
        <v>288</v>
      </c>
      <c r="E258" s="203"/>
      <c r="F258" s="206" t="str">
        <f t="shared" si="10"/>
        <v>Fail</v>
      </c>
      <c r="G258" s="197">
        <v>121</v>
      </c>
      <c r="H258" s="203"/>
      <c r="I258" s="203"/>
    </row>
    <row r="259" spans="1:9" ht="12.75" customHeight="1" x14ac:dyDescent="0.35">
      <c r="A259" s="199">
        <v>43560</v>
      </c>
      <c r="B259" s="204">
        <v>6</v>
      </c>
      <c r="C259" s="204">
        <v>29</v>
      </c>
      <c r="D259" s="205">
        <f t="shared" si="9"/>
        <v>23</v>
      </c>
      <c r="E259" s="203"/>
      <c r="F259" s="206" t="str">
        <f t="shared" si="10"/>
        <v>Pass</v>
      </c>
      <c r="G259" s="197">
        <v>1340</v>
      </c>
      <c r="H259" s="301"/>
      <c r="I259" s="209" t="s">
        <v>200</v>
      </c>
    </row>
    <row r="260" spans="1:9" ht="12.75" customHeight="1" x14ac:dyDescent="0.35">
      <c r="A260" s="199">
        <v>43560</v>
      </c>
      <c r="B260" s="204">
        <v>4</v>
      </c>
      <c r="C260" s="204">
        <v>5</v>
      </c>
      <c r="D260" s="205">
        <f t="shared" si="9"/>
        <v>1</v>
      </c>
      <c r="E260" s="203"/>
      <c r="F260" s="206" t="str">
        <f t="shared" si="10"/>
        <v>Pass</v>
      </c>
      <c r="G260" s="197">
        <v>1340</v>
      </c>
      <c r="H260" s="301"/>
      <c r="I260" s="209" t="s">
        <v>200</v>
      </c>
    </row>
    <row r="261" spans="1:9" ht="12.75" customHeight="1" x14ac:dyDescent="0.35">
      <c r="A261" s="199">
        <v>43564</v>
      </c>
      <c r="B261" s="204">
        <v>10</v>
      </c>
      <c r="C261" s="204">
        <v>23</v>
      </c>
      <c r="D261" s="205">
        <f t="shared" si="9"/>
        <v>13</v>
      </c>
      <c r="E261" s="203"/>
      <c r="F261" s="206" t="str">
        <f t="shared" si="10"/>
        <v>Pass</v>
      </c>
      <c r="G261" s="197">
        <v>1428</v>
      </c>
      <c r="H261" s="203"/>
      <c r="I261" s="203"/>
    </row>
    <row r="262" spans="1:9" ht="12.75" customHeight="1" x14ac:dyDescent="0.35">
      <c r="A262" s="199">
        <v>43568</v>
      </c>
      <c r="B262" s="204">
        <v>20</v>
      </c>
      <c r="C262" s="204">
        <v>169</v>
      </c>
      <c r="D262" s="205">
        <f t="shared" si="9"/>
        <v>149</v>
      </c>
      <c r="E262" s="203"/>
      <c r="F262" s="206" t="str">
        <f t="shared" si="10"/>
        <v>Fail</v>
      </c>
      <c r="G262" s="197">
        <v>1428</v>
      </c>
      <c r="H262" s="203"/>
      <c r="I262" s="203"/>
    </row>
    <row r="263" spans="1:9" ht="12.75" customHeight="1" x14ac:dyDescent="0.35">
      <c r="A263" s="199">
        <v>43568</v>
      </c>
      <c r="B263" s="204">
        <v>16</v>
      </c>
      <c r="C263" s="204">
        <v>54</v>
      </c>
      <c r="D263" s="205">
        <f t="shared" si="9"/>
        <v>38</v>
      </c>
      <c r="E263" s="203"/>
      <c r="F263" s="206" t="str">
        <f t="shared" si="10"/>
        <v>Pass</v>
      </c>
      <c r="G263" s="197">
        <v>1428</v>
      </c>
      <c r="H263" s="203"/>
      <c r="I263" s="203"/>
    </row>
    <row r="264" spans="1:9" ht="12.75" customHeight="1" x14ac:dyDescent="0.35">
      <c r="A264" s="199">
        <v>43578</v>
      </c>
      <c r="B264" s="204">
        <v>14</v>
      </c>
      <c r="C264" s="204">
        <v>27</v>
      </c>
      <c r="D264" s="205">
        <f t="shared" si="9"/>
        <v>13</v>
      </c>
      <c r="E264" s="203"/>
      <c r="F264" s="206" t="str">
        <f t="shared" si="10"/>
        <v>Pass</v>
      </c>
      <c r="G264" s="197">
        <v>1340</v>
      </c>
      <c r="H264" s="203"/>
      <c r="I264" s="203"/>
    </row>
    <row r="265" spans="1:9" ht="12.75" customHeight="1" x14ac:dyDescent="0.35">
      <c r="A265" s="199">
        <v>43521</v>
      </c>
      <c r="B265" s="204">
        <v>20</v>
      </c>
      <c r="C265" s="204">
        <v>53</v>
      </c>
      <c r="D265" s="205">
        <f t="shared" si="9"/>
        <v>33</v>
      </c>
      <c r="E265" s="203"/>
      <c r="F265" s="206" t="str">
        <f t="shared" si="10"/>
        <v>Pass</v>
      </c>
      <c r="G265" s="197">
        <v>1159</v>
      </c>
      <c r="H265" s="196" t="s">
        <v>202</v>
      </c>
      <c r="I265" s="203"/>
    </row>
  </sheetData>
  <mergeCells count="4">
    <mergeCell ref="A1:H1"/>
    <mergeCell ref="F3:H3"/>
    <mergeCell ref="B8:C8"/>
    <mergeCell ref="D8:H8"/>
  </mergeCells>
  <conditionalFormatting sqref="F10:F248">
    <cfRule type="containsText" dxfId="16948" priority="19" stopIfTrue="1" operator="containsText" text="PASS">
      <formula>NOT(ISERROR(SEARCH("PASS",F10)))</formula>
    </cfRule>
    <cfRule type="containsText" dxfId="16947" priority="20" stopIfTrue="1" operator="containsText" text="FAIL">
      <formula>NOT(ISERROR(SEARCH("FAIL",F10)))</formula>
    </cfRule>
  </conditionalFormatting>
  <conditionalFormatting sqref="F250:F256 F258:F264">
    <cfRule type="containsText" dxfId="16946" priority="17" stopIfTrue="1" operator="containsText" text="PASS">
      <formula>NOT(ISERROR(SEARCH("PASS",F250)))</formula>
    </cfRule>
    <cfRule type="containsText" dxfId="16945" priority="18" stopIfTrue="1" operator="containsText" text="FAIL">
      <formula>NOT(ISERROR(SEARCH("FAIL",F250)))</formula>
    </cfRule>
  </conditionalFormatting>
  <conditionalFormatting sqref="F249">
    <cfRule type="containsText" dxfId="16944" priority="15" stopIfTrue="1" operator="containsText" text="PASS">
      <formula>NOT(ISERROR(SEARCH("PASS",F249)))</formula>
    </cfRule>
    <cfRule type="containsText" dxfId="16943" priority="16" stopIfTrue="1" operator="containsText" text="FAIL">
      <formula>NOT(ISERROR(SEARCH("FAIL",F249)))</formula>
    </cfRule>
  </conditionalFormatting>
  <conditionalFormatting sqref="F255">
    <cfRule type="containsText" dxfId="16942" priority="13" stopIfTrue="1" operator="containsText" text="PASS">
      <formula>NOT(ISERROR(SEARCH("PASS",F255)))</formula>
    </cfRule>
    <cfRule type="containsText" dxfId="16941" priority="14" stopIfTrue="1" operator="containsText" text="FAIL">
      <formula>NOT(ISERROR(SEARCH("FAIL",F255)))</formula>
    </cfRule>
  </conditionalFormatting>
  <conditionalFormatting sqref="F256 F258:F264">
    <cfRule type="containsText" dxfId="16940" priority="11" stopIfTrue="1" operator="containsText" text="PASS">
      <formula>NOT(ISERROR(SEARCH("PASS",F256)))</formula>
    </cfRule>
    <cfRule type="containsText" dxfId="16939" priority="12" stopIfTrue="1" operator="containsText" text="FAIL">
      <formula>NOT(ISERROR(SEARCH("FAIL",F256)))</formula>
    </cfRule>
  </conditionalFormatting>
  <conditionalFormatting sqref="F256 F258:F264">
    <cfRule type="containsText" dxfId="16938" priority="9" stopIfTrue="1" operator="containsText" text="PASS">
      <formula>NOT(ISERROR(SEARCH("PASS",F256)))</formula>
    </cfRule>
    <cfRule type="containsText" dxfId="16937" priority="10" stopIfTrue="1" operator="containsText" text="FAIL">
      <formula>NOT(ISERROR(SEARCH("FAIL",F256)))</formula>
    </cfRule>
  </conditionalFormatting>
  <conditionalFormatting sqref="F257">
    <cfRule type="containsText" dxfId="16936" priority="7" stopIfTrue="1" operator="containsText" text="PASS">
      <formula>NOT(ISERROR(SEARCH("PASS",F257)))</formula>
    </cfRule>
    <cfRule type="containsText" dxfId="16935" priority="8" stopIfTrue="1" operator="containsText" text="FAIL">
      <formula>NOT(ISERROR(SEARCH("FAIL",F257)))</formula>
    </cfRule>
  </conditionalFormatting>
  <conditionalFormatting sqref="F257">
    <cfRule type="containsText" dxfId="16934" priority="5" stopIfTrue="1" operator="containsText" text="PASS">
      <formula>NOT(ISERROR(SEARCH("PASS",F257)))</formula>
    </cfRule>
    <cfRule type="containsText" dxfId="16933" priority="6" stopIfTrue="1" operator="containsText" text="FAIL">
      <formula>NOT(ISERROR(SEARCH("FAIL",F257)))</formula>
    </cfRule>
  </conditionalFormatting>
  <conditionalFormatting sqref="F257">
    <cfRule type="containsText" dxfId="16932" priority="3" stopIfTrue="1" operator="containsText" text="PASS">
      <formula>NOT(ISERROR(SEARCH("PASS",F257)))</formula>
    </cfRule>
    <cfRule type="containsText" dxfId="16931" priority="4" stopIfTrue="1" operator="containsText" text="FAIL">
      <formula>NOT(ISERROR(SEARCH("FAIL",F257)))</formula>
    </cfRule>
  </conditionalFormatting>
  <conditionalFormatting sqref="F265">
    <cfRule type="containsText" dxfId="16930" priority="1" stopIfTrue="1" operator="containsText" text="PASS">
      <formula>NOT(ISERROR(SEARCH("PASS",F265)))</formula>
    </cfRule>
    <cfRule type="containsText" dxfId="16929" priority="2" stopIfTrue="1" operator="containsText" text="FAIL">
      <formula>NOT(ISERROR(SEARCH("FAIL",F265)))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787"/>
  <sheetViews>
    <sheetView tabSelected="1" topLeftCell="B1" zoomScale="70" zoomScaleNormal="70" workbookViewId="0">
      <pane ySplit="10" topLeftCell="A59" activePane="bottomLeft" state="frozen"/>
      <selection pane="bottomLeft" activeCell="Y76" sqref="Y76"/>
    </sheetView>
  </sheetViews>
  <sheetFormatPr defaultRowHeight="12.75" x14ac:dyDescent="0.25"/>
  <cols>
    <col min="1" max="1" width="12.90625" style="40" customWidth="1"/>
    <col min="2" max="2" width="10.08984375" style="35" customWidth="1"/>
    <col min="3" max="3" width="13.36328125" style="35" customWidth="1"/>
    <col min="4" max="16" width="6.08984375" style="35" customWidth="1"/>
    <col min="17" max="17" width="10.36328125" style="39" bestFit="1" customWidth="1"/>
    <col min="18" max="18" width="7.26953125" style="39" bestFit="1" customWidth="1"/>
    <col min="19" max="19" width="9" style="39" customWidth="1"/>
    <col min="20" max="20" width="11.54296875" style="39" customWidth="1"/>
    <col min="21" max="21" width="10.36328125" style="39" customWidth="1"/>
    <col min="22" max="22" width="11.81640625" style="38" customWidth="1"/>
    <col min="23" max="23" width="11.1796875" style="38" customWidth="1"/>
    <col min="24" max="24" width="26.08984375" style="38" customWidth="1"/>
    <col min="25" max="25" width="34.08984375" style="38" customWidth="1"/>
    <col min="26" max="29" width="8.26953125" style="37" customWidth="1"/>
    <col min="30" max="30" width="10.54296875" style="36" customWidth="1"/>
    <col min="31" max="31" width="10.26953125" style="35" customWidth="1"/>
    <col min="32" max="16384" width="8.7265625" style="35"/>
  </cols>
  <sheetData>
    <row r="1" spans="1:31" s="170" customFormat="1" ht="12.75" customHeight="1" x14ac:dyDescent="0.25">
      <c r="A1" s="180" t="s">
        <v>14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68"/>
      <c r="Q1" s="175"/>
      <c r="R1" s="175"/>
      <c r="S1" s="175"/>
      <c r="T1" s="175"/>
      <c r="U1" s="175"/>
      <c r="V1" s="174"/>
      <c r="W1" s="174"/>
      <c r="X1" s="180"/>
      <c r="Y1" s="173"/>
      <c r="Z1" s="172"/>
      <c r="AA1" s="172"/>
      <c r="AB1" s="172"/>
      <c r="AC1" s="172"/>
      <c r="AD1" s="171"/>
    </row>
    <row r="2" spans="1:31" ht="12.75" customHeight="1" x14ac:dyDescent="0.25">
      <c r="A2" s="178" t="s">
        <v>15</v>
      </c>
      <c r="B2" s="154"/>
      <c r="C2" s="169"/>
      <c r="D2" s="153"/>
      <c r="E2" s="154"/>
      <c r="F2" s="154"/>
      <c r="G2" s="154"/>
      <c r="H2" s="154"/>
      <c r="I2" s="152"/>
      <c r="J2" s="154" t="s">
        <v>16</v>
      </c>
      <c r="K2" s="154"/>
      <c r="L2" s="154"/>
      <c r="M2" s="154"/>
      <c r="N2" s="154"/>
      <c r="O2" s="154"/>
      <c r="P2" s="168"/>
      <c r="Q2" s="167" t="s">
        <v>294</v>
      </c>
      <c r="R2" s="166"/>
      <c r="S2" s="165" t="s">
        <v>275</v>
      </c>
      <c r="T2" s="165" t="s">
        <v>274</v>
      </c>
      <c r="U2" s="165"/>
      <c r="V2" s="164" t="s">
        <v>276</v>
      </c>
      <c r="W2" s="164" t="s">
        <v>48</v>
      </c>
      <c r="X2" s="180"/>
      <c r="Y2" s="179"/>
    </row>
    <row r="3" spans="1:31" ht="12.75" customHeight="1" x14ac:dyDescent="0.3">
      <c r="A3" s="178" t="s">
        <v>293</v>
      </c>
      <c r="B3" s="162"/>
      <c r="C3" s="161"/>
      <c r="D3" s="161"/>
      <c r="E3" s="152"/>
      <c r="F3" s="152" t="s">
        <v>292</v>
      </c>
      <c r="G3" s="152"/>
      <c r="H3" s="152"/>
      <c r="I3" s="152"/>
      <c r="J3" s="152"/>
      <c r="K3" s="152"/>
      <c r="L3" s="152"/>
      <c r="M3" s="152"/>
      <c r="N3" s="152"/>
      <c r="O3" s="152"/>
      <c r="P3" s="151"/>
      <c r="Q3" s="160" t="s">
        <v>291</v>
      </c>
      <c r="R3" s="159"/>
      <c r="S3" s="158">
        <v>4720</v>
      </c>
      <c r="T3" s="158">
        <v>5640</v>
      </c>
      <c r="U3" s="158"/>
      <c r="V3" s="157">
        <v>4470</v>
      </c>
      <c r="W3" s="157">
        <v>6020</v>
      </c>
      <c r="X3" s="253"/>
      <c r="Y3" s="156"/>
    </row>
    <row r="4" spans="1:31" ht="12.75" customHeight="1" x14ac:dyDescent="0.25">
      <c r="A4" s="178" t="s">
        <v>290</v>
      </c>
      <c r="B4" s="154"/>
      <c r="C4" s="153"/>
      <c r="D4" s="153"/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1"/>
      <c r="Q4" s="160" t="s">
        <v>286</v>
      </c>
      <c r="R4" s="159"/>
      <c r="S4" s="158">
        <v>0</v>
      </c>
      <c r="T4" s="158">
        <v>2.5</v>
      </c>
      <c r="U4" s="158"/>
      <c r="V4" s="157">
        <v>0</v>
      </c>
      <c r="W4" s="157">
        <v>10</v>
      </c>
      <c r="X4" s="253"/>
      <c r="Y4" s="156"/>
    </row>
    <row r="5" spans="1:31" ht="12.75" customHeight="1" x14ac:dyDescent="0.25">
      <c r="A5" s="178" t="s">
        <v>289</v>
      </c>
      <c r="B5" s="154"/>
      <c r="C5" s="153"/>
      <c r="D5" s="153"/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1"/>
      <c r="Q5" s="160" t="s">
        <v>288</v>
      </c>
      <c r="R5" s="159"/>
      <c r="S5" s="158">
        <v>6300</v>
      </c>
      <c r="T5" s="158">
        <v>8260</v>
      </c>
      <c r="U5" s="158"/>
      <c r="V5" s="157">
        <v>4955</v>
      </c>
      <c r="W5" s="157">
        <v>9645</v>
      </c>
      <c r="X5" s="253"/>
      <c r="Y5" s="156"/>
    </row>
    <row r="6" spans="1:31" ht="12.75" customHeight="1" x14ac:dyDescent="0.25">
      <c r="A6" s="178" t="s">
        <v>287</v>
      </c>
      <c r="B6" s="154"/>
      <c r="C6" s="153"/>
      <c r="D6" s="153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1"/>
      <c r="Q6" s="160" t="s">
        <v>286</v>
      </c>
      <c r="R6" s="159"/>
      <c r="S6" s="158">
        <v>0</v>
      </c>
      <c r="T6" s="158">
        <v>10</v>
      </c>
      <c r="U6" s="158"/>
      <c r="V6" s="157">
        <v>0</v>
      </c>
      <c r="W6" s="157">
        <v>10</v>
      </c>
      <c r="X6" s="253"/>
      <c r="Y6" s="156"/>
    </row>
    <row r="7" spans="1:31" ht="12.75" customHeight="1" x14ac:dyDescent="0.25">
      <c r="A7" s="178" t="s">
        <v>285</v>
      </c>
      <c r="B7" s="154"/>
      <c r="C7" s="153"/>
      <c r="D7" s="153"/>
      <c r="E7" s="87"/>
      <c r="F7" s="87"/>
      <c r="G7" s="87"/>
      <c r="H7" s="87"/>
      <c r="I7" s="87"/>
      <c r="K7" s="152"/>
      <c r="L7" s="152"/>
      <c r="M7" s="152"/>
      <c r="N7" s="152"/>
      <c r="O7" s="152"/>
      <c r="P7" s="151"/>
      <c r="Q7" s="150"/>
      <c r="R7" s="150"/>
      <c r="S7" s="149"/>
      <c r="T7" s="148"/>
      <c r="U7" s="148"/>
      <c r="V7" s="147"/>
      <c r="W7" s="146"/>
      <c r="X7" s="254"/>
      <c r="Y7" s="145"/>
    </row>
    <row r="8" spans="1:31" ht="12.75" customHeight="1" x14ac:dyDescent="0.25">
      <c r="A8" s="144"/>
      <c r="B8" s="142"/>
      <c r="C8" s="143"/>
      <c r="D8" s="143"/>
      <c r="E8" s="143"/>
      <c r="F8" s="143"/>
      <c r="G8" s="143"/>
      <c r="H8" s="143"/>
      <c r="I8" s="143"/>
      <c r="J8" s="143"/>
      <c r="K8" s="142"/>
      <c r="L8" s="142"/>
      <c r="M8" s="142"/>
      <c r="N8" s="142"/>
      <c r="O8" s="142"/>
      <c r="P8" s="141"/>
      <c r="Q8" s="140"/>
      <c r="R8" s="140"/>
      <c r="S8" s="139"/>
      <c r="T8" s="139"/>
      <c r="U8" s="139"/>
      <c r="V8" s="138"/>
      <c r="W8" s="138"/>
      <c r="X8" s="253"/>
      <c r="Y8" s="137"/>
    </row>
    <row r="9" spans="1:31" s="268" customFormat="1" ht="29.35" customHeight="1" thickBot="1" x14ac:dyDescent="0.35">
      <c r="A9" s="264"/>
      <c r="B9" s="265"/>
      <c r="C9" s="287" t="s">
        <v>320</v>
      </c>
      <c r="D9" s="288"/>
      <c r="E9" s="288"/>
      <c r="F9" s="288"/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66"/>
      <c r="R9" s="266"/>
      <c r="S9" s="267"/>
      <c r="T9" s="294"/>
      <c r="U9" s="294"/>
      <c r="V9" s="295"/>
      <c r="W9" s="269"/>
      <c r="X9" s="296"/>
      <c r="Y9" s="294"/>
      <c r="Z9" s="294"/>
      <c r="AA9" s="297"/>
      <c r="AB9" s="294"/>
      <c r="AC9" s="294"/>
      <c r="AD9" s="294"/>
      <c r="AE9" s="294"/>
    </row>
    <row r="10" spans="1:31" s="272" customFormat="1" ht="41.95" customHeight="1" thickBot="1" x14ac:dyDescent="0.4">
      <c r="A10" s="270" t="s">
        <v>308</v>
      </c>
      <c r="B10" s="271" t="s">
        <v>319</v>
      </c>
      <c r="C10" s="298" t="s">
        <v>316</v>
      </c>
      <c r="D10" s="271">
        <v>1</v>
      </c>
      <c r="E10" s="271">
        <v>2</v>
      </c>
      <c r="F10" s="271">
        <v>3</v>
      </c>
      <c r="G10" s="271">
        <v>4</v>
      </c>
      <c r="H10" s="271">
        <v>5</v>
      </c>
      <c r="I10" s="271">
        <v>6</v>
      </c>
      <c r="J10" s="271">
        <v>7</v>
      </c>
      <c r="K10" s="271">
        <v>8</v>
      </c>
      <c r="L10" s="271">
        <v>9</v>
      </c>
      <c r="M10" s="271">
        <v>10</v>
      </c>
      <c r="N10" s="271">
        <v>11</v>
      </c>
      <c r="O10" s="271">
        <v>12</v>
      </c>
      <c r="P10" s="271">
        <v>13</v>
      </c>
      <c r="Q10" s="291" t="s">
        <v>282</v>
      </c>
      <c r="R10" s="291" t="s">
        <v>281</v>
      </c>
      <c r="S10" s="291" t="s">
        <v>317</v>
      </c>
      <c r="T10" s="291" t="s">
        <v>318</v>
      </c>
      <c r="U10" s="291" t="s">
        <v>278</v>
      </c>
      <c r="V10" s="292" t="s">
        <v>32</v>
      </c>
      <c r="W10" s="293" t="s">
        <v>277</v>
      </c>
      <c r="X10" s="292" t="s">
        <v>311</v>
      </c>
      <c r="Y10" s="292" t="s">
        <v>34</v>
      </c>
      <c r="Z10" s="299" t="s">
        <v>276</v>
      </c>
      <c r="AA10" s="299" t="s">
        <v>48</v>
      </c>
      <c r="AB10" s="299" t="s">
        <v>275</v>
      </c>
      <c r="AC10" s="299" t="s">
        <v>274</v>
      </c>
      <c r="AD10" s="300" t="s">
        <v>273</v>
      </c>
      <c r="AE10" s="300" t="s">
        <v>272</v>
      </c>
    </row>
    <row r="11" spans="1:31" x14ac:dyDescent="0.25">
      <c r="A11" s="279">
        <v>42404</v>
      </c>
      <c r="B11" s="47" t="s">
        <v>208</v>
      </c>
      <c r="C11" s="80" t="s">
        <v>205</v>
      </c>
      <c r="D11" s="35">
        <v>5881.31</v>
      </c>
      <c r="E11" s="35">
        <v>5941.71</v>
      </c>
      <c r="F11" s="35">
        <v>5955.92</v>
      </c>
      <c r="G11" s="35">
        <v>5937.02</v>
      </c>
      <c r="H11" s="35">
        <v>5815.89</v>
      </c>
      <c r="I11" s="35">
        <v>5815.89</v>
      </c>
      <c r="J11" s="35">
        <v>5944.28</v>
      </c>
      <c r="K11" s="35">
        <v>5946.97</v>
      </c>
      <c r="L11" s="35">
        <v>5887.04</v>
      </c>
      <c r="M11" s="55"/>
      <c r="N11" s="55"/>
      <c r="O11" s="55"/>
      <c r="P11" s="55"/>
      <c r="Q11" s="47">
        <f>IF((L12=""),"",MAX(D13:L13))</f>
        <v>7144.68</v>
      </c>
      <c r="R11" s="47">
        <f>IF(L12="","",MIN(D13:L13))</f>
        <v>6642.5</v>
      </c>
      <c r="S11" s="289">
        <f>IF((L13=""),"",AVERAGE(D13:L13))</f>
        <v>6831.56</v>
      </c>
      <c r="T11" s="290">
        <f>IF((L12=""),"",(Q11-R11)/(Q11+R11)*100)</f>
        <v>3.6423692154595808</v>
      </c>
      <c r="U11" s="47">
        <f>STDEV(D13:P13)</f>
        <v>142.11199703051125</v>
      </c>
      <c r="V11" s="274" t="str">
        <f>IF(L12="","",IF(T11&lt;7.3,IF(S11&gt;5700,IF(S11&lt;7200,"Pass","Fail"),"Fail"),"Fail"))</f>
        <v>Pass</v>
      </c>
      <c r="W11" s="47">
        <v>1428</v>
      </c>
      <c r="X11" s="255"/>
      <c r="Y11" s="124"/>
      <c r="Z11" s="37">
        <v>4955</v>
      </c>
      <c r="AA11" s="37">
        <v>9645</v>
      </c>
      <c r="AB11" s="37">
        <v>5100</v>
      </c>
      <c r="AC11" s="37">
        <v>8300</v>
      </c>
      <c r="AD11" s="69">
        <v>9.8000000000000007</v>
      </c>
      <c r="AE11" s="69">
        <v>10</v>
      </c>
    </row>
    <row r="12" spans="1:31" ht="12.75" customHeight="1" x14ac:dyDescent="0.25">
      <c r="A12" s="279"/>
      <c r="B12" s="47"/>
      <c r="C12" s="56" t="s">
        <v>204</v>
      </c>
      <c r="D12" s="35">
        <v>2449.15</v>
      </c>
      <c r="E12" s="35">
        <v>2555.1</v>
      </c>
      <c r="F12" s="35">
        <v>2569.75</v>
      </c>
      <c r="G12" s="35">
        <v>2524.59</v>
      </c>
      <c r="H12" s="35">
        <v>2356.71</v>
      </c>
      <c r="I12" s="35">
        <v>2243.5500000000002</v>
      </c>
      <c r="J12" s="35">
        <v>2533.11</v>
      </c>
      <c r="K12" s="35">
        <v>2586.2600000000002</v>
      </c>
      <c r="L12" s="35">
        <v>2565.79</v>
      </c>
      <c r="M12" s="55"/>
      <c r="N12" s="55"/>
      <c r="O12" s="55"/>
      <c r="P12" s="55"/>
      <c r="Q12" s="47"/>
      <c r="R12" s="47"/>
      <c r="S12" s="47"/>
      <c r="T12" s="47"/>
      <c r="U12" s="47"/>
      <c r="V12" s="274"/>
      <c r="W12" s="47"/>
      <c r="X12" s="255"/>
      <c r="Y12" s="123"/>
      <c r="Z12" s="35"/>
      <c r="AA12" s="35"/>
      <c r="AB12" s="35"/>
      <c r="AC12" s="35"/>
      <c r="AD12" s="35"/>
    </row>
    <row r="13" spans="1:31" ht="24.8" customHeight="1" thickBot="1" x14ac:dyDescent="0.3">
      <c r="A13" s="280"/>
      <c r="B13" s="42"/>
      <c r="C13" s="76" t="s">
        <v>203</v>
      </c>
      <c r="D13" s="84">
        <f t="shared" ref="D13:L13" si="0">IF(((D11="")*AND(D12="")),"",(D11-D12)*2)</f>
        <v>6864.3200000000006</v>
      </c>
      <c r="E13" s="84">
        <f t="shared" si="0"/>
        <v>6773.22</v>
      </c>
      <c r="F13" s="84">
        <f t="shared" si="0"/>
        <v>6772.34</v>
      </c>
      <c r="G13" s="84">
        <f t="shared" si="0"/>
        <v>6824.8600000000006</v>
      </c>
      <c r="H13" s="84">
        <f t="shared" si="0"/>
        <v>6918.3600000000006</v>
      </c>
      <c r="I13" s="84">
        <f t="shared" si="0"/>
        <v>7144.68</v>
      </c>
      <c r="J13" s="84">
        <f t="shared" si="0"/>
        <v>6822.3399999999992</v>
      </c>
      <c r="K13" s="84">
        <f t="shared" si="0"/>
        <v>6721.42</v>
      </c>
      <c r="L13" s="84">
        <f t="shared" si="0"/>
        <v>6642.5</v>
      </c>
      <c r="M13" s="84"/>
      <c r="N13" s="84"/>
      <c r="O13" s="84"/>
      <c r="P13" s="84" t="str">
        <f>IF(((P11="")*AND(P12="")),"",(P11-P12)*2)</f>
        <v/>
      </c>
      <c r="Q13" s="42"/>
      <c r="R13" s="42"/>
      <c r="S13" s="42"/>
      <c r="T13" s="42"/>
      <c r="U13" s="80"/>
      <c r="V13" s="275"/>
      <c r="W13" s="42"/>
      <c r="X13" s="255"/>
      <c r="Y13" s="122"/>
      <c r="Z13" s="35"/>
      <c r="AA13" s="35"/>
      <c r="AB13" s="35"/>
      <c r="AC13" s="35"/>
      <c r="AD13" s="35"/>
    </row>
    <row r="14" spans="1:31" ht="12.75" customHeight="1" x14ac:dyDescent="0.25">
      <c r="A14" s="281">
        <v>42417</v>
      </c>
      <c r="B14" s="57" t="s">
        <v>206</v>
      </c>
      <c r="C14" s="61" t="s">
        <v>205</v>
      </c>
      <c r="D14" s="35">
        <v>6844.87</v>
      </c>
      <c r="E14" s="35">
        <v>6787.08</v>
      </c>
      <c r="F14" s="35">
        <v>6846.09</v>
      </c>
      <c r="G14" s="35">
        <v>6902.26</v>
      </c>
      <c r="H14" s="35">
        <v>7017.06</v>
      </c>
      <c r="I14" s="35">
        <v>7030.17</v>
      </c>
      <c r="J14" s="35">
        <v>6871.56</v>
      </c>
      <c r="K14" s="35">
        <v>6919.95</v>
      </c>
      <c r="L14" s="35">
        <v>7084.23</v>
      </c>
      <c r="M14" s="35">
        <v>7030.17</v>
      </c>
      <c r="N14" s="35">
        <v>6871.56</v>
      </c>
      <c r="O14" s="35">
        <v>6919.95</v>
      </c>
      <c r="P14" s="35">
        <v>7084.23</v>
      </c>
      <c r="Q14" s="125">
        <f>IF((P15=""),"",MAX(D16:P16))</f>
        <v>5097.6499999999996</v>
      </c>
      <c r="R14" s="125">
        <f>IF(P15="","",MIN(D16:P16))</f>
        <v>4814.91</v>
      </c>
      <c r="S14" s="53">
        <f>IF((P16=""),"",AVERAGE(D16:P16))</f>
        <v>4969.9053846153847</v>
      </c>
      <c r="T14" s="53">
        <f>IF((P15=""),"",(Q14-R14)/(Q14+R14)*100)</f>
        <v>2.8523408685546396</v>
      </c>
      <c r="U14" s="52">
        <f>STDEV(D16:P16)</f>
        <v>104.30453894049742</v>
      </c>
      <c r="V14" s="276" t="str">
        <f>IF(P15="","",IF(T14&lt;2.7,IF(S14&gt;5150,IF(S14&lt;5600,"Pass","Fail"),"Fail"),"Fail"))</f>
        <v>Fail</v>
      </c>
      <c r="W14" s="57">
        <v>1159</v>
      </c>
      <c r="X14" s="255"/>
      <c r="Y14" s="124" t="s">
        <v>323</v>
      </c>
      <c r="Z14" s="71">
        <v>4470</v>
      </c>
      <c r="AA14" s="71">
        <v>6020</v>
      </c>
      <c r="AB14" s="71">
        <v>5150</v>
      </c>
      <c r="AC14" s="71">
        <v>5600</v>
      </c>
      <c r="AD14" s="70">
        <v>2.7</v>
      </c>
      <c r="AE14" s="69">
        <v>10</v>
      </c>
    </row>
    <row r="15" spans="1:31" ht="12.75" customHeight="1" x14ac:dyDescent="0.25">
      <c r="A15" s="279"/>
      <c r="B15" s="47"/>
      <c r="C15" s="56" t="s">
        <v>204</v>
      </c>
      <c r="D15" s="35">
        <v>2008.27</v>
      </c>
      <c r="E15" s="35">
        <v>1758.62</v>
      </c>
      <c r="F15" s="35">
        <v>1748.44</v>
      </c>
      <c r="G15" s="35">
        <v>1826.05</v>
      </c>
      <c r="H15" s="35">
        <v>2119.63</v>
      </c>
      <c r="I15" s="35">
        <v>2100.73</v>
      </c>
      <c r="J15" s="35">
        <v>1803.04</v>
      </c>
      <c r="K15" s="35">
        <v>1896.61</v>
      </c>
      <c r="L15" s="35">
        <v>2269.3200000000002</v>
      </c>
      <c r="M15" s="35">
        <v>2100.73</v>
      </c>
      <c r="N15" s="35">
        <v>1803.04</v>
      </c>
      <c r="O15" s="35">
        <v>1896.61</v>
      </c>
      <c r="P15" s="35">
        <v>2269.3200000000002</v>
      </c>
      <c r="Q15" s="47"/>
      <c r="R15" s="47"/>
      <c r="S15" s="47"/>
      <c r="T15" s="47"/>
      <c r="U15" s="47"/>
      <c r="V15" s="274"/>
      <c r="W15" s="47"/>
      <c r="X15" s="255"/>
      <c r="Y15" s="123"/>
      <c r="Z15" s="35"/>
      <c r="AA15" s="35"/>
      <c r="AB15" s="35"/>
      <c r="AC15" s="35"/>
      <c r="AD15" s="35"/>
    </row>
    <row r="16" spans="1:31" ht="23.95" customHeight="1" x14ac:dyDescent="0.25">
      <c r="A16" s="282"/>
      <c r="B16" s="80"/>
      <c r="C16" s="56" t="s">
        <v>203</v>
      </c>
      <c r="D16" s="97">
        <f t="shared" ref="D16:P16" si="1">IF(((D14="")*AND(D15="")),"",(D14-D15))</f>
        <v>4836.6000000000004</v>
      </c>
      <c r="E16" s="97">
        <f t="shared" si="1"/>
        <v>5028.46</v>
      </c>
      <c r="F16" s="97">
        <f t="shared" si="1"/>
        <v>5097.6499999999996</v>
      </c>
      <c r="G16" s="97">
        <f t="shared" si="1"/>
        <v>5076.21</v>
      </c>
      <c r="H16" s="97">
        <f t="shared" si="1"/>
        <v>4897.43</v>
      </c>
      <c r="I16" s="97">
        <f t="shared" si="1"/>
        <v>4929.4400000000005</v>
      </c>
      <c r="J16" s="97">
        <f t="shared" si="1"/>
        <v>5068.5200000000004</v>
      </c>
      <c r="K16" s="97">
        <f t="shared" si="1"/>
        <v>5023.34</v>
      </c>
      <c r="L16" s="97">
        <f t="shared" si="1"/>
        <v>4814.91</v>
      </c>
      <c r="M16" s="97">
        <f t="shared" si="1"/>
        <v>4929.4400000000005</v>
      </c>
      <c r="N16" s="97">
        <f t="shared" si="1"/>
        <v>5068.5200000000004</v>
      </c>
      <c r="O16" s="97">
        <f t="shared" si="1"/>
        <v>5023.34</v>
      </c>
      <c r="P16" s="97">
        <f t="shared" si="1"/>
        <v>4814.91</v>
      </c>
      <c r="Q16" s="80"/>
      <c r="R16" s="80"/>
      <c r="S16" s="80"/>
      <c r="T16" s="80"/>
      <c r="U16" s="80"/>
      <c r="V16" s="277"/>
      <c r="W16" s="80"/>
      <c r="X16" s="255"/>
      <c r="Y16" s="123"/>
      <c r="Z16" s="35"/>
      <c r="AA16" s="35"/>
      <c r="AB16" s="35"/>
      <c r="AC16" s="35"/>
      <c r="AD16" s="35"/>
    </row>
    <row r="17" spans="1:31" x14ac:dyDescent="0.25">
      <c r="A17" s="278">
        <v>42417</v>
      </c>
      <c r="B17" s="50" t="s">
        <v>208</v>
      </c>
      <c r="C17" s="56" t="s">
        <v>205</v>
      </c>
      <c r="D17" s="35">
        <v>6043.73</v>
      </c>
      <c r="E17" s="35">
        <v>6135.6</v>
      </c>
      <c r="F17" s="35">
        <v>6167.78</v>
      </c>
      <c r="G17" s="35">
        <v>6133.73</v>
      </c>
      <c r="H17" s="35">
        <v>6006.14</v>
      </c>
      <c r="I17" s="35">
        <v>6009.26</v>
      </c>
      <c r="J17" s="35">
        <v>6132.59</v>
      </c>
      <c r="K17" s="35">
        <v>6173.8</v>
      </c>
      <c r="L17" s="35">
        <v>6092.93</v>
      </c>
      <c r="M17" s="55"/>
      <c r="N17" s="55"/>
      <c r="O17" s="55"/>
      <c r="P17" s="55"/>
      <c r="Q17" s="50">
        <f>IF((L18=""),"",MAX(D19:L19))</f>
        <v>7162.34</v>
      </c>
      <c r="R17" s="50">
        <f>IF(L18="","",MIN(D19:L19))</f>
        <v>7006.3600000000006</v>
      </c>
      <c r="S17" s="77">
        <f>IF((L19=""),"",AVERAGE(D19:L19))</f>
        <v>7084.9333333333334</v>
      </c>
      <c r="T17" s="77">
        <f>IF((L17=""),"",(Q17-R17)/(Q17+R17)*100)</f>
        <v>1.1008772858483811</v>
      </c>
      <c r="U17" s="50">
        <f>STDEV(D19:P19)</f>
        <v>52.141413482950355</v>
      </c>
      <c r="V17" s="273" t="str">
        <f>IF(L18="","",IF(T17&lt;7.3,IF(S17&gt;5700,IF(S17&lt;7200,"Pass","Fail"),"Fail"),"Fail"))</f>
        <v>Pass</v>
      </c>
      <c r="W17" s="50">
        <v>1159</v>
      </c>
      <c r="X17" s="255"/>
      <c r="Y17" s="123"/>
      <c r="Z17" s="37">
        <v>4955</v>
      </c>
      <c r="AA17" s="37">
        <v>9645</v>
      </c>
      <c r="AB17" s="37">
        <v>5100</v>
      </c>
      <c r="AC17" s="37">
        <v>8300</v>
      </c>
      <c r="AD17" s="69">
        <v>9.8000000000000007</v>
      </c>
      <c r="AE17" s="69">
        <v>10</v>
      </c>
    </row>
    <row r="18" spans="1:31" ht="12.75" customHeight="1" x14ac:dyDescent="0.25">
      <c r="A18" s="279"/>
      <c r="B18" s="47"/>
      <c r="C18" s="56" t="s">
        <v>204</v>
      </c>
      <c r="D18" s="35">
        <v>2488</v>
      </c>
      <c r="E18" s="35">
        <v>2615.8200000000002</v>
      </c>
      <c r="F18" s="35">
        <v>2628.11</v>
      </c>
      <c r="G18" s="35">
        <v>2588.9699999999998</v>
      </c>
      <c r="H18" s="35">
        <v>2427.1799999999998</v>
      </c>
      <c r="I18" s="35">
        <v>2428.09</v>
      </c>
      <c r="J18" s="35">
        <v>2606.5100000000002</v>
      </c>
      <c r="K18" s="35">
        <v>2640.93</v>
      </c>
      <c r="L18" s="35">
        <v>2589.75</v>
      </c>
      <c r="M18" s="55"/>
      <c r="N18" s="55"/>
      <c r="O18" s="55"/>
      <c r="P18" s="55"/>
      <c r="Q18" s="47"/>
      <c r="R18" s="47"/>
      <c r="S18" s="47"/>
      <c r="T18" s="47"/>
      <c r="U18" s="47"/>
      <c r="V18" s="274"/>
      <c r="W18" s="47"/>
      <c r="X18" s="255"/>
      <c r="Y18" s="123"/>
      <c r="Z18" s="35"/>
      <c r="AA18" s="35"/>
      <c r="AB18" s="35"/>
      <c r="AC18" s="35"/>
      <c r="AD18" s="35"/>
    </row>
    <row r="19" spans="1:31" ht="24.8" customHeight="1" thickBot="1" x14ac:dyDescent="0.3">
      <c r="A19" s="280"/>
      <c r="B19" s="42"/>
      <c r="C19" s="76" t="s">
        <v>203</v>
      </c>
      <c r="D19" s="84">
        <f t="shared" ref="D19:L19" si="2">IF(((D17="")*AND(D18="")),"",(D17-D18)*2)</f>
        <v>7111.4599999999991</v>
      </c>
      <c r="E19" s="84">
        <f t="shared" si="2"/>
        <v>7039.56</v>
      </c>
      <c r="F19" s="84">
        <f t="shared" si="2"/>
        <v>7079.3399999999992</v>
      </c>
      <c r="G19" s="84">
        <f t="shared" si="2"/>
        <v>7089.5199999999995</v>
      </c>
      <c r="H19" s="84">
        <f t="shared" si="2"/>
        <v>7157.920000000001</v>
      </c>
      <c r="I19" s="84">
        <f t="shared" si="2"/>
        <v>7162.34</v>
      </c>
      <c r="J19" s="84">
        <f t="shared" si="2"/>
        <v>7052.16</v>
      </c>
      <c r="K19" s="84">
        <f t="shared" si="2"/>
        <v>7065.7400000000007</v>
      </c>
      <c r="L19" s="84">
        <f t="shared" si="2"/>
        <v>7006.3600000000006</v>
      </c>
      <c r="M19" s="84"/>
      <c r="N19" s="84"/>
      <c r="O19" s="84"/>
      <c r="P19" s="84" t="str">
        <f>IF(((P17="")*AND(P18="")),"",(P17-P18)*2)</f>
        <v/>
      </c>
      <c r="Q19" s="42"/>
      <c r="R19" s="42"/>
      <c r="S19" s="42"/>
      <c r="T19" s="42"/>
      <c r="U19" s="80"/>
      <c r="V19" s="275"/>
      <c r="W19" s="42"/>
      <c r="X19" s="255"/>
      <c r="Y19" s="122"/>
      <c r="Z19" s="35"/>
      <c r="AA19" s="35"/>
      <c r="AB19" s="35"/>
      <c r="AC19" s="35"/>
      <c r="AD19" s="35"/>
    </row>
    <row r="20" spans="1:31" x14ac:dyDescent="0.25">
      <c r="A20" s="278">
        <v>42423</v>
      </c>
      <c r="B20" s="50" t="s">
        <v>208</v>
      </c>
      <c r="C20" s="56" t="s">
        <v>205</v>
      </c>
      <c r="D20" s="35">
        <v>15911.98</v>
      </c>
      <c r="E20" s="35">
        <v>16103.1</v>
      </c>
      <c r="F20" s="35">
        <v>16283.17</v>
      </c>
      <c r="G20" s="35">
        <v>16242.09</v>
      </c>
      <c r="H20" s="35">
        <v>16286.92</v>
      </c>
      <c r="I20" s="35">
        <v>15813.83</v>
      </c>
      <c r="J20" s="35">
        <v>16125.45</v>
      </c>
      <c r="K20" s="35">
        <v>16174.5</v>
      </c>
      <c r="L20" s="35">
        <v>15885.98</v>
      </c>
      <c r="M20" s="55"/>
      <c r="N20" s="55"/>
      <c r="O20" s="55"/>
      <c r="P20" s="55"/>
      <c r="Q20" s="50">
        <f>IF((L21=""),"",MAX(D22:L22))</f>
        <v>8420.6160000000018</v>
      </c>
      <c r="R20" s="50">
        <f>IF(L21="","",MIN(D22:L22))</f>
        <v>7550.0160000000005</v>
      </c>
      <c r="S20" s="77">
        <f>IF((L22=""),"",AVERAGE(D22:L22))</f>
        <v>7908.3866666666681</v>
      </c>
      <c r="T20" s="77">
        <f>IF((L20=""),"",(Q20-R20)/(Q20+R20)*100)</f>
        <v>5.4512557799841685</v>
      </c>
      <c r="U20" s="50">
        <f>STDEV(D22:P22)</f>
        <v>304.62774836183257</v>
      </c>
      <c r="V20" s="273" t="str">
        <f>IF(L21="","",IF(T20&lt;7.3,IF(S20&gt;5700,IF(S20&lt;7200,"Pass","Fail"),"Fail"),"Fail"))</f>
        <v>Fail</v>
      </c>
      <c r="W20" s="50">
        <v>1159</v>
      </c>
      <c r="X20" s="255"/>
      <c r="Y20" s="123" t="s">
        <v>323</v>
      </c>
      <c r="Z20" s="37">
        <v>4955</v>
      </c>
      <c r="AA20" s="37">
        <v>9645</v>
      </c>
      <c r="AB20" s="37">
        <v>5100</v>
      </c>
      <c r="AC20" s="37">
        <v>8300</v>
      </c>
      <c r="AD20" s="69">
        <v>9.8000000000000007</v>
      </c>
      <c r="AE20" s="69">
        <v>10</v>
      </c>
    </row>
    <row r="21" spans="1:31" ht="12.75" customHeight="1" x14ac:dyDescent="0.25">
      <c r="A21" s="279"/>
      <c r="B21" s="47"/>
      <c r="C21" s="56" t="s">
        <v>204</v>
      </c>
      <c r="D21" s="35">
        <v>9260.85</v>
      </c>
      <c r="E21" s="35">
        <v>9758.73</v>
      </c>
      <c r="F21" s="35">
        <v>9991.49</v>
      </c>
      <c r="G21" s="35">
        <v>9695.2900000000009</v>
      </c>
      <c r="H21" s="35">
        <v>9269.74</v>
      </c>
      <c r="I21" s="35">
        <v>8891.15</v>
      </c>
      <c r="J21" s="35">
        <v>9657.94</v>
      </c>
      <c r="K21" s="35">
        <v>9791.32</v>
      </c>
      <c r="L21" s="35">
        <v>9197.61</v>
      </c>
      <c r="M21" s="55"/>
      <c r="N21" s="55"/>
      <c r="O21" s="55"/>
      <c r="P21" s="55"/>
      <c r="Q21" s="47"/>
      <c r="R21" s="47"/>
      <c r="S21" s="47"/>
      <c r="T21" s="47"/>
      <c r="U21" s="47"/>
      <c r="V21" s="274"/>
      <c r="W21" s="47"/>
      <c r="X21" s="255"/>
      <c r="Y21" s="123"/>
      <c r="Z21" s="35"/>
      <c r="AA21" s="35"/>
      <c r="AB21" s="35"/>
      <c r="AC21" s="35"/>
      <c r="AD21" s="35"/>
    </row>
    <row r="22" spans="1:31" ht="24.8" customHeight="1" thickBot="1" x14ac:dyDescent="0.3">
      <c r="A22" s="280"/>
      <c r="B22" s="42"/>
      <c r="C22" s="76" t="s">
        <v>203</v>
      </c>
      <c r="D22" s="84">
        <f t="shared" ref="D22:L22" si="3">IF(((D20="")*AND(D21="")),"",(D20-D21)*60/50)</f>
        <v>7981.3559999999989</v>
      </c>
      <c r="E22" s="84">
        <f t="shared" si="3"/>
        <v>7613.2440000000015</v>
      </c>
      <c r="F22" s="84">
        <f t="shared" si="3"/>
        <v>7550.0160000000005</v>
      </c>
      <c r="G22" s="84">
        <f t="shared" si="3"/>
        <v>7856.1599999999989</v>
      </c>
      <c r="H22" s="84">
        <f t="shared" si="3"/>
        <v>8420.6160000000018</v>
      </c>
      <c r="I22" s="84">
        <f t="shared" si="3"/>
        <v>8307.2160000000003</v>
      </c>
      <c r="J22" s="84">
        <f t="shared" si="3"/>
        <v>7761.0120000000006</v>
      </c>
      <c r="K22" s="84">
        <f t="shared" si="3"/>
        <v>7659.8160000000007</v>
      </c>
      <c r="L22" s="84">
        <f t="shared" si="3"/>
        <v>8026.043999999999</v>
      </c>
      <c r="M22" s="84"/>
      <c r="N22" s="84"/>
      <c r="O22" s="84"/>
      <c r="P22" s="84" t="str">
        <f>IF(((P20="")*AND(P21="")),"",(P20-P21)*2)</f>
        <v/>
      </c>
      <c r="Q22" s="42"/>
      <c r="R22" s="42"/>
      <c r="S22" s="42"/>
      <c r="T22" s="42"/>
      <c r="U22" s="80"/>
      <c r="V22" s="275"/>
      <c r="W22" s="42"/>
      <c r="X22" s="255"/>
      <c r="Y22" s="122"/>
      <c r="Z22" s="35"/>
      <c r="AA22" s="35"/>
      <c r="AB22" s="35"/>
      <c r="AC22" s="35"/>
      <c r="AD22" s="35"/>
    </row>
    <row r="23" spans="1:31" x14ac:dyDescent="0.25">
      <c r="A23" s="278">
        <v>42465</v>
      </c>
      <c r="B23" s="50" t="s">
        <v>208</v>
      </c>
      <c r="C23" s="56" t="s">
        <v>205</v>
      </c>
      <c r="D23" s="35">
        <v>6056.8</v>
      </c>
      <c r="E23" s="35">
        <v>6130.65</v>
      </c>
      <c r="F23" s="35">
        <v>6168.66</v>
      </c>
      <c r="G23" s="35">
        <v>6131.84</v>
      </c>
      <c r="H23" s="35">
        <v>6020.35</v>
      </c>
      <c r="I23" s="35">
        <v>6009.05</v>
      </c>
      <c r="J23" s="35">
        <v>6131.08</v>
      </c>
      <c r="K23" s="35">
        <v>6173.22</v>
      </c>
      <c r="L23" s="35">
        <v>6088.07</v>
      </c>
      <c r="M23" s="55"/>
      <c r="N23" s="55"/>
      <c r="O23" s="55"/>
      <c r="P23" s="55"/>
      <c r="Q23" s="50">
        <f>IF((L24=""),"",MAX(D25:L25))</f>
        <v>6817.68</v>
      </c>
      <c r="R23" s="50">
        <f>IF(L24="","",MIN(D25:L25))</f>
        <v>6477.0399999999991</v>
      </c>
      <c r="S23" s="77">
        <f>IF((L25=""),"",AVERAGE(D25:L25))</f>
        <v>6620.8355555555554</v>
      </c>
      <c r="T23" s="77">
        <f>IF((L15=""),"",(Q23-R23)/(Q23+R23)*100)</f>
        <v>2.5622201896692913</v>
      </c>
      <c r="U23" s="50">
        <f>STDEV(D25:P25)</f>
        <v>96.038807144705018</v>
      </c>
      <c r="V23" s="273" t="str">
        <f>IF(L24="","",IF(T23&lt;7.3,IF(S23&gt;5700,IF(S23&lt;7200,"Pass","Fail"),"Fail"),"Fail"))</f>
        <v>Pass</v>
      </c>
      <c r="W23" s="50">
        <v>1159</v>
      </c>
      <c r="X23" s="255"/>
      <c r="Y23" s="123"/>
      <c r="Z23" s="37">
        <v>4955</v>
      </c>
      <c r="AA23" s="37">
        <v>9645</v>
      </c>
      <c r="AB23" s="37">
        <v>5100</v>
      </c>
      <c r="AC23" s="37">
        <v>8300</v>
      </c>
      <c r="AD23" s="69">
        <v>9.8000000000000007</v>
      </c>
      <c r="AE23" s="69">
        <v>10</v>
      </c>
    </row>
    <row r="24" spans="1:31" ht="12.75" customHeight="1" x14ac:dyDescent="0.25">
      <c r="A24" s="279"/>
      <c r="B24" s="47"/>
      <c r="C24" s="56" t="s">
        <v>204</v>
      </c>
      <c r="D24" s="35">
        <v>2776.19</v>
      </c>
      <c r="E24" s="35">
        <v>2840.86</v>
      </c>
      <c r="F24" s="35">
        <v>2863.46</v>
      </c>
      <c r="G24" s="35">
        <v>2817.95</v>
      </c>
      <c r="H24" s="35">
        <v>2664.88</v>
      </c>
      <c r="I24" s="35">
        <v>2600.21</v>
      </c>
      <c r="J24" s="35">
        <v>2827.23</v>
      </c>
      <c r="K24" s="35">
        <v>2875.63</v>
      </c>
      <c r="L24" s="35">
        <v>2849.55</v>
      </c>
      <c r="M24" s="55"/>
      <c r="N24" s="55"/>
      <c r="O24" s="55"/>
      <c r="P24" s="55"/>
      <c r="Q24" s="47"/>
      <c r="R24" s="47"/>
      <c r="S24" s="47"/>
      <c r="T24" s="47"/>
      <c r="U24" s="47"/>
      <c r="V24" s="274"/>
      <c r="W24" s="47"/>
      <c r="X24" s="255"/>
      <c r="Y24" s="123"/>
      <c r="Z24" s="35"/>
      <c r="AA24" s="35"/>
      <c r="AB24" s="35"/>
      <c r="AC24" s="35"/>
      <c r="AD24" s="35"/>
    </row>
    <row r="25" spans="1:31" ht="24.8" customHeight="1" thickBot="1" x14ac:dyDescent="0.3">
      <c r="A25" s="280"/>
      <c r="B25" s="42"/>
      <c r="C25" s="76" t="s">
        <v>203</v>
      </c>
      <c r="D25" s="84">
        <f t="shared" ref="D25:L25" si="4">IF(((D23="")*AND(D24="")),"",(D23-D24)*2)</f>
        <v>6561.22</v>
      </c>
      <c r="E25" s="84">
        <f t="shared" si="4"/>
        <v>6579.579999999999</v>
      </c>
      <c r="F25" s="84">
        <f t="shared" si="4"/>
        <v>6610.4</v>
      </c>
      <c r="G25" s="84">
        <f t="shared" si="4"/>
        <v>6627.7800000000007</v>
      </c>
      <c r="H25" s="84">
        <f t="shared" si="4"/>
        <v>6710.9400000000005</v>
      </c>
      <c r="I25" s="84">
        <f t="shared" si="4"/>
        <v>6817.68</v>
      </c>
      <c r="J25" s="84">
        <f t="shared" si="4"/>
        <v>6607.7</v>
      </c>
      <c r="K25" s="84">
        <f t="shared" si="4"/>
        <v>6595.18</v>
      </c>
      <c r="L25" s="84">
        <f t="shared" si="4"/>
        <v>6477.0399999999991</v>
      </c>
      <c r="M25" s="84"/>
      <c r="N25" s="84"/>
      <c r="O25" s="84"/>
      <c r="P25" s="84" t="str">
        <f>IF(((P23="")*AND(P24="")),"",(P23-P24)*2)</f>
        <v/>
      </c>
      <c r="Q25" s="42"/>
      <c r="R25" s="42"/>
      <c r="S25" s="42"/>
      <c r="T25" s="42"/>
      <c r="U25" s="80"/>
      <c r="V25" s="275"/>
      <c r="W25" s="42"/>
      <c r="X25" s="255"/>
      <c r="Y25" s="122"/>
      <c r="Z25" s="35"/>
      <c r="AA25" s="35"/>
      <c r="AB25" s="35"/>
      <c r="AC25" s="35"/>
      <c r="AD25" s="35"/>
    </row>
    <row r="26" spans="1:31" x14ac:dyDescent="0.25">
      <c r="A26" s="278">
        <v>42526</v>
      </c>
      <c r="B26" s="50" t="s">
        <v>208</v>
      </c>
      <c r="C26" s="56" t="s">
        <v>205</v>
      </c>
      <c r="D26" s="35">
        <v>6095.62</v>
      </c>
      <c r="E26" s="35">
        <v>6194.3</v>
      </c>
      <c r="F26" s="35">
        <v>6230.65</v>
      </c>
      <c r="G26" s="35">
        <v>6198.03</v>
      </c>
      <c r="H26" s="35">
        <v>6060.9</v>
      </c>
      <c r="I26" s="35">
        <v>6045.36</v>
      </c>
      <c r="J26" s="35">
        <v>6194.19</v>
      </c>
      <c r="K26" s="35">
        <v>6238.81</v>
      </c>
      <c r="L26" s="35">
        <v>6163.81</v>
      </c>
      <c r="M26" s="55"/>
      <c r="N26" s="55"/>
      <c r="O26" s="55"/>
      <c r="P26" s="55"/>
      <c r="Q26" s="50">
        <f>IF((L27=""),"",MAX(D28:L28))</f>
        <v>7702.7200000000012</v>
      </c>
      <c r="R26" s="50">
        <f>IF(L27="","",MIN(D28:L28))</f>
        <v>7395.579999999999</v>
      </c>
      <c r="S26" s="77">
        <f>IF((L28=""),"",AVERAGE(D28:L28))</f>
        <v>7469.2866666666669</v>
      </c>
      <c r="T26" s="128">
        <f>IF((L27=""),"",(Q26-R26)/(Q26+R26)*100)</f>
        <v>2.0342687587344415</v>
      </c>
      <c r="U26" s="50">
        <f>STDEV(D28:P28)</f>
        <v>95.044119754985914</v>
      </c>
      <c r="V26" s="273" t="str">
        <f>IF(L27="","",IF(T26&lt;7.3,IF(S26&gt;5700,IF(S26&lt;7200,"Pass","Fail"),"Fail"),"Fail"))</f>
        <v>Fail</v>
      </c>
      <c r="W26" s="50">
        <v>1428</v>
      </c>
      <c r="X26" s="255"/>
      <c r="Y26" s="123" t="s">
        <v>323</v>
      </c>
      <c r="Z26" s="37">
        <v>4955</v>
      </c>
      <c r="AA26" s="37">
        <v>9645</v>
      </c>
      <c r="AB26" s="37">
        <v>5100</v>
      </c>
      <c r="AC26" s="37">
        <v>8300</v>
      </c>
      <c r="AD26" s="69">
        <v>9.8000000000000007</v>
      </c>
      <c r="AE26" s="69">
        <v>10</v>
      </c>
    </row>
    <row r="27" spans="1:31" ht="12.75" customHeight="1" x14ac:dyDescent="0.25">
      <c r="A27" s="279"/>
      <c r="B27" s="47"/>
      <c r="C27" s="56" t="s">
        <v>204</v>
      </c>
      <c r="D27" s="35">
        <v>2362.5700000000002</v>
      </c>
      <c r="E27" s="35">
        <v>2492.35</v>
      </c>
      <c r="F27" s="35">
        <v>2515.46</v>
      </c>
      <c r="G27" s="35">
        <v>2476.3200000000002</v>
      </c>
      <c r="H27" s="35">
        <v>2310.06</v>
      </c>
      <c r="I27" s="35">
        <v>2347.5700000000002</v>
      </c>
      <c r="J27" s="35">
        <v>2493.92</v>
      </c>
      <c r="K27" s="35">
        <v>2499.1799999999998</v>
      </c>
      <c r="L27" s="35">
        <v>2312.4499999999998</v>
      </c>
      <c r="M27" s="55"/>
      <c r="N27" s="55"/>
      <c r="O27" s="55"/>
      <c r="P27" s="55"/>
      <c r="Q27" s="47"/>
      <c r="R27" s="47"/>
      <c r="S27" s="47"/>
      <c r="T27" s="47"/>
      <c r="U27" s="47"/>
      <c r="V27" s="274"/>
      <c r="W27" s="47"/>
      <c r="X27" s="255"/>
      <c r="Y27" s="123"/>
      <c r="Z27" s="35"/>
      <c r="AA27" s="35"/>
      <c r="AB27" s="35"/>
      <c r="AC27" s="35"/>
      <c r="AD27" s="35"/>
    </row>
    <row r="28" spans="1:31" ht="24.8" customHeight="1" thickBot="1" x14ac:dyDescent="0.3">
      <c r="A28" s="280"/>
      <c r="B28" s="42"/>
      <c r="C28" s="76" t="s">
        <v>203</v>
      </c>
      <c r="D28" s="84">
        <f t="shared" ref="D28:L28" si="5">IF(((D26="")*AND(D27="")),"",(D26-D27)*2)</f>
        <v>7466.0999999999995</v>
      </c>
      <c r="E28" s="84">
        <f t="shared" si="5"/>
        <v>7403.9000000000005</v>
      </c>
      <c r="F28" s="84">
        <f t="shared" si="5"/>
        <v>7430.3799999999992</v>
      </c>
      <c r="G28" s="84">
        <f t="shared" si="5"/>
        <v>7443.4199999999992</v>
      </c>
      <c r="H28" s="84">
        <f t="shared" si="5"/>
        <v>7501.6799999999994</v>
      </c>
      <c r="I28" s="84">
        <f t="shared" si="5"/>
        <v>7395.579999999999</v>
      </c>
      <c r="J28" s="84">
        <f t="shared" si="5"/>
        <v>7400.5399999999991</v>
      </c>
      <c r="K28" s="84">
        <f t="shared" si="5"/>
        <v>7479.2600000000011</v>
      </c>
      <c r="L28" s="84">
        <f t="shared" si="5"/>
        <v>7702.7200000000012</v>
      </c>
      <c r="M28" s="84"/>
      <c r="N28" s="84"/>
      <c r="O28" s="84"/>
      <c r="P28" s="84" t="str">
        <f>IF(((P26="")*AND(P27="")),"",(P26-P27)*2)</f>
        <v/>
      </c>
      <c r="Q28" s="42"/>
      <c r="R28" s="42"/>
      <c r="S28" s="42"/>
      <c r="T28" s="42"/>
      <c r="U28" s="80"/>
      <c r="V28" s="275"/>
      <c r="W28" s="42"/>
      <c r="X28" s="255"/>
      <c r="Y28" s="122"/>
      <c r="Z28" s="35"/>
      <c r="AA28" s="35"/>
      <c r="AB28" s="35"/>
      <c r="AC28" s="35"/>
      <c r="AD28" s="35"/>
    </row>
    <row r="29" spans="1:31" x14ac:dyDescent="0.25">
      <c r="A29" s="278"/>
      <c r="B29" s="50" t="s">
        <v>208</v>
      </c>
      <c r="C29" s="56" t="s">
        <v>205</v>
      </c>
      <c r="D29" s="35">
        <v>5918.92</v>
      </c>
      <c r="E29" s="35">
        <v>5995.56</v>
      </c>
      <c r="F29" s="35">
        <v>6022.12</v>
      </c>
      <c r="G29" s="35">
        <v>5985.13</v>
      </c>
      <c r="H29" s="35">
        <v>5848.28</v>
      </c>
      <c r="I29" s="35">
        <v>5731.91</v>
      </c>
      <c r="J29" s="35">
        <v>6001.5</v>
      </c>
      <c r="K29" s="35">
        <v>6007.09</v>
      </c>
      <c r="L29" s="35">
        <v>5931.06</v>
      </c>
      <c r="M29" s="55"/>
      <c r="N29" s="55"/>
      <c r="O29" s="55"/>
      <c r="P29" s="55"/>
      <c r="Q29" s="50">
        <f>IF((L30=""),"",MAX(D31:L31))</f>
        <v>6931.86</v>
      </c>
      <c r="R29" s="50">
        <f>IF(L30="","",MIN(D31:L31))</f>
        <v>6666.38</v>
      </c>
      <c r="S29" s="77">
        <f>IF((L31=""),"",AVERAGE(D31:L31))</f>
        <v>6824.4111111111106</v>
      </c>
      <c r="T29" s="77">
        <f>IF((L21=""),"",(Q29-R29)/(Q29+R29)*100)</f>
        <v>1.9523114756027218</v>
      </c>
      <c r="U29" s="50">
        <f>STDEV(D31:P31)</f>
        <v>82.065844363602821</v>
      </c>
      <c r="V29" s="273" t="str">
        <f>IF(L30="","",IF(T29&lt;7.3,IF(S29&gt;5700,IF(S29&lt;7200,"Pass","Fail"),"Fail"),"Fail"))</f>
        <v>Pass</v>
      </c>
      <c r="W29" s="50"/>
      <c r="X29" s="255"/>
      <c r="Y29" s="123"/>
      <c r="Z29" s="37">
        <v>4955</v>
      </c>
      <c r="AA29" s="37">
        <v>9645</v>
      </c>
      <c r="AB29" s="37">
        <v>5100</v>
      </c>
      <c r="AC29" s="37">
        <v>8300</v>
      </c>
      <c r="AD29" s="69">
        <v>9.8000000000000007</v>
      </c>
      <c r="AE29" s="69">
        <v>10</v>
      </c>
    </row>
    <row r="30" spans="1:31" ht="12.75" customHeight="1" x14ac:dyDescent="0.25">
      <c r="A30" s="279"/>
      <c r="B30" s="47"/>
      <c r="C30" s="56" t="s">
        <v>204</v>
      </c>
      <c r="D30" s="35">
        <v>2486.0700000000002</v>
      </c>
      <c r="E30" s="35">
        <v>2598.37</v>
      </c>
      <c r="F30" s="35">
        <v>2651.7</v>
      </c>
      <c r="G30" s="35">
        <v>2562.52</v>
      </c>
      <c r="H30" s="35">
        <v>2382.35</v>
      </c>
      <c r="I30" s="35">
        <v>2284.5</v>
      </c>
      <c r="J30" s="35">
        <v>2566.06</v>
      </c>
      <c r="K30" s="35">
        <v>2673.9</v>
      </c>
      <c r="L30" s="35">
        <v>2526.25</v>
      </c>
      <c r="M30" s="55"/>
      <c r="N30" s="55"/>
      <c r="O30" s="55"/>
      <c r="P30" s="55"/>
      <c r="Q30" s="47"/>
      <c r="R30" s="47"/>
      <c r="S30" s="47"/>
      <c r="T30" s="47"/>
      <c r="U30" s="47"/>
      <c r="V30" s="274"/>
      <c r="W30" s="47"/>
      <c r="X30" s="255"/>
      <c r="Y30" s="123"/>
      <c r="Z30" s="35"/>
      <c r="AA30" s="35"/>
      <c r="AB30" s="35"/>
      <c r="AC30" s="35"/>
      <c r="AD30" s="35"/>
    </row>
    <row r="31" spans="1:31" ht="24.8" customHeight="1" thickBot="1" x14ac:dyDescent="0.3">
      <c r="A31" s="280"/>
      <c r="B31" s="42"/>
      <c r="C31" s="76" t="s">
        <v>203</v>
      </c>
      <c r="D31" s="84">
        <f t="shared" ref="D31:L31" si="6">IF(((D29="")*AND(D30="")),"",(D29-D30)*2)</f>
        <v>6865.7</v>
      </c>
      <c r="E31" s="84">
        <f t="shared" si="6"/>
        <v>6794.380000000001</v>
      </c>
      <c r="F31" s="84">
        <f t="shared" si="6"/>
        <v>6740.84</v>
      </c>
      <c r="G31" s="84">
        <f t="shared" si="6"/>
        <v>6845.22</v>
      </c>
      <c r="H31" s="84">
        <f t="shared" si="6"/>
        <v>6931.86</v>
      </c>
      <c r="I31" s="84">
        <f t="shared" si="6"/>
        <v>6894.82</v>
      </c>
      <c r="J31" s="84">
        <f t="shared" si="6"/>
        <v>6870.88</v>
      </c>
      <c r="K31" s="84">
        <f t="shared" si="6"/>
        <v>6666.38</v>
      </c>
      <c r="L31" s="84">
        <f t="shared" si="6"/>
        <v>6809.6200000000008</v>
      </c>
      <c r="M31" s="84"/>
      <c r="N31" s="84"/>
      <c r="O31" s="84"/>
      <c r="P31" s="84" t="str">
        <f>IF(((P29="")*AND(P30="")),"",(P29-P30)*2)</f>
        <v/>
      </c>
      <c r="Q31" s="42"/>
      <c r="R31" s="42"/>
      <c r="S31" s="42"/>
      <c r="T31" s="42"/>
      <c r="U31" s="80"/>
      <c r="V31" s="275"/>
      <c r="W31" s="42"/>
      <c r="X31" s="255"/>
      <c r="Y31" s="122"/>
      <c r="Z31" s="35"/>
      <c r="AA31" s="35"/>
      <c r="AB31" s="35"/>
      <c r="AC31" s="35"/>
      <c r="AD31" s="35"/>
    </row>
    <row r="32" spans="1:31" ht="12.75" customHeight="1" x14ac:dyDescent="0.25">
      <c r="A32" s="281">
        <v>42542</v>
      </c>
      <c r="B32" s="57" t="s">
        <v>206</v>
      </c>
      <c r="C32" s="61" t="s">
        <v>205</v>
      </c>
      <c r="D32" s="35">
        <v>6998.84</v>
      </c>
      <c r="E32" s="35">
        <v>6854.11</v>
      </c>
      <c r="F32" s="35">
        <v>6816.89</v>
      </c>
      <c r="G32" s="35">
        <v>6871.35</v>
      </c>
      <c r="H32" s="35">
        <v>7020.86</v>
      </c>
      <c r="I32" s="35">
        <v>6941.4</v>
      </c>
      <c r="J32" s="35">
        <v>6831.31</v>
      </c>
      <c r="K32" s="35">
        <v>6881.16</v>
      </c>
      <c r="L32" s="35">
        <v>7070.89</v>
      </c>
      <c r="M32" s="55"/>
      <c r="N32" s="55"/>
      <c r="O32" s="55"/>
      <c r="P32" s="55"/>
      <c r="Q32" s="50">
        <f>IF((L33=""),"",MAX(D34:P34))</f>
        <v>5208.2300000000005</v>
      </c>
      <c r="R32" s="125">
        <f>IF(L33="","",MIN(D34:L34))</f>
        <v>4900.7000000000007</v>
      </c>
      <c r="S32" s="53">
        <f>IF((L34=""),"",AVERAGE(D34:L34))</f>
        <v>5077.1844444444441</v>
      </c>
      <c r="T32" s="53">
        <f>IF((L33=""),"",(Q32-R32)/(Q32+R32)*100)</f>
        <v>3.0421617322505914</v>
      </c>
      <c r="U32" s="52">
        <f>STDEV(D34:L34)</f>
        <v>119.5191140687454</v>
      </c>
      <c r="V32" s="274" t="str">
        <f>IF(P33="","",IF(T32&lt;2.7,IF(S32&gt;5150,IF(S32&lt;5600,"Pass","Fail"),"Fail"),"Fail"))</f>
        <v/>
      </c>
      <c r="W32" s="57">
        <v>1400</v>
      </c>
      <c r="X32" s="255"/>
      <c r="Y32" s="124" t="s">
        <v>323</v>
      </c>
      <c r="Z32" s="71">
        <v>4470</v>
      </c>
      <c r="AA32" s="71">
        <v>6020</v>
      </c>
      <c r="AB32" s="71">
        <v>5150</v>
      </c>
      <c r="AC32" s="71">
        <v>5600</v>
      </c>
      <c r="AD32" s="70">
        <v>2.7</v>
      </c>
      <c r="AE32" s="69">
        <v>10</v>
      </c>
    </row>
    <row r="33" spans="1:31" ht="12.75" customHeight="1" x14ac:dyDescent="0.25">
      <c r="A33" s="279"/>
      <c r="B33" s="47"/>
      <c r="C33" s="56" t="s">
        <v>204</v>
      </c>
      <c r="D33" s="35">
        <v>2098.14</v>
      </c>
      <c r="E33" s="35">
        <v>1724.07</v>
      </c>
      <c r="F33" s="35">
        <v>1608.66</v>
      </c>
      <c r="G33" s="35">
        <v>1690.25</v>
      </c>
      <c r="H33" s="35">
        <v>2015.83</v>
      </c>
      <c r="I33" s="35">
        <v>1885.91</v>
      </c>
      <c r="J33" s="35">
        <v>1632.63</v>
      </c>
      <c r="K33" s="35">
        <v>1767.94</v>
      </c>
      <c r="L33" s="35">
        <v>2168.7199999999998</v>
      </c>
      <c r="M33" s="55"/>
      <c r="N33" s="55"/>
      <c r="O33" s="55"/>
      <c r="P33" s="55"/>
      <c r="Q33" s="47"/>
      <c r="R33" s="47"/>
      <c r="S33" s="47"/>
      <c r="T33" s="47"/>
      <c r="U33" s="47"/>
      <c r="V33" s="274"/>
      <c r="W33" s="47"/>
      <c r="X33" s="255"/>
      <c r="Y33" s="123"/>
      <c r="Z33" s="35"/>
      <c r="AA33" s="35"/>
      <c r="AB33" s="35"/>
      <c r="AC33" s="35"/>
      <c r="AD33" s="35"/>
    </row>
    <row r="34" spans="1:31" ht="24.8" customHeight="1" thickBot="1" x14ac:dyDescent="0.3">
      <c r="A34" s="282"/>
      <c r="B34" s="80"/>
      <c r="C34" s="56" t="s">
        <v>203</v>
      </c>
      <c r="D34" s="97">
        <f t="shared" ref="D34:P34" si="7">IF(((D32="")*AND(D33="")),"",(D32-D33))</f>
        <v>4900.7000000000007</v>
      </c>
      <c r="E34" s="97">
        <f t="shared" si="7"/>
        <v>5130.04</v>
      </c>
      <c r="F34" s="97">
        <f t="shared" si="7"/>
        <v>5208.2300000000005</v>
      </c>
      <c r="G34" s="97">
        <f t="shared" si="7"/>
        <v>5181.1000000000004</v>
      </c>
      <c r="H34" s="97">
        <f t="shared" si="7"/>
        <v>5005.03</v>
      </c>
      <c r="I34" s="97">
        <f t="shared" si="7"/>
        <v>5055.49</v>
      </c>
      <c r="J34" s="97">
        <f t="shared" si="7"/>
        <v>5198.68</v>
      </c>
      <c r="K34" s="97">
        <f t="shared" si="7"/>
        <v>5113.2199999999993</v>
      </c>
      <c r="L34" s="97">
        <f t="shared" si="7"/>
        <v>4902.17</v>
      </c>
      <c r="M34" s="97" t="str">
        <f t="shared" si="7"/>
        <v/>
      </c>
      <c r="N34" s="97" t="str">
        <f t="shared" si="7"/>
        <v/>
      </c>
      <c r="O34" s="97" t="str">
        <f t="shared" si="7"/>
        <v/>
      </c>
      <c r="P34" s="97" t="str">
        <f t="shared" si="7"/>
        <v/>
      </c>
      <c r="Q34" s="80"/>
      <c r="R34" s="80"/>
      <c r="S34" s="80"/>
      <c r="T34" s="80"/>
      <c r="U34" s="80"/>
      <c r="V34" s="277"/>
      <c r="W34" s="80"/>
      <c r="X34" s="255"/>
      <c r="Y34" s="123"/>
      <c r="Z34" s="35"/>
      <c r="AA34" s="35"/>
      <c r="AB34" s="35"/>
      <c r="AC34" s="35"/>
      <c r="AD34" s="35"/>
    </row>
    <row r="35" spans="1:31" x14ac:dyDescent="0.25">
      <c r="A35" s="281">
        <v>42542</v>
      </c>
      <c r="B35" s="50" t="s">
        <v>208</v>
      </c>
      <c r="C35" s="56" t="s">
        <v>205</v>
      </c>
      <c r="D35" s="35">
        <v>5907.57</v>
      </c>
      <c r="E35" s="35">
        <v>5997.16</v>
      </c>
      <c r="F35" s="35">
        <v>6022.26</v>
      </c>
      <c r="G35" s="35">
        <v>5986.19</v>
      </c>
      <c r="H35" s="35">
        <v>5840.85</v>
      </c>
      <c r="I35" s="35">
        <v>5716.51</v>
      </c>
      <c r="J35" s="35">
        <v>6008.16</v>
      </c>
      <c r="K35" s="35">
        <v>6012.94</v>
      </c>
      <c r="L35" s="35">
        <v>5937.14</v>
      </c>
      <c r="M35" s="55"/>
      <c r="N35" s="55"/>
      <c r="O35" s="55"/>
      <c r="P35" s="55"/>
      <c r="Q35" s="50">
        <f>IF((L36=""),"",MAX(D37:L37))</f>
        <v>6801.7600000000011</v>
      </c>
      <c r="R35" s="50">
        <f>IF(L36="","",MIN(D37:L37))</f>
        <v>6533.48</v>
      </c>
      <c r="S35" s="77">
        <f>IF((L37=""),"",AVERAGE(D37:L37))</f>
        <v>6666.8999999999987</v>
      </c>
      <c r="T35" s="127">
        <f>IF((L24=""),"",(Q35-R35)/(Q35+R35)*100)</f>
        <v>2.0118123108395611</v>
      </c>
      <c r="U35" s="50">
        <f>STDEV(D37:P37)</f>
        <v>84.423983559176079</v>
      </c>
      <c r="V35" s="273" t="str">
        <f>IF(L36="","",IF(T35&lt;7.3,IF(S35&gt;5700,IF(S35&lt;7200,"Pass","Fail"),"Fail"),"Fail"))</f>
        <v>Pass</v>
      </c>
      <c r="W35" s="57">
        <v>1400</v>
      </c>
      <c r="X35" s="255"/>
      <c r="Y35" s="123"/>
      <c r="Z35" s="37">
        <v>4955</v>
      </c>
      <c r="AA35" s="37">
        <v>9645</v>
      </c>
      <c r="AB35" s="37">
        <v>5100</v>
      </c>
      <c r="AC35" s="37">
        <v>8300</v>
      </c>
      <c r="AD35" s="69">
        <v>9.8000000000000007</v>
      </c>
      <c r="AE35" s="69">
        <v>10</v>
      </c>
    </row>
    <row r="36" spans="1:31" ht="12.75" customHeight="1" x14ac:dyDescent="0.25">
      <c r="A36" s="279"/>
      <c r="B36" s="47"/>
      <c r="C36" s="56" t="s">
        <v>204</v>
      </c>
      <c r="D36" s="35">
        <v>2546.31</v>
      </c>
      <c r="E36" s="35">
        <v>2687.7</v>
      </c>
      <c r="F36" s="35">
        <v>2728.08</v>
      </c>
      <c r="G36" s="35">
        <v>2641.69</v>
      </c>
      <c r="H36" s="35">
        <v>2439.9699999999998</v>
      </c>
      <c r="I36" s="35">
        <v>2345.87</v>
      </c>
      <c r="J36" s="35">
        <v>2661.84</v>
      </c>
      <c r="K36" s="35">
        <v>2746.2</v>
      </c>
      <c r="L36" s="35">
        <v>2630.07</v>
      </c>
      <c r="M36" s="55"/>
      <c r="N36" s="55"/>
      <c r="O36" s="55"/>
      <c r="P36" s="55"/>
      <c r="Q36" s="47"/>
      <c r="R36" s="47"/>
      <c r="S36" s="47"/>
      <c r="T36" s="47"/>
      <c r="U36" s="47"/>
      <c r="V36" s="274"/>
      <c r="W36" s="47"/>
      <c r="X36" s="255"/>
      <c r="Y36" s="123"/>
      <c r="Z36" s="35"/>
      <c r="AA36" s="35"/>
      <c r="AB36" s="35"/>
      <c r="AC36" s="35"/>
      <c r="AD36" s="35"/>
    </row>
    <row r="37" spans="1:31" ht="24.8" customHeight="1" thickBot="1" x14ac:dyDescent="0.3">
      <c r="A37" s="280"/>
      <c r="B37" s="42"/>
      <c r="C37" s="76" t="s">
        <v>203</v>
      </c>
      <c r="D37" s="84">
        <f t="shared" ref="D37:L37" si="8">IF(((D35="")*AND(D36="")),"",(D35-D36)*2)</f>
        <v>6722.5199999999995</v>
      </c>
      <c r="E37" s="84">
        <f t="shared" si="8"/>
        <v>6618.92</v>
      </c>
      <c r="F37" s="84">
        <f t="shared" si="8"/>
        <v>6588.3600000000006</v>
      </c>
      <c r="G37" s="84">
        <f t="shared" si="8"/>
        <v>6688.9999999999991</v>
      </c>
      <c r="H37" s="84">
        <f t="shared" si="8"/>
        <v>6801.7600000000011</v>
      </c>
      <c r="I37" s="84">
        <f t="shared" si="8"/>
        <v>6741.2800000000007</v>
      </c>
      <c r="J37" s="84">
        <f t="shared" si="8"/>
        <v>6692.6399999999994</v>
      </c>
      <c r="K37" s="84">
        <f t="shared" si="8"/>
        <v>6533.48</v>
      </c>
      <c r="L37" s="84">
        <f t="shared" si="8"/>
        <v>6614.14</v>
      </c>
      <c r="M37" s="84"/>
      <c r="N37" s="84"/>
      <c r="O37" s="84"/>
      <c r="P37" s="84" t="str">
        <f>IF(((P35="")*AND(P36="")),"",(P35-P36)*2)</f>
        <v/>
      </c>
      <c r="Q37" s="42"/>
      <c r="R37" s="42"/>
      <c r="S37" s="42"/>
      <c r="T37" s="42"/>
      <c r="U37" s="80"/>
      <c r="V37" s="275"/>
      <c r="W37" s="42"/>
      <c r="X37" s="255"/>
      <c r="Y37" s="122"/>
      <c r="Z37" s="35"/>
      <c r="AA37" s="35"/>
      <c r="AB37" s="35"/>
      <c r="AC37" s="35"/>
      <c r="AD37" s="35"/>
    </row>
    <row r="38" spans="1:31" ht="12.75" customHeight="1" x14ac:dyDescent="0.25">
      <c r="A38" s="281">
        <v>42545</v>
      </c>
      <c r="B38" s="57" t="s">
        <v>206</v>
      </c>
      <c r="C38" s="61" t="s">
        <v>205</v>
      </c>
      <c r="D38" s="35">
        <v>7003.73</v>
      </c>
      <c r="E38" s="35">
        <v>6844.69</v>
      </c>
      <c r="F38" s="35">
        <v>6795.33</v>
      </c>
      <c r="G38" s="35">
        <v>6842.84</v>
      </c>
      <c r="H38" s="35">
        <v>7005.44</v>
      </c>
      <c r="I38" s="35">
        <v>7038.72</v>
      </c>
      <c r="J38" s="35">
        <v>6856.31</v>
      </c>
      <c r="K38" s="35">
        <v>6819.4</v>
      </c>
      <c r="L38" s="35">
        <v>6951.9</v>
      </c>
      <c r="M38" s="55"/>
      <c r="N38" s="55"/>
      <c r="O38" s="55"/>
      <c r="P38" s="55"/>
      <c r="Q38" s="50">
        <f>IF((L39=""),"",MAX(D40:P40))</f>
        <v>5198.4399999999996</v>
      </c>
      <c r="R38" s="125">
        <f>IF(L39="","",MIN(D40:L40))</f>
        <v>4935.4299999999994</v>
      </c>
      <c r="S38" s="53">
        <f>IF((L40=""),"",AVERAGE(D40:L40))</f>
        <v>5082.7222222222226</v>
      </c>
      <c r="T38" s="53">
        <f>IF((L39=""),"",(Q38-R38)/(Q38+R38)*100)</f>
        <v>2.5953559696345052</v>
      </c>
      <c r="U38" s="52">
        <f>STDEV(D40:L40)</f>
        <v>101.53072771060233</v>
      </c>
      <c r="V38" s="273" t="str">
        <f>IF(L39="","",IF(T38&lt;7.3,IF(S38&gt;5700,IF(S38&lt;7200,"Pass","Fail"),"Fail"),"Fail"))</f>
        <v>Fail</v>
      </c>
      <c r="W38" s="57">
        <v>1335</v>
      </c>
      <c r="X38" s="255"/>
      <c r="Y38" s="124" t="s">
        <v>323</v>
      </c>
      <c r="Z38" s="71">
        <v>4470</v>
      </c>
      <c r="AA38" s="71">
        <v>6020</v>
      </c>
      <c r="AB38" s="71">
        <v>5150</v>
      </c>
      <c r="AC38" s="71">
        <v>5600</v>
      </c>
      <c r="AD38" s="70">
        <v>2.7</v>
      </c>
      <c r="AE38" s="69">
        <v>10</v>
      </c>
    </row>
    <row r="39" spans="1:31" ht="12.75" customHeight="1" x14ac:dyDescent="0.25">
      <c r="A39" s="279"/>
      <c r="B39" s="47"/>
      <c r="C39" s="56" t="s">
        <v>204</v>
      </c>
      <c r="D39" s="35">
        <v>2068.3000000000002</v>
      </c>
      <c r="E39" s="35">
        <v>1712.58</v>
      </c>
      <c r="F39" s="35">
        <v>1596.89</v>
      </c>
      <c r="G39" s="35">
        <v>1667.93</v>
      </c>
      <c r="H39" s="35">
        <v>1989.57</v>
      </c>
      <c r="I39" s="35">
        <v>2005.45</v>
      </c>
      <c r="J39" s="35">
        <v>1674.87</v>
      </c>
      <c r="K39" s="35">
        <v>1694.81</v>
      </c>
      <c r="L39" s="35">
        <v>2003.46</v>
      </c>
      <c r="M39" s="55"/>
      <c r="N39" s="55"/>
      <c r="O39" s="55"/>
      <c r="P39" s="55"/>
      <c r="Q39" s="47"/>
      <c r="R39" s="47"/>
      <c r="S39" s="47"/>
      <c r="T39" s="47"/>
      <c r="U39" s="47"/>
      <c r="V39" s="274"/>
      <c r="W39" s="47"/>
      <c r="X39" s="255"/>
      <c r="Y39" s="123"/>
      <c r="Z39" s="35"/>
      <c r="AA39" s="35"/>
      <c r="AB39" s="35"/>
      <c r="AC39" s="35"/>
      <c r="AD39" s="35"/>
    </row>
    <row r="40" spans="1:31" ht="24.8" customHeight="1" thickBot="1" x14ac:dyDescent="0.3">
      <c r="A40" s="282"/>
      <c r="B40" s="80"/>
      <c r="C40" s="56" t="s">
        <v>203</v>
      </c>
      <c r="D40" s="97">
        <f t="shared" ref="D40:P40" si="9">IF(((D38="")*AND(D39="")),"",(D38-D39))</f>
        <v>4935.4299999999994</v>
      </c>
      <c r="E40" s="97">
        <f t="shared" si="9"/>
        <v>5132.1099999999997</v>
      </c>
      <c r="F40" s="97">
        <f t="shared" si="9"/>
        <v>5198.4399999999996</v>
      </c>
      <c r="G40" s="97">
        <f t="shared" si="9"/>
        <v>5174.91</v>
      </c>
      <c r="H40" s="97">
        <f t="shared" si="9"/>
        <v>5015.87</v>
      </c>
      <c r="I40" s="97">
        <f t="shared" si="9"/>
        <v>5033.2700000000004</v>
      </c>
      <c r="J40" s="97">
        <f t="shared" si="9"/>
        <v>5181.4400000000005</v>
      </c>
      <c r="K40" s="97">
        <f t="shared" si="9"/>
        <v>5124.59</v>
      </c>
      <c r="L40" s="97">
        <f t="shared" si="9"/>
        <v>4948.4399999999996</v>
      </c>
      <c r="M40" s="97" t="str">
        <f t="shared" si="9"/>
        <v/>
      </c>
      <c r="N40" s="97" t="str">
        <f t="shared" si="9"/>
        <v/>
      </c>
      <c r="O40" s="97" t="str">
        <f t="shared" si="9"/>
        <v/>
      </c>
      <c r="P40" s="97" t="str">
        <f t="shared" si="9"/>
        <v/>
      </c>
      <c r="Q40" s="80"/>
      <c r="R40" s="80"/>
      <c r="S40" s="80"/>
      <c r="T40" s="80"/>
      <c r="U40" s="80"/>
      <c r="V40" s="277"/>
      <c r="W40" s="80"/>
      <c r="X40" s="255"/>
      <c r="Y40" s="123"/>
      <c r="Z40" s="35"/>
      <c r="AA40" s="35"/>
      <c r="AB40" s="35"/>
      <c r="AC40" s="35"/>
      <c r="AD40" s="35"/>
    </row>
    <row r="41" spans="1:31" x14ac:dyDescent="0.25">
      <c r="A41" s="281">
        <v>42545</v>
      </c>
      <c r="B41" s="50" t="s">
        <v>208</v>
      </c>
      <c r="C41" s="56" t="s">
        <v>205</v>
      </c>
      <c r="D41" s="35">
        <v>5894.64</v>
      </c>
      <c r="E41" s="35">
        <v>5995.11</v>
      </c>
      <c r="F41" s="35">
        <v>6019.35</v>
      </c>
      <c r="G41" s="35">
        <v>5976.02</v>
      </c>
      <c r="H41" s="35">
        <v>5833.78</v>
      </c>
      <c r="I41" s="35">
        <v>5724.86</v>
      </c>
      <c r="J41" s="35">
        <v>6000.33</v>
      </c>
      <c r="K41" s="35">
        <v>6007.87</v>
      </c>
      <c r="L41" s="35">
        <v>5935.58</v>
      </c>
      <c r="M41" s="55"/>
      <c r="N41" s="55"/>
      <c r="O41" s="55"/>
      <c r="P41" s="55"/>
      <c r="Q41" s="50">
        <f>IF((L42=""),"",MAX(D43:L43))</f>
        <v>6797.8799999999992</v>
      </c>
      <c r="R41" s="50">
        <f>IF(L42="","",MIN(D43:L43))</f>
        <v>6616.96</v>
      </c>
      <c r="S41" s="77">
        <f>IF((L43=""),"",AVERAGE(D43:L43))</f>
        <v>6697.5533333333333</v>
      </c>
      <c r="T41" s="53">
        <f>IF((L42=""),"",(Q41-R41)/(Q41+R41)*100)</f>
        <v>1.348655667902108</v>
      </c>
      <c r="U41" s="50">
        <f>STDEV(D43:P43)</f>
        <v>62.551163858076968</v>
      </c>
      <c r="V41" s="273" t="str">
        <f>IF(L42="","",IF(T41&lt;7.3,IF(S41&gt;5700,IF(S41&lt;7200,"Pass","Fail"),"Fail"),"Fail"))</f>
        <v>Pass</v>
      </c>
      <c r="W41" s="57">
        <v>1335</v>
      </c>
      <c r="X41" s="255"/>
      <c r="Y41" s="123"/>
      <c r="Z41" s="37">
        <v>4955</v>
      </c>
      <c r="AA41" s="37">
        <v>9645</v>
      </c>
      <c r="AB41" s="37">
        <v>5100</v>
      </c>
      <c r="AC41" s="37">
        <v>8300</v>
      </c>
      <c r="AD41" s="69">
        <v>9.8000000000000007</v>
      </c>
      <c r="AE41" s="69">
        <v>10</v>
      </c>
    </row>
    <row r="42" spans="1:31" ht="12.75" customHeight="1" x14ac:dyDescent="0.25">
      <c r="A42" s="279"/>
      <c r="B42" s="47"/>
      <c r="C42" s="56" t="s">
        <v>204</v>
      </c>
      <c r="D42" s="35">
        <v>2520.9499999999998</v>
      </c>
      <c r="E42" s="35">
        <v>2672.39</v>
      </c>
      <c r="F42" s="35">
        <v>2701.59</v>
      </c>
      <c r="G42" s="35">
        <v>2621.66</v>
      </c>
      <c r="H42" s="35">
        <v>2434.84</v>
      </c>
      <c r="I42" s="35">
        <v>2394.12</v>
      </c>
      <c r="J42" s="35">
        <v>2649.4</v>
      </c>
      <c r="K42" s="35">
        <v>2699.39</v>
      </c>
      <c r="L42" s="35">
        <v>2554.21</v>
      </c>
      <c r="M42" s="55"/>
      <c r="N42" s="55"/>
      <c r="O42" s="55"/>
      <c r="P42" s="55"/>
      <c r="Q42" s="47"/>
      <c r="R42" s="47"/>
      <c r="S42" s="47"/>
      <c r="T42" s="47"/>
      <c r="U42" s="47"/>
      <c r="V42" s="274"/>
      <c r="W42" s="47"/>
      <c r="X42" s="255"/>
      <c r="Y42" s="123"/>
      <c r="Z42" s="35"/>
      <c r="AA42" s="35"/>
      <c r="AB42" s="35"/>
      <c r="AC42" s="35"/>
      <c r="AD42" s="35"/>
    </row>
    <row r="43" spans="1:31" ht="24.8" customHeight="1" thickBot="1" x14ac:dyDescent="0.3">
      <c r="A43" s="280"/>
      <c r="B43" s="42"/>
      <c r="C43" s="76" t="s">
        <v>203</v>
      </c>
      <c r="D43" s="84">
        <f t="shared" ref="D43:L43" si="10">IF(((D41="")*AND(D42="")),"",(D41-D42)*2)</f>
        <v>6747.380000000001</v>
      </c>
      <c r="E43" s="84">
        <f t="shared" si="10"/>
        <v>6645.44</v>
      </c>
      <c r="F43" s="84">
        <f t="shared" si="10"/>
        <v>6635.52</v>
      </c>
      <c r="G43" s="84">
        <f t="shared" si="10"/>
        <v>6708.7200000000012</v>
      </c>
      <c r="H43" s="84">
        <f t="shared" si="10"/>
        <v>6797.8799999999992</v>
      </c>
      <c r="I43" s="84">
        <f t="shared" si="10"/>
        <v>6661.48</v>
      </c>
      <c r="J43" s="84">
        <f t="shared" si="10"/>
        <v>6701.86</v>
      </c>
      <c r="K43" s="84">
        <f t="shared" si="10"/>
        <v>6616.96</v>
      </c>
      <c r="L43" s="84">
        <f t="shared" si="10"/>
        <v>6762.74</v>
      </c>
      <c r="M43" s="84"/>
      <c r="N43" s="84"/>
      <c r="O43" s="84"/>
      <c r="P43" s="84" t="str">
        <f>IF(((P41="")*AND(P42="")),"",(P41-P42)*2)</f>
        <v/>
      </c>
      <c r="Q43" s="42"/>
      <c r="R43" s="42"/>
      <c r="S43" s="42"/>
      <c r="T43" s="42"/>
      <c r="U43" s="80"/>
      <c r="V43" s="275"/>
      <c r="W43" s="42"/>
      <c r="X43" s="255"/>
      <c r="Y43" s="122"/>
      <c r="Z43" s="35"/>
      <c r="AA43" s="35"/>
      <c r="AB43" s="35"/>
      <c r="AC43" s="35"/>
      <c r="AD43" s="35"/>
    </row>
    <row r="44" spans="1:31" ht="12.75" customHeight="1" x14ac:dyDescent="0.25">
      <c r="A44" s="281">
        <v>42555</v>
      </c>
      <c r="B44" s="57" t="s">
        <v>206</v>
      </c>
      <c r="C44" s="61" t="s">
        <v>205</v>
      </c>
      <c r="D44" s="35">
        <v>7082.78</v>
      </c>
      <c r="E44" s="35">
        <v>6932.11</v>
      </c>
      <c r="F44" s="35">
        <v>7003.15</v>
      </c>
      <c r="G44" s="35">
        <v>7039.46</v>
      </c>
      <c r="H44" s="35">
        <v>7314.77</v>
      </c>
      <c r="I44" s="35">
        <v>7199.73</v>
      </c>
      <c r="J44" s="35">
        <v>7002.56</v>
      </c>
      <c r="K44" s="35">
        <v>7055.15</v>
      </c>
      <c r="L44" s="35">
        <v>7358.51</v>
      </c>
      <c r="M44" s="55"/>
      <c r="N44" s="55"/>
      <c r="O44" s="55"/>
      <c r="P44" s="55"/>
      <c r="Q44" s="50">
        <f>IF((L45=""),"",MAX(D46:P46))</f>
        <v>5062.2699999999995</v>
      </c>
      <c r="R44" s="125">
        <f>IF(L45="","",MIN(D46:L46))</f>
        <v>4802.99</v>
      </c>
      <c r="S44" s="53">
        <f>IF((L46=""),"",AVERAGE(D46:L46))</f>
        <v>4954.2311111111103</v>
      </c>
      <c r="T44" s="53">
        <f>IF((L45=""),"",(Q44-R44)/(Q44+R44)*100)</f>
        <v>2.6282125357061021</v>
      </c>
      <c r="U44" s="52">
        <f>STDEV(D46:L46)</f>
        <v>103.16979226552264</v>
      </c>
      <c r="V44" s="276" t="str">
        <f>IF(P45="","",IF(T44&lt;2.7,IF(S44&gt;5150,IF(S44&lt;5600,"Pass","Fail"),"Fail"),"Fail"))</f>
        <v/>
      </c>
      <c r="W44" s="57">
        <v>1400</v>
      </c>
      <c r="X44" s="255"/>
      <c r="Y44" s="124" t="s">
        <v>323</v>
      </c>
      <c r="Z44" s="71">
        <v>4470</v>
      </c>
      <c r="AA44" s="71">
        <v>6020</v>
      </c>
      <c r="AB44" s="71">
        <v>5150</v>
      </c>
      <c r="AC44" s="71">
        <v>5600</v>
      </c>
      <c r="AD44" s="70">
        <v>2.7</v>
      </c>
      <c r="AE44" s="69">
        <v>10</v>
      </c>
    </row>
    <row r="45" spans="1:31" ht="12.75" customHeight="1" x14ac:dyDescent="0.25">
      <c r="A45" s="279"/>
      <c r="B45" s="47"/>
      <c r="C45" s="56" t="s">
        <v>204</v>
      </c>
      <c r="D45" s="35">
        <v>2279.79</v>
      </c>
      <c r="E45" s="35">
        <v>1929.98</v>
      </c>
      <c r="F45" s="35">
        <v>1940.88</v>
      </c>
      <c r="G45" s="35">
        <v>1982.75</v>
      </c>
      <c r="H45" s="35">
        <v>2422.98</v>
      </c>
      <c r="I45" s="35">
        <v>2298.71</v>
      </c>
      <c r="J45" s="35">
        <v>1942.16</v>
      </c>
      <c r="K45" s="35">
        <v>2063.06</v>
      </c>
      <c r="L45" s="35">
        <v>2539.83</v>
      </c>
      <c r="M45" s="55"/>
      <c r="N45" s="55"/>
      <c r="O45" s="55"/>
      <c r="P45" s="55"/>
      <c r="Q45" s="47"/>
      <c r="R45" s="47"/>
      <c r="S45" s="47"/>
      <c r="T45" s="47"/>
      <c r="U45" s="47"/>
      <c r="V45" s="274"/>
      <c r="W45" s="47"/>
      <c r="X45" s="255"/>
      <c r="Y45" s="123"/>
      <c r="Z45" s="35"/>
      <c r="AA45" s="35"/>
      <c r="AB45" s="35"/>
      <c r="AC45" s="35"/>
      <c r="AD45" s="35"/>
    </row>
    <row r="46" spans="1:31" ht="24.8" customHeight="1" thickBot="1" x14ac:dyDescent="0.3">
      <c r="A46" s="282"/>
      <c r="B46" s="80"/>
      <c r="C46" s="56" t="s">
        <v>203</v>
      </c>
      <c r="D46" s="97">
        <f t="shared" ref="D46:P46" si="11">IF(((D44="")*AND(D45="")),"",(D44-D45))</f>
        <v>4802.99</v>
      </c>
      <c r="E46" s="97">
        <f t="shared" si="11"/>
        <v>5002.1299999999992</v>
      </c>
      <c r="F46" s="97">
        <f t="shared" si="11"/>
        <v>5062.2699999999995</v>
      </c>
      <c r="G46" s="97">
        <f t="shared" si="11"/>
        <v>5056.71</v>
      </c>
      <c r="H46" s="97">
        <f t="shared" si="11"/>
        <v>4891.7900000000009</v>
      </c>
      <c r="I46" s="97">
        <f t="shared" si="11"/>
        <v>4901.0199999999995</v>
      </c>
      <c r="J46" s="97">
        <f t="shared" si="11"/>
        <v>5060.4000000000005</v>
      </c>
      <c r="K46" s="97">
        <f t="shared" si="11"/>
        <v>4992.09</v>
      </c>
      <c r="L46" s="97">
        <f t="shared" si="11"/>
        <v>4818.68</v>
      </c>
      <c r="M46" s="97" t="str">
        <f t="shared" si="11"/>
        <v/>
      </c>
      <c r="N46" s="97" t="str">
        <f t="shared" si="11"/>
        <v/>
      </c>
      <c r="O46" s="97" t="str">
        <f t="shared" si="11"/>
        <v/>
      </c>
      <c r="P46" s="97" t="str">
        <f t="shared" si="11"/>
        <v/>
      </c>
      <c r="Q46" s="80"/>
      <c r="R46" s="80"/>
      <c r="S46" s="80"/>
      <c r="T46" s="80"/>
      <c r="U46" s="80"/>
      <c r="V46" s="277"/>
      <c r="W46" s="80"/>
      <c r="X46" s="255"/>
      <c r="Y46" s="123"/>
      <c r="Z46" s="35"/>
      <c r="AA46" s="35"/>
      <c r="AB46" s="35"/>
      <c r="AC46" s="35"/>
      <c r="AD46" s="35"/>
    </row>
    <row r="47" spans="1:31" x14ac:dyDescent="0.25">
      <c r="A47" s="281">
        <v>42555</v>
      </c>
      <c r="B47" s="50" t="s">
        <v>208</v>
      </c>
      <c r="C47" s="56" t="s">
        <v>205</v>
      </c>
      <c r="D47" s="35">
        <v>6004.45</v>
      </c>
      <c r="E47" s="35">
        <v>6214.71</v>
      </c>
      <c r="F47" s="35">
        <v>6284.34</v>
      </c>
      <c r="G47" s="35">
        <v>6215.69</v>
      </c>
      <c r="H47" s="35">
        <v>5968.92</v>
      </c>
      <c r="I47" s="35">
        <v>6187.83</v>
      </c>
      <c r="J47" s="35">
        <v>6249.03</v>
      </c>
      <c r="K47" s="35">
        <v>6190.06</v>
      </c>
      <c r="L47" s="35">
        <v>5987.94</v>
      </c>
      <c r="M47" s="55"/>
      <c r="N47" s="55"/>
      <c r="O47" s="55"/>
      <c r="P47" s="55"/>
      <c r="Q47" s="50">
        <f>IF((L48=""),"",MAX(D49:L49))</f>
        <v>11691.06</v>
      </c>
      <c r="R47" s="50">
        <f>IF(L48="","",MIN(D49:L49))</f>
        <v>6681.8199999999988</v>
      </c>
      <c r="S47" s="77">
        <f>IF((L49=""),"",AVERAGE(D49:L49))</f>
        <v>10733.031111111111</v>
      </c>
      <c r="T47" s="53">
        <f>IF((L48=""),"",(Q47-R47)/(Q47+R47)*100)</f>
        <v>27.264315665263155</v>
      </c>
      <c r="U47" s="50">
        <f>STDEV(D49:P49)</f>
        <v>1583.8454163241802</v>
      </c>
      <c r="V47" s="273" t="str">
        <f>IF(L48="","",IF(T47&lt;7.3,IF(S47&gt;5700,IF(S47&lt;7200,"Pass","Fail"),"Fail"),"Fail"))</f>
        <v>Fail</v>
      </c>
      <c r="W47" s="57">
        <v>1400</v>
      </c>
      <c r="X47" s="255"/>
      <c r="Y47" s="123" t="s">
        <v>323</v>
      </c>
      <c r="Z47" s="37">
        <v>4955</v>
      </c>
      <c r="AA47" s="37">
        <v>9645</v>
      </c>
      <c r="AB47" s="37">
        <v>5100</v>
      </c>
      <c r="AC47" s="37">
        <v>8300</v>
      </c>
      <c r="AD47" s="69">
        <v>9.8000000000000007</v>
      </c>
      <c r="AE47" s="69">
        <v>10</v>
      </c>
    </row>
    <row r="48" spans="1:31" ht="12.75" customHeight="1" x14ac:dyDescent="0.25">
      <c r="A48" s="279"/>
      <c r="B48" s="47"/>
      <c r="C48" s="56" t="s">
        <v>204</v>
      </c>
      <c r="D48" s="35">
        <v>790.13</v>
      </c>
      <c r="E48" s="35">
        <v>443.79</v>
      </c>
      <c r="F48" s="35">
        <v>438.81</v>
      </c>
      <c r="G48" s="35">
        <v>448.42</v>
      </c>
      <c r="H48" s="35">
        <v>622.29999999999995</v>
      </c>
      <c r="I48" s="35">
        <v>710.42</v>
      </c>
      <c r="J48" s="35">
        <v>445.92</v>
      </c>
      <c r="K48" s="35">
        <v>457.51</v>
      </c>
      <c r="L48" s="35">
        <v>2647.03</v>
      </c>
      <c r="M48" s="55"/>
      <c r="N48" s="55"/>
      <c r="O48" s="55"/>
      <c r="P48" s="55"/>
      <c r="Q48" s="47"/>
      <c r="R48" s="47"/>
      <c r="S48" s="47"/>
      <c r="T48" s="47"/>
      <c r="U48" s="47"/>
      <c r="V48" s="274"/>
      <c r="W48" s="47"/>
      <c r="X48" s="255"/>
      <c r="Y48" s="123"/>
      <c r="Z48" s="35"/>
      <c r="AA48" s="35"/>
      <c r="AB48" s="35"/>
      <c r="AC48" s="35"/>
      <c r="AD48" s="35"/>
    </row>
    <row r="49" spans="1:31" ht="24.8" customHeight="1" thickBot="1" x14ac:dyDescent="0.3">
      <c r="A49" s="280"/>
      <c r="B49" s="42"/>
      <c r="C49" s="76" t="s">
        <v>203</v>
      </c>
      <c r="D49" s="84">
        <f t="shared" ref="D49:L49" si="12">IF(((D47="")*AND(D48="")),"",(D47-D48)*2)</f>
        <v>10428.64</v>
      </c>
      <c r="E49" s="84">
        <f t="shared" si="12"/>
        <v>11541.84</v>
      </c>
      <c r="F49" s="84">
        <f t="shared" si="12"/>
        <v>11691.06</v>
      </c>
      <c r="G49" s="84">
        <f t="shared" si="12"/>
        <v>11534.539999999999</v>
      </c>
      <c r="H49" s="84">
        <f t="shared" si="12"/>
        <v>10693.24</v>
      </c>
      <c r="I49" s="84">
        <f t="shared" si="12"/>
        <v>10954.82</v>
      </c>
      <c r="J49" s="84">
        <f t="shared" si="12"/>
        <v>11606.22</v>
      </c>
      <c r="K49" s="84">
        <f t="shared" si="12"/>
        <v>11465.1</v>
      </c>
      <c r="L49" s="84">
        <f t="shared" si="12"/>
        <v>6681.8199999999988</v>
      </c>
      <c r="M49" s="84"/>
      <c r="N49" s="84"/>
      <c r="O49" s="84"/>
      <c r="P49" s="84" t="str">
        <f>IF(((P47="")*AND(P48="")),"",(P47-P48)*2)</f>
        <v/>
      </c>
      <c r="Q49" s="42"/>
      <c r="R49" s="42"/>
      <c r="S49" s="42"/>
      <c r="T49" s="42"/>
      <c r="U49" s="80"/>
      <c r="V49" s="275"/>
      <c r="W49" s="42"/>
      <c r="X49" s="255"/>
      <c r="Y49" s="122"/>
      <c r="Z49" s="35"/>
      <c r="AA49" s="35"/>
      <c r="AB49" s="35"/>
      <c r="AC49" s="35"/>
      <c r="AD49" s="35"/>
    </row>
    <row r="50" spans="1:31" ht="12.75" customHeight="1" x14ac:dyDescent="0.25">
      <c r="A50" s="281">
        <v>42564</v>
      </c>
      <c r="B50" s="57" t="s">
        <v>206</v>
      </c>
      <c r="C50" s="61" t="s">
        <v>205</v>
      </c>
      <c r="D50" s="35">
        <v>7124.37</v>
      </c>
      <c r="E50" s="35">
        <v>6960.62</v>
      </c>
      <c r="F50" s="35">
        <v>6900.83</v>
      </c>
      <c r="G50" s="35">
        <v>6907.48</v>
      </c>
      <c r="H50" s="35">
        <v>6994.1</v>
      </c>
      <c r="I50" s="35">
        <v>7086.28</v>
      </c>
      <c r="J50" s="35">
        <v>6942.31</v>
      </c>
      <c r="K50" s="35">
        <v>6945.47</v>
      </c>
      <c r="L50" s="35">
        <v>7118.08</v>
      </c>
      <c r="M50" s="55"/>
      <c r="N50" s="55"/>
      <c r="O50" s="55"/>
      <c r="P50" s="55"/>
      <c r="Q50" s="50">
        <f>IF((L51=""),"",MAX(D52:P52))</f>
        <v>5188.1499999999996</v>
      </c>
      <c r="R50" s="125">
        <f>IF(L51="","",MIN(D52:L52))</f>
        <v>4913.26</v>
      </c>
      <c r="S50" s="53">
        <f>IF((L52=""),"",AVERAGE(D52:L52))</f>
        <v>5073.0622222222219</v>
      </c>
      <c r="T50" s="53">
        <f>IF((L51=""),"",(Q50-R50)/(Q50+R50)*100)</f>
        <v>2.7213032636037884</v>
      </c>
      <c r="U50" s="52">
        <f>STDEV(D52:L52)</f>
        <v>105.22827148368654</v>
      </c>
      <c r="V50" s="276" t="str">
        <f>IF(P51="","",IF(T50&lt;2.7,IF(S50&gt;5150,IF(S50&lt;5600,"Pass","Fail"),"Fail"),"Fail"))</f>
        <v/>
      </c>
      <c r="W50" s="57">
        <v>1159</v>
      </c>
      <c r="X50" s="255"/>
      <c r="Y50" s="124" t="s">
        <v>323</v>
      </c>
      <c r="Z50" s="71">
        <v>4470</v>
      </c>
      <c r="AA50" s="71">
        <v>6020</v>
      </c>
      <c r="AB50" s="71">
        <v>5150</v>
      </c>
      <c r="AC50" s="71">
        <v>5600</v>
      </c>
      <c r="AD50" s="70">
        <v>2.7</v>
      </c>
      <c r="AE50" s="69">
        <v>10</v>
      </c>
    </row>
    <row r="51" spans="1:31" ht="12.75" customHeight="1" x14ac:dyDescent="0.25">
      <c r="A51" s="279"/>
      <c r="B51" s="47"/>
      <c r="C51" s="56" t="s">
        <v>204</v>
      </c>
      <c r="D51" s="35">
        <v>2211.11</v>
      </c>
      <c r="E51" s="35">
        <v>1840.33</v>
      </c>
      <c r="F51" s="35">
        <v>1712.68</v>
      </c>
      <c r="G51" s="35">
        <v>1742.13</v>
      </c>
      <c r="H51" s="35">
        <v>1982.66</v>
      </c>
      <c r="I51" s="35">
        <v>2041.73</v>
      </c>
      <c r="J51" s="35">
        <v>1760.72</v>
      </c>
      <c r="K51" s="35">
        <v>1838.84</v>
      </c>
      <c r="L51" s="35">
        <v>2191.7800000000002</v>
      </c>
      <c r="M51" s="55"/>
      <c r="N51" s="55"/>
      <c r="O51" s="55"/>
      <c r="P51" s="55"/>
      <c r="Q51" s="47"/>
      <c r="R51" s="47"/>
      <c r="S51" s="47"/>
      <c r="T51" s="47"/>
      <c r="U51" s="47"/>
      <c r="V51" s="274"/>
      <c r="W51" s="47"/>
      <c r="X51" s="255"/>
      <c r="Y51" s="123"/>
      <c r="Z51" s="35"/>
      <c r="AA51" s="35"/>
      <c r="AB51" s="35"/>
      <c r="AC51" s="35"/>
      <c r="AD51" s="35"/>
    </row>
    <row r="52" spans="1:31" ht="24.8" customHeight="1" thickBot="1" x14ac:dyDescent="0.3">
      <c r="A52" s="282"/>
      <c r="B52" s="80"/>
      <c r="C52" s="56" t="s">
        <v>203</v>
      </c>
      <c r="D52" s="97">
        <f t="shared" ref="D52:P52" si="13">IF(((D50="")*AND(D51="")),"",(D50-D51))</f>
        <v>4913.26</v>
      </c>
      <c r="E52" s="97">
        <f t="shared" si="13"/>
        <v>5120.29</v>
      </c>
      <c r="F52" s="97">
        <f t="shared" si="13"/>
        <v>5188.1499999999996</v>
      </c>
      <c r="G52" s="97">
        <f t="shared" si="13"/>
        <v>5165.3499999999995</v>
      </c>
      <c r="H52" s="97">
        <f t="shared" si="13"/>
        <v>5011.4400000000005</v>
      </c>
      <c r="I52" s="97">
        <f t="shared" si="13"/>
        <v>5044.5499999999993</v>
      </c>
      <c r="J52" s="97">
        <f t="shared" si="13"/>
        <v>5181.59</v>
      </c>
      <c r="K52" s="97">
        <f t="shared" si="13"/>
        <v>5106.63</v>
      </c>
      <c r="L52" s="97">
        <f t="shared" si="13"/>
        <v>4926.2999999999993</v>
      </c>
      <c r="M52" s="97" t="str">
        <f t="shared" si="13"/>
        <v/>
      </c>
      <c r="N52" s="97" t="str">
        <f t="shared" si="13"/>
        <v/>
      </c>
      <c r="O52" s="97" t="str">
        <f t="shared" si="13"/>
        <v/>
      </c>
      <c r="P52" s="97" t="str">
        <f t="shared" si="13"/>
        <v/>
      </c>
      <c r="Q52" s="80"/>
      <c r="R52" s="80"/>
      <c r="S52" s="80"/>
      <c r="T52" s="80"/>
      <c r="U52" s="80"/>
      <c r="V52" s="277"/>
      <c r="W52" s="80"/>
      <c r="X52" s="255"/>
      <c r="Y52" s="123"/>
      <c r="Z52" s="35"/>
      <c r="AA52" s="35"/>
      <c r="AB52" s="35"/>
      <c r="AC52" s="35"/>
      <c r="AD52" s="35"/>
    </row>
    <row r="53" spans="1:31" x14ac:dyDescent="0.25">
      <c r="A53" s="281">
        <v>42564</v>
      </c>
      <c r="B53" s="50" t="s">
        <v>208</v>
      </c>
      <c r="C53" s="56" t="s">
        <v>205</v>
      </c>
      <c r="D53" s="35">
        <v>6028.8</v>
      </c>
      <c r="E53" s="35">
        <v>6228.62</v>
      </c>
      <c r="F53" s="35">
        <v>6298.1</v>
      </c>
      <c r="G53" s="35">
        <v>6231.44</v>
      </c>
      <c r="H53" s="35">
        <v>6001.03</v>
      </c>
      <c r="I53" s="35">
        <v>6220.02</v>
      </c>
      <c r="J53" s="35">
        <v>6265.66</v>
      </c>
      <c r="K53" s="35">
        <v>6202.73</v>
      </c>
      <c r="L53" s="35">
        <v>6023.12</v>
      </c>
      <c r="M53" s="55"/>
      <c r="N53" s="55"/>
      <c r="O53" s="55"/>
      <c r="P53" s="55"/>
      <c r="Q53" s="50">
        <f>IF((L54=""),"",MAX(D55:L55))</f>
        <v>11619.66</v>
      </c>
      <c r="R53" s="50">
        <f>IF(L54="","",MIN(D55:L55))</f>
        <v>6713.58</v>
      </c>
      <c r="S53" s="77">
        <f>IF((L55=""),"",AVERAGE(D55:L55))</f>
        <v>10739.155555555555</v>
      </c>
      <c r="T53" s="53">
        <f>IF((L54=""),"",(Q53-R53)/(Q53+R53)*100)</f>
        <v>26.760572599278692</v>
      </c>
      <c r="U53" s="50">
        <f>STDEV(D55:P55)</f>
        <v>1558.0566810863502</v>
      </c>
      <c r="V53" s="273" t="str">
        <f>IF(L54="","",IF(T53&lt;7.3,IF(S53&gt;5700,IF(S53&lt;7200,"Pass","Fail"),"Fail"),"Fail"))</f>
        <v>Fail</v>
      </c>
      <c r="W53" s="57">
        <v>1159</v>
      </c>
      <c r="X53" s="255"/>
      <c r="Y53" s="123" t="s">
        <v>323</v>
      </c>
      <c r="Z53" s="37">
        <v>4955</v>
      </c>
      <c r="AA53" s="37">
        <v>9645</v>
      </c>
      <c r="AB53" s="37">
        <v>5100</v>
      </c>
      <c r="AC53" s="37">
        <v>8300</v>
      </c>
      <c r="AD53" s="69">
        <v>9.8000000000000007</v>
      </c>
      <c r="AE53" s="69">
        <v>10</v>
      </c>
    </row>
    <row r="54" spans="1:31" ht="12.75" customHeight="1" x14ac:dyDescent="0.25">
      <c r="A54" s="279"/>
      <c r="B54" s="47"/>
      <c r="C54" s="56" t="s">
        <v>204</v>
      </c>
      <c r="D54" s="35">
        <v>724.84</v>
      </c>
      <c r="E54" s="35">
        <v>484.77</v>
      </c>
      <c r="F54" s="35">
        <v>488.27</v>
      </c>
      <c r="G54" s="35">
        <v>497.6</v>
      </c>
      <c r="H54" s="35">
        <v>679.48</v>
      </c>
      <c r="I54" s="35">
        <v>672.35</v>
      </c>
      <c r="J54" s="35">
        <v>474.28</v>
      </c>
      <c r="K54" s="35">
        <v>485.4</v>
      </c>
      <c r="L54" s="35">
        <v>2666.33</v>
      </c>
      <c r="M54" s="55"/>
      <c r="N54" s="55"/>
      <c r="O54" s="55"/>
      <c r="P54" s="55"/>
      <c r="Q54" s="47"/>
      <c r="R54" s="47"/>
      <c r="S54" s="47"/>
      <c r="T54" s="47"/>
      <c r="U54" s="47"/>
      <c r="V54" s="274"/>
      <c r="W54" s="47"/>
      <c r="X54" s="255"/>
      <c r="Y54" s="123"/>
      <c r="Z54" s="35"/>
      <c r="AA54" s="35"/>
      <c r="AB54" s="35"/>
      <c r="AC54" s="35"/>
      <c r="AD54" s="35"/>
    </row>
    <row r="55" spans="1:31" ht="24.8" customHeight="1" thickBot="1" x14ac:dyDescent="0.3">
      <c r="A55" s="280"/>
      <c r="B55" s="42"/>
      <c r="C55" s="76" t="s">
        <v>203</v>
      </c>
      <c r="D55" s="84">
        <f t="shared" ref="D55:L55" si="14">IF(((D53="")*AND(D54="")),"",(D53-D54)*2)</f>
        <v>10607.92</v>
      </c>
      <c r="E55" s="84">
        <f t="shared" si="14"/>
        <v>11487.7</v>
      </c>
      <c r="F55" s="84">
        <f t="shared" si="14"/>
        <v>11619.66</v>
      </c>
      <c r="G55" s="84">
        <f t="shared" si="14"/>
        <v>11467.679999999998</v>
      </c>
      <c r="H55" s="84">
        <f t="shared" si="14"/>
        <v>10643.099999999999</v>
      </c>
      <c r="I55" s="84">
        <f t="shared" si="14"/>
        <v>11095.34</v>
      </c>
      <c r="J55" s="84">
        <f t="shared" si="14"/>
        <v>11582.76</v>
      </c>
      <c r="K55" s="84">
        <f t="shared" si="14"/>
        <v>11434.66</v>
      </c>
      <c r="L55" s="84">
        <f t="shared" si="14"/>
        <v>6713.58</v>
      </c>
      <c r="M55" s="84"/>
      <c r="N55" s="84"/>
      <c r="O55" s="84"/>
      <c r="P55" s="84" t="str">
        <f>IF(((P53="")*AND(P54="")),"",(P53-P54)*2)</f>
        <v/>
      </c>
      <c r="Q55" s="42"/>
      <c r="R55" s="42"/>
      <c r="S55" s="42"/>
      <c r="T55" s="42"/>
      <c r="U55" s="80"/>
      <c r="V55" s="275"/>
      <c r="W55" s="42"/>
      <c r="X55" s="255"/>
      <c r="Y55" s="122"/>
      <c r="Z55" s="35"/>
      <c r="AA55" s="35"/>
      <c r="AB55" s="35"/>
      <c r="AC55" s="35"/>
      <c r="AD55" s="35"/>
    </row>
    <row r="56" spans="1:31" ht="12.75" customHeight="1" x14ac:dyDescent="0.25">
      <c r="A56" s="281">
        <v>42577</v>
      </c>
      <c r="B56" s="57" t="s">
        <v>206</v>
      </c>
      <c r="C56" s="61" t="s">
        <v>205</v>
      </c>
      <c r="D56" s="35">
        <v>7257.01</v>
      </c>
      <c r="E56" s="35">
        <v>7009.79</v>
      </c>
      <c r="F56" s="35">
        <v>6951.53</v>
      </c>
      <c r="G56" s="35">
        <v>7035.24</v>
      </c>
      <c r="H56" s="35">
        <v>7208.43</v>
      </c>
      <c r="I56" s="35">
        <v>7265.76</v>
      </c>
      <c r="J56" s="35">
        <v>7018.36</v>
      </c>
      <c r="K56" s="35">
        <v>7023.73</v>
      </c>
      <c r="L56" s="35">
        <v>7297.23</v>
      </c>
      <c r="M56" s="55"/>
      <c r="N56" s="55"/>
      <c r="O56" s="55"/>
      <c r="P56" s="55"/>
      <c r="Q56" s="50">
        <f>IF((L57=""),"",MAX(D58:P58))</f>
        <v>5198.4799999999996</v>
      </c>
      <c r="R56" s="125">
        <f>IF(L57="","",MIN(D58:L58))</f>
        <v>4981.4500000000007</v>
      </c>
      <c r="S56" s="53">
        <f>IF((L58=""),"",AVERAGE(D58:L58))</f>
        <v>5098.0333333333338</v>
      </c>
      <c r="T56" s="53">
        <f>IF((L57=""),"",(Q56-R56)/(Q56+R56)*100)</f>
        <v>2.131940003516712</v>
      </c>
      <c r="U56" s="52">
        <f>STDEV(D58:L58)</f>
        <v>82.416986113300297</v>
      </c>
      <c r="V56" s="276" t="str">
        <f>IF(P57="","",IF(T56&lt;2.7,IF(S56&gt;5150,IF(S56&lt;5600,"Pass","Fail"),"Fail"),"Fail"))</f>
        <v/>
      </c>
      <c r="W56" s="57">
        <v>1335</v>
      </c>
      <c r="X56" s="255"/>
      <c r="Y56" s="124" t="s">
        <v>323</v>
      </c>
      <c r="Z56" s="71">
        <v>4470</v>
      </c>
      <c r="AA56" s="71">
        <v>6020</v>
      </c>
      <c r="AB56" s="71">
        <v>5150</v>
      </c>
      <c r="AC56" s="71">
        <v>5600</v>
      </c>
      <c r="AD56" s="70">
        <v>2.7</v>
      </c>
      <c r="AE56" s="69">
        <v>10</v>
      </c>
    </row>
    <row r="57" spans="1:31" ht="12.75" customHeight="1" x14ac:dyDescent="0.25">
      <c r="A57" s="279"/>
      <c r="B57" s="47"/>
      <c r="C57" s="56" t="s">
        <v>204</v>
      </c>
      <c r="D57" s="35">
        <v>2275.56</v>
      </c>
      <c r="E57" s="35">
        <v>1869.99</v>
      </c>
      <c r="F57" s="35">
        <v>1753.05</v>
      </c>
      <c r="G57" s="35">
        <v>1869.64</v>
      </c>
      <c r="H57" s="35">
        <v>2159.7199999999998</v>
      </c>
      <c r="I57" s="35">
        <v>2207.2199999999998</v>
      </c>
      <c r="J57" s="35">
        <v>1839.3</v>
      </c>
      <c r="K57" s="35">
        <v>1897.18</v>
      </c>
      <c r="L57" s="35">
        <v>2313.12</v>
      </c>
      <c r="M57" s="55"/>
      <c r="N57" s="55"/>
      <c r="O57" s="55"/>
      <c r="P57" s="55"/>
      <c r="Q57" s="47"/>
      <c r="R57" s="47"/>
      <c r="S57" s="47"/>
      <c r="T57" s="47"/>
      <c r="U57" s="47"/>
      <c r="V57" s="274"/>
      <c r="W57" s="47"/>
      <c r="X57" s="255"/>
      <c r="Y57" s="123"/>
      <c r="Z57" s="35"/>
      <c r="AA57" s="35"/>
      <c r="AB57" s="35"/>
      <c r="AC57" s="35"/>
      <c r="AD57" s="35"/>
    </row>
    <row r="58" spans="1:31" ht="24.8" customHeight="1" thickBot="1" x14ac:dyDescent="0.3">
      <c r="A58" s="282"/>
      <c r="B58" s="80"/>
      <c r="C58" s="56" t="s">
        <v>203</v>
      </c>
      <c r="D58" s="97">
        <f t="shared" ref="D58:P58" si="15">IF(((D56="")*AND(D57="")),"",(D56-D57))</f>
        <v>4981.4500000000007</v>
      </c>
      <c r="E58" s="97">
        <f t="shared" si="15"/>
        <v>5139.8</v>
      </c>
      <c r="F58" s="97">
        <f t="shared" si="15"/>
        <v>5198.4799999999996</v>
      </c>
      <c r="G58" s="97">
        <f t="shared" si="15"/>
        <v>5165.5999999999995</v>
      </c>
      <c r="H58" s="97">
        <f t="shared" si="15"/>
        <v>5048.7100000000009</v>
      </c>
      <c r="I58" s="97">
        <f t="shared" si="15"/>
        <v>5058.5400000000009</v>
      </c>
      <c r="J58" s="97">
        <f t="shared" si="15"/>
        <v>5179.0599999999995</v>
      </c>
      <c r="K58" s="97">
        <f t="shared" si="15"/>
        <v>5126.5499999999993</v>
      </c>
      <c r="L58" s="97">
        <f t="shared" si="15"/>
        <v>4984.1099999999997</v>
      </c>
      <c r="M58" s="97" t="str">
        <f t="shared" si="15"/>
        <v/>
      </c>
      <c r="N58" s="97" t="str">
        <f t="shared" si="15"/>
        <v/>
      </c>
      <c r="O58" s="97" t="str">
        <f t="shared" si="15"/>
        <v/>
      </c>
      <c r="P58" s="97" t="str">
        <f t="shared" si="15"/>
        <v/>
      </c>
      <c r="Q58" s="80"/>
      <c r="R58" s="80"/>
      <c r="S58" s="80"/>
      <c r="T58" s="80"/>
      <c r="U58" s="80"/>
      <c r="V58" s="277"/>
      <c r="W58" s="80"/>
      <c r="X58" s="255"/>
      <c r="Y58" s="123"/>
      <c r="Z58" s="35"/>
      <c r="AA58" s="35"/>
      <c r="AB58" s="35"/>
      <c r="AC58" s="35"/>
      <c r="AD58" s="35"/>
    </row>
    <row r="59" spans="1:31" x14ac:dyDescent="0.25">
      <c r="A59" s="281">
        <v>42577</v>
      </c>
      <c r="B59" s="50" t="s">
        <v>208</v>
      </c>
      <c r="C59" s="56" t="s">
        <v>205</v>
      </c>
      <c r="D59" s="35">
        <v>6040.85</v>
      </c>
      <c r="E59" s="35">
        <v>6227.73</v>
      </c>
      <c r="F59" s="35">
        <v>6295.29</v>
      </c>
      <c r="G59" s="35">
        <v>6229.63</v>
      </c>
      <c r="H59" s="35">
        <v>6023.54</v>
      </c>
      <c r="I59" s="35">
        <v>6230.6</v>
      </c>
      <c r="J59" s="35">
        <v>6263.28</v>
      </c>
      <c r="K59" s="35">
        <v>6199.85</v>
      </c>
      <c r="L59" s="35">
        <v>6036.48</v>
      </c>
      <c r="M59" s="55"/>
      <c r="N59" s="55"/>
      <c r="O59" s="55"/>
      <c r="P59" s="55"/>
      <c r="Q59" s="50">
        <f>IF((L60=""),"",MAX(D61:L61))</f>
        <v>12014.380000000001</v>
      </c>
      <c r="R59" s="50">
        <f>IF(L60="","",MIN(D61:L61))</f>
        <v>1552.9799999999996</v>
      </c>
      <c r="S59" s="77">
        <f>IF((L61=""),"",AVERAGE(D61:L61))</f>
        <v>6622.7333333333327</v>
      </c>
      <c r="T59" s="53">
        <f>IF((L60=""),"",(Q59-R59)/(Q59+R59)*100)</f>
        <v>77.107115901693476</v>
      </c>
      <c r="U59" s="50">
        <f>STDEV(D61:P61)</f>
        <v>5083.4792534542712</v>
      </c>
      <c r="V59" s="273" t="str">
        <f>IF(L60="","",IF(T59&lt;7.3,IF(S59&gt;5700,IF(S59&lt;7200,"Pass","Fail"),"Fail"),"Fail"))</f>
        <v>Fail</v>
      </c>
      <c r="W59" s="57">
        <v>1335</v>
      </c>
      <c r="X59" s="255"/>
      <c r="Y59" s="123" t="s">
        <v>323</v>
      </c>
      <c r="Z59" s="37">
        <v>4955</v>
      </c>
      <c r="AA59" s="37">
        <v>9645</v>
      </c>
      <c r="AB59" s="37">
        <v>5100</v>
      </c>
      <c r="AC59" s="37">
        <v>8300</v>
      </c>
      <c r="AD59" s="69">
        <v>9.8000000000000007</v>
      </c>
      <c r="AE59" s="69">
        <v>10</v>
      </c>
    </row>
    <row r="60" spans="1:31" ht="12.75" customHeight="1" x14ac:dyDescent="0.25">
      <c r="A60" s="279"/>
      <c r="B60" s="47"/>
      <c r="C60" s="56" t="s">
        <v>204</v>
      </c>
      <c r="D60" s="35">
        <v>4788.96</v>
      </c>
      <c r="E60" s="35">
        <v>252.78</v>
      </c>
      <c r="F60" s="35">
        <v>5518.8</v>
      </c>
      <c r="G60" s="35">
        <v>222.44</v>
      </c>
      <c r="H60" s="35">
        <v>4740.82</v>
      </c>
      <c r="I60" s="35">
        <v>4957.1899999999996</v>
      </c>
      <c r="J60" s="35">
        <v>267.93</v>
      </c>
      <c r="K60" s="35">
        <v>235.43</v>
      </c>
      <c r="L60" s="35">
        <v>4760.6000000000004</v>
      </c>
      <c r="M60" s="55"/>
      <c r="N60" s="55"/>
      <c r="O60" s="55"/>
      <c r="P60" s="55"/>
      <c r="Q60" s="47"/>
      <c r="R60" s="47"/>
      <c r="S60" s="47"/>
      <c r="T60" s="47"/>
      <c r="U60" s="47"/>
      <c r="V60" s="274"/>
      <c r="W60" s="47"/>
      <c r="X60" s="255"/>
      <c r="Y60" s="123"/>
      <c r="Z60" s="35"/>
      <c r="AA60" s="35"/>
      <c r="AB60" s="35"/>
      <c r="AC60" s="35"/>
      <c r="AD60" s="35"/>
    </row>
    <row r="61" spans="1:31" ht="24.8" customHeight="1" thickBot="1" x14ac:dyDescent="0.3">
      <c r="A61" s="280"/>
      <c r="B61" s="42"/>
      <c r="C61" s="76" t="s">
        <v>203</v>
      </c>
      <c r="D61" s="84">
        <f t="shared" ref="D61:L61" si="16">IF(((D59="")*AND(D60="")),"",(D59-D60)*2)</f>
        <v>2503.7800000000007</v>
      </c>
      <c r="E61" s="84">
        <f t="shared" si="16"/>
        <v>11949.9</v>
      </c>
      <c r="F61" s="84">
        <f t="shared" si="16"/>
        <v>1552.9799999999996</v>
      </c>
      <c r="G61" s="84">
        <f t="shared" si="16"/>
        <v>12014.380000000001</v>
      </c>
      <c r="H61" s="84">
        <f t="shared" si="16"/>
        <v>2565.4400000000005</v>
      </c>
      <c r="I61" s="84">
        <f t="shared" si="16"/>
        <v>2546.8200000000015</v>
      </c>
      <c r="J61" s="84">
        <f t="shared" si="16"/>
        <v>11990.699999999999</v>
      </c>
      <c r="K61" s="84">
        <f t="shared" si="16"/>
        <v>11928.84</v>
      </c>
      <c r="L61" s="84">
        <f t="shared" si="16"/>
        <v>2551.7599999999984</v>
      </c>
      <c r="M61" s="84"/>
      <c r="N61" s="84"/>
      <c r="O61" s="84"/>
      <c r="P61" s="84" t="str">
        <f>IF(((P59="")*AND(P60="")),"",(P59-P60)*2)</f>
        <v/>
      </c>
      <c r="Q61" s="42"/>
      <c r="R61" s="42"/>
      <c r="S61" s="42"/>
      <c r="T61" s="42"/>
      <c r="U61" s="80"/>
      <c r="V61" s="275"/>
      <c r="W61" s="42"/>
      <c r="X61" s="255"/>
      <c r="Y61" s="122"/>
      <c r="Z61" s="35"/>
      <c r="AA61" s="35"/>
      <c r="AB61" s="35"/>
      <c r="AC61" s="35"/>
      <c r="AD61" s="35"/>
    </row>
    <row r="62" spans="1:31" ht="12.75" customHeight="1" x14ac:dyDescent="0.25">
      <c r="A62" s="281">
        <v>42590</v>
      </c>
      <c r="B62" s="57" t="s">
        <v>206</v>
      </c>
      <c r="C62" s="61" t="s">
        <v>205</v>
      </c>
      <c r="D62" s="35">
        <v>7248.21</v>
      </c>
      <c r="E62" s="35">
        <v>7101.16</v>
      </c>
      <c r="F62" s="35">
        <v>7050.99</v>
      </c>
      <c r="G62" s="35">
        <v>7072.95</v>
      </c>
      <c r="H62" s="35">
        <v>7193.11</v>
      </c>
      <c r="I62" s="35">
        <v>7240.91</v>
      </c>
      <c r="J62" s="35">
        <v>7099.94</v>
      </c>
      <c r="K62" s="35">
        <v>7042.05</v>
      </c>
      <c r="L62" s="35">
        <v>7080.84</v>
      </c>
      <c r="M62" s="55"/>
      <c r="N62" s="55"/>
      <c r="O62" s="55"/>
      <c r="P62" s="55"/>
      <c r="Q62" s="50">
        <f>IF((L63=""),"",MAX(D64:P64))</f>
        <v>5209.83</v>
      </c>
      <c r="R62" s="125">
        <f>IF(L63="","",MIN(D64:L64))</f>
        <v>4954.01</v>
      </c>
      <c r="S62" s="53">
        <f>IF((L64=""),"",AVERAGE(D64:L64))</f>
        <v>5099.1966666666667</v>
      </c>
      <c r="T62" s="53">
        <f>IF((L63=""),"",(Q62-R62)/(Q62+R62)*100)</f>
        <v>2.5169620930671841</v>
      </c>
      <c r="U62" s="52">
        <f>STDEV(D64:L64)</f>
        <v>104.1715201002652</v>
      </c>
      <c r="V62" s="276" t="str">
        <f>IF(P63="","",IF(T62&lt;2.7,IF(S62&gt;5150,IF(S62&lt;5600,"Pass","Fail"),"Fail"),"Fail"))</f>
        <v/>
      </c>
      <c r="W62" s="57">
        <v>1159</v>
      </c>
      <c r="X62" s="255"/>
      <c r="Y62" s="124" t="s">
        <v>323</v>
      </c>
      <c r="Z62" s="71">
        <v>4470</v>
      </c>
      <c r="AA62" s="71">
        <v>6020</v>
      </c>
      <c r="AB62" s="71">
        <v>5150</v>
      </c>
      <c r="AC62" s="71">
        <v>5600</v>
      </c>
      <c r="AD62" s="70">
        <v>2.7</v>
      </c>
      <c r="AE62" s="69">
        <v>10</v>
      </c>
    </row>
    <row r="63" spans="1:31" ht="12.75" customHeight="1" x14ac:dyDescent="0.25">
      <c r="A63" s="279"/>
      <c r="B63" s="47"/>
      <c r="C63" s="56" t="s">
        <v>204</v>
      </c>
      <c r="D63" s="35">
        <v>2293.1799999999998</v>
      </c>
      <c r="E63" s="35">
        <v>1947.38</v>
      </c>
      <c r="F63" s="35">
        <v>1841.16</v>
      </c>
      <c r="G63" s="35">
        <v>1874.69</v>
      </c>
      <c r="H63" s="35">
        <v>2168.61</v>
      </c>
      <c r="I63" s="35">
        <v>2185.86</v>
      </c>
      <c r="J63" s="35">
        <v>1896.9</v>
      </c>
      <c r="K63" s="35">
        <v>1902.78</v>
      </c>
      <c r="L63" s="35">
        <v>2126.83</v>
      </c>
      <c r="M63" s="55"/>
      <c r="N63" s="55"/>
      <c r="O63" s="55"/>
      <c r="P63" s="55"/>
      <c r="Q63" s="47"/>
      <c r="R63" s="47"/>
      <c r="S63" s="47"/>
      <c r="T63" s="47"/>
      <c r="U63" s="47"/>
      <c r="V63" s="274"/>
      <c r="W63" s="47"/>
      <c r="X63" s="255"/>
      <c r="Y63" s="123"/>
    </row>
    <row r="64" spans="1:31" ht="24.8" customHeight="1" thickBot="1" x14ac:dyDescent="0.3">
      <c r="A64" s="282"/>
      <c r="B64" s="80"/>
      <c r="C64" s="56" t="s">
        <v>203</v>
      </c>
      <c r="D64" s="97">
        <f t="shared" ref="D64:P64" si="17">IF(((D62="")*AND(D63="")),"",(D62-D63))</f>
        <v>4955.0300000000007</v>
      </c>
      <c r="E64" s="97">
        <f t="shared" si="17"/>
        <v>5153.78</v>
      </c>
      <c r="F64" s="97">
        <f t="shared" si="17"/>
        <v>5209.83</v>
      </c>
      <c r="G64" s="97">
        <f t="shared" si="17"/>
        <v>5198.26</v>
      </c>
      <c r="H64" s="97">
        <f t="shared" si="17"/>
        <v>5024.5</v>
      </c>
      <c r="I64" s="97">
        <f t="shared" si="17"/>
        <v>5055.0499999999993</v>
      </c>
      <c r="J64" s="97">
        <f t="shared" si="17"/>
        <v>5203.0399999999991</v>
      </c>
      <c r="K64" s="97">
        <f t="shared" si="17"/>
        <v>5139.2700000000004</v>
      </c>
      <c r="L64" s="97">
        <f t="shared" si="17"/>
        <v>4954.01</v>
      </c>
      <c r="M64" s="97" t="str">
        <f t="shared" si="17"/>
        <v/>
      </c>
      <c r="N64" s="97" t="str">
        <f t="shared" si="17"/>
        <v/>
      </c>
      <c r="O64" s="97" t="str">
        <f t="shared" si="17"/>
        <v/>
      </c>
      <c r="P64" s="97" t="str">
        <f t="shared" si="17"/>
        <v/>
      </c>
      <c r="Q64" s="80"/>
      <c r="R64" s="80"/>
      <c r="S64" s="80"/>
      <c r="T64" s="80"/>
      <c r="U64" s="80"/>
      <c r="V64" s="277"/>
      <c r="W64" s="80"/>
      <c r="X64" s="255"/>
      <c r="Y64" s="123"/>
    </row>
    <row r="65" spans="1:31" x14ac:dyDescent="0.25">
      <c r="A65" s="281">
        <v>42590</v>
      </c>
      <c r="B65" s="50" t="s">
        <v>208</v>
      </c>
      <c r="C65" s="56" t="s">
        <v>205</v>
      </c>
      <c r="D65" s="35">
        <v>6046.42</v>
      </c>
      <c r="E65" s="35">
        <v>6226.79</v>
      </c>
      <c r="F65" s="35">
        <v>6294.13</v>
      </c>
      <c r="G65" s="35">
        <v>6227.15</v>
      </c>
      <c r="H65" s="35">
        <v>6025.52</v>
      </c>
      <c r="I65" s="35">
        <v>6233.95</v>
      </c>
      <c r="J65" s="35">
        <v>6261.77</v>
      </c>
      <c r="K65" s="35">
        <v>6199.34</v>
      </c>
      <c r="L65" s="35">
        <v>6042.71</v>
      </c>
      <c r="M65" s="55"/>
      <c r="N65" s="55"/>
      <c r="O65" s="55"/>
      <c r="P65" s="55"/>
      <c r="Q65" s="50">
        <f>IF((L66=""),"",MAX(D67:L67))</f>
        <v>12125.859999999999</v>
      </c>
      <c r="R65" s="50">
        <f>IF(L66="","",MIN(D67:L67))</f>
        <v>1763.2800000000007</v>
      </c>
      <c r="S65" s="77">
        <f>IF((L67=""),"",AVERAGE(D67:L67))</f>
        <v>3204.6288888888885</v>
      </c>
      <c r="T65" s="53">
        <f>IF((L66=""),"",(Q65-R65)/(Q65+R65)*100)</f>
        <v>74.60922706517465</v>
      </c>
      <c r="U65" s="50">
        <f>STDEV(D67:P67)</f>
        <v>3357.8222184194201</v>
      </c>
      <c r="V65" s="273" t="str">
        <f>IF(L66="","",IF(T65&lt;7.3,IF(S65&gt;5700,IF(S65&lt;7200,"Pass","Fail"),"Fail"),"Fail"))</f>
        <v>Fail</v>
      </c>
      <c r="W65" s="57">
        <v>1159</v>
      </c>
      <c r="X65" s="255"/>
      <c r="Y65" s="123" t="s">
        <v>323</v>
      </c>
      <c r="Z65" s="37">
        <v>4955</v>
      </c>
      <c r="AA65" s="37">
        <v>9645</v>
      </c>
      <c r="AB65" s="37">
        <v>5100</v>
      </c>
      <c r="AC65" s="37">
        <v>8300</v>
      </c>
      <c r="AD65" s="69">
        <v>9.8000000000000007</v>
      </c>
      <c r="AE65" s="69">
        <v>10</v>
      </c>
    </row>
    <row r="66" spans="1:31" ht="12.75" customHeight="1" x14ac:dyDescent="0.25">
      <c r="A66" s="279"/>
      <c r="B66" s="47"/>
      <c r="C66" s="56" t="s">
        <v>204</v>
      </c>
      <c r="D66" s="35">
        <v>4903.0600000000004</v>
      </c>
      <c r="E66" s="35">
        <v>5321.42</v>
      </c>
      <c r="F66" s="35">
        <v>5412.49</v>
      </c>
      <c r="G66" s="35">
        <v>164.22</v>
      </c>
      <c r="H66" s="35">
        <v>4821.07</v>
      </c>
      <c r="I66" s="35">
        <v>4982.8599999999997</v>
      </c>
      <c r="J66" s="35">
        <v>5353.95</v>
      </c>
      <c r="K66" s="35">
        <v>5274.04</v>
      </c>
      <c r="L66" s="35">
        <v>4903.84</v>
      </c>
      <c r="M66" s="55"/>
      <c r="N66" s="55"/>
      <c r="O66" s="55"/>
      <c r="P66" s="55"/>
      <c r="Q66" s="47"/>
      <c r="R66" s="47"/>
      <c r="S66" s="47"/>
      <c r="T66" s="47"/>
      <c r="U66" s="47"/>
      <c r="V66" s="274"/>
      <c r="W66" s="47"/>
      <c r="X66" s="255"/>
      <c r="Y66" s="123"/>
      <c r="Z66" s="37">
        <v>4955</v>
      </c>
      <c r="AA66" s="37">
        <v>9645</v>
      </c>
      <c r="AB66" s="37">
        <v>6980</v>
      </c>
      <c r="AC66" s="37">
        <v>7960</v>
      </c>
      <c r="AD66" s="69">
        <v>5.8</v>
      </c>
      <c r="AE66" s="69">
        <v>10</v>
      </c>
    </row>
    <row r="67" spans="1:31" ht="24.8" customHeight="1" thickBot="1" x14ac:dyDescent="0.3">
      <c r="A67" s="280"/>
      <c r="B67" s="42"/>
      <c r="C67" s="76" t="s">
        <v>203</v>
      </c>
      <c r="D67" s="84">
        <f t="shared" ref="D67:L67" si="18">IF(((D65="")*AND(D66="")),"",(D65-D66)*2)</f>
        <v>2286.7199999999993</v>
      </c>
      <c r="E67" s="84">
        <f t="shared" si="18"/>
        <v>1810.7399999999998</v>
      </c>
      <c r="F67" s="84">
        <f t="shared" si="18"/>
        <v>1763.2800000000007</v>
      </c>
      <c r="G67" s="84">
        <f t="shared" si="18"/>
        <v>12125.859999999999</v>
      </c>
      <c r="H67" s="84">
        <f t="shared" si="18"/>
        <v>2408.9000000000015</v>
      </c>
      <c r="I67" s="84">
        <f t="shared" si="18"/>
        <v>2502.1800000000003</v>
      </c>
      <c r="J67" s="84">
        <f t="shared" si="18"/>
        <v>1815.6400000000012</v>
      </c>
      <c r="K67" s="84">
        <f t="shared" si="18"/>
        <v>1850.6000000000004</v>
      </c>
      <c r="L67" s="84">
        <f t="shared" si="18"/>
        <v>2277.7399999999998</v>
      </c>
      <c r="M67" s="84"/>
      <c r="N67" s="84"/>
      <c r="O67" s="84"/>
      <c r="P67" s="84" t="str">
        <f>IF(((P65="")*AND(P66="")),"",(P65-P66)*2)</f>
        <v/>
      </c>
      <c r="Q67" s="42"/>
      <c r="R67" s="42"/>
      <c r="S67" s="42"/>
      <c r="T67" s="42"/>
      <c r="U67" s="80"/>
      <c r="V67" s="275"/>
      <c r="W67" s="42"/>
      <c r="X67" s="255"/>
      <c r="Y67" s="122"/>
      <c r="Z67" s="37">
        <v>4955</v>
      </c>
      <c r="AA67" s="37">
        <v>9645</v>
      </c>
      <c r="AB67" s="37">
        <v>6980</v>
      </c>
      <c r="AC67" s="37">
        <v>7960</v>
      </c>
      <c r="AD67" s="69">
        <v>5.8</v>
      </c>
      <c r="AE67" s="69">
        <v>10</v>
      </c>
    </row>
    <row r="68" spans="1:31" ht="12.75" customHeight="1" x14ac:dyDescent="0.25">
      <c r="A68" s="281">
        <v>42593</v>
      </c>
      <c r="B68" s="57" t="s">
        <v>206</v>
      </c>
      <c r="C68" s="61" t="s">
        <v>205</v>
      </c>
      <c r="D68" s="35">
        <v>7154.94</v>
      </c>
      <c r="E68" s="35">
        <v>6934.79</v>
      </c>
      <c r="F68" s="35">
        <v>6879.33</v>
      </c>
      <c r="G68" s="35">
        <v>6963.48</v>
      </c>
      <c r="H68" s="35">
        <v>7229.32</v>
      </c>
      <c r="I68" s="35">
        <v>7222.51</v>
      </c>
      <c r="J68" s="35">
        <v>6956.77</v>
      </c>
      <c r="K68" s="35">
        <v>6960.28</v>
      </c>
      <c r="L68" s="35">
        <v>7236.29</v>
      </c>
      <c r="M68" s="55"/>
      <c r="N68" s="55"/>
      <c r="O68" s="55"/>
      <c r="P68" s="55"/>
      <c r="Q68" s="50">
        <f>IF((L69=""),"",MAX(D70:P70))</f>
        <v>5184.87</v>
      </c>
      <c r="R68" s="125">
        <f>IF(L69="","",MIN(D70:L70))</f>
        <v>4979.08</v>
      </c>
      <c r="S68" s="53">
        <f>IF((L70=""),"",AVERAGE(D70:L70))</f>
        <v>5097.1133333333328</v>
      </c>
      <c r="T68" s="53">
        <f>IF((L69=""),"",(Q68-R68)/(Q68+R68)*100)</f>
        <v>2.0247049621456221</v>
      </c>
      <c r="U68" s="52">
        <f>STDEV(D70:L70)</f>
        <v>80.366581985300243</v>
      </c>
      <c r="V68" s="276" t="str">
        <f>IF(P69="","",IF(T68&lt;2.7,IF(S68&gt;5150,IF(S68&lt;5600,"Pass","Fail"),"Fail"),"Fail"))</f>
        <v/>
      </c>
      <c r="W68" s="57">
        <v>1159</v>
      </c>
      <c r="X68" s="255"/>
      <c r="Y68" s="124" t="s">
        <v>323</v>
      </c>
      <c r="Z68" s="71">
        <v>4470</v>
      </c>
      <c r="AA68" s="71">
        <v>6020</v>
      </c>
      <c r="AB68" s="71">
        <v>5150</v>
      </c>
      <c r="AC68" s="71">
        <v>5600</v>
      </c>
      <c r="AD68" s="70">
        <v>2.7</v>
      </c>
      <c r="AE68" s="69">
        <v>10</v>
      </c>
    </row>
    <row r="69" spans="1:31" ht="12.75" customHeight="1" x14ac:dyDescent="0.25">
      <c r="A69" s="279"/>
      <c r="B69" s="47"/>
      <c r="C69" s="56" t="s">
        <v>204</v>
      </c>
      <c r="D69" s="35">
        <v>2175.86</v>
      </c>
      <c r="E69" s="35">
        <v>1796.23</v>
      </c>
      <c r="F69" s="35">
        <v>1694.46</v>
      </c>
      <c r="G69" s="35">
        <v>1791.8</v>
      </c>
      <c r="H69" s="35">
        <v>2172.34</v>
      </c>
      <c r="I69" s="35">
        <v>2170.08</v>
      </c>
      <c r="J69" s="35">
        <v>1786.39</v>
      </c>
      <c r="K69" s="35">
        <v>1825.99</v>
      </c>
      <c r="L69" s="35">
        <v>2250.54</v>
      </c>
      <c r="M69" s="55"/>
      <c r="N69" s="55"/>
      <c r="O69" s="55"/>
      <c r="P69" s="55"/>
      <c r="Q69" s="47"/>
      <c r="R69" s="47"/>
      <c r="S69" s="47"/>
      <c r="T69" s="47"/>
      <c r="U69" s="47"/>
      <c r="V69" s="274"/>
      <c r="W69" s="47"/>
      <c r="X69" s="255"/>
      <c r="Y69" s="123"/>
      <c r="Z69" s="37">
        <v>4955</v>
      </c>
      <c r="AA69" s="37">
        <v>9645</v>
      </c>
      <c r="AB69" s="37">
        <v>6980</v>
      </c>
      <c r="AC69" s="37">
        <v>7960</v>
      </c>
      <c r="AD69" s="69">
        <v>5.8</v>
      </c>
      <c r="AE69" s="69">
        <v>10</v>
      </c>
    </row>
    <row r="70" spans="1:31" ht="24.8" customHeight="1" thickBot="1" x14ac:dyDescent="0.3">
      <c r="A70" s="282"/>
      <c r="B70" s="80"/>
      <c r="C70" s="56" t="s">
        <v>203</v>
      </c>
      <c r="D70" s="97">
        <f t="shared" ref="D70:P70" si="19">IF(((D68="")*AND(D69="")),"",(D68-D69))</f>
        <v>4979.08</v>
      </c>
      <c r="E70" s="97">
        <f t="shared" si="19"/>
        <v>5138.5599999999995</v>
      </c>
      <c r="F70" s="97">
        <f t="shared" si="19"/>
        <v>5184.87</v>
      </c>
      <c r="G70" s="97">
        <f t="shared" si="19"/>
        <v>5171.6799999999994</v>
      </c>
      <c r="H70" s="97">
        <f t="shared" si="19"/>
        <v>5056.9799999999996</v>
      </c>
      <c r="I70" s="97">
        <f t="shared" si="19"/>
        <v>5052.43</v>
      </c>
      <c r="J70" s="97">
        <f t="shared" si="19"/>
        <v>5170.38</v>
      </c>
      <c r="K70" s="97">
        <f t="shared" si="19"/>
        <v>5134.29</v>
      </c>
      <c r="L70" s="97">
        <f t="shared" si="19"/>
        <v>4985.75</v>
      </c>
      <c r="M70" s="97" t="str">
        <f t="shared" si="19"/>
        <v/>
      </c>
      <c r="N70" s="97" t="str">
        <f t="shared" si="19"/>
        <v/>
      </c>
      <c r="O70" s="97" t="str">
        <f t="shared" si="19"/>
        <v/>
      </c>
      <c r="P70" s="97" t="str">
        <f t="shared" si="19"/>
        <v/>
      </c>
      <c r="Q70" s="80"/>
      <c r="R70" s="80"/>
      <c r="S70" s="80"/>
      <c r="T70" s="80"/>
      <c r="U70" s="80"/>
      <c r="V70" s="277"/>
      <c r="W70" s="80"/>
      <c r="X70" s="255"/>
      <c r="Y70" s="123"/>
      <c r="Z70" s="37">
        <v>4955</v>
      </c>
      <c r="AA70" s="37">
        <v>9645</v>
      </c>
      <c r="AB70" s="37">
        <v>6980</v>
      </c>
      <c r="AC70" s="37">
        <v>7960</v>
      </c>
      <c r="AD70" s="69">
        <v>5.8</v>
      </c>
      <c r="AE70" s="69">
        <v>10</v>
      </c>
    </row>
    <row r="71" spans="1:31" x14ac:dyDescent="0.25">
      <c r="A71" s="281">
        <v>42593</v>
      </c>
      <c r="B71" s="50" t="s">
        <v>208</v>
      </c>
      <c r="C71" s="56" t="s">
        <v>205</v>
      </c>
      <c r="D71" s="35">
        <v>6055.37</v>
      </c>
      <c r="E71" s="35">
        <v>6228.81</v>
      </c>
      <c r="F71" s="35">
        <v>6295.71</v>
      </c>
      <c r="G71" s="35">
        <v>6230.12</v>
      </c>
      <c r="H71" s="35">
        <v>6030.67</v>
      </c>
      <c r="I71" s="35">
        <v>6238.5</v>
      </c>
      <c r="J71" s="35">
        <v>6264.98</v>
      </c>
      <c r="K71" s="35">
        <v>6199.46</v>
      </c>
      <c r="L71" s="35">
        <v>6048.47</v>
      </c>
      <c r="M71" s="55"/>
      <c r="N71" s="55"/>
      <c r="O71" s="55"/>
      <c r="P71" s="55"/>
      <c r="Q71" s="50">
        <f>IF((L72=""),"",MAX(D73:L73))</f>
        <v>12144.24</v>
      </c>
      <c r="R71" s="50">
        <f>IF(L72="","",MIN(D73:L73))</f>
        <v>1728.3799999999992</v>
      </c>
      <c r="S71" s="77">
        <f>IF((L73=""),"",AVERAGE(D73:L73))</f>
        <v>6671.3577777777773</v>
      </c>
      <c r="T71" s="53">
        <f>IF((L72=""),"",(Q71-R71)/(Q71+R71)*100)</f>
        <v>75.082140215763147</v>
      </c>
      <c r="U71" s="50">
        <f>STDEV(D73:P73)</f>
        <v>5138.7107223645562</v>
      </c>
      <c r="V71" s="273" t="str">
        <f>IF(L72="","",IF(T71&lt;7.3,IF(S71&gt;5700,IF(S71&lt;7200,"Pass","Fail"),"Fail"),"Fail"))</f>
        <v>Fail</v>
      </c>
      <c r="W71" s="57">
        <v>1159</v>
      </c>
      <c r="X71" s="255"/>
      <c r="Y71" s="123" t="s">
        <v>323</v>
      </c>
      <c r="Z71" s="37">
        <v>4955</v>
      </c>
      <c r="AA71" s="37">
        <v>9645</v>
      </c>
      <c r="AB71" s="37">
        <v>5100</v>
      </c>
      <c r="AC71" s="37">
        <v>8300</v>
      </c>
      <c r="AD71" s="69">
        <v>9.8000000000000007</v>
      </c>
      <c r="AE71" s="69">
        <v>10</v>
      </c>
    </row>
    <row r="72" spans="1:31" ht="12.75" customHeight="1" x14ac:dyDescent="0.25">
      <c r="A72" s="279"/>
      <c r="B72" s="47"/>
      <c r="C72" s="56" t="s">
        <v>204</v>
      </c>
      <c r="D72" s="35">
        <v>4830.57</v>
      </c>
      <c r="E72" s="35">
        <v>178.41</v>
      </c>
      <c r="F72" s="35">
        <v>5431.52</v>
      </c>
      <c r="G72" s="35">
        <v>196.96</v>
      </c>
      <c r="H72" s="35">
        <v>4784</v>
      </c>
      <c r="I72" s="35">
        <v>4986.96</v>
      </c>
      <c r="J72" s="35">
        <v>192.86</v>
      </c>
      <c r="K72" s="35">
        <v>191.52</v>
      </c>
      <c r="L72" s="35">
        <v>4778.18</v>
      </c>
      <c r="M72" s="55"/>
      <c r="N72" s="55"/>
      <c r="O72" s="55"/>
      <c r="P72" s="55"/>
      <c r="Q72" s="47"/>
      <c r="R72" s="47"/>
      <c r="S72" s="47"/>
      <c r="T72" s="47"/>
      <c r="U72" s="47"/>
      <c r="V72" s="274"/>
      <c r="W72" s="47"/>
      <c r="X72" s="255"/>
      <c r="Y72" s="123"/>
      <c r="Z72" s="37">
        <v>4955</v>
      </c>
      <c r="AA72" s="37">
        <v>9645</v>
      </c>
      <c r="AB72" s="37">
        <v>6980</v>
      </c>
      <c r="AC72" s="37">
        <v>7960</v>
      </c>
      <c r="AD72" s="69">
        <v>5.8</v>
      </c>
      <c r="AE72" s="69">
        <v>10</v>
      </c>
    </row>
    <row r="73" spans="1:31" ht="24.8" customHeight="1" thickBot="1" x14ac:dyDescent="0.3">
      <c r="A73" s="280"/>
      <c r="B73" s="42"/>
      <c r="C73" s="76" t="s">
        <v>203</v>
      </c>
      <c r="D73" s="84">
        <f t="shared" ref="D73:L73" si="20">IF(((D71="")*AND(D72="")),"",(D71-D72)*2)</f>
        <v>2449.6000000000004</v>
      </c>
      <c r="E73" s="84">
        <f t="shared" si="20"/>
        <v>12100.800000000001</v>
      </c>
      <c r="F73" s="84">
        <f t="shared" si="20"/>
        <v>1728.3799999999992</v>
      </c>
      <c r="G73" s="84">
        <f t="shared" si="20"/>
        <v>12066.32</v>
      </c>
      <c r="H73" s="84">
        <f t="shared" si="20"/>
        <v>2493.34</v>
      </c>
      <c r="I73" s="84">
        <f t="shared" si="20"/>
        <v>2503.08</v>
      </c>
      <c r="J73" s="84">
        <f t="shared" si="20"/>
        <v>12144.24</v>
      </c>
      <c r="K73" s="84">
        <f t="shared" si="20"/>
        <v>12015.88</v>
      </c>
      <c r="L73" s="84">
        <f t="shared" si="20"/>
        <v>2540.58</v>
      </c>
      <c r="M73" s="84"/>
      <c r="N73" s="84"/>
      <c r="O73" s="84"/>
      <c r="P73" s="84" t="str">
        <f>IF(((P71="")*AND(P72="")),"",(P71-P72)*2)</f>
        <v/>
      </c>
      <c r="Q73" s="42"/>
      <c r="R73" s="42"/>
      <c r="S73" s="42"/>
      <c r="T73" s="42"/>
      <c r="U73" s="80"/>
      <c r="V73" s="275"/>
      <c r="W73" s="42"/>
      <c r="X73" s="255"/>
      <c r="Y73" s="122"/>
      <c r="Z73" s="37">
        <v>4955</v>
      </c>
      <c r="AA73" s="37">
        <v>9645</v>
      </c>
      <c r="AB73" s="37">
        <v>6980</v>
      </c>
      <c r="AC73" s="37">
        <v>7960</v>
      </c>
      <c r="AD73" s="69">
        <v>5.8</v>
      </c>
      <c r="AE73" s="69">
        <v>10</v>
      </c>
    </row>
    <row r="74" spans="1:31" ht="12.75" customHeight="1" x14ac:dyDescent="0.25">
      <c r="A74" s="278">
        <v>42614</v>
      </c>
      <c r="B74" s="57" t="s">
        <v>206</v>
      </c>
      <c r="C74" s="61" t="s">
        <v>205</v>
      </c>
      <c r="D74" s="35">
        <v>7122.86</v>
      </c>
      <c r="E74" s="35">
        <v>7316.15</v>
      </c>
      <c r="F74" s="35">
        <v>7096.15</v>
      </c>
      <c r="G74" s="35">
        <v>7097.93</v>
      </c>
      <c r="H74" s="35">
        <v>7260.97</v>
      </c>
      <c r="I74" s="35">
        <v>7169.85</v>
      </c>
      <c r="J74" s="35">
        <v>7140.44</v>
      </c>
      <c r="K74" s="35">
        <v>7096.97</v>
      </c>
      <c r="L74" s="35">
        <v>7173.52</v>
      </c>
      <c r="M74" s="35">
        <v>7192.56</v>
      </c>
      <c r="N74" s="35">
        <v>7351.48</v>
      </c>
      <c r="O74" s="35">
        <v>7197.65</v>
      </c>
      <c r="P74" s="35">
        <v>7249.18</v>
      </c>
      <c r="Q74" s="50">
        <f>IF((L75=""),"",MAX(D76:P76))</f>
        <v>5371.16</v>
      </c>
      <c r="R74" s="125">
        <f>IF(P75="","",MIN(D76:P76))</f>
        <v>5260.99</v>
      </c>
      <c r="S74" s="53">
        <f>IF((P76=""),"",AVERAGE(D76:P76))</f>
        <v>5321.9792307692305</v>
      </c>
      <c r="T74" s="53">
        <f>IF((P75=""),"",(Q74-R74)/(Q74+R74)*100)</f>
        <v>1.0361968181412047</v>
      </c>
      <c r="U74" s="52">
        <f>STDEV(D76:P76)</f>
        <v>36.215023231972445</v>
      </c>
      <c r="V74" s="276" t="str">
        <f>IF(P75="","",IF(T74&lt;2.7,IF(S74&gt;5150,IF(S74&lt;5600,"Pass","Fail"),"Fail"),"Fail"))</f>
        <v>Pass</v>
      </c>
      <c r="W74" s="57">
        <v>1159</v>
      </c>
      <c r="X74" s="255"/>
      <c r="Y74" s="124"/>
      <c r="Z74" s="71">
        <v>4470</v>
      </c>
      <c r="AA74" s="71">
        <v>6020</v>
      </c>
      <c r="AB74" s="71">
        <v>5150</v>
      </c>
      <c r="AC74" s="71">
        <v>5600</v>
      </c>
      <c r="AD74" s="70">
        <v>2.7</v>
      </c>
      <c r="AE74" s="69">
        <v>10</v>
      </c>
    </row>
    <row r="75" spans="1:31" ht="12.75" customHeight="1" x14ac:dyDescent="0.25">
      <c r="A75" s="279"/>
      <c r="B75" s="47"/>
      <c r="C75" s="56" t="s">
        <v>204</v>
      </c>
      <c r="D75" s="35">
        <v>1835.41</v>
      </c>
      <c r="E75" s="35">
        <v>1985.59</v>
      </c>
      <c r="F75" s="35">
        <v>1835.16</v>
      </c>
      <c r="G75" s="35">
        <v>1805.91</v>
      </c>
      <c r="H75" s="35">
        <v>1907.23</v>
      </c>
      <c r="I75" s="35">
        <v>1798.69</v>
      </c>
      <c r="J75" s="35">
        <v>1827.42</v>
      </c>
      <c r="K75" s="35">
        <v>1779.25</v>
      </c>
      <c r="L75" s="35">
        <v>1901.64</v>
      </c>
      <c r="M75" s="35">
        <v>1842.46</v>
      </c>
      <c r="N75" s="35">
        <v>1987.25</v>
      </c>
      <c r="O75" s="35">
        <v>1881.54</v>
      </c>
      <c r="P75" s="35">
        <v>1892.43</v>
      </c>
      <c r="Q75" s="47"/>
      <c r="R75" s="47"/>
      <c r="S75" s="47"/>
      <c r="T75" s="47"/>
      <c r="U75" s="47"/>
      <c r="V75" s="274"/>
      <c r="W75" s="47"/>
      <c r="X75" s="255"/>
      <c r="Y75" s="123"/>
      <c r="Z75" s="37">
        <v>4955</v>
      </c>
      <c r="AA75" s="37">
        <v>9645</v>
      </c>
      <c r="AB75" s="37">
        <v>6980</v>
      </c>
      <c r="AC75" s="37">
        <v>7960</v>
      </c>
      <c r="AD75" s="69">
        <v>5.8</v>
      </c>
      <c r="AE75" s="69">
        <v>10</v>
      </c>
    </row>
    <row r="76" spans="1:31" ht="24.8" customHeight="1" thickBot="1" x14ac:dyDescent="0.3">
      <c r="A76" s="282"/>
      <c r="B76" s="80"/>
      <c r="C76" s="56" t="s">
        <v>203</v>
      </c>
      <c r="D76" s="97">
        <f t="shared" ref="D76:P76" si="21">IF(((D74="")*AND(D75="")),"",(D74-D75))</f>
        <v>5287.45</v>
      </c>
      <c r="E76" s="97">
        <f t="shared" si="21"/>
        <v>5330.5599999999995</v>
      </c>
      <c r="F76" s="97">
        <f t="shared" si="21"/>
        <v>5260.99</v>
      </c>
      <c r="G76" s="97">
        <f t="shared" si="21"/>
        <v>5292.02</v>
      </c>
      <c r="H76" s="97">
        <f t="shared" si="21"/>
        <v>5353.74</v>
      </c>
      <c r="I76" s="97">
        <f t="shared" si="21"/>
        <v>5371.16</v>
      </c>
      <c r="J76" s="97">
        <f t="shared" si="21"/>
        <v>5313.0199999999995</v>
      </c>
      <c r="K76" s="97">
        <f t="shared" si="21"/>
        <v>5317.72</v>
      </c>
      <c r="L76" s="97">
        <f t="shared" si="21"/>
        <v>5271.88</v>
      </c>
      <c r="M76" s="97">
        <f t="shared" si="21"/>
        <v>5350.1</v>
      </c>
      <c r="N76" s="97">
        <f t="shared" si="21"/>
        <v>5364.23</v>
      </c>
      <c r="O76" s="97">
        <f t="shared" si="21"/>
        <v>5316.11</v>
      </c>
      <c r="P76" s="97">
        <f t="shared" si="21"/>
        <v>5356.75</v>
      </c>
      <c r="Q76" s="80"/>
      <c r="R76" s="80"/>
      <c r="S76" s="80"/>
      <c r="T76" s="80"/>
      <c r="U76" s="80"/>
      <c r="V76" s="277"/>
      <c r="W76" s="80"/>
      <c r="X76" s="255"/>
      <c r="Y76" s="123"/>
      <c r="Z76" s="37">
        <v>4955</v>
      </c>
      <c r="AA76" s="37">
        <v>9645</v>
      </c>
      <c r="AB76" s="37">
        <v>6980</v>
      </c>
      <c r="AC76" s="37">
        <v>7960</v>
      </c>
      <c r="AD76" s="69">
        <v>5.8</v>
      </c>
      <c r="AE76" s="69">
        <v>10</v>
      </c>
    </row>
    <row r="77" spans="1:31" x14ac:dyDescent="0.25">
      <c r="A77" s="281">
        <v>42614</v>
      </c>
      <c r="B77" s="50" t="s">
        <v>208</v>
      </c>
      <c r="C77" s="56" t="s">
        <v>205</v>
      </c>
      <c r="D77" s="35">
        <v>6105.15</v>
      </c>
      <c r="E77" s="35">
        <v>6263.05</v>
      </c>
      <c r="F77" s="35">
        <v>6287.75</v>
      </c>
      <c r="G77" s="35">
        <v>6262.28</v>
      </c>
      <c r="H77" s="35">
        <v>6106.61</v>
      </c>
      <c r="I77" s="35">
        <v>6239.49</v>
      </c>
      <c r="J77" s="35">
        <v>6260.81</v>
      </c>
      <c r="K77" s="35">
        <v>6268.96</v>
      </c>
      <c r="L77" s="35">
        <v>6160.46</v>
      </c>
      <c r="M77" s="55"/>
      <c r="N77" s="55"/>
      <c r="O77" s="55"/>
      <c r="P77" s="55"/>
      <c r="Q77" s="50">
        <f>IF((L78=""),"",MAX(D79:L79))</f>
        <v>9005.9400000000041</v>
      </c>
      <c r="R77" s="50">
        <f>IF(L78="","",MIN(D79:L79))</f>
        <v>8378.8199999999961</v>
      </c>
      <c r="S77" s="77">
        <f>IF((L79=""),"",AVERAGE(D79:L79))</f>
        <v>8781.4466666666649</v>
      </c>
      <c r="T77" s="53">
        <f>IF((L78=""),"",(Q77-R77)/(Q77+R77)*100)</f>
        <v>3.6072974260214581</v>
      </c>
      <c r="U77" s="50">
        <f>STDEV(D79:P79)</f>
        <v>234.65689165247352</v>
      </c>
      <c r="V77" s="273" t="str">
        <f>IF(L78="","",IF(T77&lt;7.3,IF(S77&gt;5700,IF(S77&lt;7200,"Pass","Fail"),"Fail"),"Fail"))</f>
        <v>Fail</v>
      </c>
      <c r="W77" s="57">
        <v>1159</v>
      </c>
      <c r="X77" s="255"/>
      <c r="Y77" s="124" t="s">
        <v>265</v>
      </c>
      <c r="Z77" s="37">
        <v>4955</v>
      </c>
      <c r="AA77" s="37">
        <v>9645</v>
      </c>
      <c r="AB77" s="37">
        <v>5100</v>
      </c>
      <c r="AC77" s="37">
        <v>8300</v>
      </c>
      <c r="AD77" s="69">
        <v>9.8000000000000007</v>
      </c>
      <c r="AE77" s="69">
        <v>10</v>
      </c>
    </row>
    <row r="78" spans="1:31" ht="12.75" customHeight="1" x14ac:dyDescent="0.25">
      <c r="A78" s="279"/>
      <c r="B78" s="47"/>
      <c r="C78" s="56" t="s">
        <v>204</v>
      </c>
      <c r="D78" s="35">
        <v>4697.41</v>
      </c>
      <c r="E78" s="35">
        <v>4777.16</v>
      </c>
      <c r="F78" s="35">
        <v>4805.8100000000004</v>
      </c>
      <c r="G78" s="35">
        <v>4762</v>
      </c>
      <c r="H78" s="35">
        <v>4710.1400000000003</v>
      </c>
      <c r="I78" s="35">
        <v>4786.51</v>
      </c>
      <c r="J78" s="35">
        <v>4759.82</v>
      </c>
      <c r="K78" s="35">
        <v>4776.71</v>
      </c>
      <c r="L78" s="35">
        <v>4706.83</v>
      </c>
      <c r="M78" s="55"/>
      <c r="N78" s="55"/>
      <c r="O78" s="55"/>
      <c r="P78" s="55"/>
      <c r="Q78" s="47"/>
      <c r="R78" s="47"/>
      <c r="S78" s="47"/>
      <c r="T78" s="47"/>
      <c r="U78" s="47"/>
      <c r="V78" s="274"/>
      <c r="W78" s="47"/>
      <c r="X78" s="255"/>
      <c r="Y78" s="123"/>
      <c r="Z78" s="37">
        <v>4955</v>
      </c>
      <c r="AA78" s="37">
        <v>9645</v>
      </c>
      <c r="AB78" s="37">
        <v>6980</v>
      </c>
      <c r="AC78" s="37">
        <v>7960</v>
      </c>
      <c r="AD78" s="69">
        <v>5.8</v>
      </c>
      <c r="AE78" s="69">
        <v>10</v>
      </c>
    </row>
    <row r="79" spans="1:31" s="249" customFormat="1" ht="24.8" customHeight="1" x14ac:dyDescent="0.25">
      <c r="A79" s="282"/>
      <c r="B79" s="80"/>
      <c r="C79" s="56" t="s">
        <v>203</v>
      </c>
      <c r="D79" s="97">
        <f t="shared" ref="D79:L79" si="22">IF(((D77="")*AND(D78="")),"",(D77-D78)*6)</f>
        <v>8446.4399999999987</v>
      </c>
      <c r="E79" s="97">
        <f t="shared" si="22"/>
        <v>8915.340000000002</v>
      </c>
      <c r="F79" s="97">
        <f t="shared" si="22"/>
        <v>8891.6399999999976</v>
      </c>
      <c r="G79" s="97">
        <f t="shared" si="22"/>
        <v>9001.6799999999985</v>
      </c>
      <c r="H79" s="97">
        <f t="shared" si="22"/>
        <v>8378.8199999999961</v>
      </c>
      <c r="I79" s="97">
        <f t="shared" si="22"/>
        <v>8717.8799999999974</v>
      </c>
      <c r="J79" s="97">
        <f t="shared" si="22"/>
        <v>9005.9400000000041</v>
      </c>
      <c r="K79" s="97">
        <f t="shared" si="22"/>
        <v>8953.5</v>
      </c>
      <c r="L79" s="97">
        <f t="shared" si="22"/>
        <v>8721.7800000000007</v>
      </c>
      <c r="M79" s="97"/>
      <c r="N79" s="97"/>
      <c r="O79" s="97"/>
      <c r="P79" s="97" t="str">
        <f>IF(((P77="")*AND(P78="")),"",(P77-P78)*2)</f>
        <v/>
      </c>
      <c r="Q79" s="80"/>
      <c r="R79" s="80"/>
      <c r="S79" s="80"/>
      <c r="T79" s="80"/>
      <c r="U79" s="80"/>
      <c r="V79" s="277"/>
      <c r="W79" s="80"/>
      <c r="X79" s="256"/>
      <c r="Y79" s="246"/>
      <c r="Z79" s="247">
        <v>4955</v>
      </c>
      <c r="AA79" s="247">
        <v>9645</v>
      </c>
      <c r="AB79" s="247">
        <v>6980</v>
      </c>
      <c r="AC79" s="247">
        <v>7960</v>
      </c>
      <c r="AD79" s="248">
        <v>5.8</v>
      </c>
      <c r="AE79" s="248">
        <v>10</v>
      </c>
    </row>
    <row r="80" spans="1:31" ht="12.75" customHeight="1" x14ac:dyDescent="0.25">
      <c r="A80" s="279">
        <v>42630</v>
      </c>
      <c r="B80" s="47" t="s">
        <v>206</v>
      </c>
      <c r="C80" s="80" t="s">
        <v>205</v>
      </c>
      <c r="D80" s="35">
        <v>7095.18</v>
      </c>
      <c r="E80" s="35">
        <v>7281.35</v>
      </c>
      <c r="F80" s="35">
        <v>7075.28</v>
      </c>
      <c r="G80" s="35">
        <v>7091.42</v>
      </c>
      <c r="H80" s="35">
        <v>7219.11</v>
      </c>
      <c r="I80" s="35">
        <v>7146.12</v>
      </c>
      <c r="J80" s="35">
        <v>7140.22</v>
      </c>
      <c r="K80" s="35">
        <v>7100.8</v>
      </c>
      <c r="L80" s="35">
        <v>7159.11</v>
      </c>
      <c r="M80" s="35">
        <v>7194.6</v>
      </c>
      <c r="N80" s="35">
        <v>7325.88</v>
      </c>
      <c r="O80" s="35">
        <v>7191.84</v>
      </c>
      <c r="P80" s="35">
        <v>7234.27</v>
      </c>
      <c r="Q80" s="47">
        <f>IF((L81=""),"",MAX(D82:P82))</f>
        <v>5388.05</v>
      </c>
      <c r="R80" s="245">
        <f>IF(P81="","",MIN(D82:P82))</f>
        <v>5320.2199999999993</v>
      </c>
      <c r="S80" s="109">
        <f>IF((P82=""),"",AVERAGE(D82:P82))</f>
        <v>5357.123846153846</v>
      </c>
      <c r="T80" s="109">
        <f>IF((P81=""),"",(Q80-R80)/(Q80+R80)*100)</f>
        <v>0.6334356530046481</v>
      </c>
      <c r="U80" s="109">
        <f>STDEV(D82:P82)</f>
        <v>23.585432841219887</v>
      </c>
      <c r="V80" s="274" t="str">
        <f>IF(P81="","",IF(T80&lt;2.7,IF(S80&gt;5150,IF(S80&lt;5600,"Pass","Fail"),"Fail"),"Fail"))</f>
        <v>Pass</v>
      </c>
      <c r="W80" s="47">
        <v>1400</v>
      </c>
      <c r="X80" s="255" t="s">
        <v>271</v>
      </c>
      <c r="Y80" s="114" t="s">
        <v>265</v>
      </c>
      <c r="Z80" s="71">
        <v>4470</v>
      </c>
      <c r="AA80" s="71">
        <v>6020</v>
      </c>
      <c r="AB80" s="71">
        <v>5150</v>
      </c>
      <c r="AC80" s="71">
        <v>5600</v>
      </c>
      <c r="AD80" s="70">
        <v>2.7</v>
      </c>
      <c r="AE80" s="69">
        <v>10</v>
      </c>
    </row>
    <row r="81" spans="1:31" ht="12.75" customHeight="1" x14ac:dyDescent="0.25">
      <c r="A81" s="279"/>
      <c r="B81" s="47"/>
      <c r="C81" s="56" t="s">
        <v>204</v>
      </c>
      <c r="D81" s="35">
        <v>1765.73</v>
      </c>
      <c r="E81" s="35">
        <v>1933.7</v>
      </c>
      <c r="F81" s="35">
        <v>1755.06</v>
      </c>
      <c r="G81" s="35">
        <v>1757.45</v>
      </c>
      <c r="H81" s="35">
        <v>1861.01</v>
      </c>
      <c r="I81" s="35">
        <v>1758.59</v>
      </c>
      <c r="J81" s="35">
        <v>1786.33</v>
      </c>
      <c r="K81" s="35">
        <v>1732.5</v>
      </c>
      <c r="L81" s="35">
        <v>1828.63</v>
      </c>
      <c r="M81" s="35">
        <v>1806.55</v>
      </c>
      <c r="N81" s="35">
        <v>1949.48</v>
      </c>
      <c r="O81" s="35">
        <v>1828.37</v>
      </c>
      <c r="P81" s="35">
        <v>1849.17</v>
      </c>
      <c r="Q81" s="47"/>
      <c r="R81" s="47"/>
      <c r="S81" s="47"/>
      <c r="T81" s="47"/>
      <c r="U81" s="47"/>
      <c r="V81" s="274"/>
      <c r="W81" s="47"/>
      <c r="X81" s="255"/>
      <c r="Y81" s="123"/>
      <c r="Z81" s="37">
        <v>4955</v>
      </c>
      <c r="AA81" s="37">
        <v>9645</v>
      </c>
      <c r="AB81" s="37">
        <v>6980</v>
      </c>
      <c r="AC81" s="37">
        <v>7960</v>
      </c>
      <c r="AD81" s="69">
        <v>5.8</v>
      </c>
      <c r="AE81" s="69">
        <v>10</v>
      </c>
    </row>
    <row r="82" spans="1:31" ht="24.8" customHeight="1" thickBot="1" x14ac:dyDescent="0.3">
      <c r="A82" s="282"/>
      <c r="B82" s="80"/>
      <c r="C82" s="56" t="s">
        <v>203</v>
      </c>
      <c r="D82" s="97">
        <f t="shared" ref="D82:P82" si="23">IF(((D80="")*AND(D81="")),"",(D80-D81))</f>
        <v>5329.4500000000007</v>
      </c>
      <c r="E82" s="97">
        <f t="shared" si="23"/>
        <v>5347.6500000000005</v>
      </c>
      <c r="F82" s="97">
        <f t="shared" si="23"/>
        <v>5320.2199999999993</v>
      </c>
      <c r="G82" s="97">
        <f t="shared" si="23"/>
        <v>5333.97</v>
      </c>
      <c r="H82" s="97">
        <f t="shared" si="23"/>
        <v>5358.0999999999995</v>
      </c>
      <c r="I82" s="97">
        <f t="shared" si="23"/>
        <v>5387.53</v>
      </c>
      <c r="J82" s="97">
        <f t="shared" si="23"/>
        <v>5353.89</v>
      </c>
      <c r="K82" s="97">
        <f t="shared" si="23"/>
        <v>5368.3</v>
      </c>
      <c r="L82" s="97">
        <f t="shared" si="23"/>
        <v>5330.48</v>
      </c>
      <c r="M82" s="97">
        <f t="shared" si="23"/>
        <v>5388.05</v>
      </c>
      <c r="N82" s="97">
        <f t="shared" si="23"/>
        <v>5376.4</v>
      </c>
      <c r="O82" s="97">
        <f t="shared" si="23"/>
        <v>5363.47</v>
      </c>
      <c r="P82" s="97">
        <f t="shared" si="23"/>
        <v>5385.1</v>
      </c>
      <c r="Q82" s="80"/>
      <c r="R82" s="80"/>
      <c r="S82" s="80"/>
      <c r="T82" s="80"/>
      <c r="U82" s="80"/>
      <c r="V82" s="277"/>
      <c r="W82" s="80"/>
      <c r="X82" s="255"/>
      <c r="Y82" s="123"/>
      <c r="Z82" s="37">
        <v>4955</v>
      </c>
      <c r="AA82" s="37">
        <v>9645</v>
      </c>
      <c r="AB82" s="37">
        <v>6980</v>
      </c>
      <c r="AC82" s="37">
        <v>7960</v>
      </c>
      <c r="AD82" s="69">
        <v>5.8</v>
      </c>
      <c r="AE82" s="69">
        <v>10</v>
      </c>
    </row>
    <row r="83" spans="1:31" x14ac:dyDescent="0.25">
      <c r="A83" s="278">
        <v>42630</v>
      </c>
      <c r="B83" s="50" t="s">
        <v>208</v>
      </c>
      <c r="C83" s="56" t="s">
        <v>205</v>
      </c>
      <c r="D83" s="35">
        <v>5934.87</v>
      </c>
      <c r="E83" s="35">
        <v>6110.92</v>
      </c>
      <c r="F83" s="35">
        <v>6122.45</v>
      </c>
      <c r="G83" s="35">
        <v>6115.58</v>
      </c>
      <c r="H83" s="35">
        <v>5938.15</v>
      </c>
      <c r="I83" s="35">
        <v>6218.22</v>
      </c>
      <c r="J83" s="35">
        <v>6104.48</v>
      </c>
      <c r="K83" s="35">
        <v>6114.33</v>
      </c>
      <c r="L83" s="35">
        <v>6025.17</v>
      </c>
      <c r="M83" s="55"/>
      <c r="N83" s="55"/>
      <c r="O83" s="55"/>
      <c r="P83" s="55"/>
      <c r="Q83" s="50">
        <f>IF((L84=""),"",MAX(D85:L85))</f>
        <v>7023.6600000000008</v>
      </c>
      <c r="R83" s="50">
        <f>IF(L84="","",MIN(D85:L85))</f>
        <v>6460.58</v>
      </c>
      <c r="S83" s="77">
        <f>IF((L85=""),"",AVERAGE(D85:L85))</f>
        <v>6633.2355555555559</v>
      </c>
      <c r="T83" s="53">
        <f>IF((L84=""),"",(Q83-R83)/(Q83+R83)*100)</f>
        <v>4.1758378670210616</v>
      </c>
      <c r="U83" s="50">
        <f>STDEV(D85:P85)</f>
        <v>184.01349781409476</v>
      </c>
      <c r="V83" s="273" t="str">
        <f>IF(L84="","",IF(T83&lt;7.3,IF(S83&gt;5700,IF(S83&lt;7200,"Pass","Fail"),"Fail"),"Fail"))</f>
        <v>Pass</v>
      </c>
      <c r="W83" s="57">
        <v>1400</v>
      </c>
      <c r="X83" s="255" t="s">
        <v>271</v>
      </c>
      <c r="Y83" s="124" t="s">
        <v>265</v>
      </c>
      <c r="Z83" s="37">
        <v>4955</v>
      </c>
      <c r="AA83" s="37">
        <v>9645</v>
      </c>
      <c r="AB83" s="37">
        <v>5100</v>
      </c>
      <c r="AC83" s="37">
        <v>8300</v>
      </c>
      <c r="AD83" s="69">
        <v>9.8000000000000007</v>
      </c>
      <c r="AE83" s="69">
        <v>10</v>
      </c>
    </row>
    <row r="84" spans="1:31" ht="12.75" customHeight="1" x14ac:dyDescent="0.25">
      <c r="A84" s="279"/>
      <c r="B84" s="47"/>
      <c r="C84" s="56" t="s">
        <v>204</v>
      </c>
      <c r="D84" s="35">
        <v>2643.68</v>
      </c>
      <c r="E84" s="35">
        <v>2880.63</v>
      </c>
      <c r="F84" s="35">
        <v>2885.7</v>
      </c>
      <c r="G84" s="35">
        <v>2819.16</v>
      </c>
      <c r="H84" s="35">
        <v>2546.31</v>
      </c>
      <c r="I84" s="35">
        <v>2706.39</v>
      </c>
      <c r="J84" s="35">
        <v>2850.62</v>
      </c>
      <c r="K84" s="35">
        <v>2846.25</v>
      </c>
      <c r="L84" s="35">
        <v>2655.87</v>
      </c>
      <c r="M84" s="55"/>
      <c r="N84" s="55"/>
      <c r="O84" s="55"/>
      <c r="P84" s="55"/>
      <c r="Q84" s="47"/>
      <c r="R84" s="47"/>
      <c r="S84" s="47"/>
      <c r="T84" s="47"/>
      <c r="U84" s="47"/>
      <c r="V84" s="274"/>
      <c r="W84" s="47"/>
      <c r="X84" s="255"/>
      <c r="Y84" s="123"/>
      <c r="Z84" s="37">
        <v>4955</v>
      </c>
      <c r="AA84" s="37">
        <v>9645</v>
      </c>
      <c r="AB84" s="37">
        <v>6980</v>
      </c>
      <c r="AC84" s="37">
        <v>7960</v>
      </c>
      <c r="AD84" s="69">
        <v>5.8</v>
      </c>
      <c r="AE84" s="69">
        <v>10</v>
      </c>
    </row>
    <row r="85" spans="1:31" ht="24.8" customHeight="1" thickBot="1" x14ac:dyDescent="0.3">
      <c r="A85" s="280"/>
      <c r="B85" s="42"/>
      <c r="C85" s="76" t="s">
        <v>203</v>
      </c>
      <c r="D85" s="84">
        <f t="shared" ref="D85:L85" si="24">IF(((D83="")*AND(D84="")),"",(D83-D84)*2)</f>
        <v>6582.38</v>
      </c>
      <c r="E85" s="84">
        <f t="shared" si="24"/>
        <v>6460.58</v>
      </c>
      <c r="F85" s="84">
        <f t="shared" si="24"/>
        <v>6473.5</v>
      </c>
      <c r="G85" s="84">
        <f t="shared" si="24"/>
        <v>6592.84</v>
      </c>
      <c r="H85" s="84">
        <f t="shared" si="24"/>
        <v>6783.6799999999994</v>
      </c>
      <c r="I85" s="84">
        <f t="shared" si="24"/>
        <v>7023.6600000000008</v>
      </c>
      <c r="J85" s="84">
        <f t="shared" si="24"/>
        <v>6507.7199999999993</v>
      </c>
      <c r="K85" s="84">
        <f t="shared" si="24"/>
        <v>6536.16</v>
      </c>
      <c r="L85" s="84">
        <f t="shared" si="24"/>
        <v>6738.6</v>
      </c>
      <c r="M85" s="84"/>
      <c r="N85" s="84"/>
      <c r="O85" s="84"/>
      <c r="P85" s="84" t="str">
        <f>IF(((P83="")*AND(P84="")),"",(P83-P84)*2)</f>
        <v/>
      </c>
      <c r="Q85" s="42"/>
      <c r="R85" s="42"/>
      <c r="S85" s="42"/>
      <c r="T85" s="42"/>
      <c r="U85" s="80"/>
      <c r="V85" s="275"/>
      <c r="W85" s="42"/>
      <c r="X85" s="255"/>
      <c r="Y85" s="122"/>
      <c r="Z85" s="37">
        <v>4955</v>
      </c>
      <c r="AA85" s="37">
        <v>9645</v>
      </c>
      <c r="AB85" s="37">
        <v>6980</v>
      </c>
      <c r="AC85" s="37">
        <v>7960</v>
      </c>
      <c r="AD85" s="69">
        <v>5.8</v>
      </c>
      <c r="AE85" s="69">
        <v>10</v>
      </c>
    </row>
    <row r="86" spans="1:31" ht="12.75" customHeight="1" x14ac:dyDescent="0.25">
      <c r="A86" s="278">
        <v>42634</v>
      </c>
      <c r="B86" s="57" t="s">
        <v>206</v>
      </c>
      <c r="C86" s="61" t="s">
        <v>205</v>
      </c>
      <c r="D86" s="35">
        <v>6981.26</v>
      </c>
      <c r="E86" s="35">
        <v>7170.72</v>
      </c>
      <c r="F86" s="35">
        <v>6963.79</v>
      </c>
      <c r="G86" s="35">
        <v>6964.26</v>
      </c>
      <c r="H86" s="35">
        <v>7113.83</v>
      </c>
      <c r="I86" s="35">
        <v>7031.29</v>
      </c>
      <c r="J86" s="35">
        <v>7006.81</v>
      </c>
      <c r="K86" s="35">
        <v>6966.44</v>
      </c>
      <c r="L86" s="35">
        <v>7042.31</v>
      </c>
      <c r="M86" s="35">
        <v>7060.59</v>
      </c>
      <c r="N86" s="35">
        <v>7209.23</v>
      </c>
      <c r="O86" s="35">
        <v>7067.11</v>
      </c>
      <c r="P86" s="35">
        <v>7111.67</v>
      </c>
      <c r="Q86" s="50">
        <f>IF((L87=""),"",MAX(D88:P88))</f>
        <v>5387.75</v>
      </c>
      <c r="R86" s="125">
        <f>IF(P87="","",MIN(D88:P88))</f>
        <v>5281.1</v>
      </c>
      <c r="S86" s="53">
        <f>IF((P88=""),"",AVERAGE(D88:P88))</f>
        <v>5338.9792307692305</v>
      </c>
      <c r="T86" s="53">
        <f>IF((P87=""),"",(Q86-R86)/(Q86+R86)*100)</f>
        <v>0.99963913636427204</v>
      </c>
      <c r="U86" s="52">
        <f>STDEV(D88:P88)</f>
        <v>36.53112222510606</v>
      </c>
      <c r="V86" s="276" t="str">
        <f>IF(P87="","",IF(T86&lt;2.7,IF(S86&gt;5150,IF(S86&lt;5600,"Pass","Fail"),"Fail"),"Fail"))</f>
        <v>Pass</v>
      </c>
      <c r="W86" s="57">
        <v>1335</v>
      </c>
      <c r="X86" s="255"/>
      <c r="Y86" s="124" t="s">
        <v>265</v>
      </c>
      <c r="Z86" s="71">
        <v>4470</v>
      </c>
      <c r="AA86" s="71">
        <v>6020</v>
      </c>
      <c r="AB86" s="71">
        <v>5150</v>
      </c>
      <c r="AC86" s="71">
        <v>5600</v>
      </c>
      <c r="AD86" s="70">
        <v>2.7</v>
      </c>
      <c r="AE86" s="69">
        <v>10</v>
      </c>
    </row>
    <row r="87" spans="1:31" ht="12.75" customHeight="1" x14ac:dyDescent="0.25">
      <c r="A87" s="279"/>
      <c r="B87" s="47"/>
      <c r="C87" s="56" t="s">
        <v>204</v>
      </c>
      <c r="D87" s="35">
        <v>1672.06</v>
      </c>
      <c r="E87" s="35">
        <v>1822.55</v>
      </c>
      <c r="F87" s="35">
        <v>1682.69</v>
      </c>
      <c r="G87" s="35">
        <v>1655.1</v>
      </c>
      <c r="H87" s="35">
        <v>1738.54</v>
      </c>
      <c r="I87" s="35">
        <v>1650.3</v>
      </c>
      <c r="J87" s="35">
        <v>1681.8</v>
      </c>
      <c r="K87" s="35">
        <v>1636.28</v>
      </c>
      <c r="L87" s="35">
        <v>1756.68</v>
      </c>
      <c r="M87" s="35">
        <v>1695.36</v>
      </c>
      <c r="N87" s="35">
        <v>1821.48</v>
      </c>
      <c r="O87" s="35">
        <v>1735.51</v>
      </c>
      <c r="P87" s="35">
        <v>1734.23</v>
      </c>
      <c r="Q87" s="47"/>
      <c r="R87" s="47"/>
      <c r="S87" s="47"/>
      <c r="T87" s="47"/>
      <c r="U87" s="47"/>
      <c r="V87" s="274"/>
      <c r="W87" s="47"/>
      <c r="X87" s="255"/>
      <c r="Y87" s="123"/>
      <c r="Z87" s="37">
        <v>4955</v>
      </c>
      <c r="AA87" s="37">
        <v>9645</v>
      </c>
      <c r="AB87" s="37">
        <v>6980</v>
      </c>
      <c r="AC87" s="37">
        <v>7960</v>
      </c>
      <c r="AD87" s="69">
        <v>5.8</v>
      </c>
      <c r="AE87" s="69">
        <v>10</v>
      </c>
    </row>
    <row r="88" spans="1:31" ht="24.8" customHeight="1" thickBot="1" x14ac:dyDescent="0.3">
      <c r="A88" s="282"/>
      <c r="B88" s="80"/>
      <c r="C88" s="56" t="s">
        <v>203</v>
      </c>
      <c r="D88" s="97">
        <f t="shared" ref="D88:P88" si="25">IF(((D86="")*AND(D87="")),"",(D86-D87))</f>
        <v>5309.2000000000007</v>
      </c>
      <c r="E88" s="97">
        <f t="shared" si="25"/>
        <v>5348.17</v>
      </c>
      <c r="F88" s="97">
        <f t="shared" si="25"/>
        <v>5281.1</v>
      </c>
      <c r="G88" s="97">
        <f t="shared" si="25"/>
        <v>5309.16</v>
      </c>
      <c r="H88" s="97">
        <f t="shared" si="25"/>
        <v>5375.29</v>
      </c>
      <c r="I88" s="97">
        <f t="shared" si="25"/>
        <v>5380.99</v>
      </c>
      <c r="J88" s="97">
        <f t="shared" si="25"/>
        <v>5325.01</v>
      </c>
      <c r="K88" s="97">
        <f t="shared" si="25"/>
        <v>5330.16</v>
      </c>
      <c r="L88" s="97">
        <f t="shared" si="25"/>
        <v>5285.63</v>
      </c>
      <c r="M88" s="97">
        <f t="shared" si="25"/>
        <v>5365.2300000000005</v>
      </c>
      <c r="N88" s="97">
        <f t="shared" si="25"/>
        <v>5387.75</v>
      </c>
      <c r="O88" s="97">
        <f t="shared" si="25"/>
        <v>5331.5999999999995</v>
      </c>
      <c r="P88" s="97">
        <f t="shared" si="25"/>
        <v>5377.4400000000005</v>
      </c>
      <c r="Q88" s="80"/>
      <c r="R88" s="80"/>
      <c r="S88" s="80"/>
      <c r="T88" s="80"/>
      <c r="U88" s="80"/>
      <c r="V88" s="277"/>
      <c r="W88" s="80"/>
      <c r="X88" s="255"/>
      <c r="Y88" s="123"/>
      <c r="Z88" s="37">
        <v>4955</v>
      </c>
      <c r="AA88" s="37">
        <v>9645</v>
      </c>
      <c r="AB88" s="37">
        <v>6980</v>
      </c>
      <c r="AC88" s="37">
        <v>7960</v>
      </c>
      <c r="AD88" s="69">
        <v>5.8</v>
      </c>
      <c r="AE88" s="69">
        <v>10</v>
      </c>
    </row>
    <row r="89" spans="1:31" x14ac:dyDescent="0.25">
      <c r="A89" s="278">
        <v>42634</v>
      </c>
      <c r="B89" s="50" t="s">
        <v>208</v>
      </c>
      <c r="C89" s="56" t="s">
        <v>205</v>
      </c>
      <c r="D89" s="35">
        <v>6133.71</v>
      </c>
      <c r="E89" s="35">
        <v>6281.17</v>
      </c>
      <c r="F89" s="35">
        <v>6292.24</v>
      </c>
      <c r="G89" s="35">
        <v>6258.83</v>
      </c>
      <c r="H89" s="35">
        <v>6094.24</v>
      </c>
      <c r="I89" s="35">
        <v>6221.97</v>
      </c>
      <c r="J89" s="35">
        <v>6281.74</v>
      </c>
      <c r="K89" s="35">
        <v>6213.07</v>
      </c>
      <c r="L89" s="35">
        <v>6112.86</v>
      </c>
      <c r="M89" s="55"/>
      <c r="N89" s="55"/>
      <c r="O89" s="55"/>
      <c r="P89" s="55"/>
      <c r="Q89" s="50">
        <f>IF((L90=""),"",MAX(D91:L91))</f>
        <v>6998.7400000000007</v>
      </c>
      <c r="R89" s="50">
        <f>IF(L90="","",MIN(D91:L91))</f>
        <v>6818.0399999999991</v>
      </c>
      <c r="S89" s="77">
        <f>IF((L91=""),"",AVERAGE(D91:L91))</f>
        <v>6931.188888888888</v>
      </c>
      <c r="T89" s="53">
        <f>IF((L90=""),"",(Q89-R89)/(Q89+R89)*100)</f>
        <v>1.3078300443374047</v>
      </c>
      <c r="U89" s="50">
        <f>STDEV(D91:P91)</f>
        <v>59.19117257759919</v>
      </c>
      <c r="V89" s="273" t="str">
        <f>IF(L90="","",IF(T89&lt;7.3,IF(S89&gt;5700,IF(S89&lt;7200,"Pass","Fail"),"Fail"),"Fail"))</f>
        <v>Pass</v>
      </c>
      <c r="W89" s="57">
        <v>1335</v>
      </c>
      <c r="X89" s="255"/>
      <c r="Y89" s="124" t="s">
        <v>265</v>
      </c>
      <c r="Z89" s="37">
        <v>4955</v>
      </c>
      <c r="AA89" s="37">
        <v>9645</v>
      </c>
      <c r="AB89" s="37">
        <v>5100</v>
      </c>
      <c r="AC89" s="37">
        <v>8300</v>
      </c>
      <c r="AD89" s="69">
        <v>9.8000000000000007</v>
      </c>
      <c r="AE89" s="69">
        <v>10</v>
      </c>
    </row>
    <row r="90" spans="1:31" ht="12.75" customHeight="1" x14ac:dyDescent="0.25">
      <c r="A90" s="279"/>
      <c r="B90" s="47"/>
      <c r="C90" s="56" t="s">
        <v>204</v>
      </c>
      <c r="D90" s="35">
        <v>2698.68</v>
      </c>
      <c r="E90" s="35">
        <v>2815.7</v>
      </c>
      <c r="F90" s="35">
        <v>2819.86</v>
      </c>
      <c r="G90" s="35">
        <v>2770.07</v>
      </c>
      <c r="H90" s="35">
        <v>2599</v>
      </c>
      <c r="I90" s="35">
        <v>2722.6</v>
      </c>
      <c r="J90" s="35">
        <v>2807.99</v>
      </c>
      <c r="K90" s="35">
        <v>2761.74</v>
      </c>
      <c r="L90" s="35">
        <v>2703.84</v>
      </c>
      <c r="M90" s="55"/>
      <c r="N90" s="55"/>
      <c r="O90" s="55"/>
      <c r="P90" s="55"/>
      <c r="Q90" s="47"/>
      <c r="R90" s="47"/>
      <c r="S90" s="47"/>
      <c r="T90" s="47"/>
      <c r="U90" s="47"/>
      <c r="V90" s="274"/>
      <c r="W90" s="47"/>
      <c r="X90" s="255"/>
      <c r="Y90" s="123"/>
      <c r="Z90" s="37">
        <v>4955</v>
      </c>
      <c r="AA90" s="37">
        <v>9645</v>
      </c>
      <c r="AB90" s="37">
        <v>6980</v>
      </c>
      <c r="AC90" s="37">
        <v>7960</v>
      </c>
      <c r="AD90" s="69">
        <v>5.8</v>
      </c>
      <c r="AE90" s="69">
        <v>10</v>
      </c>
    </row>
    <row r="91" spans="1:31" ht="24.8" customHeight="1" thickBot="1" x14ac:dyDescent="0.3">
      <c r="A91" s="280"/>
      <c r="B91" s="42"/>
      <c r="C91" s="76" t="s">
        <v>203</v>
      </c>
      <c r="D91" s="84">
        <f t="shared" ref="D91:L91" si="26">IF(((D89="")*AND(D90="")),"",(D89-D90)*2)</f>
        <v>6870.06</v>
      </c>
      <c r="E91" s="84">
        <f t="shared" si="26"/>
        <v>6930.9400000000005</v>
      </c>
      <c r="F91" s="84">
        <f t="shared" si="26"/>
        <v>6944.7599999999993</v>
      </c>
      <c r="G91" s="84">
        <f t="shared" si="26"/>
        <v>6977.5199999999995</v>
      </c>
      <c r="H91" s="84">
        <f t="shared" si="26"/>
        <v>6990.48</v>
      </c>
      <c r="I91" s="84">
        <f t="shared" si="26"/>
        <v>6998.7400000000007</v>
      </c>
      <c r="J91" s="84">
        <f t="shared" si="26"/>
        <v>6947.5</v>
      </c>
      <c r="K91" s="84">
        <f t="shared" si="26"/>
        <v>6902.66</v>
      </c>
      <c r="L91" s="84">
        <f t="shared" si="26"/>
        <v>6818.0399999999991</v>
      </c>
      <c r="M91" s="84"/>
      <c r="N91" s="84"/>
      <c r="O91" s="84"/>
      <c r="P91" s="84" t="str">
        <f>IF(((P89="")*AND(P90="")),"",(P89-P90)*2)</f>
        <v/>
      </c>
      <c r="Q91" s="42"/>
      <c r="R91" s="42"/>
      <c r="S91" s="42"/>
      <c r="T91" s="42"/>
      <c r="U91" s="80"/>
      <c r="V91" s="275"/>
      <c r="W91" s="42"/>
      <c r="X91" s="255"/>
      <c r="Y91" s="122"/>
      <c r="Z91" s="37">
        <v>4955</v>
      </c>
      <c r="AA91" s="37">
        <v>9645</v>
      </c>
      <c r="AB91" s="37">
        <v>6980</v>
      </c>
      <c r="AC91" s="37">
        <v>7960</v>
      </c>
      <c r="AD91" s="69">
        <v>5.8</v>
      </c>
      <c r="AE91" s="69">
        <v>10</v>
      </c>
    </row>
    <row r="92" spans="1:31" ht="12.75" customHeight="1" x14ac:dyDescent="0.25">
      <c r="A92" s="278">
        <v>42641</v>
      </c>
      <c r="B92" s="57" t="s">
        <v>206</v>
      </c>
      <c r="C92" s="61" t="s">
        <v>205</v>
      </c>
      <c r="D92" s="35">
        <v>6922.4</v>
      </c>
      <c r="E92" s="35">
        <v>7110.18</v>
      </c>
      <c r="F92" s="35">
        <v>6946.62</v>
      </c>
      <c r="G92" s="35">
        <v>6946.29</v>
      </c>
      <c r="H92" s="35">
        <v>7043.42</v>
      </c>
      <c r="I92" s="35">
        <v>6983.91</v>
      </c>
      <c r="J92" s="35">
        <v>6988.19</v>
      </c>
      <c r="K92" s="35">
        <v>6972.42</v>
      </c>
      <c r="L92" s="35">
        <v>7028.07</v>
      </c>
      <c r="M92" s="35">
        <v>7039.89</v>
      </c>
      <c r="N92" s="35">
        <v>7151.75</v>
      </c>
      <c r="O92" s="35">
        <v>7059</v>
      </c>
      <c r="P92" s="35">
        <v>7070.33</v>
      </c>
      <c r="Q92" s="50">
        <f>IF((L93=""),"",MAX(D94:P94))</f>
        <v>5331.21</v>
      </c>
      <c r="R92" s="125">
        <f>IF(P93="","",MIN(D94:P94))</f>
        <v>5248.01</v>
      </c>
      <c r="S92" s="53">
        <f>IF((P94=""),"",AVERAGE(D94:P94))</f>
        <v>5296.5523076923073</v>
      </c>
      <c r="T92" s="53">
        <f>IF((P93=""),"",(Q92-R92)/(Q92+R92)*100)</f>
        <v>0.78644739404228114</v>
      </c>
      <c r="U92" s="52">
        <f>STDEV(D94:P94)</f>
        <v>28.876065681300396</v>
      </c>
      <c r="V92" s="276" t="str">
        <f>IF(P93="","",IF(T92&lt;2.7,IF(S92&gt;5150,IF(S92&lt;5600,"Pass","Fail"),"Fail"),"Fail"))</f>
        <v>Pass</v>
      </c>
      <c r="W92" s="57">
        <v>1400</v>
      </c>
      <c r="X92" s="255" t="s">
        <v>270</v>
      </c>
      <c r="Y92" s="124" t="s">
        <v>265</v>
      </c>
      <c r="Z92" s="71">
        <v>4470</v>
      </c>
      <c r="AA92" s="71">
        <v>6020</v>
      </c>
      <c r="AB92" s="71">
        <v>5150</v>
      </c>
      <c r="AC92" s="71">
        <v>5600</v>
      </c>
      <c r="AD92" s="70">
        <v>2.7</v>
      </c>
      <c r="AE92" s="69">
        <v>10</v>
      </c>
    </row>
    <row r="93" spans="1:31" ht="12.75" customHeight="1" x14ac:dyDescent="0.25">
      <c r="A93" s="279"/>
      <c r="B93" s="47"/>
      <c r="C93" s="56" t="s">
        <v>204</v>
      </c>
      <c r="D93" s="35">
        <v>1643.48</v>
      </c>
      <c r="E93" s="35">
        <v>1810.24</v>
      </c>
      <c r="F93" s="35">
        <v>1684.43</v>
      </c>
      <c r="G93" s="35">
        <v>1698.28</v>
      </c>
      <c r="H93" s="35">
        <v>1723.63</v>
      </c>
      <c r="I93" s="35">
        <v>1657.07</v>
      </c>
      <c r="J93" s="35">
        <v>1725.98</v>
      </c>
      <c r="K93" s="35">
        <v>1673.14</v>
      </c>
      <c r="L93" s="35">
        <v>1756.15</v>
      </c>
      <c r="M93" s="35">
        <v>1714.54</v>
      </c>
      <c r="N93" s="35">
        <v>1826.94</v>
      </c>
      <c r="O93" s="35">
        <v>1754.29</v>
      </c>
      <c r="P93" s="35">
        <v>1739.12</v>
      </c>
      <c r="Q93" s="47"/>
      <c r="R93" s="47"/>
      <c r="S93" s="47"/>
      <c r="T93" s="47"/>
      <c r="U93" s="47"/>
      <c r="V93" s="274"/>
      <c r="W93" s="47"/>
      <c r="X93" s="255"/>
      <c r="Y93" s="123"/>
      <c r="Z93" s="37">
        <v>4955</v>
      </c>
      <c r="AA93" s="37">
        <v>9645</v>
      </c>
      <c r="AB93" s="37">
        <v>6980</v>
      </c>
      <c r="AC93" s="37">
        <v>7960</v>
      </c>
      <c r="AD93" s="69">
        <v>5.8</v>
      </c>
      <c r="AE93" s="69">
        <v>10</v>
      </c>
    </row>
    <row r="94" spans="1:31" ht="24.8" customHeight="1" thickBot="1" x14ac:dyDescent="0.3">
      <c r="A94" s="282"/>
      <c r="B94" s="80"/>
      <c r="C94" s="56" t="s">
        <v>203</v>
      </c>
      <c r="D94" s="97">
        <f t="shared" ref="D94:P94" si="27">IF(((D92="")*AND(D93="")),"",(D92-D93))</f>
        <v>5278.92</v>
      </c>
      <c r="E94" s="97">
        <f t="shared" si="27"/>
        <v>5299.9400000000005</v>
      </c>
      <c r="F94" s="97">
        <f t="shared" si="27"/>
        <v>5262.19</v>
      </c>
      <c r="G94" s="97">
        <f t="shared" si="27"/>
        <v>5248.01</v>
      </c>
      <c r="H94" s="97">
        <f t="shared" si="27"/>
        <v>5319.79</v>
      </c>
      <c r="I94" s="97">
        <f t="shared" si="27"/>
        <v>5326.84</v>
      </c>
      <c r="J94" s="97">
        <f t="shared" si="27"/>
        <v>5262.2099999999991</v>
      </c>
      <c r="K94" s="97">
        <f t="shared" si="27"/>
        <v>5299.28</v>
      </c>
      <c r="L94" s="97">
        <f t="shared" si="27"/>
        <v>5271.92</v>
      </c>
      <c r="M94" s="97">
        <f t="shared" si="27"/>
        <v>5325.35</v>
      </c>
      <c r="N94" s="97">
        <f t="shared" si="27"/>
        <v>5324.8099999999995</v>
      </c>
      <c r="O94" s="97">
        <f t="shared" si="27"/>
        <v>5304.71</v>
      </c>
      <c r="P94" s="97">
        <f t="shared" si="27"/>
        <v>5331.21</v>
      </c>
      <c r="Q94" s="80"/>
      <c r="R94" s="80"/>
      <c r="S94" s="80"/>
      <c r="T94" s="80"/>
      <c r="U94" s="80"/>
      <c r="V94" s="277"/>
      <c r="W94" s="80"/>
      <c r="X94" s="255"/>
      <c r="Y94" s="123"/>
      <c r="Z94" s="37">
        <v>4955</v>
      </c>
      <c r="AA94" s="37">
        <v>9645</v>
      </c>
      <c r="AB94" s="37">
        <v>6980</v>
      </c>
      <c r="AC94" s="37">
        <v>7960</v>
      </c>
      <c r="AD94" s="69">
        <v>5.8</v>
      </c>
      <c r="AE94" s="69">
        <v>10</v>
      </c>
    </row>
    <row r="95" spans="1:31" x14ac:dyDescent="0.25">
      <c r="A95" s="278">
        <v>42641</v>
      </c>
      <c r="B95" s="50" t="s">
        <v>208</v>
      </c>
      <c r="C95" s="56" t="s">
        <v>205</v>
      </c>
      <c r="D95" s="35">
        <v>5936.04</v>
      </c>
      <c r="E95" s="35">
        <v>6108.35</v>
      </c>
      <c r="F95" s="35">
        <v>6124.89</v>
      </c>
      <c r="G95" s="35">
        <v>6121.35</v>
      </c>
      <c r="H95" s="35">
        <v>5949.18</v>
      </c>
      <c r="I95" s="35">
        <v>6210.74</v>
      </c>
      <c r="J95" s="35">
        <v>6107.23</v>
      </c>
      <c r="K95" s="35">
        <v>6115.97</v>
      </c>
      <c r="L95" s="35">
        <v>6029.79</v>
      </c>
      <c r="M95" s="55"/>
      <c r="N95" s="55"/>
      <c r="O95" s="55"/>
      <c r="P95" s="55"/>
      <c r="Q95" s="50">
        <f>IF((L96=""),"",MAX(D97:L97))</f>
        <v>7122.98</v>
      </c>
      <c r="R95" s="50">
        <f>IF(L96="","",MIN(D97:L97))</f>
        <v>6647.8400000000011</v>
      </c>
      <c r="S95" s="77">
        <f>IF((L97=""),"",AVERAGE(D97:L97))</f>
        <v>6794.7466666666678</v>
      </c>
      <c r="T95" s="53">
        <f>IF((L96=""),"",(Q95-R95)/(Q95+R95)*100)</f>
        <v>3.4503391954872584</v>
      </c>
      <c r="U95" s="50">
        <f>STDEV(D97:P97)</f>
        <v>155.12419089232972</v>
      </c>
      <c r="V95" s="273" t="str">
        <f>IF(L96="","",IF(T95&lt;7.3,IF(S95&gt;5700,IF(S95&lt;7200,"Pass","Fail"),"Fail"),"Fail"))</f>
        <v>Pass</v>
      </c>
      <c r="W95" s="57">
        <v>1400</v>
      </c>
      <c r="X95" s="255" t="s">
        <v>270</v>
      </c>
      <c r="Y95" s="124" t="s">
        <v>265</v>
      </c>
      <c r="Z95" s="37">
        <v>4955</v>
      </c>
      <c r="AA95" s="37">
        <v>9645</v>
      </c>
      <c r="AB95" s="37">
        <v>5100</v>
      </c>
      <c r="AC95" s="37">
        <v>8300</v>
      </c>
      <c r="AD95" s="69">
        <v>9.8000000000000007</v>
      </c>
      <c r="AE95" s="69">
        <v>10</v>
      </c>
    </row>
    <row r="96" spans="1:31" ht="12.75" customHeight="1" x14ac:dyDescent="0.25">
      <c r="A96" s="279"/>
      <c r="B96" s="47"/>
      <c r="C96" s="56" t="s">
        <v>204</v>
      </c>
      <c r="D96" s="35">
        <v>2550.41</v>
      </c>
      <c r="E96" s="35">
        <v>2784.43</v>
      </c>
      <c r="F96" s="35">
        <v>2800.59</v>
      </c>
      <c r="G96" s="35">
        <v>2729.55</v>
      </c>
      <c r="H96" s="35">
        <v>2525.7399999999998</v>
      </c>
      <c r="I96" s="35">
        <v>2649.25</v>
      </c>
      <c r="J96" s="35">
        <v>2765.84</v>
      </c>
      <c r="K96" s="35">
        <v>2758.71</v>
      </c>
      <c r="L96" s="35">
        <v>2562.66</v>
      </c>
      <c r="M96" s="55"/>
      <c r="N96" s="55"/>
      <c r="O96" s="55"/>
      <c r="P96" s="55"/>
      <c r="Q96" s="47"/>
      <c r="R96" s="47"/>
      <c r="S96" s="47"/>
      <c r="T96" s="47"/>
      <c r="U96" s="47"/>
      <c r="V96" s="274"/>
      <c r="W96" s="47"/>
      <c r="X96" s="255"/>
      <c r="Y96" s="123"/>
      <c r="Z96" s="37">
        <v>4955</v>
      </c>
      <c r="AA96" s="37">
        <v>9645</v>
      </c>
      <c r="AB96" s="37">
        <v>6980</v>
      </c>
      <c r="AC96" s="37">
        <v>7960</v>
      </c>
      <c r="AD96" s="69">
        <v>5.8</v>
      </c>
      <c r="AE96" s="69">
        <v>10</v>
      </c>
    </row>
    <row r="97" spans="1:31" ht="24.8" customHeight="1" thickBot="1" x14ac:dyDescent="0.3">
      <c r="A97" s="280"/>
      <c r="B97" s="42"/>
      <c r="C97" s="76" t="s">
        <v>203</v>
      </c>
      <c r="D97" s="84">
        <f t="shared" ref="D97:L97" si="28">IF(((D95="")*AND(D96="")),"",(D95-D96)*2)</f>
        <v>6771.26</v>
      </c>
      <c r="E97" s="84">
        <f t="shared" si="28"/>
        <v>6647.8400000000011</v>
      </c>
      <c r="F97" s="84">
        <f t="shared" si="28"/>
        <v>6648.6</v>
      </c>
      <c r="G97" s="84">
        <f t="shared" si="28"/>
        <v>6783.6</v>
      </c>
      <c r="H97" s="84">
        <f t="shared" si="28"/>
        <v>6846.880000000001</v>
      </c>
      <c r="I97" s="84">
        <f t="shared" si="28"/>
        <v>7122.98</v>
      </c>
      <c r="J97" s="84">
        <f t="shared" si="28"/>
        <v>6682.7799999999988</v>
      </c>
      <c r="K97" s="84">
        <f t="shared" si="28"/>
        <v>6714.52</v>
      </c>
      <c r="L97" s="84">
        <f t="shared" si="28"/>
        <v>6934.26</v>
      </c>
      <c r="M97" s="84"/>
      <c r="N97" s="84"/>
      <c r="O97" s="84"/>
      <c r="P97" s="84" t="str">
        <f>IF(((P95="")*AND(P96="")),"",(P95-P96)*2)</f>
        <v/>
      </c>
      <c r="Q97" s="42"/>
      <c r="R97" s="42"/>
      <c r="S97" s="42"/>
      <c r="T97" s="42"/>
      <c r="U97" s="80"/>
      <c r="V97" s="275"/>
      <c r="W97" s="42"/>
      <c r="X97" s="255"/>
      <c r="Y97" s="122"/>
      <c r="Z97" s="37">
        <v>4955</v>
      </c>
      <c r="AA97" s="37">
        <v>9645</v>
      </c>
      <c r="AB97" s="37">
        <v>6980</v>
      </c>
      <c r="AC97" s="37">
        <v>7960</v>
      </c>
      <c r="AD97" s="69">
        <v>5.8</v>
      </c>
      <c r="AE97" s="69">
        <v>10</v>
      </c>
    </row>
    <row r="98" spans="1:31" ht="12.75" customHeight="1" x14ac:dyDescent="0.25">
      <c r="A98" s="278">
        <v>42470</v>
      </c>
      <c r="B98" s="57" t="s">
        <v>206</v>
      </c>
      <c r="C98" s="61" t="s">
        <v>205</v>
      </c>
      <c r="D98" s="35">
        <v>6809.45</v>
      </c>
      <c r="E98" s="35">
        <v>6980.2</v>
      </c>
      <c r="F98" s="35">
        <v>6823.46</v>
      </c>
      <c r="G98" s="35">
        <v>6841.32</v>
      </c>
      <c r="H98" s="35">
        <v>6908.14</v>
      </c>
      <c r="I98" s="35">
        <v>6881.76</v>
      </c>
      <c r="J98" s="35">
        <v>6888.67</v>
      </c>
      <c r="K98" s="35">
        <v>6842</v>
      </c>
      <c r="L98" s="35">
        <v>6914.69</v>
      </c>
      <c r="M98" s="35">
        <v>6943.13</v>
      </c>
      <c r="N98" s="35">
        <v>7031.9</v>
      </c>
      <c r="O98" s="35">
        <v>6946.92</v>
      </c>
      <c r="P98" s="35">
        <v>6953.47</v>
      </c>
      <c r="Q98" s="50">
        <f>IF((L99=""),"",MAX(D100:P100))</f>
        <v>5375.44</v>
      </c>
      <c r="R98" s="125">
        <f>IF(P99="","",MIN(D100:P100))</f>
        <v>5280.98</v>
      </c>
      <c r="S98" s="53">
        <f>IF((P100=""),"",AVERAGE(D100:P100))</f>
        <v>5333.9746153846163</v>
      </c>
      <c r="T98" s="53">
        <f>IF((P99=""),"",(Q98-R98)/(Q98+R98)*100)</f>
        <v>0.88641401145975895</v>
      </c>
      <c r="U98" s="52">
        <f>STDEV(D100:P100)</f>
        <v>33.068795113466386</v>
      </c>
      <c r="V98" s="276" t="str">
        <f>IF(P99="","",IF(T98&lt;2.7,IF(S98&gt;5150,IF(S98&lt;5600,"Pass","Fail"),"Fail"),"Fail"))</f>
        <v>Pass</v>
      </c>
      <c r="W98" s="57">
        <v>1400</v>
      </c>
      <c r="X98" s="255" t="s">
        <v>312</v>
      </c>
      <c r="Y98" s="124" t="s">
        <v>265</v>
      </c>
      <c r="Z98" s="71">
        <v>4470</v>
      </c>
      <c r="AA98" s="71">
        <v>6020</v>
      </c>
      <c r="AB98" s="71">
        <v>5150</v>
      </c>
      <c r="AC98" s="71">
        <v>5600</v>
      </c>
      <c r="AD98" s="70">
        <v>2.7</v>
      </c>
      <c r="AE98" s="69">
        <v>10</v>
      </c>
    </row>
    <row r="99" spans="1:31" ht="12.75" customHeight="1" x14ac:dyDescent="0.25">
      <c r="A99" s="279"/>
      <c r="B99" s="47"/>
      <c r="C99" s="56" t="s">
        <v>204</v>
      </c>
      <c r="D99" s="35">
        <v>1502.94</v>
      </c>
      <c r="E99" s="35">
        <v>1648.32</v>
      </c>
      <c r="F99" s="35">
        <v>1542.48</v>
      </c>
      <c r="G99" s="35">
        <v>1530</v>
      </c>
      <c r="H99" s="35">
        <v>1552.91</v>
      </c>
      <c r="I99" s="35">
        <v>1506.87</v>
      </c>
      <c r="J99" s="35">
        <v>1562.73</v>
      </c>
      <c r="K99" s="35">
        <v>1509.43</v>
      </c>
      <c r="L99" s="35">
        <v>1632.87</v>
      </c>
      <c r="M99" s="35">
        <v>1578.58</v>
      </c>
      <c r="N99" s="35">
        <v>1656.46</v>
      </c>
      <c r="O99" s="35">
        <v>1618.38</v>
      </c>
      <c r="P99" s="35">
        <v>1581.47</v>
      </c>
      <c r="Q99" s="47"/>
      <c r="R99" s="47"/>
      <c r="S99" s="47"/>
      <c r="T99" s="47"/>
      <c r="U99" s="47"/>
      <c r="V99" s="274"/>
      <c r="W99" s="47"/>
      <c r="X99" s="255"/>
      <c r="Y99" s="123"/>
      <c r="Z99" s="37">
        <v>4955</v>
      </c>
      <c r="AA99" s="37">
        <v>9645</v>
      </c>
      <c r="AB99" s="37">
        <v>6980</v>
      </c>
      <c r="AC99" s="37">
        <v>7960</v>
      </c>
      <c r="AD99" s="69">
        <v>5.8</v>
      </c>
      <c r="AE99" s="69">
        <v>10</v>
      </c>
    </row>
    <row r="100" spans="1:31" ht="24.8" customHeight="1" thickBot="1" x14ac:dyDescent="0.3">
      <c r="A100" s="282"/>
      <c r="B100" s="80"/>
      <c r="C100" s="56" t="s">
        <v>203</v>
      </c>
      <c r="D100" s="97">
        <f t="shared" ref="D100:P100" si="29">IF(((D98="")*AND(D99="")),"",(D98-D99))</f>
        <v>5306.51</v>
      </c>
      <c r="E100" s="97">
        <f t="shared" si="29"/>
        <v>5331.88</v>
      </c>
      <c r="F100" s="97">
        <f t="shared" si="29"/>
        <v>5280.98</v>
      </c>
      <c r="G100" s="97">
        <f t="shared" si="29"/>
        <v>5311.32</v>
      </c>
      <c r="H100" s="97">
        <f t="shared" si="29"/>
        <v>5355.2300000000005</v>
      </c>
      <c r="I100" s="97">
        <f t="shared" si="29"/>
        <v>5374.89</v>
      </c>
      <c r="J100" s="97">
        <f t="shared" si="29"/>
        <v>5325.9400000000005</v>
      </c>
      <c r="K100" s="97">
        <f t="shared" si="29"/>
        <v>5332.57</v>
      </c>
      <c r="L100" s="97">
        <f t="shared" si="29"/>
        <v>5281.82</v>
      </c>
      <c r="M100" s="97">
        <f t="shared" si="29"/>
        <v>5364.55</v>
      </c>
      <c r="N100" s="97">
        <f t="shared" si="29"/>
        <v>5375.44</v>
      </c>
      <c r="O100" s="97">
        <f t="shared" si="29"/>
        <v>5328.54</v>
      </c>
      <c r="P100" s="97">
        <f t="shared" si="29"/>
        <v>5372</v>
      </c>
      <c r="Q100" s="80"/>
      <c r="R100" s="80"/>
      <c r="S100" s="80"/>
      <c r="T100" s="80"/>
      <c r="U100" s="80"/>
      <c r="V100" s="277"/>
      <c r="W100" s="80"/>
      <c r="X100" s="255"/>
      <c r="Y100" s="123"/>
      <c r="Z100" s="37">
        <v>4955</v>
      </c>
      <c r="AA100" s="37">
        <v>9645</v>
      </c>
      <c r="AB100" s="37">
        <v>6980</v>
      </c>
      <c r="AC100" s="37">
        <v>7960</v>
      </c>
      <c r="AD100" s="69">
        <v>5.8</v>
      </c>
      <c r="AE100" s="69">
        <v>10</v>
      </c>
    </row>
    <row r="101" spans="1:31" x14ac:dyDescent="0.25">
      <c r="A101" s="278">
        <v>42470</v>
      </c>
      <c r="B101" s="50" t="s">
        <v>208</v>
      </c>
      <c r="C101" s="56" t="s">
        <v>205</v>
      </c>
      <c r="D101" s="35">
        <v>6135.5</v>
      </c>
      <c r="E101" s="35">
        <v>6281.44</v>
      </c>
      <c r="F101" s="35">
        <v>6291.73</v>
      </c>
      <c r="G101" s="35">
        <v>6259.73</v>
      </c>
      <c r="H101" s="35">
        <v>6099.6</v>
      </c>
      <c r="I101" s="35">
        <v>6222.3</v>
      </c>
      <c r="J101" s="35">
        <v>6281.77</v>
      </c>
      <c r="K101" s="35">
        <v>6211.11</v>
      </c>
      <c r="L101" s="35">
        <v>6121.44</v>
      </c>
      <c r="M101" s="55"/>
      <c r="N101" s="55"/>
      <c r="O101" s="55"/>
      <c r="P101" s="55"/>
      <c r="Q101" s="50">
        <f>IF((L102=""),"",MAX(D103:L103))</f>
        <v>6655.88</v>
      </c>
      <c r="R101" s="50">
        <f>IF(L102="","",MIN(D103:L103))</f>
        <v>6438.2999999999993</v>
      </c>
      <c r="S101" s="77">
        <f>IF((L103=""),"",AVERAGE(D103:L103))</f>
        <v>6587.8244444444445</v>
      </c>
      <c r="T101" s="53">
        <f>IF((L102=""),"",(Q101-R101)/(Q101+R101)*100)</f>
        <v>1.6616542616643488</v>
      </c>
      <c r="U101" s="50">
        <f>STDEV(D103:P103)</f>
        <v>68.66894551234779</v>
      </c>
      <c r="V101" s="273" t="str">
        <f>IF(L102="","",IF(T101&lt;7.3,IF(S101&gt;5700,IF(S101&lt;7200,"Pass","Fail"),"Fail"),"Fail"))</f>
        <v>Pass</v>
      </c>
      <c r="W101" s="57">
        <v>1400</v>
      </c>
      <c r="X101" s="255" t="s">
        <v>312</v>
      </c>
      <c r="Y101" s="124" t="s">
        <v>265</v>
      </c>
      <c r="Z101" s="37">
        <v>4955</v>
      </c>
      <c r="AA101" s="37">
        <v>9645</v>
      </c>
      <c r="AB101" s="37">
        <v>5100</v>
      </c>
      <c r="AC101" s="37">
        <v>8300</v>
      </c>
      <c r="AD101" s="69">
        <v>9.8000000000000007</v>
      </c>
      <c r="AE101" s="69">
        <v>10</v>
      </c>
    </row>
    <row r="102" spans="1:31" ht="12.75" customHeight="1" x14ac:dyDescent="0.25">
      <c r="A102" s="279"/>
      <c r="B102" s="47"/>
      <c r="C102" s="56" t="s">
        <v>204</v>
      </c>
      <c r="D102" s="35">
        <v>2867.25</v>
      </c>
      <c r="E102" s="35">
        <v>2976.61</v>
      </c>
      <c r="F102" s="35">
        <v>2979.25</v>
      </c>
      <c r="G102" s="35">
        <v>2932.39</v>
      </c>
      <c r="H102" s="35">
        <v>2811.9</v>
      </c>
      <c r="I102" s="35">
        <v>2894.36</v>
      </c>
      <c r="J102" s="35">
        <v>2969.63</v>
      </c>
      <c r="K102" s="35">
        <v>2925.73</v>
      </c>
      <c r="L102" s="35">
        <v>2902.29</v>
      </c>
      <c r="M102" s="55"/>
      <c r="N102" s="55"/>
      <c r="O102" s="55"/>
      <c r="P102" s="55"/>
      <c r="Q102" s="47"/>
      <c r="R102" s="47"/>
      <c r="S102" s="47"/>
      <c r="T102" s="47"/>
      <c r="U102" s="47"/>
      <c r="V102" s="274"/>
      <c r="W102" s="47"/>
      <c r="X102" s="255"/>
      <c r="Y102" s="123"/>
      <c r="Z102" s="37">
        <v>4955</v>
      </c>
      <c r="AA102" s="37">
        <v>9645</v>
      </c>
      <c r="AB102" s="37">
        <v>6980</v>
      </c>
      <c r="AC102" s="37">
        <v>7960</v>
      </c>
      <c r="AD102" s="69">
        <v>5.8</v>
      </c>
      <c r="AE102" s="69">
        <v>10</v>
      </c>
    </row>
    <row r="103" spans="1:31" ht="24.8" customHeight="1" thickBot="1" x14ac:dyDescent="0.3">
      <c r="A103" s="280"/>
      <c r="B103" s="42"/>
      <c r="C103" s="76" t="s">
        <v>203</v>
      </c>
      <c r="D103" s="84">
        <f t="shared" ref="D103:L103" si="30">IF(((D101="")*AND(D102="")),"",(D101-D102)*2)</f>
        <v>6536.5</v>
      </c>
      <c r="E103" s="84">
        <f t="shared" si="30"/>
        <v>6609.6599999999989</v>
      </c>
      <c r="F103" s="84">
        <f t="shared" si="30"/>
        <v>6624.9599999999991</v>
      </c>
      <c r="G103" s="84">
        <f t="shared" si="30"/>
        <v>6654.6799999999994</v>
      </c>
      <c r="H103" s="84">
        <f t="shared" si="30"/>
        <v>6575.4000000000005</v>
      </c>
      <c r="I103" s="84">
        <f t="shared" si="30"/>
        <v>6655.88</v>
      </c>
      <c r="J103" s="84">
        <f t="shared" si="30"/>
        <v>6624.2800000000007</v>
      </c>
      <c r="K103" s="84">
        <f t="shared" si="30"/>
        <v>6570.7599999999993</v>
      </c>
      <c r="L103" s="84">
        <f t="shared" si="30"/>
        <v>6438.2999999999993</v>
      </c>
      <c r="M103" s="84"/>
      <c r="N103" s="84"/>
      <c r="O103" s="84"/>
      <c r="P103" s="84" t="str">
        <f>IF(((P101="")*AND(P102="")),"",(P101-P102)*2)</f>
        <v/>
      </c>
      <c r="Q103" s="42"/>
      <c r="R103" s="42"/>
      <c r="S103" s="42"/>
      <c r="T103" s="42"/>
      <c r="U103" s="80"/>
      <c r="V103" s="275"/>
      <c r="W103" s="42"/>
      <c r="X103" s="255"/>
      <c r="Y103" s="122"/>
      <c r="Z103" s="37">
        <v>4955</v>
      </c>
      <c r="AA103" s="37">
        <v>9645</v>
      </c>
      <c r="AB103" s="37">
        <v>6980</v>
      </c>
      <c r="AC103" s="37">
        <v>7960</v>
      </c>
      <c r="AD103" s="69">
        <v>5.8</v>
      </c>
      <c r="AE103" s="69">
        <v>10</v>
      </c>
    </row>
    <row r="104" spans="1:31" ht="12.75" customHeight="1" x14ac:dyDescent="0.25">
      <c r="A104" s="278">
        <v>42656</v>
      </c>
      <c r="B104" s="57" t="s">
        <v>206</v>
      </c>
      <c r="C104" s="61" t="s">
        <v>205</v>
      </c>
      <c r="D104" s="35">
        <v>33640.589999999997</v>
      </c>
      <c r="E104" s="35">
        <v>34209.339999999997</v>
      </c>
      <c r="F104" s="35">
        <v>33590.47</v>
      </c>
      <c r="G104" s="35">
        <v>33859.26</v>
      </c>
      <c r="H104" s="35">
        <v>33584.39</v>
      </c>
      <c r="I104" s="35">
        <v>33736.99</v>
      </c>
      <c r="J104" s="35">
        <v>33850.76</v>
      </c>
      <c r="K104" s="35">
        <v>33671.83</v>
      </c>
      <c r="L104" s="35">
        <v>33757.69</v>
      </c>
      <c r="M104" s="35">
        <v>33852.050000000003</v>
      </c>
      <c r="N104" s="35">
        <v>34009.589999999997</v>
      </c>
      <c r="O104" s="35">
        <v>33879.040000000001</v>
      </c>
      <c r="P104" s="35">
        <v>33789.410000000003</v>
      </c>
      <c r="Q104" s="50">
        <f>IF((L105=""),"",MAX(D106:P106))</f>
        <v>5384.6500000000015</v>
      </c>
      <c r="R104" s="125">
        <f>IF(P105="","",MIN(D106:P106))</f>
        <v>5220.1900000000023</v>
      </c>
      <c r="S104" s="53">
        <f>IF((P106=""),"",AVERAGE(D106:P106))</f>
        <v>5282.0115384615392</v>
      </c>
      <c r="T104" s="53">
        <f>IF((P105=""),"",(Q104-R104)/(Q104+R104)*100)</f>
        <v>1.5508013322218823</v>
      </c>
      <c r="U104" s="52">
        <f>STDEV(D106:P106)</f>
        <v>50.021187651860316</v>
      </c>
      <c r="V104" s="276" t="str">
        <f>IF(P105="","",IF(T104&lt;2.7,IF(S104&gt;5150,IF(S104&lt;5600,"Pass","Fail"),"Fail"),"Fail"))</f>
        <v>Pass</v>
      </c>
      <c r="W104" s="57">
        <v>1400</v>
      </c>
      <c r="X104" s="255" t="s">
        <v>313</v>
      </c>
      <c r="Y104" s="124" t="s">
        <v>265</v>
      </c>
      <c r="Z104" s="71">
        <v>4470</v>
      </c>
      <c r="AA104" s="71">
        <v>6020</v>
      </c>
      <c r="AB104" s="71">
        <v>5150</v>
      </c>
      <c r="AC104" s="71">
        <v>5600</v>
      </c>
      <c r="AD104" s="70">
        <v>2.7</v>
      </c>
      <c r="AE104" s="69">
        <v>10</v>
      </c>
    </row>
    <row r="105" spans="1:31" ht="12.75" customHeight="1" x14ac:dyDescent="0.25">
      <c r="A105" s="279"/>
      <c r="B105" s="47"/>
      <c r="C105" s="56" t="s">
        <v>204</v>
      </c>
      <c r="D105" s="35">
        <v>28405.439999999999</v>
      </c>
      <c r="E105" s="35">
        <v>28950.16</v>
      </c>
      <c r="F105" s="35">
        <v>28370.28</v>
      </c>
      <c r="G105" s="35">
        <v>28484.12</v>
      </c>
      <c r="H105" s="35">
        <v>28313.040000000001</v>
      </c>
      <c r="I105" s="35">
        <v>28436.400000000001</v>
      </c>
      <c r="J105" s="35">
        <v>28466.11</v>
      </c>
      <c r="K105" s="35">
        <v>28379.1</v>
      </c>
      <c r="L105" s="35">
        <v>28528.07</v>
      </c>
      <c r="M105" s="35">
        <v>28560.37</v>
      </c>
      <c r="N105" s="35">
        <v>28731.64</v>
      </c>
      <c r="O105" s="35">
        <v>28625.040000000001</v>
      </c>
      <c r="P105" s="35">
        <v>28515.49</v>
      </c>
      <c r="Q105" s="47"/>
      <c r="R105" s="47"/>
      <c r="S105" s="47"/>
      <c r="T105" s="47"/>
      <c r="U105" s="47"/>
      <c r="V105" s="274"/>
      <c r="W105" s="47"/>
      <c r="X105" s="255"/>
      <c r="Y105" s="123"/>
      <c r="Z105" s="37">
        <v>4955</v>
      </c>
      <c r="AA105" s="37">
        <v>9645</v>
      </c>
      <c r="AB105" s="37">
        <v>6980</v>
      </c>
      <c r="AC105" s="37">
        <v>7960</v>
      </c>
      <c r="AD105" s="69">
        <v>5.8</v>
      </c>
      <c r="AE105" s="69">
        <v>10</v>
      </c>
    </row>
    <row r="106" spans="1:31" ht="24.8" customHeight="1" thickBot="1" x14ac:dyDescent="0.3">
      <c r="A106" s="282"/>
      <c r="B106" s="80"/>
      <c r="C106" s="56" t="s">
        <v>203</v>
      </c>
      <c r="D106" s="97">
        <f t="shared" ref="D106:P106" si="31">IF(((D104="")*AND(D105="")),"",(D104-D105))</f>
        <v>5235.1499999999978</v>
      </c>
      <c r="E106" s="97">
        <f t="shared" si="31"/>
        <v>5259.1799999999967</v>
      </c>
      <c r="F106" s="97">
        <f t="shared" si="31"/>
        <v>5220.1900000000023</v>
      </c>
      <c r="G106" s="97">
        <f t="shared" si="31"/>
        <v>5375.1400000000031</v>
      </c>
      <c r="H106" s="97">
        <f t="shared" si="31"/>
        <v>5271.3499999999985</v>
      </c>
      <c r="I106" s="97">
        <f t="shared" si="31"/>
        <v>5300.5899999999965</v>
      </c>
      <c r="J106" s="97">
        <f t="shared" si="31"/>
        <v>5384.6500000000015</v>
      </c>
      <c r="K106" s="97">
        <f t="shared" si="31"/>
        <v>5292.7300000000032</v>
      </c>
      <c r="L106" s="97">
        <f t="shared" si="31"/>
        <v>5229.6200000000026</v>
      </c>
      <c r="M106" s="97">
        <f t="shared" si="31"/>
        <v>5291.6800000000039</v>
      </c>
      <c r="N106" s="97">
        <f t="shared" si="31"/>
        <v>5277.9499999999971</v>
      </c>
      <c r="O106" s="97">
        <f t="shared" si="31"/>
        <v>5254</v>
      </c>
      <c r="P106" s="97">
        <f t="shared" si="31"/>
        <v>5273.9200000000019</v>
      </c>
      <c r="Q106" s="80"/>
      <c r="R106" s="80"/>
      <c r="S106" s="80"/>
      <c r="T106" s="80"/>
      <c r="U106" s="80"/>
      <c r="V106" s="277"/>
      <c r="W106" s="80"/>
      <c r="X106" s="255"/>
      <c r="Y106" s="123"/>
      <c r="Z106" s="37">
        <v>4955</v>
      </c>
      <c r="AA106" s="37">
        <v>9645</v>
      </c>
      <c r="AB106" s="37">
        <v>6980</v>
      </c>
      <c r="AC106" s="37">
        <v>7960</v>
      </c>
      <c r="AD106" s="69">
        <v>5.8</v>
      </c>
      <c r="AE106" s="69">
        <v>10</v>
      </c>
    </row>
    <row r="107" spans="1:31" x14ac:dyDescent="0.25">
      <c r="A107" s="278">
        <v>42656</v>
      </c>
      <c r="B107" s="50" t="s">
        <v>208</v>
      </c>
      <c r="C107" s="56" t="s">
        <v>205</v>
      </c>
      <c r="D107" s="35">
        <v>5947.42</v>
      </c>
      <c r="E107" s="35">
        <v>6113.24</v>
      </c>
      <c r="F107" s="35">
        <v>6136.01</v>
      </c>
      <c r="G107" s="35">
        <v>6127.72</v>
      </c>
      <c r="H107" s="35">
        <v>5953.72</v>
      </c>
      <c r="I107" s="35">
        <v>6058.05</v>
      </c>
      <c r="J107" s="35">
        <v>6108.66</v>
      </c>
      <c r="K107" s="35">
        <v>6120.18</v>
      </c>
      <c r="L107" s="35">
        <v>6033.4</v>
      </c>
      <c r="M107" s="55"/>
      <c r="N107" s="55"/>
      <c r="O107" s="55"/>
      <c r="P107" s="55"/>
      <c r="Q107" s="50">
        <f>IF((L108=""),"",MAX(D109:L109))</f>
        <v>6339.68</v>
      </c>
      <c r="R107" s="50">
        <f>IF(L108="","",MIN(D109:L109))</f>
        <v>6069.08</v>
      </c>
      <c r="S107" s="77">
        <f>IF((L109=""),"",AVERAGE(D109:L109))</f>
        <v>6184.5800000000008</v>
      </c>
      <c r="T107" s="53">
        <f>IF((L108=""),"",(Q107-R107)/(Q107+R107)*100)</f>
        <v>2.1807174931258269</v>
      </c>
      <c r="U107" s="50">
        <f>STDEV(D109:P109)</f>
        <v>95.157711721121146</v>
      </c>
      <c r="V107" s="273" t="str">
        <f>IF(L108="","",IF(T107&lt;7.3,IF(S107&gt;5700,IF(S107&lt;7200,"Pass","Fail"),"Fail"),"Fail"))</f>
        <v>Pass</v>
      </c>
      <c r="W107" s="57">
        <v>1400</v>
      </c>
      <c r="X107" s="255" t="s">
        <v>269</v>
      </c>
      <c r="Y107" s="124" t="s">
        <v>265</v>
      </c>
      <c r="Z107" s="37">
        <v>4955</v>
      </c>
      <c r="AA107" s="37">
        <v>9645</v>
      </c>
      <c r="AB107" s="37">
        <v>5100</v>
      </c>
      <c r="AC107" s="37">
        <v>8300</v>
      </c>
      <c r="AD107" s="69">
        <v>9.8000000000000007</v>
      </c>
      <c r="AE107" s="69">
        <v>10</v>
      </c>
    </row>
    <row r="108" spans="1:31" ht="12.75" customHeight="1" x14ac:dyDescent="0.25">
      <c r="A108" s="279"/>
      <c r="B108" s="47"/>
      <c r="C108" s="56" t="s">
        <v>204</v>
      </c>
      <c r="D108" s="35">
        <v>2872.78</v>
      </c>
      <c r="E108" s="35">
        <v>3078.7</v>
      </c>
      <c r="F108" s="35">
        <v>3075.76</v>
      </c>
      <c r="G108" s="35">
        <v>3010.27</v>
      </c>
      <c r="H108" s="35">
        <v>2783.88</v>
      </c>
      <c r="I108" s="35">
        <v>2990.73</v>
      </c>
      <c r="J108" s="35">
        <v>3048.76</v>
      </c>
      <c r="K108" s="35">
        <v>3036.78</v>
      </c>
      <c r="L108" s="35">
        <v>2870.13</v>
      </c>
      <c r="M108" s="55"/>
      <c r="N108" s="55"/>
      <c r="O108" s="55"/>
      <c r="P108" s="55"/>
      <c r="Q108" s="47"/>
      <c r="R108" s="47"/>
      <c r="S108" s="47"/>
      <c r="T108" s="47"/>
      <c r="U108" s="47"/>
      <c r="V108" s="274"/>
      <c r="W108" s="47"/>
      <c r="X108" s="255"/>
      <c r="Y108" s="123"/>
      <c r="Z108" s="37">
        <v>4955</v>
      </c>
      <c r="AA108" s="37">
        <v>9645</v>
      </c>
      <c r="AB108" s="37">
        <v>6980</v>
      </c>
      <c r="AC108" s="37">
        <v>7960</v>
      </c>
      <c r="AD108" s="69">
        <v>5.8</v>
      </c>
      <c r="AE108" s="69">
        <v>10</v>
      </c>
    </row>
    <row r="109" spans="1:31" ht="24.8" customHeight="1" thickBot="1" x14ac:dyDescent="0.3">
      <c r="A109" s="280"/>
      <c r="B109" s="42"/>
      <c r="C109" s="76" t="s">
        <v>203</v>
      </c>
      <c r="D109" s="84">
        <f t="shared" ref="D109:L109" si="32">IF(((D107="")*AND(D108="")),"",(D107-D108)*2)</f>
        <v>6149.28</v>
      </c>
      <c r="E109" s="84">
        <f t="shared" si="32"/>
        <v>6069.08</v>
      </c>
      <c r="F109" s="84">
        <f t="shared" si="32"/>
        <v>6120.5</v>
      </c>
      <c r="G109" s="84">
        <f t="shared" si="32"/>
        <v>6234.9000000000005</v>
      </c>
      <c r="H109" s="84">
        <f t="shared" si="32"/>
        <v>6339.68</v>
      </c>
      <c r="I109" s="84">
        <f t="shared" si="32"/>
        <v>6134.64</v>
      </c>
      <c r="J109" s="84">
        <f t="shared" si="32"/>
        <v>6119.7999999999993</v>
      </c>
      <c r="K109" s="84">
        <f t="shared" si="32"/>
        <v>6166.8</v>
      </c>
      <c r="L109" s="84">
        <f t="shared" si="32"/>
        <v>6326.5399999999991</v>
      </c>
      <c r="M109" s="84"/>
      <c r="N109" s="84"/>
      <c r="O109" s="84"/>
      <c r="P109" s="84" t="str">
        <f>IF(((P107="")*AND(P108="")),"",(P107-P108)*2)</f>
        <v/>
      </c>
      <c r="Q109" s="42"/>
      <c r="R109" s="42"/>
      <c r="S109" s="42"/>
      <c r="T109" s="42"/>
      <c r="U109" s="80"/>
      <c r="V109" s="275"/>
      <c r="W109" s="42"/>
      <c r="X109" s="255"/>
      <c r="Y109" s="122"/>
      <c r="Z109" s="37">
        <v>4955</v>
      </c>
      <c r="AA109" s="37">
        <v>9645</v>
      </c>
      <c r="AB109" s="37">
        <v>6980</v>
      </c>
      <c r="AC109" s="37">
        <v>7960</v>
      </c>
      <c r="AD109" s="69">
        <v>5.8</v>
      </c>
      <c r="AE109" s="69">
        <v>10</v>
      </c>
    </row>
    <row r="110" spans="1:31" ht="12.75" customHeight="1" x14ac:dyDescent="0.25">
      <c r="A110" s="278">
        <v>42668</v>
      </c>
      <c r="B110" s="57" t="s">
        <v>206</v>
      </c>
      <c r="C110" s="61" t="s">
        <v>205</v>
      </c>
      <c r="D110" s="35">
        <v>6870.29</v>
      </c>
      <c r="E110" s="35">
        <v>6995.97</v>
      </c>
      <c r="F110" s="35">
        <v>6846.55</v>
      </c>
      <c r="G110" s="35">
        <v>6903.84</v>
      </c>
      <c r="H110" s="35">
        <v>6872.89</v>
      </c>
      <c r="I110" s="35">
        <v>6887.49</v>
      </c>
      <c r="J110" s="35">
        <v>6907.88</v>
      </c>
      <c r="K110" s="35">
        <v>6875.76</v>
      </c>
      <c r="L110" s="35">
        <v>6883.71</v>
      </c>
      <c r="M110" s="35">
        <v>6910.29</v>
      </c>
      <c r="N110" s="35">
        <v>6955.34</v>
      </c>
      <c r="O110" s="35">
        <v>6914.83</v>
      </c>
      <c r="P110" s="35">
        <v>6918.03</v>
      </c>
      <c r="Q110" s="50">
        <f>IF((L111=""),"",MAX(D112:P112))</f>
        <v>5309.8</v>
      </c>
      <c r="R110" s="125">
        <f>IF(P111="","",MIN(D112:P112))</f>
        <v>5199.18</v>
      </c>
      <c r="S110" s="53">
        <f>IF((P112=""),"",AVERAGE(D112:P112))</f>
        <v>5262.9892307692317</v>
      </c>
      <c r="T110" s="53">
        <f>IF((P111=""),"",(Q110-R110)/(Q110+R110)*100)</f>
        <v>1.0526235657504335</v>
      </c>
      <c r="U110" s="52">
        <f>STDEV(D112:P112)</f>
        <v>38.090489508873958</v>
      </c>
      <c r="V110" s="276" t="str">
        <f>IF(P111="","",IF(T110&lt;2.7,IF(S110&gt;5150,IF(S110&lt;5600,"Pass","Fail"),"Fail"),"Fail"))</f>
        <v>Pass</v>
      </c>
      <c r="W110" s="57">
        <v>1400</v>
      </c>
      <c r="X110" s="255" t="s">
        <v>268</v>
      </c>
      <c r="Y110" s="124" t="s">
        <v>265</v>
      </c>
      <c r="Z110" s="71">
        <v>4470</v>
      </c>
      <c r="AA110" s="71">
        <v>6020</v>
      </c>
      <c r="AB110" s="71">
        <v>5150</v>
      </c>
      <c r="AC110" s="71">
        <v>5600</v>
      </c>
      <c r="AD110" s="70">
        <v>2.7</v>
      </c>
      <c r="AE110" s="69">
        <v>10</v>
      </c>
    </row>
    <row r="111" spans="1:31" ht="12.75" customHeight="1" x14ac:dyDescent="0.25">
      <c r="A111" s="279"/>
      <c r="B111" s="47"/>
      <c r="C111" s="56" t="s">
        <v>204</v>
      </c>
      <c r="D111" s="35">
        <v>1658.96</v>
      </c>
      <c r="E111" s="35">
        <v>1743.11</v>
      </c>
      <c r="F111" s="35">
        <v>1647.37</v>
      </c>
      <c r="G111" s="35">
        <v>1632.14</v>
      </c>
      <c r="H111" s="35">
        <v>1588.55</v>
      </c>
      <c r="I111" s="35">
        <v>1579.77</v>
      </c>
      <c r="J111" s="35">
        <v>1616.19</v>
      </c>
      <c r="K111" s="35">
        <v>1581.17</v>
      </c>
      <c r="L111" s="35">
        <v>1677.92</v>
      </c>
      <c r="M111" s="35">
        <v>1600.49</v>
      </c>
      <c r="N111" s="35">
        <v>1674.39</v>
      </c>
      <c r="O111" s="35">
        <v>1672.24</v>
      </c>
      <c r="P111" s="35">
        <v>1651.71</v>
      </c>
      <c r="Q111" s="47"/>
      <c r="R111" s="47"/>
      <c r="S111" s="47"/>
      <c r="T111" s="47"/>
      <c r="U111" s="47"/>
      <c r="V111" s="274"/>
      <c r="W111" s="47"/>
      <c r="X111" s="255"/>
      <c r="Y111" s="123"/>
      <c r="Z111" s="37">
        <v>4955</v>
      </c>
      <c r="AA111" s="37">
        <v>9645</v>
      </c>
      <c r="AB111" s="37">
        <v>6980</v>
      </c>
      <c r="AC111" s="37">
        <v>7960</v>
      </c>
      <c r="AD111" s="69">
        <v>5.8</v>
      </c>
      <c r="AE111" s="69">
        <v>10</v>
      </c>
    </row>
    <row r="112" spans="1:31" ht="24.8" customHeight="1" thickBot="1" x14ac:dyDescent="0.3">
      <c r="A112" s="282"/>
      <c r="B112" s="80"/>
      <c r="C112" s="56" t="s">
        <v>203</v>
      </c>
      <c r="D112" s="97">
        <f t="shared" ref="D112:P112" si="33">IF(((D110="")*AND(D111="")),"",(D110-D111))</f>
        <v>5211.33</v>
      </c>
      <c r="E112" s="97">
        <f t="shared" si="33"/>
        <v>5252.8600000000006</v>
      </c>
      <c r="F112" s="97">
        <f t="shared" si="33"/>
        <v>5199.18</v>
      </c>
      <c r="G112" s="97">
        <f t="shared" si="33"/>
        <v>5271.7</v>
      </c>
      <c r="H112" s="97">
        <f t="shared" si="33"/>
        <v>5284.34</v>
      </c>
      <c r="I112" s="97">
        <f t="shared" si="33"/>
        <v>5307.7199999999993</v>
      </c>
      <c r="J112" s="97">
        <f t="shared" si="33"/>
        <v>5291.6900000000005</v>
      </c>
      <c r="K112" s="97">
        <f t="shared" si="33"/>
        <v>5294.59</v>
      </c>
      <c r="L112" s="97">
        <f t="shared" si="33"/>
        <v>5205.79</v>
      </c>
      <c r="M112" s="97">
        <f t="shared" si="33"/>
        <v>5309.8</v>
      </c>
      <c r="N112" s="97">
        <f t="shared" si="33"/>
        <v>5280.95</v>
      </c>
      <c r="O112" s="97">
        <f t="shared" si="33"/>
        <v>5242.59</v>
      </c>
      <c r="P112" s="97">
        <f t="shared" si="33"/>
        <v>5266.32</v>
      </c>
      <c r="Q112" s="80"/>
      <c r="R112" s="80"/>
      <c r="S112" s="80"/>
      <c r="T112" s="80"/>
      <c r="U112" s="80"/>
      <c r="V112" s="277"/>
      <c r="W112" s="80"/>
      <c r="X112" s="255"/>
      <c r="Y112" s="123"/>
      <c r="Z112" s="37">
        <v>4955</v>
      </c>
      <c r="AA112" s="37">
        <v>9645</v>
      </c>
      <c r="AB112" s="37">
        <v>6980</v>
      </c>
      <c r="AC112" s="37">
        <v>7960</v>
      </c>
      <c r="AD112" s="69">
        <v>5.8</v>
      </c>
      <c r="AE112" s="69">
        <v>10</v>
      </c>
    </row>
    <row r="113" spans="1:31" x14ac:dyDescent="0.25">
      <c r="A113" s="278">
        <v>42668</v>
      </c>
      <c r="B113" s="50" t="s">
        <v>208</v>
      </c>
      <c r="C113" s="56" t="s">
        <v>205</v>
      </c>
      <c r="D113" s="35">
        <v>5938.94</v>
      </c>
      <c r="E113" s="35">
        <v>6118.94</v>
      </c>
      <c r="F113" s="35">
        <v>6130.19</v>
      </c>
      <c r="G113" s="35">
        <v>6122.13</v>
      </c>
      <c r="H113" s="35">
        <v>5950.52</v>
      </c>
      <c r="I113" s="35">
        <v>6144.06</v>
      </c>
      <c r="J113" s="35">
        <v>6102.53</v>
      </c>
      <c r="K113" s="35">
        <v>6115.45</v>
      </c>
      <c r="L113" s="35">
        <v>6028.7</v>
      </c>
      <c r="M113" s="55"/>
      <c r="N113" s="55"/>
      <c r="O113" s="55"/>
      <c r="P113" s="55"/>
      <c r="Q113" s="50">
        <f>IF((L114=""),"",MAX(D115:L115))</f>
        <v>7028.6600000000008</v>
      </c>
      <c r="R113" s="50">
        <f>IF(L114="","",MIN(D115:L115))</f>
        <v>6508.7199999999993</v>
      </c>
      <c r="S113" s="77">
        <f>IF((L115=""),"",AVERAGE(D115:L115))</f>
        <v>6635.286666666666</v>
      </c>
      <c r="T113" s="53">
        <f>IF((L114=""),"",(Q113-R113)/(Q113+R113)*100)</f>
        <v>3.8407727344582288</v>
      </c>
      <c r="U113" s="50">
        <f>STDEV(D115:P115)</f>
        <v>173.04910748108531</v>
      </c>
      <c r="V113" s="273" t="str">
        <f>IF(L114="","",IF(T113&lt;7.3,IF(S113&gt;5700,IF(S113&lt;7200,"Pass","Fail"),"Fail"),"Fail"))</f>
        <v>Pass</v>
      </c>
      <c r="W113" s="57">
        <v>1400</v>
      </c>
      <c r="X113" s="255" t="s">
        <v>268</v>
      </c>
      <c r="Y113" s="124" t="s">
        <v>265</v>
      </c>
      <c r="Z113" s="37">
        <v>4955</v>
      </c>
      <c r="AA113" s="37">
        <v>9645</v>
      </c>
      <c r="AB113" s="37">
        <v>5100</v>
      </c>
      <c r="AC113" s="37">
        <v>8300</v>
      </c>
      <c r="AD113" s="69">
        <v>9.8000000000000007</v>
      </c>
      <c r="AE113" s="69">
        <v>10</v>
      </c>
    </row>
    <row r="114" spans="1:31" ht="12.75" customHeight="1" x14ac:dyDescent="0.25">
      <c r="A114" s="279"/>
      <c r="B114" s="47"/>
      <c r="C114" s="56" t="s">
        <v>204</v>
      </c>
      <c r="D114" s="35">
        <v>2669.6</v>
      </c>
      <c r="E114" s="35">
        <v>2864.58</v>
      </c>
      <c r="F114" s="35">
        <v>2862.61</v>
      </c>
      <c r="G114" s="35">
        <v>2794.64</v>
      </c>
      <c r="H114" s="35">
        <v>2550.91</v>
      </c>
      <c r="I114" s="35">
        <v>2629.73</v>
      </c>
      <c r="J114" s="35">
        <v>2816.68</v>
      </c>
      <c r="K114" s="35">
        <v>2848.32</v>
      </c>
      <c r="L114" s="35">
        <v>2755.6</v>
      </c>
      <c r="M114" s="55"/>
      <c r="N114" s="55"/>
      <c r="O114" s="55"/>
      <c r="P114" s="55"/>
      <c r="Q114" s="47"/>
      <c r="R114" s="47"/>
      <c r="S114" s="47"/>
      <c r="T114" s="47"/>
      <c r="U114" s="47"/>
      <c r="V114" s="274"/>
      <c r="W114" s="47"/>
      <c r="X114" s="255"/>
      <c r="Y114" s="123"/>
      <c r="Z114" s="37">
        <v>4955</v>
      </c>
      <c r="AA114" s="37">
        <v>9645</v>
      </c>
      <c r="AB114" s="37">
        <v>6980</v>
      </c>
      <c r="AC114" s="37">
        <v>7960</v>
      </c>
      <c r="AD114" s="69">
        <v>5.8</v>
      </c>
      <c r="AE114" s="69">
        <v>10</v>
      </c>
    </row>
    <row r="115" spans="1:31" ht="24.8" customHeight="1" thickBot="1" x14ac:dyDescent="0.3">
      <c r="A115" s="280"/>
      <c r="B115" s="42"/>
      <c r="C115" s="76" t="s">
        <v>203</v>
      </c>
      <c r="D115" s="84">
        <f t="shared" ref="D115:L115" si="34">IF(((D113="")*AND(D114="")),"",(D113-D114)*2)</f>
        <v>6538.6799999999994</v>
      </c>
      <c r="E115" s="84">
        <f t="shared" si="34"/>
        <v>6508.7199999999993</v>
      </c>
      <c r="F115" s="84">
        <f t="shared" si="34"/>
        <v>6535.1599999999989</v>
      </c>
      <c r="G115" s="84">
        <f t="shared" si="34"/>
        <v>6654.9800000000005</v>
      </c>
      <c r="H115" s="84">
        <f t="shared" si="34"/>
        <v>6799.2200000000012</v>
      </c>
      <c r="I115" s="84">
        <f t="shared" si="34"/>
        <v>7028.6600000000008</v>
      </c>
      <c r="J115" s="84">
        <f t="shared" si="34"/>
        <v>6571.7</v>
      </c>
      <c r="K115" s="84">
        <f t="shared" si="34"/>
        <v>6534.2599999999993</v>
      </c>
      <c r="L115" s="84">
        <f t="shared" si="34"/>
        <v>6546.2</v>
      </c>
      <c r="M115" s="84"/>
      <c r="N115" s="84"/>
      <c r="O115" s="84"/>
      <c r="P115" s="84" t="str">
        <f>IF(((P113="")*AND(P114="")),"",(P113-P114)*2)</f>
        <v/>
      </c>
      <c r="Q115" s="42"/>
      <c r="R115" s="42"/>
      <c r="S115" s="42"/>
      <c r="T115" s="42"/>
      <c r="U115" s="80"/>
      <c r="V115" s="275"/>
      <c r="W115" s="42"/>
      <c r="X115" s="255"/>
      <c r="Y115" s="122"/>
      <c r="Z115" s="37">
        <v>4955</v>
      </c>
      <c r="AA115" s="37">
        <v>9645</v>
      </c>
      <c r="AB115" s="37">
        <v>6980</v>
      </c>
      <c r="AC115" s="37">
        <v>7960</v>
      </c>
      <c r="AD115" s="69">
        <v>5.8</v>
      </c>
      <c r="AE115" s="69">
        <v>10</v>
      </c>
    </row>
    <row r="116" spans="1:31" ht="12.75" customHeight="1" x14ac:dyDescent="0.25">
      <c r="A116" s="278">
        <v>42674</v>
      </c>
      <c r="B116" s="57" t="s">
        <v>206</v>
      </c>
      <c r="C116" s="61" t="s">
        <v>205</v>
      </c>
      <c r="D116" s="35">
        <v>6782.02</v>
      </c>
      <c r="E116" s="35">
        <v>6915.45</v>
      </c>
      <c r="F116" s="35">
        <v>6751.75</v>
      </c>
      <c r="G116" s="35">
        <v>6804.12</v>
      </c>
      <c r="H116" s="35">
        <v>6795.09</v>
      </c>
      <c r="I116" s="35">
        <v>6798.07</v>
      </c>
      <c r="J116" s="35">
        <v>6804.41</v>
      </c>
      <c r="K116" s="35">
        <v>6771.34</v>
      </c>
      <c r="L116" s="35">
        <v>6787.41</v>
      </c>
      <c r="M116" s="35">
        <v>6804.85</v>
      </c>
      <c r="N116" s="35">
        <v>6870.02</v>
      </c>
      <c r="O116" s="35">
        <v>6816.48</v>
      </c>
      <c r="P116" s="35">
        <v>6828.97</v>
      </c>
      <c r="Q116" s="50">
        <f>IF((L117=""),"",MAX(D118:P118))</f>
        <v>5288.5599999999995</v>
      </c>
      <c r="R116" s="125">
        <f>IF(P117="","",MIN(D118:P118))</f>
        <v>5184.7700000000004</v>
      </c>
      <c r="S116" s="53">
        <f>IF((P118=""),"",AVERAGE(D118:P118))</f>
        <v>5234.7384615384617</v>
      </c>
      <c r="T116" s="53">
        <f>IF((P117=""),"",(Q116-R116)/(Q116+R116)*100)</f>
        <v>0.99099331349245223</v>
      </c>
      <c r="U116" s="52">
        <f>STDEV(D118:P118)</f>
        <v>36.054214466123419</v>
      </c>
      <c r="V116" s="276" t="str">
        <f>IF(P117="","",IF(T116&lt;2.7,IF(S116&gt;5150,IF(S116&lt;5600,"Pass","Fail"),"Fail"),"Fail"))</f>
        <v>Pass</v>
      </c>
      <c r="W116" s="57">
        <v>1400</v>
      </c>
      <c r="X116" s="255" t="s">
        <v>267</v>
      </c>
      <c r="Y116" s="124" t="s">
        <v>265</v>
      </c>
      <c r="Z116" s="71">
        <v>4470</v>
      </c>
      <c r="AA116" s="71">
        <v>6020</v>
      </c>
      <c r="AB116" s="71">
        <v>5150</v>
      </c>
      <c r="AC116" s="71">
        <v>5600</v>
      </c>
      <c r="AD116" s="70">
        <v>2.7</v>
      </c>
      <c r="AE116" s="69">
        <v>10</v>
      </c>
    </row>
    <row r="117" spans="1:31" ht="12.75" customHeight="1" x14ac:dyDescent="0.25">
      <c r="A117" s="279"/>
      <c r="B117" s="47"/>
      <c r="C117" s="56" t="s">
        <v>204</v>
      </c>
      <c r="D117" s="35">
        <v>1595.9</v>
      </c>
      <c r="E117" s="35">
        <v>1706.81</v>
      </c>
      <c r="F117" s="35">
        <v>1566.98</v>
      </c>
      <c r="G117" s="35">
        <v>1531.72</v>
      </c>
      <c r="H117" s="35">
        <v>1568.55</v>
      </c>
      <c r="I117" s="35">
        <v>1536.98</v>
      </c>
      <c r="J117" s="35">
        <v>1515.85</v>
      </c>
      <c r="K117" s="35">
        <v>1497.95</v>
      </c>
      <c r="L117" s="35">
        <v>1592.66</v>
      </c>
      <c r="M117" s="35">
        <v>1529.45</v>
      </c>
      <c r="N117" s="35">
        <v>1642.31</v>
      </c>
      <c r="O117" s="35">
        <v>1594.6</v>
      </c>
      <c r="P117" s="35">
        <v>1598.62</v>
      </c>
      <c r="Q117" s="47"/>
      <c r="R117" s="47"/>
      <c r="S117" s="47"/>
      <c r="T117" s="47"/>
      <c r="U117" s="47"/>
      <c r="V117" s="274"/>
      <c r="W117" s="47"/>
      <c r="X117" s="255"/>
      <c r="Y117" s="123"/>
      <c r="Z117" s="37">
        <v>4955</v>
      </c>
      <c r="AA117" s="37">
        <v>9645</v>
      </c>
      <c r="AB117" s="37">
        <v>6980</v>
      </c>
      <c r="AC117" s="37">
        <v>7960</v>
      </c>
      <c r="AD117" s="69">
        <v>5.8</v>
      </c>
      <c r="AE117" s="69">
        <v>10</v>
      </c>
    </row>
    <row r="118" spans="1:31" ht="24.8" customHeight="1" thickBot="1" x14ac:dyDescent="0.3">
      <c r="A118" s="282"/>
      <c r="B118" s="80"/>
      <c r="C118" s="56" t="s">
        <v>203</v>
      </c>
      <c r="D118" s="97">
        <f t="shared" ref="D118:P118" si="35">IF(((D116="")*AND(D117="")),"",(D116-D117))</f>
        <v>5186.1200000000008</v>
      </c>
      <c r="E118" s="97">
        <f t="shared" si="35"/>
        <v>5208.6399999999994</v>
      </c>
      <c r="F118" s="97">
        <f t="shared" si="35"/>
        <v>5184.7700000000004</v>
      </c>
      <c r="G118" s="97">
        <f t="shared" si="35"/>
        <v>5272.4</v>
      </c>
      <c r="H118" s="97">
        <f t="shared" si="35"/>
        <v>5226.54</v>
      </c>
      <c r="I118" s="97">
        <f t="shared" si="35"/>
        <v>5261.09</v>
      </c>
      <c r="J118" s="97">
        <f t="shared" si="35"/>
        <v>5288.5599999999995</v>
      </c>
      <c r="K118" s="97">
        <f t="shared" si="35"/>
        <v>5273.39</v>
      </c>
      <c r="L118" s="97">
        <f t="shared" si="35"/>
        <v>5194.75</v>
      </c>
      <c r="M118" s="97">
        <f t="shared" si="35"/>
        <v>5275.4000000000005</v>
      </c>
      <c r="N118" s="97">
        <f t="shared" si="35"/>
        <v>5227.7100000000009</v>
      </c>
      <c r="O118" s="97">
        <f t="shared" si="35"/>
        <v>5221.8799999999992</v>
      </c>
      <c r="P118" s="97">
        <f t="shared" si="35"/>
        <v>5230.3500000000004</v>
      </c>
      <c r="Q118" s="80"/>
      <c r="R118" s="80"/>
      <c r="S118" s="80"/>
      <c r="T118" s="80"/>
      <c r="U118" s="80"/>
      <c r="V118" s="277"/>
      <c r="W118" s="80"/>
      <c r="X118" s="255"/>
      <c r="Y118" s="123"/>
      <c r="Z118" s="37">
        <v>4955</v>
      </c>
      <c r="AA118" s="37">
        <v>9645</v>
      </c>
      <c r="AB118" s="37">
        <v>6980</v>
      </c>
      <c r="AC118" s="37">
        <v>7960</v>
      </c>
      <c r="AD118" s="69">
        <v>5.8</v>
      </c>
      <c r="AE118" s="69">
        <v>10</v>
      </c>
    </row>
    <row r="119" spans="1:31" x14ac:dyDescent="0.25">
      <c r="A119" s="278">
        <v>42674</v>
      </c>
      <c r="B119" s="50" t="s">
        <v>208</v>
      </c>
      <c r="C119" s="56" t="s">
        <v>205</v>
      </c>
      <c r="D119" s="35">
        <v>5941.5</v>
      </c>
      <c r="E119" s="35">
        <v>6121.16</v>
      </c>
      <c r="F119" s="35">
        <v>6133.32</v>
      </c>
      <c r="G119" s="35">
        <v>6124.54</v>
      </c>
      <c r="H119" s="35">
        <v>5959.55</v>
      </c>
      <c r="I119" s="35">
        <v>6256.47</v>
      </c>
      <c r="J119" s="35">
        <v>6106.11</v>
      </c>
      <c r="K119" s="35">
        <v>6115.59</v>
      </c>
      <c r="L119" s="35">
        <v>6029.64</v>
      </c>
      <c r="M119" s="55"/>
      <c r="N119" s="55"/>
      <c r="O119" s="55"/>
      <c r="P119" s="55"/>
      <c r="Q119" s="50">
        <f>IF((L120=""),"",MAX(D121:L121))</f>
        <v>7505.4600000000009</v>
      </c>
      <c r="R119" s="50">
        <f>IF(L120="","",MIN(D121:L121))</f>
        <v>6987.96</v>
      </c>
      <c r="S119" s="77">
        <f>IF((L121=""),"",AVERAGE(D121:L121))</f>
        <v>7162.6533333333327</v>
      </c>
      <c r="T119" s="53">
        <f>IF((L120=""),"",(Q119-R119)/(Q119+R119)*100)</f>
        <v>3.5705858244637971</v>
      </c>
      <c r="U119" s="50">
        <f>STDEV(D121:P121)</f>
        <v>140.95651457098421</v>
      </c>
      <c r="V119" s="273" t="str">
        <f>IF(L120="","",IF(T119&lt;7.3,IF(S119&gt;5700,IF(S119&lt;7200,"Pass","Fail"),"Fail"),"Fail"))</f>
        <v>Pass</v>
      </c>
      <c r="W119" s="57">
        <v>1400</v>
      </c>
      <c r="X119" s="255" t="s">
        <v>267</v>
      </c>
      <c r="Y119" s="124" t="s">
        <v>265</v>
      </c>
      <c r="Z119" s="37">
        <v>4955</v>
      </c>
      <c r="AA119" s="37">
        <v>9645</v>
      </c>
      <c r="AB119" s="37">
        <v>5100</v>
      </c>
      <c r="AC119" s="37">
        <v>8300</v>
      </c>
      <c r="AD119" s="69">
        <v>9.8000000000000007</v>
      </c>
      <c r="AE119" s="69">
        <v>10</v>
      </c>
    </row>
    <row r="120" spans="1:31" ht="12.75" customHeight="1" x14ac:dyDescent="0.25">
      <c r="A120" s="279"/>
      <c r="B120" s="47"/>
      <c r="C120" s="56" t="s">
        <v>204</v>
      </c>
      <c r="D120" s="35">
        <v>2447.52</v>
      </c>
      <c r="E120" s="35">
        <v>2549.35</v>
      </c>
      <c r="F120" s="35">
        <v>2569.3000000000002</v>
      </c>
      <c r="G120" s="35">
        <v>2526.62</v>
      </c>
      <c r="H120" s="35">
        <v>2418.84</v>
      </c>
      <c r="I120" s="35">
        <v>2503.7399999999998</v>
      </c>
      <c r="J120" s="35">
        <v>2541.37</v>
      </c>
      <c r="K120" s="35">
        <v>2543.08</v>
      </c>
      <c r="L120" s="35">
        <v>2456.12</v>
      </c>
      <c r="M120" s="55"/>
      <c r="N120" s="55"/>
      <c r="O120" s="55"/>
      <c r="P120" s="55"/>
      <c r="Q120" s="47"/>
      <c r="R120" s="47"/>
      <c r="S120" s="47"/>
      <c r="T120" s="47"/>
      <c r="U120" s="47"/>
      <c r="V120" s="274"/>
      <c r="W120" s="47"/>
      <c r="X120" s="255"/>
      <c r="Y120" s="123"/>
      <c r="Z120" s="37">
        <v>4955</v>
      </c>
      <c r="AA120" s="37">
        <v>9645</v>
      </c>
      <c r="AB120" s="37">
        <v>6980</v>
      </c>
      <c r="AC120" s="37">
        <v>7960</v>
      </c>
      <c r="AD120" s="69">
        <v>5.8</v>
      </c>
      <c r="AE120" s="69">
        <v>10</v>
      </c>
    </row>
    <row r="121" spans="1:31" ht="24.8" customHeight="1" thickBot="1" x14ac:dyDescent="0.3">
      <c r="A121" s="280"/>
      <c r="B121" s="42"/>
      <c r="C121" s="76" t="s">
        <v>203</v>
      </c>
      <c r="D121" s="84">
        <f t="shared" ref="D121:L121" si="36">IF(((D119="")*AND(D120="")),"",(D119-D120)*2)</f>
        <v>6987.96</v>
      </c>
      <c r="E121" s="84">
        <f t="shared" si="36"/>
        <v>7143.62</v>
      </c>
      <c r="F121" s="84">
        <f t="shared" si="36"/>
        <v>7128.0399999999991</v>
      </c>
      <c r="G121" s="84">
        <f t="shared" si="36"/>
        <v>7195.84</v>
      </c>
      <c r="H121" s="84">
        <f t="shared" si="36"/>
        <v>7081.42</v>
      </c>
      <c r="I121" s="84">
        <f t="shared" si="36"/>
        <v>7505.4600000000009</v>
      </c>
      <c r="J121" s="84">
        <f t="shared" si="36"/>
        <v>7129.48</v>
      </c>
      <c r="K121" s="84">
        <f t="shared" si="36"/>
        <v>7145.02</v>
      </c>
      <c r="L121" s="84">
        <f t="shared" si="36"/>
        <v>7147.0400000000009</v>
      </c>
      <c r="M121" s="84"/>
      <c r="N121" s="84"/>
      <c r="O121" s="84"/>
      <c r="P121" s="84" t="str">
        <f>IF(((P119="")*AND(P120="")),"",(P119-P120)*2)</f>
        <v/>
      </c>
      <c r="Q121" s="42"/>
      <c r="R121" s="42"/>
      <c r="S121" s="42"/>
      <c r="T121" s="42"/>
      <c r="U121" s="80"/>
      <c r="V121" s="275"/>
      <c r="W121" s="42"/>
      <c r="X121" s="255"/>
      <c r="Y121" s="122"/>
      <c r="Z121" s="37">
        <v>4955</v>
      </c>
      <c r="AA121" s="37">
        <v>9645</v>
      </c>
      <c r="AB121" s="37">
        <v>6980</v>
      </c>
      <c r="AC121" s="37">
        <v>7960</v>
      </c>
      <c r="AD121" s="69">
        <v>5.8</v>
      </c>
      <c r="AE121" s="69">
        <v>10</v>
      </c>
    </row>
    <row r="122" spans="1:31" ht="12.75" customHeight="1" x14ac:dyDescent="0.25">
      <c r="A122" s="278">
        <v>42678</v>
      </c>
      <c r="B122" s="57" t="s">
        <v>206</v>
      </c>
      <c r="C122" s="61" t="s">
        <v>205</v>
      </c>
      <c r="D122" s="35">
        <v>6785.13</v>
      </c>
      <c r="E122" s="35">
        <v>6914.14</v>
      </c>
      <c r="F122" s="35">
        <v>6757.38</v>
      </c>
      <c r="G122" s="35">
        <v>6824.67</v>
      </c>
      <c r="H122" s="35">
        <v>6778.28</v>
      </c>
      <c r="I122" s="35">
        <v>6800.52</v>
      </c>
      <c r="J122" s="35">
        <v>6828.38</v>
      </c>
      <c r="K122" s="35">
        <v>6795.48</v>
      </c>
      <c r="L122" s="35">
        <v>6795.9</v>
      </c>
      <c r="M122" s="35">
        <v>6824.14</v>
      </c>
      <c r="N122" s="35">
        <v>6864.62</v>
      </c>
      <c r="O122" s="35">
        <v>6824.94</v>
      </c>
      <c r="P122" s="35">
        <v>6823.33</v>
      </c>
      <c r="Q122" s="50">
        <f>IF((L123=""),"",MAX(D124:P124))</f>
        <v>5348.31</v>
      </c>
      <c r="R122" s="125">
        <f>IF(P123="","",MIN(D124:P124))</f>
        <v>5229.6000000000004</v>
      </c>
      <c r="S122" s="53">
        <f>IF((P124=""),"",AVERAGE(D124:P124))</f>
        <v>5297.3384615384621</v>
      </c>
      <c r="T122" s="53">
        <f>IF((P123=""),"",(Q122-R122)/(Q122+R122)*100)</f>
        <v>1.1222443753066536</v>
      </c>
      <c r="U122" s="52">
        <f>STDEV(D124:P124)</f>
        <v>42.46577638643344</v>
      </c>
      <c r="V122" s="276" t="str">
        <f>IF(P123="","",IF(T122&lt;2.7,IF(S122&gt;5150,IF(S122&lt;5600,"Pass","Fail"),"Fail"),"Fail"))</f>
        <v>Pass</v>
      </c>
      <c r="W122" s="57">
        <v>1400</v>
      </c>
      <c r="X122" s="255" t="s">
        <v>266</v>
      </c>
      <c r="Y122" s="124" t="s">
        <v>265</v>
      </c>
      <c r="Z122" s="71">
        <v>4470</v>
      </c>
      <c r="AA122" s="71">
        <v>6020</v>
      </c>
      <c r="AB122" s="71">
        <v>5150</v>
      </c>
      <c r="AC122" s="71">
        <v>5600</v>
      </c>
      <c r="AD122" s="70">
        <v>2.7</v>
      </c>
      <c r="AE122" s="69">
        <v>10</v>
      </c>
    </row>
    <row r="123" spans="1:31" ht="12.75" customHeight="1" x14ac:dyDescent="0.25">
      <c r="A123" s="279"/>
      <c r="B123" s="47"/>
      <c r="C123" s="56" t="s">
        <v>204</v>
      </c>
      <c r="D123" s="35">
        <v>1547.87</v>
      </c>
      <c r="E123" s="35">
        <v>1638.27</v>
      </c>
      <c r="F123" s="35">
        <v>1527.78</v>
      </c>
      <c r="G123" s="35">
        <v>1496.15</v>
      </c>
      <c r="H123" s="35">
        <v>1470.83</v>
      </c>
      <c r="I123" s="35">
        <v>1461.17</v>
      </c>
      <c r="J123" s="35">
        <v>1480.07</v>
      </c>
      <c r="K123" s="35">
        <v>1465.13</v>
      </c>
      <c r="L123" s="35">
        <v>1559.39</v>
      </c>
      <c r="M123" s="35">
        <v>1481.56</v>
      </c>
      <c r="N123" s="35">
        <v>1552.23</v>
      </c>
      <c r="O123" s="35">
        <v>1549.14</v>
      </c>
      <c r="P123" s="35">
        <v>1521.92</v>
      </c>
      <c r="Q123" s="47"/>
      <c r="R123" s="47"/>
      <c r="S123" s="47"/>
      <c r="T123" s="47"/>
      <c r="U123" s="47"/>
      <c r="V123" s="274"/>
      <c r="W123" s="47"/>
      <c r="X123" s="255"/>
      <c r="Y123" s="123"/>
      <c r="Z123" s="37">
        <v>4955</v>
      </c>
      <c r="AA123" s="37">
        <v>9645</v>
      </c>
      <c r="AB123" s="37">
        <v>6980</v>
      </c>
      <c r="AC123" s="37">
        <v>7960</v>
      </c>
      <c r="AD123" s="69">
        <v>5.8</v>
      </c>
      <c r="AE123" s="69">
        <v>10</v>
      </c>
    </row>
    <row r="124" spans="1:31" ht="24.8" customHeight="1" thickBot="1" x14ac:dyDescent="0.3">
      <c r="A124" s="282"/>
      <c r="B124" s="80"/>
      <c r="C124" s="56" t="s">
        <v>203</v>
      </c>
      <c r="D124" s="97">
        <f t="shared" ref="D124:P124" si="37">IF(((D122="")*AND(D123="")),"",(D122-D123))</f>
        <v>5237.26</v>
      </c>
      <c r="E124" s="97">
        <f t="shared" si="37"/>
        <v>5275.8700000000008</v>
      </c>
      <c r="F124" s="97">
        <f t="shared" si="37"/>
        <v>5229.6000000000004</v>
      </c>
      <c r="G124" s="97">
        <f t="shared" si="37"/>
        <v>5328.52</v>
      </c>
      <c r="H124" s="97">
        <f t="shared" si="37"/>
        <v>5307.45</v>
      </c>
      <c r="I124" s="97">
        <f t="shared" si="37"/>
        <v>5339.35</v>
      </c>
      <c r="J124" s="97">
        <f t="shared" si="37"/>
        <v>5348.31</v>
      </c>
      <c r="K124" s="97">
        <f t="shared" si="37"/>
        <v>5330.3499999999995</v>
      </c>
      <c r="L124" s="97">
        <f t="shared" si="37"/>
        <v>5236.5099999999993</v>
      </c>
      <c r="M124" s="97">
        <f t="shared" si="37"/>
        <v>5342.58</v>
      </c>
      <c r="N124" s="97">
        <f t="shared" si="37"/>
        <v>5312.3899999999994</v>
      </c>
      <c r="O124" s="97">
        <f t="shared" si="37"/>
        <v>5275.7999999999993</v>
      </c>
      <c r="P124" s="97">
        <f t="shared" si="37"/>
        <v>5301.41</v>
      </c>
      <c r="Q124" s="80"/>
      <c r="R124" s="80"/>
      <c r="S124" s="80"/>
      <c r="T124" s="80"/>
      <c r="U124" s="80"/>
      <c r="V124" s="277"/>
      <c r="W124" s="80"/>
      <c r="X124" s="255"/>
      <c r="Y124" s="123"/>
      <c r="Z124" s="37">
        <v>4955</v>
      </c>
      <c r="AA124" s="37">
        <v>9645</v>
      </c>
      <c r="AB124" s="37">
        <v>6980</v>
      </c>
      <c r="AC124" s="37">
        <v>7960</v>
      </c>
      <c r="AD124" s="69">
        <v>5.8</v>
      </c>
      <c r="AE124" s="69">
        <v>10</v>
      </c>
    </row>
    <row r="125" spans="1:31" x14ac:dyDescent="0.25">
      <c r="A125" s="278">
        <v>42678</v>
      </c>
      <c r="B125" s="50" t="s">
        <v>208</v>
      </c>
      <c r="C125" s="56" t="s">
        <v>205</v>
      </c>
      <c r="D125" s="35">
        <v>5953.81</v>
      </c>
      <c r="E125" s="35">
        <v>6111.48</v>
      </c>
      <c r="F125" s="35">
        <v>6128.32</v>
      </c>
      <c r="G125" s="35">
        <v>6122.81</v>
      </c>
      <c r="H125" s="35">
        <v>5960.13</v>
      </c>
      <c r="I125" s="35">
        <v>6250.75</v>
      </c>
      <c r="J125" s="35">
        <v>6105.17</v>
      </c>
      <c r="K125" s="35">
        <v>6120.38</v>
      </c>
      <c r="L125" s="35">
        <v>6032.2</v>
      </c>
      <c r="M125" s="55"/>
      <c r="N125" s="55"/>
      <c r="O125" s="55"/>
      <c r="P125" s="55"/>
      <c r="Q125" s="50">
        <f>IF((L126=""),"",MAX(D127:L127))</f>
        <v>6482.2</v>
      </c>
      <c r="R125" s="50">
        <f>IF(L126="","",MIN(D127:L127))</f>
        <v>6111.5199999999995</v>
      </c>
      <c r="S125" s="77">
        <f>IF((L127=""),"",AVERAGE(D127:L127))</f>
        <v>6228.1977777777765</v>
      </c>
      <c r="T125" s="53">
        <f>IF((L126=""),"",(Q125-R125)/(Q125+R125)*100)</f>
        <v>2.9433717757739597</v>
      </c>
      <c r="U125" s="50">
        <f>STDEV(D127:P127)</f>
        <v>113.62603198406806</v>
      </c>
      <c r="V125" s="273" t="str">
        <f>IF(L126="","",IF(T125&lt;7.3,IF(S125&gt;5700,IF(S125&lt;7200,"Pass","Fail"),"Fail"),"Fail"))</f>
        <v>Pass</v>
      </c>
      <c r="W125" s="57">
        <v>1400</v>
      </c>
      <c r="X125" s="255" t="s">
        <v>266</v>
      </c>
      <c r="Y125" s="124" t="s">
        <v>265</v>
      </c>
      <c r="Z125" s="37">
        <v>4955</v>
      </c>
      <c r="AA125" s="37">
        <v>9645</v>
      </c>
      <c r="AB125" s="37">
        <v>5100</v>
      </c>
      <c r="AC125" s="37">
        <v>8300</v>
      </c>
      <c r="AD125" s="69">
        <v>9.8000000000000007</v>
      </c>
      <c r="AE125" s="69">
        <v>10</v>
      </c>
    </row>
    <row r="126" spans="1:31" ht="12.75" customHeight="1" x14ac:dyDescent="0.25">
      <c r="A126" s="279"/>
      <c r="B126" s="47"/>
      <c r="C126" s="56" t="s">
        <v>204</v>
      </c>
      <c r="D126" s="35">
        <v>2854.91</v>
      </c>
      <c r="E126" s="35">
        <v>3055.72</v>
      </c>
      <c r="F126" s="35">
        <v>3066.59</v>
      </c>
      <c r="G126" s="35">
        <v>3008.01</v>
      </c>
      <c r="H126" s="35">
        <v>2819.56</v>
      </c>
      <c r="I126" s="35">
        <v>3009.65</v>
      </c>
      <c r="J126" s="35">
        <v>3031.47</v>
      </c>
      <c r="K126" s="35">
        <v>3021.53</v>
      </c>
      <c r="L126" s="35">
        <v>2890.72</v>
      </c>
      <c r="M126" s="55"/>
      <c r="N126" s="55"/>
      <c r="O126" s="55"/>
      <c r="P126" s="55"/>
      <c r="Q126" s="47"/>
      <c r="R126" s="47"/>
      <c r="S126" s="47"/>
      <c r="T126" s="47"/>
      <c r="U126" s="47"/>
      <c r="V126" s="274"/>
      <c r="W126" s="47"/>
      <c r="X126" s="255"/>
      <c r="Y126" s="123"/>
      <c r="Z126" s="37">
        <v>4955</v>
      </c>
      <c r="AA126" s="37">
        <v>9645</v>
      </c>
      <c r="AB126" s="37">
        <v>6980</v>
      </c>
      <c r="AC126" s="37">
        <v>7960</v>
      </c>
      <c r="AD126" s="69">
        <v>5.8</v>
      </c>
      <c r="AE126" s="69">
        <v>10</v>
      </c>
    </row>
    <row r="127" spans="1:31" ht="24.8" customHeight="1" thickBot="1" x14ac:dyDescent="0.3">
      <c r="A127" s="280"/>
      <c r="B127" s="42"/>
      <c r="C127" s="76" t="s">
        <v>203</v>
      </c>
      <c r="D127" s="84">
        <f t="shared" ref="D127:L127" si="38">IF(((D125="")*AND(D126="")),"",(D125-D126)*2)</f>
        <v>6197.8000000000011</v>
      </c>
      <c r="E127" s="84">
        <f t="shared" si="38"/>
        <v>6111.5199999999995</v>
      </c>
      <c r="F127" s="84">
        <f t="shared" si="38"/>
        <v>6123.4599999999991</v>
      </c>
      <c r="G127" s="84">
        <f t="shared" si="38"/>
        <v>6229.6</v>
      </c>
      <c r="H127" s="84">
        <f t="shared" si="38"/>
        <v>6281.14</v>
      </c>
      <c r="I127" s="84">
        <f t="shared" si="38"/>
        <v>6482.2</v>
      </c>
      <c r="J127" s="84">
        <f t="shared" si="38"/>
        <v>6147.4000000000005</v>
      </c>
      <c r="K127" s="84">
        <f t="shared" si="38"/>
        <v>6197.7</v>
      </c>
      <c r="L127" s="84">
        <f t="shared" si="38"/>
        <v>6282.96</v>
      </c>
      <c r="M127" s="84"/>
      <c r="N127" s="84"/>
      <c r="O127" s="84"/>
      <c r="P127" s="84" t="str">
        <f>IF(((P125="")*AND(P126="")),"",(P125-P126)*2)</f>
        <v/>
      </c>
      <c r="Q127" s="42"/>
      <c r="R127" s="42"/>
      <c r="S127" s="42"/>
      <c r="T127" s="42"/>
      <c r="U127" s="80"/>
      <c r="V127" s="275"/>
      <c r="W127" s="42"/>
      <c r="X127" s="255"/>
      <c r="Y127" s="122"/>
      <c r="Z127" s="37">
        <v>4955</v>
      </c>
      <c r="AA127" s="37">
        <v>9645</v>
      </c>
      <c r="AB127" s="37">
        <v>6980</v>
      </c>
      <c r="AC127" s="37">
        <v>7960</v>
      </c>
      <c r="AD127" s="69">
        <v>5.8</v>
      </c>
      <c r="AE127" s="69">
        <v>10</v>
      </c>
    </row>
    <row r="128" spans="1:31" ht="12.75" customHeight="1" x14ac:dyDescent="0.25">
      <c r="A128" s="278">
        <v>42682</v>
      </c>
      <c r="B128" s="57" t="s">
        <v>206</v>
      </c>
      <c r="C128" s="61" t="s">
        <v>205</v>
      </c>
      <c r="D128" s="35">
        <v>6629.16</v>
      </c>
      <c r="E128" s="35">
        <v>6748.12</v>
      </c>
      <c r="F128" s="35">
        <v>6624.64</v>
      </c>
      <c r="G128" s="35">
        <v>6686.51</v>
      </c>
      <c r="H128" s="35">
        <v>6605.86</v>
      </c>
      <c r="I128" s="35">
        <v>6659.52</v>
      </c>
      <c r="J128" s="35">
        <v>6692.83</v>
      </c>
      <c r="K128" s="35">
        <v>6650.85</v>
      </c>
      <c r="L128" s="35">
        <v>6667.25</v>
      </c>
      <c r="M128" s="35">
        <v>6693.8</v>
      </c>
      <c r="N128" s="35">
        <v>6708.17</v>
      </c>
      <c r="O128" s="35">
        <v>6692.38</v>
      </c>
      <c r="P128" s="35">
        <v>6667.07</v>
      </c>
      <c r="Q128" s="50">
        <f>IF((L129=""),"",MAX(D130:P130))</f>
        <v>5346.0599999999995</v>
      </c>
      <c r="R128" s="125">
        <f>IF(P129="","",MIN(D130:P130))</f>
        <v>5185.01</v>
      </c>
      <c r="S128" s="53">
        <f>IF((P130=""),"",AVERAGE(D130:P130))</f>
        <v>5239.3438461538462</v>
      </c>
      <c r="T128" s="53">
        <f>IF((P129=""),"",(Q128-R128)/(Q128+R128)*100)</f>
        <v>1.5292842987464643</v>
      </c>
      <c r="U128" s="52">
        <f>STDEV(D130:P130)</f>
        <v>52.972158652519468</v>
      </c>
      <c r="V128" s="276" t="str">
        <f>IF(P129="","",IF(T128&lt;2.7,IF(S128&gt;5150,IF(S128&lt;5600,"Pass","Fail"),"Fail"),"Fail"))</f>
        <v>Pass</v>
      </c>
      <c r="W128" s="57">
        <v>1428</v>
      </c>
      <c r="X128" s="255" t="s">
        <v>264</v>
      </c>
      <c r="Y128" s="124" t="s">
        <v>265</v>
      </c>
      <c r="Z128" s="71">
        <v>4470</v>
      </c>
      <c r="AA128" s="71">
        <v>6020</v>
      </c>
      <c r="AB128" s="71">
        <v>5150</v>
      </c>
      <c r="AC128" s="71">
        <v>5600</v>
      </c>
      <c r="AD128" s="70">
        <v>2.7</v>
      </c>
      <c r="AE128" s="69">
        <v>10</v>
      </c>
    </row>
    <row r="129" spans="1:31" ht="12.75" customHeight="1" x14ac:dyDescent="0.25">
      <c r="A129" s="279"/>
      <c r="B129" s="47"/>
      <c r="C129" s="56" t="s">
        <v>204</v>
      </c>
      <c r="D129" s="35">
        <v>1442.5</v>
      </c>
      <c r="E129" s="35">
        <v>1544.14</v>
      </c>
      <c r="F129" s="35">
        <v>1439.63</v>
      </c>
      <c r="G129" s="35">
        <v>1355.52</v>
      </c>
      <c r="H129" s="35">
        <v>1381.15</v>
      </c>
      <c r="I129" s="35">
        <v>1400.71</v>
      </c>
      <c r="J129" s="35">
        <v>1346.77</v>
      </c>
      <c r="K129" s="35">
        <v>1376.65</v>
      </c>
      <c r="L129" s="35">
        <v>1478.39</v>
      </c>
      <c r="M129" s="35">
        <v>1426.72</v>
      </c>
      <c r="N129" s="35">
        <v>1493.24</v>
      </c>
      <c r="O129" s="35">
        <v>1479.34</v>
      </c>
      <c r="P129" s="35">
        <v>1449.93</v>
      </c>
      <c r="Q129" s="47"/>
      <c r="R129" s="47"/>
      <c r="S129" s="47"/>
      <c r="T129" s="47"/>
      <c r="U129" s="47"/>
      <c r="V129" s="274"/>
      <c r="W129" s="47"/>
      <c r="X129" s="255"/>
      <c r="Y129" s="123"/>
    </row>
    <row r="130" spans="1:31" ht="24.8" customHeight="1" thickBot="1" x14ac:dyDescent="0.3">
      <c r="A130" s="282"/>
      <c r="B130" s="80"/>
      <c r="C130" s="56" t="s">
        <v>203</v>
      </c>
      <c r="D130" s="97">
        <f t="shared" ref="D130:P130" si="39">IF(((D128="")*AND(D129="")),"",(D128-D129))</f>
        <v>5186.66</v>
      </c>
      <c r="E130" s="97">
        <f t="shared" si="39"/>
        <v>5203.9799999999996</v>
      </c>
      <c r="F130" s="97">
        <f t="shared" si="39"/>
        <v>5185.01</v>
      </c>
      <c r="G130" s="97">
        <f t="shared" si="39"/>
        <v>5330.99</v>
      </c>
      <c r="H130" s="97">
        <f t="shared" si="39"/>
        <v>5224.7099999999991</v>
      </c>
      <c r="I130" s="97">
        <f t="shared" si="39"/>
        <v>5258.81</v>
      </c>
      <c r="J130" s="97">
        <f t="shared" si="39"/>
        <v>5346.0599999999995</v>
      </c>
      <c r="K130" s="97">
        <f t="shared" si="39"/>
        <v>5274.2000000000007</v>
      </c>
      <c r="L130" s="97">
        <f t="shared" si="39"/>
        <v>5188.8599999999997</v>
      </c>
      <c r="M130" s="97">
        <f t="shared" si="39"/>
        <v>5267.08</v>
      </c>
      <c r="N130" s="97">
        <f t="shared" si="39"/>
        <v>5214.93</v>
      </c>
      <c r="O130" s="97">
        <f t="shared" si="39"/>
        <v>5213.04</v>
      </c>
      <c r="P130" s="97">
        <f t="shared" si="39"/>
        <v>5217.1399999999994</v>
      </c>
      <c r="Q130" s="80"/>
      <c r="R130" s="80"/>
      <c r="S130" s="80"/>
      <c r="T130" s="80"/>
      <c r="U130" s="80"/>
      <c r="V130" s="277"/>
      <c r="W130" s="80"/>
      <c r="X130" s="255"/>
      <c r="Y130" s="123"/>
    </row>
    <row r="131" spans="1:31" x14ac:dyDescent="0.25">
      <c r="A131" s="278">
        <v>42682</v>
      </c>
      <c r="B131" s="50" t="s">
        <v>208</v>
      </c>
      <c r="C131" s="56" t="s">
        <v>205</v>
      </c>
      <c r="D131" s="35">
        <v>5961.81</v>
      </c>
      <c r="E131" s="35">
        <v>6105.32</v>
      </c>
      <c r="F131" s="35">
        <v>6128.07</v>
      </c>
      <c r="G131" s="35">
        <v>6116.6</v>
      </c>
      <c r="H131" s="35">
        <v>5964.44</v>
      </c>
      <c r="I131" s="35">
        <v>6106.37</v>
      </c>
      <c r="J131" s="35">
        <v>6096.88</v>
      </c>
      <c r="K131" s="35">
        <v>6106.03</v>
      </c>
      <c r="L131" s="35">
        <v>6031.98</v>
      </c>
      <c r="M131" s="55"/>
      <c r="N131" s="55"/>
      <c r="O131" s="55"/>
      <c r="P131" s="55"/>
      <c r="Q131" s="50">
        <f>IF((L132=""),"",MAX(D133:L133))</f>
        <v>6850.3</v>
      </c>
      <c r="R131" s="50">
        <f>IF(L132="","",MIN(D133:L133))</f>
        <v>6565.66</v>
      </c>
      <c r="S131" s="77">
        <f>IF((L133=""),"",AVERAGE(D133:L133))</f>
        <v>6676.76</v>
      </c>
      <c r="T131" s="53">
        <f>IF((L132=""),"",(Q131-R131)/(Q131+R131)*100)</f>
        <v>2.1216521218012008</v>
      </c>
      <c r="U131" s="50">
        <f>STDEV(D133:P133)</f>
        <v>93.820460455062857</v>
      </c>
      <c r="V131" s="273" t="str">
        <f>IF(L132="","",IF(T131&lt;7.3,IF(S131&gt;5700,IF(S131&lt;7200,"Pass","Fail"),"Fail"),"Fail"))</f>
        <v>Pass</v>
      </c>
      <c r="W131" s="57">
        <v>1428</v>
      </c>
      <c r="X131" s="255" t="s">
        <v>264</v>
      </c>
      <c r="Y131" s="124" t="s">
        <v>265</v>
      </c>
      <c r="Z131" s="37">
        <v>4955</v>
      </c>
      <c r="AA131" s="37">
        <v>9645</v>
      </c>
      <c r="AB131" s="37">
        <v>5100</v>
      </c>
      <c r="AC131" s="37">
        <v>8300</v>
      </c>
      <c r="AD131" s="69">
        <v>9.8000000000000007</v>
      </c>
      <c r="AE131" s="69">
        <v>10</v>
      </c>
    </row>
    <row r="132" spans="1:31" ht="12.75" customHeight="1" x14ac:dyDescent="0.25">
      <c r="A132" s="279"/>
      <c r="B132" s="47"/>
      <c r="C132" s="56" t="s">
        <v>204</v>
      </c>
      <c r="D132" s="35">
        <v>2622.6</v>
      </c>
      <c r="E132" s="35">
        <v>2822.49</v>
      </c>
      <c r="F132" s="35">
        <v>2836.51</v>
      </c>
      <c r="G132" s="35">
        <v>2773.66</v>
      </c>
      <c r="H132" s="35">
        <v>2601.9699999999998</v>
      </c>
      <c r="I132" s="35">
        <v>2681.22</v>
      </c>
      <c r="J132" s="35">
        <v>2794.74</v>
      </c>
      <c r="K132" s="35">
        <v>2792.75</v>
      </c>
      <c r="L132" s="35">
        <v>2646.14</v>
      </c>
      <c r="M132" s="55"/>
      <c r="N132" s="55"/>
      <c r="O132" s="55"/>
      <c r="P132" s="55"/>
      <c r="Q132" s="47"/>
      <c r="R132" s="47"/>
      <c r="S132" s="47"/>
      <c r="T132" s="47"/>
      <c r="U132" s="47"/>
      <c r="V132" s="274"/>
      <c r="W132" s="47"/>
      <c r="X132" s="255"/>
      <c r="Y132" s="123"/>
    </row>
    <row r="133" spans="1:31" ht="24.8" customHeight="1" thickBot="1" x14ac:dyDescent="0.3">
      <c r="A133" s="280"/>
      <c r="B133" s="42"/>
      <c r="C133" s="76" t="s">
        <v>203</v>
      </c>
      <c r="D133" s="84">
        <f t="shared" ref="D133:L133" si="40">IF(((D131="")*AND(D132="")),"",(D131-D132)*2)</f>
        <v>6678.420000000001</v>
      </c>
      <c r="E133" s="84">
        <f t="shared" si="40"/>
        <v>6565.66</v>
      </c>
      <c r="F133" s="84">
        <f t="shared" si="40"/>
        <v>6583.119999999999</v>
      </c>
      <c r="G133" s="84">
        <f t="shared" si="40"/>
        <v>6685.880000000001</v>
      </c>
      <c r="H133" s="84">
        <f t="shared" si="40"/>
        <v>6724.94</v>
      </c>
      <c r="I133" s="84">
        <f t="shared" si="40"/>
        <v>6850.3</v>
      </c>
      <c r="J133" s="84">
        <f t="shared" si="40"/>
        <v>6604.2800000000007</v>
      </c>
      <c r="K133" s="84">
        <f t="shared" si="40"/>
        <v>6626.5599999999995</v>
      </c>
      <c r="L133" s="84">
        <f t="shared" si="40"/>
        <v>6771.6799999999994</v>
      </c>
      <c r="M133" s="84"/>
      <c r="N133" s="84"/>
      <c r="O133" s="84"/>
      <c r="P133" s="84" t="str">
        <f>IF(((P131="")*AND(P132="")),"",(P131-P132)*2)</f>
        <v/>
      </c>
      <c r="Q133" s="42"/>
      <c r="R133" s="42"/>
      <c r="S133" s="42"/>
      <c r="T133" s="42"/>
      <c r="U133" s="80"/>
      <c r="V133" s="275"/>
      <c r="W133" s="42"/>
      <c r="X133" s="255"/>
      <c r="Y133" s="122"/>
    </row>
    <row r="134" spans="1:31" ht="12.75" customHeight="1" x14ac:dyDescent="0.25">
      <c r="A134" s="278">
        <v>42689</v>
      </c>
      <c r="B134" s="57" t="s">
        <v>206</v>
      </c>
      <c r="C134" s="61" t="s">
        <v>205</v>
      </c>
      <c r="D134" s="35">
        <v>6924.24</v>
      </c>
      <c r="E134" s="35">
        <v>7044</v>
      </c>
      <c r="F134" s="35">
        <v>6897.32</v>
      </c>
      <c r="G134" s="35">
        <v>6955.04</v>
      </c>
      <c r="H134" s="35">
        <v>6914.75</v>
      </c>
      <c r="I134" s="35">
        <v>6936.4</v>
      </c>
      <c r="J134" s="35">
        <v>6956.58</v>
      </c>
      <c r="K134" s="35">
        <v>6921.11</v>
      </c>
      <c r="L134" s="35">
        <v>6936.13</v>
      </c>
      <c r="M134" s="35">
        <v>6955.95</v>
      </c>
      <c r="N134" s="35">
        <v>6997.25</v>
      </c>
      <c r="O134" s="35">
        <v>6962.05</v>
      </c>
      <c r="P134" s="35">
        <v>6960.67</v>
      </c>
      <c r="Q134" s="50">
        <f>IF((L135=""),"",MAX(D136:P136))</f>
        <v>5322.9699999999993</v>
      </c>
      <c r="R134" s="50">
        <f>IF(L135="","",MIN(D136:L136))</f>
        <v>5211.2999999999993</v>
      </c>
      <c r="S134" s="53">
        <f>IF((P136=""),"",AVERAGE(D136:P136))</f>
        <v>5275.38</v>
      </c>
      <c r="T134" s="53">
        <f>IF((L135=""),"",(Q134-R134)/(Q134+R134)*100)</f>
        <v>1.060063962666612</v>
      </c>
      <c r="U134" s="50">
        <f>STDEV(D136:P136)</f>
        <v>38.057565607905097</v>
      </c>
      <c r="V134" s="276" t="str">
        <f>IF(P135="","",IF(T134&lt;2.7,IF(S134&gt;5150,IF(S134&lt;5600,"Pass","Fail"),"Fail"),"Fail"))</f>
        <v>Pass</v>
      </c>
      <c r="W134" s="57">
        <v>1159</v>
      </c>
      <c r="X134" s="98" t="s">
        <v>263</v>
      </c>
      <c r="Z134" s="71">
        <v>4470</v>
      </c>
      <c r="AA134" s="71">
        <v>6020</v>
      </c>
      <c r="AB134" s="71">
        <v>5150</v>
      </c>
      <c r="AC134" s="71">
        <v>5600</v>
      </c>
      <c r="AD134" s="70">
        <v>2.7</v>
      </c>
      <c r="AE134" s="69">
        <v>10</v>
      </c>
    </row>
    <row r="135" spans="1:31" ht="12.75" customHeight="1" x14ac:dyDescent="0.25">
      <c r="A135" s="279"/>
      <c r="B135" s="47"/>
      <c r="C135" s="56" t="s">
        <v>204</v>
      </c>
      <c r="D135" s="35">
        <v>1702.6</v>
      </c>
      <c r="E135" s="35">
        <v>1780.23</v>
      </c>
      <c r="F135" s="35">
        <v>1686.02</v>
      </c>
      <c r="G135" s="35">
        <v>1671.97</v>
      </c>
      <c r="H135" s="35">
        <v>1619.48</v>
      </c>
      <c r="I135" s="35">
        <v>1616.38</v>
      </c>
      <c r="J135" s="35">
        <v>1654.65</v>
      </c>
      <c r="K135" s="35">
        <v>1616.72</v>
      </c>
      <c r="L135" s="35">
        <v>1717.16</v>
      </c>
      <c r="M135" s="35">
        <v>1632.98</v>
      </c>
      <c r="N135" s="35">
        <v>1700.59</v>
      </c>
      <c r="O135" s="35">
        <v>1704.31</v>
      </c>
      <c r="P135" s="35">
        <v>1678.46</v>
      </c>
      <c r="Q135" s="47"/>
      <c r="R135" s="47"/>
      <c r="S135" s="47"/>
      <c r="T135" s="47"/>
      <c r="U135" s="47"/>
      <c r="V135" s="274"/>
      <c r="W135" s="47"/>
      <c r="X135" s="257"/>
      <c r="Y135" s="102"/>
    </row>
    <row r="136" spans="1:31" ht="24.8" customHeight="1" thickBot="1" x14ac:dyDescent="0.3">
      <c r="A136" s="282"/>
      <c r="B136" s="80"/>
      <c r="C136" s="56" t="s">
        <v>203</v>
      </c>
      <c r="D136" s="97">
        <f t="shared" ref="D136:P136" si="41">IF(((D134="")*AND(D135="")),"",(D134-D135))</f>
        <v>5221.6399999999994</v>
      </c>
      <c r="E136" s="97">
        <f t="shared" si="41"/>
        <v>5263.77</v>
      </c>
      <c r="F136" s="97">
        <f t="shared" si="41"/>
        <v>5211.2999999999993</v>
      </c>
      <c r="G136" s="97">
        <f t="shared" si="41"/>
        <v>5283.07</v>
      </c>
      <c r="H136" s="97">
        <f t="shared" si="41"/>
        <v>5295.27</v>
      </c>
      <c r="I136" s="97">
        <f t="shared" si="41"/>
        <v>5320.0199999999995</v>
      </c>
      <c r="J136" s="97">
        <f t="shared" si="41"/>
        <v>5301.93</v>
      </c>
      <c r="K136" s="97">
        <f t="shared" si="41"/>
        <v>5304.3899999999994</v>
      </c>
      <c r="L136" s="97">
        <f t="shared" si="41"/>
        <v>5218.97</v>
      </c>
      <c r="M136" s="97">
        <f t="shared" si="41"/>
        <v>5322.9699999999993</v>
      </c>
      <c r="N136" s="97">
        <f t="shared" si="41"/>
        <v>5296.66</v>
      </c>
      <c r="O136" s="97">
        <f t="shared" si="41"/>
        <v>5257.74</v>
      </c>
      <c r="P136" s="97">
        <f t="shared" si="41"/>
        <v>5282.21</v>
      </c>
      <c r="Q136" s="80"/>
      <c r="R136" s="80"/>
      <c r="S136" s="80"/>
      <c r="T136" s="80"/>
      <c r="U136" s="80"/>
      <c r="V136" s="277"/>
      <c r="W136" s="80"/>
      <c r="X136" s="257"/>
      <c r="Y136" s="102"/>
    </row>
    <row r="137" spans="1:31" x14ac:dyDescent="0.25">
      <c r="A137" s="278">
        <v>42689</v>
      </c>
      <c r="B137" s="50" t="s">
        <v>208</v>
      </c>
      <c r="C137" s="56" t="s">
        <v>205</v>
      </c>
      <c r="D137" s="35">
        <v>5946.34</v>
      </c>
      <c r="E137" s="35">
        <v>6117.44</v>
      </c>
      <c r="F137" s="35">
        <v>6128.64</v>
      </c>
      <c r="G137" s="35">
        <v>6123.9</v>
      </c>
      <c r="H137" s="35">
        <v>5972.3</v>
      </c>
      <c r="I137" s="35">
        <v>6283.14</v>
      </c>
      <c r="J137" s="35">
        <v>6109.91</v>
      </c>
      <c r="K137" s="35">
        <v>6116.88</v>
      </c>
      <c r="L137" s="35">
        <v>6035.61</v>
      </c>
      <c r="M137" s="55"/>
      <c r="N137" s="55"/>
      <c r="O137" s="55"/>
      <c r="P137" s="55"/>
      <c r="Q137" s="50">
        <f>IF((L138=""),"",MAX(D139:L139))</f>
        <v>7235.68</v>
      </c>
      <c r="R137" s="50">
        <f>IF(L138="","",MIN(D139:L139))</f>
        <v>6401.8600000000006</v>
      </c>
      <c r="S137" s="77">
        <f>IF((L139=""),"",AVERAGE(D139:L139))</f>
        <v>6559.4</v>
      </c>
      <c r="T137" s="53">
        <f>IF((L138=""),"",(Q137-R137)/(Q137+R137)*100)</f>
        <v>6.1141525524398066</v>
      </c>
      <c r="U137" s="50">
        <f>STDEV(D139:P139)</f>
        <v>270.67516287978856</v>
      </c>
      <c r="V137" s="273" t="str">
        <f>IF(L138="","",IF(T137&lt;7.3,IF(S137&gt;5700,IF(S137&lt;7200,"Pass","Fail"),"Fail"),"Fail"))</f>
        <v>Pass</v>
      </c>
      <c r="W137" s="57">
        <v>1159</v>
      </c>
      <c r="X137" s="98" t="s">
        <v>263</v>
      </c>
      <c r="Y137" s="98"/>
      <c r="Z137" s="37">
        <v>4955</v>
      </c>
      <c r="AA137" s="37">
        <v>9645</v>
      </c>
      <c r="AB137" s="37">
        <v>5100</v>
      </c>
      <c r="AC137" s="37">
        <v>8300</v>
      </c>
      <c r="AD137" s="69">
        <v>9.8000000000000007</v>
      </c>
      <c r="AE137" s="69">
        <v>10</v>
      </c>
    </row>
    <row r="138" spans="1:31" ht="12.75" customHeight="1" x14ac:dyDescent="0.25">
      <c r="A138" s="279"/>
      <c r="B138" s="47"/>
      <c r="C138" s="56" t="s">
        <v>204</v>
      </c>
      <c r="D138" s="35">
        <v>2736.96</v>
      </c>
      <c r="E138" s="35">
        <v>2910.52</v>
      </c>
      <c r="F138" s="35">
        <v>2927.71</v>
      </c>
      <c r="G138" s="35">
        <v>2850.13</v>
      </c>
      <c r="H138" s="35">
        <v>2624.87</v>
      </c>
      <c r="I138" s="35">
        <v>2665.3</v>
      </c>
      <c r="J138" s="35">
        <v>2871.39</v>
      </c>
      <c r="K138" s="35">
        <v>2900.28</v>
      </c>
      <c r="L138" s="35">
        <v>2829.7</v>
      </c>
      <c r="M138" s="55"/>
      <c r="N138" s="55"/>
      <c r="O138" s="55"/>
      <c r="P138" s="55"/>
      <c r="Q138" s="47"/>
      <c r="R138" s="47"/>
      <c r="S138" s="47"/>
      <c r="T138" s="47"/>
      <c r="U138" s="47"/>
      <c r="V138" s="274"/>
      <c r="W138" s="47"/>
      <c r="X138" s="102"/>
      <c r="Y138" s="102"/>
    </row>
    <row r="139" spans="1:31" ht="24.8" customHeight="1" thickBot="1" x14ac:dyDescent="0.3">
      <c r="A139" s="280"/>
      <c r="B139" s="42"/>
      <c r="C139" s="76" t="s">
        <v>203</v>
      </c>
      <c r="D139" s="84">
        <f t="shared" ref="D139:L139" si="42">IF(((D137="")*AND(D138="")),"",(D137-D138)*2)</f>
        <v>6418.76</v>
      </c>
      <c r="E139" s="84">
        <f t="shared" si="42"/>
        <v>6413.8399999999992</v>
      </c>
      <c r="F139" s="84">
        <f t="shared" si="42"/>
        <v>6401.8600000000006</v>
      </c>
      <c r="G139" s="84">
        <f t="shared" si="42"/>
        <v>6547.5399999999991</v>
      </c>
      <c r="H139" s="84">
        <f t="shared" si="42"/>
        <v>6694.8600000000006</v>
      </c>
      <c r="I139" s="84">
        <f t="shared" si="42"/>
        <v>7235.68</v>
      </c>
      <c r="J139" s="84">
        <f t="shared" si="42"/>
        <v>6477.04</v>
      </c>
      <c r="K139" s="84">
        <f t="shared" si="42"/>
        <v>6433.2</v>
      </c>
      <c r="L139" s="84">
        <f t="shared" si="42"/>
        <v>6411.82</v>
      </c>
      <c r="M139" s="84"/>
      <c r="N139" s="84"/>
      <c r="O139" s="84"/>
      <c r="P139" s="84" t="str">
        <f>IF(((P137="")*AND(P138="")),"",(P137-P138)*2)</f>
        <v/>
      </c>
      <c r="Q139" s="42"/>
      <c r="R139" s="42"/>
      <c r="S139" s="42"/>
      <c r="T139" s="42"/>
      <c r="U139" s="80"/>
      <c r="V139" s="275"/>
      <c r="W139" s="42"/>
      <c r="X139" s="101"/>
      <c r="Y139" s="101"/>
    </row>
    <row r="140" spans="1:31" x14ac:dyDescent="0.25">
      <c r="A140" s="40">
        <v>42692</v>
      </c>
      <c r="B140" s="50" t="s">
        <v>208</v>
      </c>
      <c r="C140" s="56" t="s">
        <v>205</v>
      </c>
      <c r="D140" s="35">
        <v>5948.39</v>
      </c>
      <c r="E140" s="35">
        <v>6116.29</v>
      </c>
      <c r="F140" s="35">
        <v>6135.46</v>
      </c>
      <c r="G140" s="35">
        <v>6124.16</v>
      </c>
      <c r="H140" s="35">
        <v>5972.46</v>
      </c>
      <c r="I140" s="35">
        <v>5932.1</v>
      </c>
      <c r="J140" s="35">
        <v>6106.77</v>
      </c>
      <c r="K140" s="35">
        <v>6116.83</v>
      </c>
      <c r="L140" s="35">
        <v>6034.3</v>
      </c>
      <c r="M140" s="55"/>
      <c r="N140" s="55"/>
      <c r="O140" s="55"/>
      <c r="P140" s="55"/>
      <c r="Q140" s="50">
        <f>IF((L141=""),"",MAX(D142:L142))</f>
        <v>7000.1</v>
      </c>
      <c r="R140" s="50">
        <f>IF(L141="","",MIN(D142:L142))</f>
        <v>6696.4800000000005</v>
      </c>
      <c r="S140" s="77">
        <f>IF((L142=""),"",AVERAGE(D142:L142))</f>
        <v>6885.66</v>
      </c>
      <c r="T140" s="53">
        <f>IF((L141=""),"",(Q140-R140)/(Q140+R140)*100)</f>
        <v>2.2167577599663555</v>
      </c>
      <c r="U140" s="50">
        <f>STDEV(D142:P142)</f>
        <v>86.78271717340948</v>
      </c>
      <c r="V140" s="273" t="str">
        <f>IF(L141="","",IF(T140&lt;7.3,IF(S140&gt;5700,IF(S140&lt;7200,"Pass","Fail"),"Fail"),"Fail"))</f>
        <v>Pass</v>
      </c>
      <c r="W140" s="57">
        <v>1335</v>
      </c>
      <c r="X140" s="98" t="s">
        <v>262</v>
      </c>
      <c r="Y140" s="98"/>
      <c r="Z140" s="37">
        <v>4955</v>
      </c>
      <c r="AA140" s="37">
        <v>9645</v>
      </c>
      <c r="AB140" s="37">
        <v>5100</v>
      </c>
      <c r="AC140" s="37">
        <v>8300</v>
      </c>
      <c r="AD140" s="69">
        <v>9.8000000000000007</v>
      </c>
      <c r="AE140" s="69">
        <v>10</v>
      </c>
    </row>
    <row r="141" spans="1:31" ht="12.75" customHeight="1" x14ac:dyDescent="0.25">
      <c r="B141" s="47"/>
      <c r="C141" s="56" t="s">
        <v>204</v>
      </c>
      <c r="D141" s="35">
        <v>2518.0300000000002</v>
      </c>
      <c r="E141" s="35">
        <v>2686.57</v>
      </c>
      <c r="F141" s="35">
        <v>2708.35</v>
      </c>
      <c r="G141" s="35">
        <v>2641.57</v>
      </c>
      <c r="H141" s="35">
        <v>2505.79</v>
      </c>
      <c r="I141" s="35">
        <v>2583.86</v>
      </c>
      <c r="J141" s="35">
        <v>2657.79</v>
      </c>
      <c r="K141" s="35">
        <v>2665.08</v>
      </c>
      <c r="L141" s="35">
        <v>2534.25</v>
      </c>
      <c r="M141" s="55"/>
      <c r="N141" s="55"/>
      <c r="O141" s="55"/>
      <c r="P141" s="55"/>
      <c r="Q141" s="47"/>
      <c r="R141" s="47"/>
      <c r="S141" s="47"/>
      <c r="T141" s="47"/>
      <c r="U141" s="47"/>
      <c r="V141" s="274"/>
      <c r="W141" s="47"/>
      <c r="X141" s="102"/>
      <c r="Y141" s="102"/>
    </row>
    <row r="142" spans="1:31" ht="24.8" customHeight="1" thickBot="1" x14ac:dyDescent="0.3">
      <c r="B142" s="42"/>
      <c r="C142" s="76" t="s">
        <v>203</v>
      </c>
      <c r="D142" s="84">
        <f t="shared" ref="D142:L142" si="43">IF(((D140="")*AND(D141="")),"",(D140-D141)*2)</f>
        <v>6860.72</v>
      </c>
      <c r="E142" s="84">
        <f t="shared" si="43"/>
        <v>6859.44</v>
      </c>
      <c r="F142" s="84">
        <f t="shared" si="43"/>
        <v>6854.22</v>
      </c>
      <c r="G142" s="84">
        <f t="shared" si="43"/>
        <v>6965.1799999999994</v>
      </c>
      <c r="H142" s="84">
        <f t="shared" si="43"/>
        <v>6933.34</v>
      </c>
      <c r="I142" s="84">
        <f t="shared" si="43"/>
        <v>6696.4800000000005</v>
      </c>
      <c r="J142" s="84">
        <f t="shared" si="43"/>
        <v>6897.9600000000009</v>
      </c>
      <c r="K142" s="84">
        <f t="shared" si="43"/>
        <v>6903.5</v>
      </c>
      <c r="L142" s="84">
        <f t="shared" si="43"/>
        <v>7000.1</v>
      </c>
      <c r="M142" s="84"/>
      <c r="N142" s="84"/>
      <c r="O142" s="84"/>
      <c r="P142" s="84" t="str">
        <f>IF(((P140="")*AND(P141="")),"",(P140-P141)*2)</f>
        <v/>
      </c>
      <c r="Q142" s="42"/>
      <c r="R142" s="42"/>
      <c r="S142" s="42"/>
      <c r="T142" s="42"/>
      <c r="U142" s="80"/>
      <c r="V142" s="275"/>
      <c r="W142" s="42"/>
      <c r="X142" s="102"/>
      <c r="Y142" s="102"/>
    </row>
    <row r="143" spans="1:31" ht="12.75" customHeight="1" x14ac:dyDescent="0.25">
      <c r="A143" s="40">
        <v>42692</v>
      </c>
      <c r="B143" s="57" t="s">
        <v>206</v>
      </c>
      <c r="C143" s="61" t="s">
        <v>205</v>
      </c>
      <c r="D143" s="35">
        <v>6799.18</v>
      </c>
      <c r="E143" s="35">
        <v>6926.18</v>
      </c>
      <c r="F143" s="35">
        <v>6775.03</v>
      </c>
      <c r="G143" s="35">
        <v>6823.98</v>
      </c>
      <c r="H143" s="35">
        <v>6799.51</v>
      </c>
      <c r="I143" s="35">
        <v>6815.13</v>
      </c>
      <c r="J143" s="35">
        <v>6824.35</v>
      </c>
      <c r="K143" s="35">
        <v>6788.29</v>
      </c>
      <c r="L143" s="35">
        <v>6814.39</v>
      </c>
      <c r="M143" s="35">
        <v>6825.24</v>
      </c>
      <c r="N143" s="35">
        <v>6883.1</v>
      </c>
      <c r="O143" s="35">
        <v>6839.65</v>
      </c>
      <c r="P143" s="35">
        <v>6840.26</v>
      </c>
      <c r="Q143" s="50">
        <f>IF((L144=""),"",MAX(D145:P145))</f>
        <v>5304.18</v>
      </c>
      <c r="R143" s="50">
        <f>IF(L144="","",MIN(D145:L145))</f>
        <v>5203.1299999999992</v>
      </c>
      <c r="S143" s="53">
        <f>IF((P145=""),"",AVERAGE(D145:P145))</f>
        <v>5250.4346153846145</v>
      </c>
      <c r="T143" s="53">
        <f>IF((L144=""),"",(Q143-R143)/(Q143+R143)*100)</f>
        <v>0.96171141805087224</v>
      </c>
      <c r="U143" s="50">
        <f>STDEV(D145:P145)</f>
        <v>35.065967503023053</v>
      </c>
      <c r="V143" s="276" t="str">
        <f>IF(P144="","",IF(T143&lt;2.7,IF(S143&gt;5150,IF(S143&lt;5600,"Pass","Fail"),"Fail"),"Fail"))</f>
        <v>Pass</v>
      </c>
      <c r="W143" s="57">
        <v>1335</v>
      </c>
      <c r="X143" s="98" t="s">
        <v>262</v>
      </c>
      <c r="Y143" s="98"/>
      <c r="Z143" s="71">
        <v>4470</v>
      </c>
      <c r="AA143" s="71">
        <v>6020</v>
      </c>
      <c r="AB143" s="71">
        <v>5150</v>
      </c>
      <c r="AC143" s="71">
        <v>5600</v>
      </c>
      <c r="AD143" s="70">
        <v>2.7</v>
      </c>
      <c r="AE143" s="69">
        <v>10</v>
      </c>
    </row>
    <row r="144" spans="1:31" ht="12.75" customHeight="1" x14ac:dyDescent="0.25">
      <c r="A144" s="89"/>
      <c r="B144" s="47"/>
      <c r="C144" s="56" t="s">
        <v>204</v>
      </c>
      <c r="D144" s="35">
        <v>1593.3</v>
      </c>
      <c r="E144" s="35">
        <v>1702.53</v>
      </c>
      <c r="F144" s="35">
        <v>1571.9</v>
      </c>
      <c r="G144" s="35">
        <v>1537.64</v>
      </c>
      <c r="H144" s="35">
        <v>1558.81</v>
      </c>
      <c r="I144" s="35">
        <v>1537.22</v>
      </c>
      <c r="J144" s="35">
        <v>1520.17</v>
      </c>
      <c r="K144" s="35">
        <v>1500.8</v>
      </c>
      <c r="L144" s="35">
        <v>1602.69</v>
      </c>
      <c r="M144" s="35">
        <v>1534.3</v>
      </c>
      <c r="N144" s="35">
        <v>1640.6</v>
      </c>
      <c r="O144" s="35">
        <v>1602.02</v>
      </c>
      <c r="P144" s="35">
        <v>1596.66</v>
      </c>
      <c r="Q144" s="47"/>
      <c r="R144" s="47"/>
      <c r="S144" s="47"/>
      <c r="T144" s="47"/>
      <c r="U144" s="47"/>
      <c r="V144" s="274"/>
      <c r="W144" s="47"/>
      <c r="X144" s="102"/>
      <c r="Y144" s="102"/>
    </row>
    <row r="145" spans="1:31" ht="24.8" customHeight="1" thickBot="1" x14ac:dyDescent="0.3">
      <c r="A145" s="89"/>
      <c r="B145" s="47"/>
      <c r="C145" s="50" t="s">
        <v>203</v>
      </c>
      <c r="D145" s="54">
        <f t="shared" ref="D145:P145" si="44">IF(((D143="")*AND(D144="")),"",(D143-D144))</f>
        <v>5205.88</v>
      </c>
      <c r="E145" s="54">
        <f t="shared" si="44"/>
        <v>5223.6500000000005</v>
      </c>
      <c r="F145" s="54">
        <f t="shared" si="44"/>
        <v>5203.1299999999992</v>
      </c>
      <c r="G145" s="54">
        <f t="shared" si="44"/>
        <v>5286.3399999999992</v>
      </c>
      <c r="H145" s="54">
        <f t="shared" si="44"/>
        <v>5240.7000000000007</v>
      </c>
      <c r="I145" s="54">
        <f t="shared" si="44"/>
        <v>5277.91</v>
      </c>
      <c r="J145" s="54">
        <f t="shared" si="44"/>
        <v>5304.18</v>
      </c>
      <c r="K145" s="54">
        <f t="shared" si="44"/>
        <v>5287.49</v>
      </c>
      <c r="L145" s="54">
        <f t="shared" si="44"/>
        <v>5211.7000000000007</v>
      </c>
      <c r="M145" s="54">
        <f t="shared" si="44"/>
        <v>5290.94</v>
      </c>
      <c r="N145" s="54">
        <f t="shared" si="44"/>
        <v>5242.5</v>
      </c>
      <c r="O145" s="54">
        <f t="shared" si="44"/>
        <v>5237.6299999999992</v>
      </c>
      <c r="P145" s="54">
        <f t="shared" si="44"/>
        <v>5243.6</v>
      </c>
      <c r="Q145" s="47"/>
      <c r="R145" s="47"/>
      <c r="S145" s="47"/>
      <c r="T145" s="47"/>
      <c r="U145" s="47"/>
      <c r="V145" s="274"/>
      <c r="W145" s="47"/>
      <c r="X145" s="101"/>
      <c r="Y145" s="101"/>
    </row>
    <row r="146" spans="1:31" x14ac:dyDescent="0.25">
      <c r="A146" s="118">
        <v>42697</v>
      </c>
      <c r="B146" s="57" t="s">
        <v>208</v>
      </c>
      <c r="C146" s="61" t="s">
        <v>205</v>
      </c>
      <c r="D146" s="88">
        <v>5949.94</v>
      </c>
      <c r="E146" s="88">
        <v>6110.17</v>
      </c>
      <c r="F146" s="88">
        <v>6128.35</v>
      </c>
      <c r="G146" s="88">
        <v>6125.39</v>
      </c>
      <c r="H146" s="88">
        <v>5967.46</v>
      </c>
      <c r="I146" s="88">
        <v>6212.1</v>
      </c>
      <c r="J146" s="88">
        <v>6099.32</v>
      </c>
      <c r="K146" s="88">
        <v>6116.3</v>
      </c>
      <c r="L146" s="88">
        <v>6033.9</v>
      </c>
      <c r="M146" s="60"/>
      <c r="N146" s="60"/>
      <c r="O146" s="60"/>
      <c r="P146" s="60"/>
      <c r="Q146" s="57">
        <f>IF((L147=""),"",MAX(D148:L148))</f>
        <v>7032.2400000000007</v>
      </c>
      <c r="R146" s="57">
        <f>IF(L147="","",MIN(D148:L148))</f>
        <v>6433.28</v>
      </c>
      <c r="S146" s="59">
        <f>IF((L148=""),"",AVERAGE(D148:L148))</f>
        <v>6562.8355555555554</v>
      </c>
      <c r="T146" s="53">
        <f>IF((L147=""),"",(Q146-R146)/(Q146+R146)*100)</f>
        <v>4.4481015215157003</v>
      </c>
      <c r="U146" s="57">
        <f>STDEV(D148:P148)</f>
        <v>193.22264302554677</v>
      </c>
      <c r="V146" s="273" t="str">
        <f>IF(L147="","",IF(T146&lt;7.3,IF(S146&gt;5700,IF(S146&lt;7200,"Pass","Fail"),"Fail"),"Fail"))</f>
        <v>Pass</v>
      </c>
      <c r="W146" s="57">
        <v>1335</v>
      </c>
      <c r="X146" s="98" t="s">
        <v>261</v>
      </c>
      <c r="Y146" s="98"/>
      <c r="Z146" s="37">
        <v>4955</v>
      </c>
      <c r="AA146" s="37">
        <v>9645</v>
      </c>
      <c r="AB146" s="37">
        <v>5100</v>
      </c>
      <c r="AC146" s="37">
        <v>8300</v>
      </c>
      <c r="AD146" s="69">
        <v>9.8000000000000007</v>
      </c>
      <c r="AE146" s="69">
        <v>10</v>
      </c>
    </row>
    <row r="147" spans="1:31" ht="12.75" customHeight="1" x14ac:dyDescent="0.25">
      <c r="A147" s="117"/>
      <c r="B147" s="47"/>
      <c r="C147" s="56" t="s">
        <v>204</v>
      </c>
      <c r="D147" s="87">
        <v>2703.3</v>
      </c>
      <c r="E147" s="87">
        <v>2893.53</v>
      </c>
      <c r="F147" s="87">
        <v>2911.43</v>
      </c>
      <c r="G147" s="87">
        <v>2842.37</v>
      </c>
      <c r="H147" s="87">
        <v>2623.43</v>
      </c>
      <c r="I147" s="87">
        <v>2695.98</v>
      </c>
      <c r="J147" s="87">
        <v>2859.31</v>
      </c>
      <c r="K147" s="87">
        <v>2884.33</v>
      </c>
      <c r="L147" s="87">
        <v>2796.49</v>
      </c>
      <c r="M147" s="55"/>
      <c r="N147" s="55"/>
      <c r="O147" s="55"/>
      <c r="P147" s="55"/>
      <c r="Q147" s="47"/>
      <c r="R147" s="47"/>
      <c r="S147" s="47"/>
      <c r="T147" s="47"/>
      <c r="U147" s="47"/>
      <c r="V147" s="274"/>
      <c r="W147" s="47"/>
      <c r="X147" s="102"/>
      <c r="Y147" s="102"/>
    </row>
    <row r="148" spans="1:31" ht="23.95" customHeight="1" thickBot="1" x14ac:dyDescent="0.3">
      <c r="A148" s="117"/>
      <c r="B148" s="80"/>
      <c r="C148" s="56" t="s">
        <v>203</v>
      </c>
      <c r="D148" s="97">
        <f t="shared" ref="D148:L148" si="45">IF(((D146="")*AND(D147="")),"",(D146-D147)*2)</f>
        <v>6493.2799999999988</v>
      </c>
      <c r="E148" s="97">
        <f t="shared" si="45"/>
        <v>6433.28</v>
      </c>
      <c r="F148" s="97">
        <f t="shared" si="45"/>
        <v>6433.8400000000011</v>
      </c>
      <c r="G148" s="97">
        <f t="shared" si="45"/>
        <v>6566.0400000000009</v>
      </c>
      <c r="H148" s="97">
        <f t="shared" si="45"/>
        <v>6688.06</v>
      </c>
      <c r="I148" s="97">
        <f t="shared" si="45"/>
        <v>7032.2400000000007</v>
      </c>
      <c r="J148" s="97">
        <f t="shared" si="45"/>
        <v>6480.0199999999995</v>
      </c>
      <c r="K148" s="97">
        <f t="shared" si="45"/>
        <v>6463.9400000000005</v>
      </c>
      <c r="L148" s="97">
        <f t="shared" si="45"/>
        <v>6474.82</v>
      </c>
      <c r="M148" s="97"/>
      <c r="N148" s="97"/>
      <c r="O148" s="97"/>
      <c r="P148" s="97" t="str">
        <f>IF(((P146="")*AND(P147="")),"",(P146-P147)*2)</f>
        <v/>
      </c>
      <c r="Q148" s="80"/>
      <c r="R148" s="80"/>
      <c r="S148" s="80"/>
      <c r="T148" s="80"/>
      <c r="U148" s="80"/>
      <c r="V148" s="277"/>
      <c r="W148" s="80"/>
      <c r="X148" s="102"/>
      <c r="Y148" s="102"/>
    </row>
    <row r="149" spans="1:31" ht="12.75" customHeight="1" x14ac:dyDescent="0.25">
      <c r="A149" s="115">
        <v>42697</v>
      </c>
      <c r="B149" s="47" t="s">
        <v>206</v>
      </c>
      <c r="C149" s="80" t="s">
        <v>205</v>
      </c>
      <c r="D149" s="87">
        <v>6792.13</v>
      </c>
      <c r="E149" s="87">
        <v>6913.49</v>
      </c>
      <c r="F149" s="87">
        <v>6777.22</v>
      </c>
      <c r="G149" s="87">
        <v>6831.16</v>
      </c>
      <c r="H149" s="87">
        <v>6781</v>
      </c>
      <c r="I149" s="87">
        <v>6811.73</v>
      </c>
      <c r="J149" s="87">
        <v>6833.57</v>
      </c>
      <c r="K149" s="87">
        <v>6795.22</v>
      </c>
      <c r="L149" s="87">
        <v>6819.67</v>
      </c>
      <c r="M149" s="87">
        <v>6834.77</v>
      </c>
      <c r="N149" s="87">
        <v>6872.6</v>
      </c>
      <c r="O149" s="87">
        <v>6842.46</v>
      </c>
      <c r="P149" s="87">
        <v>6831.59</v>
      </c>
      <c r="Q149" s="50">
        <f>IF((L150=""),"",MAX(D151:P151))</f>
        <v>5315.0199999999995</v>
      </c>
      <c r="R149" s="47">
        <f>IF(L150="","",MIN(D151:L151))</f>
        <v>5196.43</v>
      </c>
      <c r="S149" s="53">
        <f>IF((P151=""),"",AVERAGE(D151:P151))</f>
        <v>5265.8538461538465</v>
      </c>
      <c r="T149" s="109">
        <f>IF((L150=""),"",(Q149-R149)/(Q149+R149)*100)</f>
        <v>1.1281982980464087</v>
      </c>
      <c r="U149" s="47">
        <f>STDEV(D151:P151)</f>
        <v>42.62525455221369</v>
      </c>
      <c r="V149" s="276" t="str">
        <f>IF(P150="","",IF(T149&lt;2.7,IF(S149&gt;5150,IF(S149&lt;5600,"Pass","Fail"),"Fail"),"Fail"))</f>
        <v>Pass</v>
      </c>
      <c r="W149" s="47">
        <v>1335</v>
      </c>
      <c r="X149" s="102" t="s">
        <v>261</v>
      </c>
      <c r="Y149" s="102"/>
      <c r="Z149" s="71">
        <v>4470</v>
      </c>
      <c r="AA149" s="71">
        <v>6020</v>
      </c>
      <c r="AB149" s="71">
        <v>5150</v>
      </c>
      <c r="AC149" s="71">
        <v>5600</v>
      </c>
      <c r="AD149" s="70">
        <v>2.7</v>
      </c>
      <c r="AE149" s="69">
        <v>10</v>
      </c>
    </row>
    <row r="150" spans="1:31" ht="12.75" customHeight="1" x14ac:dyDescent="0.25">
      <c r="A150" s="49"/>
      <c r="B150" s="47"/>
      <c r="C150" s="56" t="s">
        <v>204</v>
      </c>
      <c r="D150" s="87">
        <v>1582.03</v>
      </c>
      <c r="E150" s="87">
        <v>1665.12</v>
      </c>
      <c r="F150" s="87">
        <v>1580.79</v>
      </c>
      <c r="G150" s="87">
        <v>1516.14</v>
      </c>
      <c r="H150" s="87">
        <v>1500.19</v>
      </c>
      <c r="I150" s="87">
        <v>1507.84</v>
      </c>
      <c r="J150" s="87">
        <v>1518.93</v>
      </c>
      <c r="K150" s="87">
        <v>1499.21</v>
      </c>
      <c r="L150" s="87">
        <v>1616.69</v>
      </c>
      <c r="M150" s="87">
        <v>1531.14</v>
      </c>
      <c r="N150" s="87">
        <v>1594.63</v>
      </c>
      <c r="O150" s="87">
        <v>1602.39</v>
      </c>
      <c r="P150" s="87">
        <v>1565.41</v>
      </c>
      <c r="Q150" s="47"/>
      <c r="R150" s="47"/>
      <c r="S150" s="47"/>
      <c r="T150" s="47"/>
      <c r="U150" s="47"/>
      <c r="V150" s="274"/>
      <c r="W150" s="47"/>
      <c r="X150" s="102"/>
      <c r="Y150" s="102"/>
    </row>
    <row r="151" spans="1:31" ht="24.8" customHeight="1" thickBot="1" x14ac:dyDescent="0.3">
      <c r="A151" s="45"/>
      <c r="B151" s="42"/>
      <c r="C151" s="76" t="s">
        <v>203</v>
      </c>
      <c r="D151" s="84">
        <f t="shared" ref="D151:P151" si="46">IF(((D149="")*AND(D150="")),"",(D149-D150))</f>
        <v>5210.1000000000004</v>
      </c>
      <c r="E151" s="84">
        <f t="shared" si="46"/>
        <v>5248.37</v>
      </c>
      <c r="F151" s="84">
        <f t="shared" si="46"/>
        <v>5196.43</v>
      </c>
      <c r="G151" s="84">
        <f t="shared" si="46"/>
        <v>5315.0199999999995</v>
      </c>
      <c r="H151" s="84">
        <f t="shared" si="46"/>
        <v>5280.8099999999995</v>
      </c>
      <c r="I151" s="84">
        <f t="shared" si="46"/>
        <v>5303.8899999999994</v>
      </c>
      <c r="J151" s="84">
        <f t="shared" si="46"/>
        <v>5314.6399999999994</v>
      </c>
      <c r="K151" s="84">
        <f t="shared" si="46"/>
        <v>5296.01</v>
      </c>
      <c r="L151" s="84">
        <f t="shared" si="46"/>
        <v>5202.9799999999996</v>
      </c>
      <c r="M151" s="84">
        <f t="shared" si="46"/>
        <v>5303.63</v>
      </c>
      <c r="N151" s="84">
        <f t="shared" si="46"/>
        <v>5277.97</v>
      </c>
      <c r="O151" s="84">
        <f t="shared" si="46"/>
        <v>5240.07</v>
      </c>
      <c r="P151" s="84">
        <f t="shared" si="46"/>
        <v>5266.18</v>
      </c>
      <c r="Q151" s="42"/>
      <c r="R151" s="42"/>
      <c r="S151" s="42"/>
      <c r="T151" s="42"/>
      <c r="U151" s="42"/>
      <c r="V151" s="275"/>
      <c r="W151" s="42"/>
      <c r="X151" s="101"/>
      <c r="Y151" s="101"/>
    </row>
    <row r="152" spans="1:31" ht="12.75" customHeight="1" x14ac:dyDescent="0.25">
      <c r="A152" s="116">
        <v>42706</v>
      </c>
      <c r="B152" s="57" t="s">
        <v>206</v>
      </c>
      <c r="C152" s="61" t="s">
        <v>205</v>
      </c>
      <c r="D152" s="88">
        <v>10980.13</v>
      </c>
      <c r="E152" s="88">
        <v>11183.76</v>
      </c>
      <c r="F152" s="88">
        <v>10992.63</v>
      </c>
      <c r="G152" s="88">
        <v>11106.25</v>
      </c>
      <c r="H152" s="88">
        <v>10935.86</v>
      </c>
      <c r="I152" s="88">
        <v>11026.83</v>
      </c>
      <c r="J152" s="88">
        <v>11106.17</v>
      </c>
      <c r="K152" s="88">
        <v>11042.63</v>
      </c>
      <c r="L152" s="88">
        <v>11062.19</v>
      </c>
      <c r="M152" s="88">
        <v>11109.86</v>
      </c>
      <c r="N152" s="88">
        <v>11105.04</v>
      </c>
      <c r="O152" s="88">
        <v>11105</v>
      </c>
      <c r="P152" s="88">
        <v>11036.92</v>
      </c>
      <c r="Q152" s="50">
        <f>IF((L153=""),"",MAX(D154:P154))</f>
        <v>5306.72</v>
      </c>
      <c r="R152" s="57">
        <f>IF(L153="","",MIN(D154:L154))</f>
        <v>5248.06</v>
      </c>
      <c r="S152" s="53">
        <f>IF((P154=""),"",AVERAGE(D154:P154))</f>
        <v>5282.6192307692309</v>
      </c>
      <c r="T152" s="53">
        <f>IF((L153=""),"",(Q152-R152)/(Q152+R152)*100)</f>
        <v>0.55576715004954957</v>
      </c>
      <c r="U152" s="57">
        <f>STDEV(D154:P154)</f>
        <v>19.121113749613144</v>
      </c>
      <c r="V152" s="276" t="str">
        <f>IF(P153="","",IF(T152&lt;2.7,IF(S152&gt;5150,IF(S152&lt;5600,"Pass","Fail"),"Fail"),"Fail"))</f>
        <v>Pass</v>
      </c>
      <c r="W152" s="57">
        <v>1400</v>
      </c>
      <c r="X152" s="98" t="s">
        <v>260</v>
      </c>
      <c r="Y152" s="98"/>
      <c r="Z152" s="71">
        <v>4470</v>
      </c>
      <c r="AA152" s="71">
        <v>6020</v>
      </c>
      <c r="AB152" s="71">
        <v>5150</v>
      </c>
      <c r="AC152" s="71">
        <v>5600</v>
      </c>
      <c r="AD152" s="70">
        <v>2.7</v>
      </c>
      <c r="AE152" s="69">
        <v>10</v>
      </c>
    </row>
    <row r="153" spans="1:31" ht="12.75" customHeight="1" x14ac:dyDescent="0.25">
      <c r="A153" s="49"/>
      <c r="B153" s="47"/>
      <c r="C153" s="56" t="s">
        <v>204</v>
      </c>
      <c r="D153" s="87">
        <v>5710.82</v>
      </c>
      <c r="E153" s="87">
        <v>5907.26</v>
      </c>
      <c r="F153" s="87">
        <v>5742.97</v>
      </c>
      <c r="G153" s="87">
        <v>5826.53</v>
      </c>
      <c r="H153" s="87">
        <v>5642.91</v>
      </c>
      <c r="I153" s="87">
        <v>5720.31</v>
      </c>
      <c r="J153" s="87">
        <v>5811.45</v>
      </c>
      <c r="K153" s="87">
        <v>5744.27</v>
      </c>
      <c r="L153" s="87">
        <v>5814.13</v>
      </c>
      <c r="M153" s="87">
        <v>5803.14</v>
      </c>
      <c r="N153" s="87">
        <v>5813.34</v>
      </c>
      <c r="O153" s="87">
        <v>5833.26</v>
      </c>
      <c r="P153" s="87">
        <v>5748.83</v>
      </c>
      <c r="Q153" s="47"/>
      <c r="R153" s="47"/>
      <c r="S153" s="47"/>
      <c r="T153" s="47"/>
      <c r="U153" s="47"/>
      <c r="V153" s="274"/>
      <c r="W153" s="47"/>
      <c r="X153" s="102"/>
      <c r="Y153" s="102"/>
    </row>
    <row r="154" spans="1:31" ht="24.8" customHeight="1" thickBot="1" x14ac:dyDescent="0.3">
      <c r="A154" s="81"/>
      <c r="B154" s="80"/>
      <c r="C154" s="56" t="s">
        <v>203</v>
      </c>
      <c r="D154" s="97">
        <f t="shared" ref="D154:P154" si="47">IF(((D152="")*AND(D153="")),"",(D152-D153))</f>
        <v>5269.3099999999995</v>
      </c>
      <c r="E154" s="97">
        <f t="shared" si="47"/>
        <v>5276.5</v>
      </c>
      <c r="F154" s="97">
        <f t="shared" si="47"/>
        <v>5249.6599999999989</v>
      </c>
      <c r="G154" s="97">
        <f t="shared" si="47"/>
        <v>5279.72</v>
      </c>
      <c r="H154" s="97">
        <f t="shared" si="47"/>
        <v>5292.9500000000007</v>
      </c>
      <c r="I154" s="97">
        <f t="shared" si="47"/>
        <v>5306.5199999999995</v>
      </c>
      <c r="J154" s="97">
        <f t="shared" si="47"/>
        <v>5294.72</v>
      </c>
      <c r="K154" s="97">
        <f t="shared" si="47"/>
        <v>5298.3599999999988</v>
      </c>
      <c r="L154" s="97">
        <f t="shared" si="47"/>
        <v>5248.06</v>
      </c>
      <c r="M154" s="97">
        <f t="shared" si="47"/>
        <v>5306.72</v>
      </c>
      <c r="N154" s="97">
        <f t="shared" si="47"/>
        <v>5291.7000000000007</v>
      </c>
      <c r="O154" s="97">
        <f t="shared" si="47"/>
        <v>5271.74</v>
      </c>
      <c r="P154" s="97">
        <f t="shared" si="47"/>
        <v>5288.09</v>
      </c>
      <c r="Q154" s="80"/>
      <c r="R154" s="80"/>
      <c r="S154" s="80"/>
      <c r="T154" s="80"/>
      <c r="U154" s="80"/>
      <c r="V154" s="277"/>
      <c r="W154" s="80"/>
      <c r="X154" s="102"/>
      <c r="Y154" s="102"/>
    </row>
    <row r="155" spans="1:31" x14ac:dyDescent="0.25">
      <c r="A155" s="115">
        <v>42706</v>
      </c>
      <c r="B155" s="50" t="s">
        <v>208</v>
      </c>
      <c r="C155" s="56" t="s">
        <v>205</v>
      </c>
      <c r="D155" s="87">
        <v>5970.79</v>
      </c>
      <c r="E155" s="87">
        <v>6116.27</v>
      </c>
      <c r="F155" s="87">
        <v>6126.37</v>
      </c>
      <c r="G155" s="87">
        <v>6117.37</v>
      </c>
      <c r="H155" s="87">
        <v>5976.2</v>
      </c>
      <c r="I155" s="87">
        <v>6041.94</v>
      </c>
      <c r="J155" s="87">
        <v>6102.21</v>
      </c>
      <c r="K155" s="87">
        <v>6106.61</v>
      </c>
      <c r="L155" s="87">
        <v>6025.81</v>
      </c>
      <c r="M155" s="55"/>
      <c r="N155" s="55"/>
      <c r="O155" s="55"/>
      <c r="P155" s="55"/>
      <c r="Q155" s="50">
        <f>IF((L156=""),"",MAX(D157:L157))</f>
        <v>6739.7999999999993</v>
      </c>
      <c r="R155" s="50">
        <f>IF(L156="","",MIN(D157:L157))</f>
        <v>6534.0199999999995</v>
      </c>
      <c r="S155" s="77">
        <f>IF((L157=""),"",AVERAGE(D157:L157))</f>
        <v>6623.0311111111105</v>
      </c>
      <c r="T155" s="53">
        <f>IF((L156=""),"",(Q155-R155)/(Q155+R155)*100)</f>
        <v>1.5502696284867488</v>
      </c>
      <c r="U155" s="50">
        <f>STDEV(D157:P157)</f>
        <v>71.611780533031649</v>
      </c>
      <c r="V155" s="273" t="str">
        <f>IF(L156="","",IF(T155&lt;7.3,IF(S155&gt;5700,IF(S155&lt;7200,"Pass","Fail"),"Fail"),"Fail"))</f>
        <v>Pass</v>
      </c>
      <c r="W155" s="57">
        <v>1400</v>
      </c>
      <c r="X155" s="102" t="s">
        <v>260</v>
      </c>
      <c r="Y155" s="102"/>
      <c r="Z155" s="37">
        <v>4955</v>
      </c>
      <c r="AA155" s="37">
        <v>9645</v>
      </c>
      <c r="AB155" s="37">
        <v>5100</v>
      </c>
      <c r="AC155" s="37">
        <v>8300</v>
      </c>
      <c r="AD155" s="69">
        <v>9.8000000000000007</v>
      </c>
      <c r="AE155" s="69">
        <v>10</v>
      </c>
    </row>
    <row r="156" spans="1:31" ht="12.75" customHeight="1" x14ac:dyDescent="0.25">
      <c r="A156" s="49"/>
      <c r="B156" s="47"/>
      <c r="C156" s="56" t="s">
        <v>204</v>
      </c>
      <c r="D156" s="87">
        <v>2648.83</v>
      </c>
      <c r="E156" s="87">
        <v>2845.41</v>
      </c>
      <c r="F156" s="87">
        <v>2859.36</v>
      </c>
      <c r="G156" s="87">
        <v>2794.68</v>
      </c>
      <c r="H156" s="87">
        <v>2606.3000000000002</v>
      </c>
      <c r="I156" s="87">
        <v>2732.46</v>
      </c>
      <c r="J156" s="87">
        <v>2819.02</v>
      </c>
      <c r="K156" s="87">
        <v>2805.11</v>
      </c>
      <c r="L156" s="87">
        <v>2668.76</v>
      </c>
      <c r="M156" s="55"/>
      <c r="N156" s="55"/>
      <c r="O156" s="55"/>
      <c r="P156" s="55"/>
      <c r="Q156" s="47"/>
      <c r="R156" s="47"/>
      <c r="S156" s="47"/>
      <c r="T156" s="47"/>
      <c r="U156" s="47"/>
      <c r="V156" s="274"/>
      <c r="W156" s="47"/>
      <c r="X156" s="102"/>
      <c r="Y156" s="102"/>
    </row>
    <row r="157" spans="1:31" ht="24.8" customHeight="1" thickBot="1" x14ac:dyDescent="0.3">
      <c r="A157" s="45"/>
      <c r="B157" s="42"/>
      <c r="C157" s="76" t="s">
        <v>203</v>
      </c>
      <c r="D157" s="84">
        <f t="shared" ref="D157:L157" si="48">IF(((D155="")*AND(D156="")),"",(D155-D156)*2)</f>
        <v>6643.92</v>
      </c>
      <c r="E157" s="84">
        <f t="shared" si="48"/>
        <v>6541.7200000000012</v>
      </c>
      <c r="F157" s="84">
        <f t="shared" si="48"/>
        <v>6534.0199999999995</v>
      </c>
      <c r="G157" s="84">
        <f t="shared" si="48"/>
        <v>6645.38</v>
      </c>
      <c r="H157" s="84">
        <f t="shared" si="48"/>
        <v>6739.7999999999993</v>
      </c>
      <c r="I157" s="84">
        <f t="shared" si="48"/>
        <v>6618.9599999999991</v>
      </c>
      <c r="J157" s="84">
        <f t="shared" si="48"/>
        <v>6566.38</v>
      </c>
      <c r="K157" s="84">
        <f t="shared" si="48"/>
        <v>6602.9999999999991</v>
      </c>
      <c r="L157" s="84">
        <f t="shared" si="48"/>
        <v>6714.1</v>
      </c>
      <c r="M157" s="84"/>
      <c r="N157" s="84"/>
      <c r="O157" s="84"/>
      <c r="P157" s="84" t="str">
        <f>IF(((P155="")*AND(P156="")),"",(P155-P156)*2)</f>
        <v/>
      </c>
      <c r="Q157" s="42"/>
      <c r="R157" s="42"/>
      <c r="S157" s="42"/>
      <c r="T157" s="42"/>
      <c r="U157" s="42"/>
      <c r="V157" s="275"/>
      <c r="W157" s="42"/>
      <c r="X157" s="101"/>
      <c r="Y157" s="101"/>
    </row>
    <row r="158" spans="1:31" ht="12.75" customHeight="1" x14ac:dyDescent="0.25">
      <c r="A158" s="89">
        <v>42709</v>
      </c>
      <c r="B158" s="47" t="s">
        <v>206</v>
      </c>
      <c r="C158" s="80" t="s">
        <v>205</v>
      </c>
      <c r="D158" s="35">
        <v>6824</v>
      </c>
      <c r="E158" s="35">
        <v>6947.41</v>
      </c>
      <c r="F158" s="35">
        <v>6803.48</v>
      </c>
      <c r="G158" s="35">
        <v>6868.46</v>
      </c>
      <c r="H158" s="35">
        <v>6807.71</v>
      </c>
      <c r="I158" s="35">
        <v>6836.81</v>
      </c>
      <c r="J158" s="35">
        <v>6872.5</v>
      </c>
      <c r="K158" s="35">
        <v>6840.2</v>
      </c>
      <c r="L158" s="35">
        <v>6842.22</v>
      </c>
      <c r="M158" s="35">
        <v>6869.8</v>
      </c>
      <c r="N158" s="35">
        <v>6896.33</v>
      </c>
      <c r="O158" s="35">
        <v>6868.33</v>
      </c>
      <c r="P158" s="35">
        <v>6857.72</v>
      </c>
      <c r="Q158" s="50">
        <f>IF((L159=""),"",MAX(D160:P160))</f>
        <v>5332.6900000000005</v>
      </c>
      <c r="R158" s="47">
        <f>IF(L159="","",MIN(D160:L160))</f>
        <v>5216.3099999999995</v>
      </c>
      <c r="S158" s="53">
        <f>IF((P160=""),"",AVERAGE(D160:P160))</f>
        <v>5283.8423076923082</v>
      </c>
      <c r="T158" s="109">
        <f>IF((L159=""),"",(Q158-R158)/(Q158+R158)*100)</f>
        <v>1.103232533889478</v>
      </c>
      <c r="U158" s="47">
        <f>STDEV(D160:P160)</f>
        <v>40.269896977321821</v>
      </c>
      <c r="V158" s="276" t="str">
        <f>IF(P159="","",IF(T158&lt;2.7,IF(S158&gt;5150,IF(S158&lt;5600,"Pass","Fail"),"Fail"),"Fail"))</f>
        <v>Pass</v>
      </c>
      <c r="W158" s="47">
        <v>102</v>
      </c>
      <c r="X158" s="98" t="s">
        <v>259</v>
      </c>
      <c r="Y158" s="98"/>
      <c r="Z158" s="71">
        <v>4470</v>
      </c>
      <c r="AA158" s="71">
        <v>6020</v>
      </c>
      <c r="AB158" s="71">
        <v>5150</v>
      </c>
      <c r="AC158" s="71">
        <v>5600</v>
      </c>
      <c r="AD158" s="70">
        <v>2.7</v>
      </c>
      <c r="AE158" s="69">
        <v>10</v>
      </c>
    </row>
    <row r="159" spans="1:31" ht="12.75" customHeight="1" x14ac:dyDescent="0.25">
      <c r="A159" s="89"/>
      <c r="B159" s="47"/>
      <c r="C159" s="56" t="s">
        <v>204</v>
      </c>
      <c r="D159" s="35">
        <v>1596.68</v>
      </c>
      <c r="E159" s="35">
        <v>1678.93</v>
      </c>
      <c r="F159" s="35">
        <v>1587.17</v>
      </c>
      <c r="G159" s="35">
        <v>1568.42</v>
      </c>
      <c r="H159" s="35">
        <v>1505.57</v>
      </c>
      <c r="I159" s="35">
        <v>1509.47</v>
      </c>
      <c r="J159" s="35">
        <v>1553.27</v>
      </c>
      <c r="K159" s="35">
        <v>1524.91</v>
      </c>
      <c r="L159" s="35">
        <v>1617.88</v>
      </c>
      <c r="M159" s="35">
        <v>1537.11</v>
      </c>
      <c r="N159" s="35">
        <v>1593.21</v>
      </c>
      <c r="O159" s="35">
        <v>1604.57</v>
      </c>
      <c r="P159" s="35">
        <v>1567.83</v>
      </c>
      <c r="Q159" s="47"/>
      <c r="R159" s="47"/>
      <c r="S159" s="47"/>
      <c r="T159" s="47"/>
      <c r="U159" s="47"/>
      <c r="V159" s="274"/>
      <c r="W159" s="47"/>
      <c r="X159" s="102"/>
      <c r="Y159" s="102"/>
    </row>
    <row r="160" spans="1:31" ht="24.8" customHeight="1" thickBot="1" x14ac:dyDescent="0.3">
      <c r="A160" s="91"/>
      <c r="B160" s="80"/>
      <c r="C160" s="56" t="s">
        <v>203</v>
      </c>
      <c r="D160" s="97">
        <f t="shared" ref="D160:P160" si="49">IF(((D158="")*AND(D159="")),"",(D158-D159))</f>
        <v>5227.32</v>
      </c>
      <c r="E160" s="97">
        <f t="shared" si="49"/>
        <v>5268.48</v>
      </c>
      <c r="F160" s="97">
        <f t="shared" si="49"/>
        <v>5216.3099999999995</v>
      </c>
      <c r="G160" s="97">
        <f t="shared" si="49"/>
        <v>5300.04</v>
      </c>
      <c r="H160" s="97">
        <f t="shared" si="49"/>
        <v>5302.14</v>
      </c>
      <c r="I160" s="97">
        <f t="shared" si="49"/>
        <v>5327.34</v>
      </c>
      <c r="J160" s="97">
        <f t="shared" si="49"/>
        <v>5319.23</v>
      </c>
      <c r="K160" s="97">
        <f t="shared" si="49"/>
        <v>5315.29</v>
      </c>
      <c r="L160" s="97">
        <f t="shared" si="49"/>
        <v>5224.34</v>
      </c>
      <c r="M160" s="97">
        <f t="shared" si="49"/>
        <v>5332.6900000000005</v>
      </c>
      <c r="N160" s="97">
        <f t="shared" si="49"/>
        <v>5303.12</v>
      </c>
      <c r="O160" s="97">
        <f t="shared" si="49"/>
        <v>5263.76</v>
      </c>
      <c r="P160" s="97">
        <f t="shared" si="49"/>
        <v>5289.89</v>
      </c>
      <c r="Q160" s="80"/>
      <c r="R160" s="80"/>
      <c r="S160" s="80"/>
      <c r="T160" s="80"/>
      <c r="U160" s="80"/>
      <c r="V160" s="277"/>
      <c r="W160" s="80"/>
      <c r="X160" s="102"/>
      <c r="Y160" s="102"/>
    </row>
    <row r="161" spans="1:31" x14ac:dyDescent="0.25">
      <c r="A161" s="96">
        <v>42709</v>
      </c>
      <c r="B161" s="50" t="s">
        <v>208</v>
      </c>
      <c r="C161" s="56" t="s">
        <v>205</v>
      </c>
      <c r="D161" s="35">
        <v>5956.92</v>
      </c>
      <c r="E161" s="35">
        <v>6115.95</v>
      </c>
      <c r="F161" s="35">
        <v>6128.6</v>
      </c>
      <c r="G161" s="35">
        <v>6124.46</v>
      </c>
      <c r="H161" s="35">
        <v>5972.44</v>
      </c>
      <c r="I161" s="35">
        <v>6153.74</v>
      </c>
      <c r="J161" s="35">
        <v>6101.44</v>
      </c>
      <c r="K161" s="35">
        <v>6124.15</v>
      </c>
      <c r="L161" s="35">
        <v>6039.63</v>
      </c>
      <c r="M161" s="55"/>
      <c r="N161" s="55"/>
      <c r="O161" s="55"/>
      <c r="P161" s="55"/>
      <c r="Q161" s="50">
        <f>IF((L162=""),"",MAX(D163:L163))</f>
        <v>7243.92</v>
      </c>
      <c r="R161" s="50">
        <f>IF(L162="","",MIN(D163:L163))</f>
        <v>7081.68</v>
      </c>
      <c r="S161" s="77">
        <f>IF((L163=""),"",AVERAGE(D163:L163))</f>
        <v>7174.5422222222223</v>
      </c>
      <c r="T161" s="53">
        <f>IF((L162=""),"",(Q161-R161)/(Q161+R161)*100)</f>
        <v>1.1325180097168688</v>
      </c>
      <c r="U161" s="50">
        <f>STDEV(D163:P163)</f>
        <v>47.380622035220632</v>
      </c>
      <c r="V161" s="273" t="str">
        <f>IF(L162="","",IF(T161&lt;7.3,IF(S161&gt;5700,IF(S161&lt;7200,"Pass","Fail"),"Fail"),"Fail"))</f>
        <v>Pass</v>
      </c>
      <c r="W161" s="57">
        <v>102</v>
      </c>
      <c r="X161" s="102" t="s">
        <v>259</v>
      </c>
      <c r="Y161" s="102"/>
      <c r="Z161" s="37">
        <v>4955</v>
      </c>
      <c r="AA161" s="37">
        <v>9645</v>
      </c>
      <c r="AB161" s="37">
        <v>5100</v>
      </c>
      <c r="AC161" s="37">
        <v>8300</v>
      </c>
      <c r="AD161" s="69">
        <v>9.8000000000000007</v>
      </c>
      <c r="AE161" s="69">
        <v>10</v>
      </c>
    </row>
    <row r="162" spans="1:31" ht="12.75" customHeight="1" x14ac:dyDescent="0.25">
      <c r="A162" s="89"/>
      <c r="B162" s="47"/>
      <c r="C162" s="56" t="s">
        <v>204</v>
      </c>
      <c r="D162" s="35">
        <v>2416.08</v>
      </c>
      <c r="E162" s="35">
        <v>2533.0500000000002</v>
      </c>
      <c r="F162" s="35">
        <v>2545.9499999999998</v>
      </c>
      <c r="G162" s="35">
        <v>2511.34</v>
      </c>
      <c r="H162" s="35">
        <v>2393.1999999999998</v>
      </c>
      <c r="I162" s="35">
        <v>2575.84</v>
      </c>
      <c r="J162" s="35">
        <v>2517.88</v>
      </c>
      <c r="K162" s="35">
        <v>2520.88</v>
      </c>
      <c r="L162" s="35">
        <v>2417.67</v>
      </c>
      <c r="M162" s="55"/>
      <c r="N162" s="55"/>
      <c r="O162" s="55"/>
      <c r="P162" s="55"/>
      <c r="Q162" s="47"/>
      <c r="R162" s="47"/>
      <c r="S162" s="47"/>
      <c r="T162" s="47"/>
      <c r="U162" s="47"/>
      <c r="V162" s="274"/>
      <c r="W162" s="47"/>
      <c r="X162" s="102"/>
      <c r="Y162" s="102"/>
    </row>
    <row r="163" spans="1:31" ht="24.8" customHeight="1" thickBot="1" x14ac:dyDescent="0.3">
      <c r="A163" s="91"/>
      <c r="B163" s="42"/>
      <c r="C163" s="76" t="s">
        <v>203</v>
      </c>
      <c r="D163" s="84">
        <f t="shared" ref="D163:L163" si="50">IF(((D161="")*AND(D162="")),"",(D161-D162)*2)</f>
        <v>7081.68</v>
      </c>
      <c r="E163" s="84">
        <f t="shared" si="50"/>
        <v>7165.7999999999993</v>
      </c>
      <c r="F163" s="84">
        <f t="shared" si="50"/>
        <v>7165.3000000000011</v>
      </c>
      <c r="G163" s="84">
        <f t="shared" si="50"/>
        <v>7226.24</v>
      </c>
      <c r="H163" s="84">
        <f t="shared" si="50"/>
        <v>7158.48</v>
      </c>
      <c r="I163" s="84">
        <f t="shared" si="50"/>
        <v>7155.7999999999993</v>
      </c>
      <c r="J163" s="84">
        <f t="shared" si="50"/>
        <v>7167.119999999999</v>
      </c>
      <c r="K163" s="84">
        <f t="shared" si="50"/>
        <v>7206.5399999999991</v>
      </c>
      <c r="L163" s="84">
        <f t="shared" si="50"/>
        <v>7243.92</v>
      </c>
      <c r="M163" s="84"/>
      <c r="N163" s="84"/>
      <c r="O163" s="84"/>
      <c r="P163" s="84" t="str">
        <f>IF(((P161="")*AND(P162="")),"",(P161-P162)*2)</f>
        <v/>
      </c>
      <c r="Q163" s="42"/>
      <c r="R163" s="42"/>
      <c r="S163" s="42"/>
      <c r="T163" s="42"/>
      <c r="U163" s="80"/>
      <c r="V163" s="275"/>
      <c r="W163" s="42"/>
      <c r="X163" s="101"/>
      <c r="Y163" s="101"/>
    </row>
    <row r="164" spans="1:31" ht="12.75" customHeight="1" x14ac:dyDescent="0.25">
      <c r="A164" s="89">
        <v>42714</v>
      </c>
      <c r="B164" s="47" t="s">
        <v>206</v>
      </c>
      <c r="C164" s="80" t="s">
        <v>205</v>
      </c>
      <c r="D164" s="35">
        <v>6656.19</v>
      </c>
      <c r="E164" s="35">
        <v>6774.83</v>
      </c>
      <c r="F164" s="35">
        <v>6646.4</v>
      </c>
      <c r="G164" s="35">
        <v>6707.52</v>
      </c>
      <c r="H164" s="35">
        <v>6630.75</v>
      </c>
      <c r="I164" s="35">
        <v>6680.1</v>
      </c>
      <c r="J164" s="35">
        <v>6711.53</v>
      </c>
      <c r="K164" s="35">
        <v>6668.84</v>
      </c>
      <c r="L164" s="35">
        <v>6688.23</v>
      </c>
      <c r="M164" s="35">
        <v>6712.86</v>
      </c>
      <c r="N164" s="35">
        <v>6729.43</v>
      </c>
      <c r="O164" s="35">
        <v>6713.99</v>
      </c>
      <c r="P164" s="35">
        <v>6687.81</v>
      </c>
      <c r="Q164" s="50">
        <f>IF((L165=""),"",MAX(D166:P166))</f>
        <v>5403.7</v>
      </c>
      <c r="R164" s="47">
        <f>IF(L165="","",MIN(D166:L166))</f>
        <v>5223.07</v>
      </c>
      <c r="S164" s="53">
        <f>IF((P166=""),"",AVERAGE(D166:P166))</f>
        <v>5299.5515384615392</v>
      </c>
      <c r="T164" s="109">
        <f>IF((L165=""),"",(Q164-R164)/(Q164+R164)*100)</f>
        <v>1.6997638981553198</v>
      </c>
      <c r="U164" s="47">
        <f>STDEV(D166:P166)</f>
        <v>57.524997007989803</v>
      </c>
      <c r="V164" s="276" t="str">
        <f>IF(P165="","",IF(T164&lt;2.7,IF(S164&gt;5150,IF(S164&lt;5600,"Pass","Fail"),"Fail"),"Fail"))</f>
        <v>Pass</v>
      </c>
      <c r="W164" s="47">
        <v>64</v>
      </c>
      <c r="X164" s="98" t="s">
        <v>258</v>
      </c>
      <c r="Y164" s="98"/>
      <c r="Z164" s="71">
        <v>4470</v>
      </c>
      <c r="AA164" s="71">
        <v>6020</v>
      </c>
      <c r="AB164" s="71">
        <v>5150</v>
      </c>
      <c r="AC164" s="71">
        <v>5600</v>
      </c>
      <c r="AD164" s="70">
        <v>2.7</v>
      </c>
      <c r="AE164" s="69">
        <v>10</v>
      </c>
    </row>
    <row r="165" spans="1:31" ht="12.75" customHeight="1" x14ac:dyDescent="0.25">
      <c r="A165" s="89"/>
      <c r="B165" s="47"/>
      <c r="C165" s="56" t="s">
        <v>204</v>
      </c>
      <c r="D165" s="35">
        <v>1425.53</v>
      </c>
      <c r="E165" s="35">
        <v>1506.56</v>
      </c>
      <c r="F165" s="35">
        <v>1423.33</v>
      </c>
      <c r="G165" s="35">
        <v>1319.22</v>
      </c>
      <c r="H165" s="35">
        <v>1327.64</v>
      </c>
      <c r="I165" s="35">
        <v>1346.29</v>
      </c>
      <c r="J165" s="35">
        <v>1307.83</v>
      </c>
      <c r="K165" s="35">
        <v>1342.86</v>
      </c>
      <c r="L165" s="35">
        <v>1461.11</v>
      </c>
      <c r="M165" s="35">
        <v>1382.03</v>
      </c>
      <c r="N165" s="35">
        <v>1426.94</v>
      </c>
      <c r="O165" s="35">
        <v>1449.73</v>
      </c>
      <c r="P165" s="35">
        <v>1395.24</v>
      </c>
      <c r="Q165" s="47"/>
      <c r="R165" s="47"/>
      <c r="S165" s="47"/>
      <c r="T165" s="47"/>
      <c r="U165" s="47"/>
      <c r="V165" s="274"/>
      <c r="W165" s="47"/>
      <c r="X165" s="102"/>
      <c r="Y165" s="102"/>
    </row>
    <row r="166" spans="1:31" ht="24.8" customHeight="1" thickBot="1" x14ac:dyDescent="0.3">
      <c r="A166" s="91"/>
      <c r="B166" s="80"/>
      <c r="C166" s="56" t="s">
        <v>203</v>
      </c>
      <c r="D166" s="97">
        <f t="shared" ref="D166:P166" si="51">IF(((D164="")*AND(D165="")),"",(D164-D165))</f>
        <v>5230.66</v>
      </c>
      <c r="E166" s="97">
        <f t="shared" si="51"/>
        <v>5268.27</v>
      </c>
      <c r="F166" s="97">
        <f t="shared" si="51"/>
        <v>5223.07</v>
      </c>
      <c r="G166" s="97">
        <f t="shared" si="51"/>
        <v>5388.3</v>
      </c>
      <c r="H166" s="97">
        <f t="shared" si="51"/>
        <v>5303.11</v>
      </c>
      <c r="I166" s="97">
        <f t="shared" si="51"/>
        <v>5333.81</v>
      </c>
      <c r="J166" s="97">
        <f t="shared" si="51"/>
        <v>5403.7</v>
      </c>
      <c r="K166" s="97">
        <f t="shared" si="51"/>
        <v>5325.9800000000005</v>
      </c>
      <c r="L166" s="97">
        <f t="shared" si="51"/>
        <v>5227.12</v>
      </c>
      <c r="M166" s="97">
        <f t="shared" si="51"/>
        <v>5330.83</v>
      </c>
      <c r="N166" s="97">
        <f t="shared" si="51"/>
        <v>5302.49</v>
      </c>
      <c r="O166" s="97">
        <f t="shared" si="51"/>
        <v>5264.26</v>
      </c>
      <c r="P166" s="97">
        <f t="shared" si="51"/>
        <v>5292.5700000000006</v>
      </c>
      <c r="Q166" s="80"/>
      <c r="R166" s="80"/>
      <c r="S166" s="80"/>
      <c r="T166" s="80"/>
      <c r="U166" s="80"/>
      <c r="V166" s="277"/>
      <c r="W166" s="80"/>
      <c r="X166" s="102"/>
      <c r="Y166" s="102"/>
    </row>
    <row r="167" spans="1:31" x14ac:dyDescent="0.25">
      <c r="A167" s="96">
        <v>42714</v>
      </c>
      <c r="B167" s="50" t="s">
        <v>208</v>
      </c>
      <c r="C167" s="56" t="s">
        <v>205</v>
      </c>
      <c r="D167" s="35">
        <v>5948.67</v>
      </c>
      <c r="E167" s="35">
        <v>6029.42</v>
      </c>
      <c r="F167" s="35">
        <v>6037.17</v>
      </c>
      <c r="G167" s="35">
        <v>5982.24</v>
      </c>
      <c r="H167" s="35">
        <v>5877.05</v>
      </c>
      <c r="I167" s="35">
        <v>5697.34</v>
      </c>
      <c r="J167" s="35">
        <v>6034.74</v>
      </c>
      <c r="K167" s="35">
        <v>6050.6</v>
      </c>
      <c r="L167" s="35">
        <v>5894.4</v>
      </c>
      <c r="M167" s="55"/>
      <c r="N167" s="55"/>
      <c r="O167" s="55"/>
      <c r="P167" s="55"/>
      <c r="Q167" s="50">
        <f>IF((L168=""),"",MAX(D169:L169))</f>
        <v>6363.66</v>
      </c>
      <c r="R167" s="50">
        <f>IF(L168="","",MIN(D169:L169))</f>
        <v>5938.82</v>
      </c>
      <c r="S167" s="77">
        <f>IF((L169=""),"",AVERAGE(D169:L169))</f>
        <v>6166.6177777777775</v>
      </c>
      <c r="T167" s="53">
        <f>IF((L168=""),"",(Q167-R167)/(Q167+R167)*100)</f>
        <v>3.4532874672423781</v>
      </c>
      <c r="U167" s="50">
        <f>STDEV(D169:P169)</f>
        <v>140.97715894585372</v>
      </c>
      <c r="V167" s="273" t="str">
        <f>IF(L168="","",IF(T167&lt;7.3,IF(S167&gt;5700,IF(S167&lt;7200,"Pass","Fail"),"Fail"),"Fail"))</f>
        <v>Pass</v>
      </c>
      <c r="W167" s="57">
        <v>64</v>
      </c>
      <c r="X167" s="102" t="s">
        <v>258</v>
      </c>
      <c r="Y167" s="102"/>
      <c r="Z167" s="37">
        <v>4955</v>
      </c>
      <c r="AA167" s="37">
        <v>9645</v>
      </c>
      <c r="AB167" s="37">
        <v>5100</v>
      </c>
      <c r="AC167" s="37">
        <v>8300</v>
      </c>
      <c r="AD167" s="69">
        <v>9.8000000000000007</v>
      </c>
      <c r="AE167" s="69">
        <v>10</v>
      </c>
    </row>
    <row r="168" spans="1:31" ht="12.75" customHeight="1" x14ac:dyDescent="0.25">
      <c r="A168" s="89"/>
      <c r="B168" s="47"/>
      <c r="C168" s="56" t="s">
        <v>204</v>
      </c>
      <c r="D168" s="35">
        <v>2979.26</v>
      </c>
      <c r="E168" s="35">
        <v>2931.06</v>
      </c>
      <c r="F168" s="35">
        <v>2924.85</v>
      </c>
      <c r="G168" s="35">
        <v>2800.41</v>
      </c>
      <c r="H168" s="35">
        <v>2748.29</v>
      </c>
      <c r="I168" s="35">
        <v>2647.99</v>
      </c>
      <c r="J168" s="35">
        <v>2893.49</v>
      </c>
      <c r="K168" s="35">
        <v>2968.33</v>
      </c>
      <c r="L168" s="35">
        <v>2908.17</v>
      </c>
      <c r="M168" s="55"/>
      <c r="N168" s="55"/>
      <c r="O168" s="55"/>
      <c r="P168" s="55"/>
      <c r="Q168" s="47"/>
      <c r="R168" s="47"/>
      <c r="S168" s="47"/>
      <c r="T168" s="47"/>
      <c r="U168" s="47"/>
      <c r="V168" s="274"/>
      <c r="W168" s="47"/>
      <c r="X168" s="102"/>
      <c r="Y168" s="102"/>
    </row>
    <row r="169" spans="1:31" ht="24.8" customHeight="1" thickBot="1" x14ac:dyDescent="0.3">
      <c r="A169" s="91"/>
      <c r="B169" s="42"/>
      <c r="C169" s="76" t="s">
        <v>203</v>
      </c>
      <c r="D169" s="84">
        <f t="shared" ref="D169:L169" si="52">IF(((D167="")*AND(D168="")),"",(D167-D168)*2)</f>
        <v>5938.82</v>
      </c>
      <c r="E169" s="84">
        <f t="shared" si="52"/>
        <v>6196.72</v>
      </c>
      <c r="F169" s="84">
        <f t="shared" si="52"/>
        <v>6224.64</v>
      </c>
      <c r="G169" s="84">
        <f t="shared" si="52"/>
        <v>6363.66</v>
      </c>
      <c r="H169" s="84">
        <f t="shared" si="52"/>
        <v>6257.52</v>
      </c>
      <c r="I169" s="84">
        <f t="shared" si="52"/>
        <v>6098.7000000000007</v>
      </c>
      <c r="J169" s="84">
        <f t="shared" si="52"/>
        <v>6282.5</v>
      </c>
      <c r="K169" s="84">
        <f t="shared" si="52"/>
        <v>6164.5400000000009</v>
      </c>
      <c r="L169" s="84">
        <f t="shared" si="52"/>
        <v>5972.4599999999991</v>
      </c>
      <c r="M169" s="84"/>
      <c r="N169" s="84"/>
      <c r="O169" s="84"/>
      <c r="P169" s="84" t="str">
        <f>IF(((P167="")*AND(P168="")),"",(P167-P168)*2)</f>
        <v/>
      </c>
      <c r="Q169" s="42"/>
      <c r="R169" s="42"/>
      <c r="S169" s="42"/>
      <c r="T169" s="42"/>
      <c r="U169" s="80"/>
      <c r="V169" s="275"/>
      <c r="W169" s="42"/>
      <c r="X169" s="101"/>
      <c r="Y169" s="101"/>
    </row>
    <row r="170" spans="1:31" ht="12.75" customHeight="1" x14ac:dyDescent="0.25">
      <c r="A170" s="89">
        <v>42723</v>
      </c>
      <c r="B170" s="47" t="s">
        <v>206</v>
      </c>
      <c r="C170" s="80" t="s">
        <v>205</v>
      </c>
      <c r="D170" s="35">
        <v>6793.83</v>
      </c>
      <c r="E170" s="35">
        <v>6920.62</v>
      </c>
      <c r="F170" s="35">
        <v>6769.33</v>
      </c>
      <c r="G170" s="35">
        <v>6814.75</v>
      </c>
      <c r="H170" s="35">
        <v>6795.58</v>
      </c>
      <c r="I170" s="35">
        <v>6807.1</v>
      </c>
      <c r="J170" s="35">
        <v>6815.09</v>
      </c>
      <c r="K170" s="35">
        <v>6780.38</v>
      </c>
      <c r="L170" s="35">
        <v>6810.02</v>
      </c>
      <c r="M170" s="35">
        <v>6818.21</v>
      </c>
      <c r="N170" s="35">
        <v>6877.72</v>
      </c>
      <c r="O170" s="35">
        <v>6833.94</v>
      </c>
      <c r="P170" s="35">
        <v>6835.35</v>
      </c>
      <c r="Q170" s="50">
        <f>IF((L171=""),"",MAX(D172:P172))</f>
        <v>5355.51</v>
      </c>
      <c r="R170" s="47">
        <f>IF(L171="","",MIN(D172:L172))</f>
        <v>5232.41</v>
      </c>
      <c r="S170" s="53">
        <f>IF((P172=""),"",AVERAGE(D172:P172))</f>
        <v>5303.6353846153852</v>
      </c>
      <c r="T170" s="109">
        <f>IF((L171=""),"",(Q170-R170)/(Q170+R170)*100)</f>
        <v>1.1626457321173598</v>
      </c>
      <c r="U170" s="47">
        <f>STDEV(D172:P172)</f>
        <v>44.222408274423017</v>
      </c>
      <c r="V170" s="276" t="str">
        <f>IF(P171="","",IF(T170&lt;2.7,IF(S170&gt;5150,IF(S170&lt;5600,"Pass","Fail"),"Fail"),"Fail"))</f>
        <v>Pass</v>
      </c>
      <c r="W170" s="47">
        <v>1428</v>
      </c>
      <c r="X170" s="98" t="s">
        <v>257</v>
      </c>
      <c r="Y170" s="98"/>
      <c r="Z170" s="71">
        <v>4470</v>
      </c>
      <c r="AA170" s="71">
        <v>6020</v>
      </c>
      <c r="AB170" s="71">
        <v>5150</v>
      </c>
      <c r="AC170" s="71">
        <v>5600</v>
      </c>
      <c r="AD170" s="70">
        <v>2.7</v>
      </c>
      <c r="AE170" s="69">
        <v>10</v>
      </c>
    </row>
    <row r="171" spans="1:31" ht="12.75" customHeight="1" x14ac:dyDescent="0.25">
      <c r="A171" s="89"/>
      <c r="B171" s="47"/>
      <c r="C171" s="56" t="s">
        <v>204</v>
      </c>
      <c r="D171" s="35">
        <v>1550.33</v>
      </c>
      <c r="E171" s="35">
        <v>1637.4</v>
      </c>
      <c r="F171" s="35">
        <v>1536.92</v>
      </c>
      <c r="G171" s="35">
        <v>1468.46</v>
      </c>
      <c r="H171" s="35">
        <v>1478.42</v>
      </c>
      <c r="I171" s="35">
        <v>1462.55</v>
      </c>
      <c r="J171" s="35">
        <v>1459.58</v>
      </c>
      <c r="K171" s="35">
        <v>1446.94</v>
      </c>
      <c r="L171" s="35">
        <v>1571.94</v>
      </c>
      <c r="M171" s="35">
        <v>1472.16</v>
      </c>
      <c r="N171" s="35">
        <v>1556.46</v>
      </c>
      <c r="O171" s="35">
        <v>1556.34</v>
      </c>
      <c r="P171" s="35">
        <v>1527.16</v>
      </c>
      <c r="Q171" s="47"/>
      <c r="R171" s="47"/>
      <c r="S171" s="47"/>
      <c r="T171" s="47"/>
      <c r="U171" s="47"/>
      <c r="V171" s="274"/>
      <c r="W171" s="47"/>
      <c r="X171" s="102"/>
      <c r="Y171" s="102"/>
    </row>
    <row r="172" spans="1:31" ht="24.8" customHeight="1" thickBot="1" x14ac:dyDescent="0.3">
      <c r="A172" s="91"/>
      <c r="B172" s="80"/>
      <c r="C172" s="56" t="s">
        <v>203</v>
      </c>
      <c r="D172" s="97">
        <f t="shared" ref="D172:P172" si="53">IF(((D170="")*AND(D171="")),"",(D170-D171))</f>
        <v>5243.5</v>
      </c>
      <c r="E172" s="97">
        <f t="shared" si="53"/>
        <v>5283.2199999999993</v>
      </c>
      <c r="F172" s="97">
        <f t="shared" si="53"/>
        <v>5232.41</v>
      </c>
      <c r="G172" s="97">
        <f t="shared" si="53"/>
        <v>5346.29</v>
      </c>
      <c r="H172" s="97">
        <f t="shared" si="53"/>
        <v>5317.16</v>
      </c>
      <c r="I172" s="97">
        <f t="shared" si="53"/>
        <v>5344.55</v>
      </c>
      <c r="J172" s="97">
        <f t="shared" si="53"/>
        <v>5355.51</v>
      </c>
      <c r="K172" s="97">
        <f t="shared" si="53"/>
        <v>5333.4400000000005</v>
      </c>
      <c r="L172" s="97">
        <f t="shared" si="53"/>
        <v>5238.08</v>
      </c>
      <c r="M172" s="97">
        <f t="shared" si="53"/>
        <v>5346.05</v>
      </c>
      <c r="N172" s="97">
        <f t="shared" si="53"/>
        <v>5321.26</v>
      </c>
      <c r="O172" s="97">
        <f t="shared" si="53"/>
        <v>5277.5999999999995</v>
      </c>
      <c r="P172" s="97">
        <f t="shared" si="53"/>
        <v>5308.1900000000005</v>
      </c>
      <c r="Q172" s="80"/>
      <c r="R172" s="80"/>
      <c r="S172" s="80"/>
      <c r="T172" s="80"/>
      <c r="U172" s="80"/>
      <c r="V172" s="277"/>
      <c r="W172" s="80"/>
      <c r="X172" s="102"/>
      <c r="Y172" s="102"/>
    </row>
    <row r="173" spans="1:31" x14ac:dyDescent="0.25">
      <c r="A173" s="96">
        <v>42723</v>
      </c>
      <c r="B173" s="50" t="s">
        <v>208</v>
      </c>
      <c r="C173" s="56" t="s">
        <v>205</v>
      </c>
      <c r="D173" s="35">
        <v>5952.28</v>
      </c>
      <c r="E173" s="35">
        <v>6015.73</v>
      </c>
      <c r="F173" s="35">
        <v>6042.44</v>
      </c>
      <c r="G173" s="35">
        <v>5982.35</v>
      </c>
      <c r="H173" s="35">
        <v>5924.23</v>
      </c>
      <c r="I173" s="35">
        <v>5735.54</v>
      </c>
      <c r="J173" s="35">
        <v>6002.33</v>
      </c>
      <c r="K173" s="35">
        <v>6037.94</v>
      </c>
      <c r="L173" s="35">
        <v>5876.69</v>
      </c>
      <c r="M173" s="55"/>
      <c r="N173" s="55"/>
      <c r="O173" s="55"/>
      <c r="P173" s="55"/>
      <c r="Q173" s="50">
        <f>IF((L174=""),"",MAX(D175:L175))</f>
        <v>6515.420000000001</v>
      </c>
      <c r="R173" s="50">
        <f>IF(L174="","",MIN(D175:L175))</f>
        <v>6118.0199999999995</v>
      </c>
      <c r="S173" s="77">
        <f>IF((L175=""),"",AVERAGE(D175:L175))</f>
        <v>6360.7844444444445</v>
      </c>
      <c r="T173" s="53">
        <f>IF((L174=""),"",(Q173-R173)/(Q173+R173)*100)</f>
        <v>3.1456198786712206</v>
      </c>
      <c r="U173" s="50">
        <f>STDEV(D175:P175)</f>
        <v>140.48932620586473</v>
      </c>
      <c r="V173" s="273" t="str">
        <f>IF(L174="","",IF(T173&lt;7.3,IF(S173&gt;5700,IF(S173&lt;7200,"Pass","Fail"),"Fail"),"Fail"))</f>
        <v>Pass</v>
      </c>
      <c r="W173" s="57">
        <v>1428</v>
      </c>
      <c r="X173" s="102" t="s">
        <v>257</v>
      </c>
      <c r="Y173" s="102"/>
      <c r="Z173" s="37">
        <v>4955</v>
      </c>
      <c r="AA173" s="37">
        <v>9645</v>
      </c>
      <c r="AB173" s="37">
        <v>5100</v>
      </c>
      <c r="AC173" s="37">
        <v>8300</v>
      </c>
      <c r="AD173" s="69">
        <v>9.8000000000000007</v>
      </c>
      <c r="AE173" s="69">
        <v>10</v>
      </c>
    </row>
    <row r="174" spans="1:31" ht="12.75" customHeight="1" x14ac:dyDescent="0.25">
      <c r="A174" s="89"/>
      <c r="B174" s="47"/>
      <c r="C174" s="56" t="s">
        <v>204</v>
      </c>
      <c r="D174" s="35">
        <v>2893.27</v>
      </c>
      <c r="E174" s="35">
        <v>2836.16</v>
      </c>
      <c r="F174" s="35">
        <v>2833.54</v>
      </c>
      <c r="G174" s="35">
        <v>2724.64</v>
      </c>
      <c r="H174" s="35">
        <v>2675.43</v>
      </c>
      <c r="I174" s="35">
        <v>2558.9299999999998</v>
      </c>
      <c r="J174" s="35">
        <v>2775.83</v>
      </c>
      <c r="K174" s="35">
        <v>2846.94</v>
      </c>
      <c r="L174" s="35">
        <v>2801.26</v>
      </c>
      <c r="M174" s="55"/>
      <c r="N174" s="55"/>
      <c r="O174" s="55"/>
      <c r="P174" s="55"/>
      <c r="Q174" s="47"/>
      <c r="R174" s="47"/>
      <c r="S174" s="47"/>
      <c r="T174" s="47"/>
      <c r="U174" s="47"/>
      <c r="V174" s="274"/>
      <c r="W174" s="47"/>
      <c r="X174" s="102"/>
      <c r="Y174" s="102"/>
    </row>
    <row r="175" spans="1:31" ht="24.8" customHeight="1" thickBot="1" x14ac:dyDescent="0.3">
      <c r="A175" s="91"/>
      <c r="B175" s="42"/>
      <c r="C175" s="76" t="s">
        <v>203</v>
      </c>
      <c r="D175" s="84">
        <f t="shared" ref="D175:L175" si="54">IF(((D173="")*AND(D174="")),"",(D173-D174)*2)</f>
        <v>6118.0199999999995</v>
      </c>
      <c r="E175" s="84">
        <f t="shared" si="54"/>
        <v>6359.1399999999994</v>
      </c>
      <c r="F175" s="84">
        <f t="shared" si="54"/>
        <v>6417.7999999999993</v>
      </c>
      <c r="G175" s="84">
        <f t="shared" si="54"/>
        <v>6515.420000000001</v>
      </c>
      <c r="H175" s="84">
        <f t="shared" si="54"/>
        <v>6497.5999999999995</v>
      </c>
      <c r="I175" s="84">
        <f t="shared" si="54"/>
        <v>6353.22</v>
      </c>
      <c r="J175" s="84">
        <f t="shared" si="54"/>
        <v>6453</v>
      </c>
      <c r="K175" s="84">
        <f t="shared" si="54"/>
        <v>6381.9999999999991</v>
      </c>
      <c r="L175" s="84">
        <f t="shared" si="54"/>
        <v>6150.8599999999988</v>
      </c>
      <c r="M175" s="84"/>
      <c r="N175" s="84"/>
      <c r="O175" s="84"/>
      <c r="P175" s="84" t="str">
        <f>IF(((P173="")*AND(P174="")),"",(P173-P174)*2)</f>
        <v/>
      </c>
      <c r="Q175" s="42"/>
      <c r="R175" s="42"/>
      <c r="S175" s="42"/>
      <c r="T175" s="42"/>
      <c r="U175" s="80"/>
      <c r="V175" s="275"/>
      <c r="W175" s="42"/>
      <c r="X175" s="101"/>
      <c r="Y175" s="101"/>
    </row>
    <row r="176" spans="1:31" ht="12.75" customHeight="1" x14ac:dyDescent="0.25">
      <c r="A176" s="89">
        <v>42727</v>
      </c>
      <c r="B176" s="47" t="s">
        <v>206</v>
      </c>
      <c r="C176" s="80" t="s">
        <v>205</v>
      </c>
      <c r="D176" s="35">
        <v>6810.38</v>
      </c>
      <c r="E176" s="35">
        <v>6890.76</v>
      </c>
      <c r="F176" s="35">
        <v>6797.28</v>
      </c>
      <c r="G176" s="35">
        <v>6877.16</v>
      </c>
      <c r="H176" s="35">
        <v>6762.03</v>
      </c>
      <c r="I176" s="35">
        <v>6831</v>
      </c>
      <c r="J176" s="35">
        <v>6888.76</v>
      </c>
      <c r="K176" s="35">
        <v>6844.18</v>
      </c>
      <c r="L176" s="35">
        <v>6837.08</v>
      </c>
      <c r="M176" s="35">
        <v>6884.79</v>
      </c>
      <c r="N176" s="35">
        <v>6866.52</v>
      </c>
      <c r="O176" s="35">
        <v>6862.43</v>
      </c>
      <c r="P176" s="35">
        <v>6829.48</v>
      </c>
      <c r="Q176" s="50">
        <f>IF((L177=""),"",MAX(D178:P178))</f>
        <v>5304.2</v>
      </c>
      <c r="R176" s="47">
        <f>IF(L177="","",MIN(D178:L178))</f>
        <v>5249.48</v>
      </c>
      <c r="S176" s="53">
        <f>IF((P178=""),"",AVERAGE(D178:P178))</f>
        <v>5280.8238461538467</v>
      </c>
      <c r="T176" s="109">
        <f>IF((L177=""),"",(Q176-R176)/(Q176+R176)*100)</f>
        <v>0.51849212786440613</v>
      </c>
      <c r="U176" s="47">
        <f>STDEV(D178:P178)</f>
        <v>18.635509803625595</v>
      </c>
      <c r="V176" s="276" t="str">
        <f>IF(P177="","",IF(T176&lt;2.7,IF(S176&gt;5150,IF(S176&lt;5600,"Pass","Fail"),"Fail"),"Fail"))</f>
        <v>Pass</v>
      </c>
      <c r="W176" s="47">
        <v>1428</v>
      </c>
      <c r="X176" s="124"/>
      <c r="Y176" s="124"/>
      <c r="Z176" s="71">
        <v>4470</v>
      </c>
      <c r="AA176" s="71">
        <v>6020</v>
      </c>
      <c r="AB176" s="71">
        <v>5150</v>
      </c>
      <c r="AC176" s="71">
        <v>5600</v>
      </c>
      <c r="AD176" s="70">
        <v>2.7</v>
      </c>
      <c r="AE176" s="69">
        <v>10</v>
      </c>
    </row>
    <row r="177" spans="1:31" ht="12.75" customHeight="1" x14ac:dyDescent="0.25">
      <c r="A177" s="89"/>
      <c r="B177" s="47"/>
      <c r="C177" s="56" t="s">
        <v>204</v>
      </c>
      <c r="D177" s="35">
        <v>1539.91</v>
      </c>
      <c r="E177" s="35">
        <v>1619.38</v>
      </c>
      <c r="F177" s="35">
        <v>1547.8</v>
      </c>
      <c r="G177" s="35">
        <v>1608.22</v>
      </c>
      <c r="H177" s="35">
        <v>1477.28</v>
      </c>
      <c r="I177" s="35">
        <v>1530.87</v>
      </c>
      <c r="J177" s="35">
        <v>1610.26</v>
      </c>
      <c r="K177" s="35">
        <v>1550.76</v>
      </c>
      <c r="L177" s="35">
        <v>1586.82</v>
      </c>
      <c r="M177" s="35">
        <v>1580.59</v>
      </c>
      <c r="N177" s="35">
        <v>1569.55</v>
      </c>
      <c r="O177" s="35">
        <v>1584.41</v>
      </c>
      <c r="P177" s="35">
        <v>1525.29</v>
      </c>
      <c r="Q177" s="47"/>
      <c r="R177" s="47"/>
      <c r="S177" s="47"/>
      <c r="T177" s="47"/>
      <c r="U177" s="47"/>
      <c r="V177" s="274"/>
      <c r="W177" s="47"/>
      <c r="X177" s="114"/>
      <c r="Y177" s="114"/>
    </row>
    <row r="178" spans="1:31" ht="24.8" customHeight="1" thickBot="1" x14ac:dyDescent="0.3">
      <c r="A178" s="91"/>
      <c r="B178" s="80"/>
      <c r="C178" s="56" t="s">
        <v>203</v>
      </c>
      <c r="D178" s="97">
        <f t="shared" ref="D178:P178" si="55">IF(((D176="")*AND(D177="")),"",(D176-D177))</f>
        <v>5270.47</v>
      </c>
      <c r="E178" s="97">
        <f t="shared" si="55"/>
        <v>5271.38</v>
      </c>
      <c r="F178" s="97">
        <f t="shared" si="55"/>
        <v>5249.48</v>
      </c>
      <c r="G178" s="97">
        <f t="shared" si="55"/>
        <v>5268.94</v>
      </c>
      <c r="H178" s="97">
        <f t="shared" si="55"/>
        <v>5284.75</v>
      </c>
      <c r="I178" s="97">
        <f t="shared" si="55"/>
        <v>5300.13</v>
      </c>
      <c r="J178" s="97">
        <f t="shared" si="55"/>
        <v>5278.5</v>
      </c>
      <c r="K178" s="97">
        <f t="shared" si="55"/>
        <v>5293.42</v>
      </c>
      <c r="L178" s="97">
        <f t="shared" si="55"/>
        <v>5250.26</v>
      </c>
      <c r="M178" s="97">
        <f t="shared" si="55"/>
        <v>5304.2</v>
      </c>
      <c r="N178" s="97">
        <f t="shared" si="55"/>
        <v>5296.97</v>
      </c>
      <c r="O178" s="97">
        <f t="shared" si="55"/>
        <v>5278.02</v>
      </c>
      <c r="P178" s="97">
        <f t="shared" si="55"/>
        <v>5304.19</v>
      </c>
      <c r="Q178" s="80"/>
      <c r="R178" s="80"/>
      <c r="S178" s="80"/>
      <c r="T178" s="80"/>
      <c r="U178" s="80"/>
      <c r="V178" s="277"/>
      <c r="W178" s="80"/>
      <c r="X178" s="114"/>
      <c r="Y178" s="114"/>
    </row>
    <row r="179" spans="1:31" x14ac:dyDescent="0.25">
      <c r="A179" s="96">
        <v>42727</v>
      </c>
      <c r="B179" s="50" t="s">
        <v>208</v>
      </c>
      <c r="C179" s="56" t="s">
        <v>205</v>
      </c>
      <c r="D179" s="35">
        <v>5950.76</v>
      </c>
      <c r="E179" s="35">
        <v>6020.68</v>
      </c>
      <c r="F179" s="35">
        <v>6046.15</v>
      </c>
      <c r="G179" s="35">
        <v>5984.69</v>
      </c>
      <c r="H179" s="35">
        <v>5908.21</v>
      </c>
      <c r="I179" s="35">
        <v>5818.7</v>
      </c>
      <c r="J179" s="35">
        <v>6008.97</v>
      </c>
      <c r="K179" s="35">
        <v>6042.73</v>
      </c>
      <c r="L179" s="35">
        <v>5878.12</v>
      </c>
      <c r="M179" s="55"/>
      <c r="N179" s="55"/>
      <c r="O179" s="55"/>
      <c r="P179" s="55"/>
      <c r="Q179" s="50">
        <f>IF((L180=""),"",MAX(D181:L181))</f>
        <v>6436.4199999999992</v>
      </c>
      <c r="R179" s="50">
        <f>IF(L180="","",MIN(D181:L181))</f>
        <v>5929.8200000000006</v>
      </c>
      <c r="S179" s="77">
        <f>IF((L181=""),"",AVERAGE(D181:L181))</f>
        <v>6250.0088888888895</v>
      </c>
      <c r="T179" s="53">
        <f>IF((L180=""),"",(Q179-R179)/(Q179+R179)*100)</f>
        <v>4.0966372963811031</v>
      </c>
      <c r="U179" s="50">
        <f>STDEV(D181:P181)</f>
        <v>168.82334498259132</v>
      </c>
      <c r="V179" s="273" t="str">
        <f>IF(L180="","",IF(T179&lt;7.3,IF(S179&gt;5700,IF(S179&lt;7200,"Pass","Fail"),"Fail"),"Fail"))</f>
        <v>Pass</v>
      </c>
      <c r="W179" s="57">
        <v>1428</v>
      </c>
      <c r="X179" s="114"/>
      <c r="Y179" s="114"/>
      <c r="Z179" s="37">
        <v>4955</v>
      </c>
      <c r="AA179" s="37">
        <v>9645</v>
      </c>
      <c r="AB179" s="37">
        <v>5100</v>
      </c>
      <c r="AC179" s="37">
        <v>8300</v>
      </c>
      <c r="AD179" s="69">
        <v>9.8000000000000007</v>
      </c>
      <c r="AE179" s="69">
        <v>10</v>
      </c>
    </row>
    <row r="180" spans="1:31" ht="12.75" customHeight="1" x14ac:dyDescent="0.25">
      <c r="A180" s="89"/>
      <c r="B180" s="47"/>
      <c r="C180" s="56" t="s">
        <v>204</v>
      </c>
      <c r="D180" s="35">
        <v>2985.85</v>
      </c>
      <c r="E180" s="35">
        <v>2885.75</v>
      </c>
      <c r="F180" s="35">
        <v>2876.8</v>
      </c>
      <c r="G180" s="35">
        <v>2766.48</v>
      </c>
      <c r="H180" s="35">
        <v>2753.76</v>
      </c>
      <c r="I180" s="35">
        <v>2651.18</v>
      </c>
      <c r="J180" s="35">
        <v>2836.93</v>
      </c>
      <c r="K180" s="35">
        <v>2899.94</v>
      </c>
      <c r="L180" s="35">
        <v>2877.28</v>
      </c>
      <c r="M180" s="55"/>
      <c r="N180" s="55"/>
      <c r="O180" s="55"/>
      <c r="P180" s="55"/>
      <c r="Q180" s="47"/>
      <c r="R180" s="47"/>
      <c r="S180" s="47"/>
      <c r="T180" s="47"/>
      <c r="U180" s="47"/>
      <c r="V180" s="274"/>
      <c r="W180" s="47"/>
      <c r="X180" s="114"/>
      <c r="Y180" s="114"/>
    </row>
    <row r="181" spans="1:31" ht="24.8" customHeight="1" thickBot="1" x14ac:dyDescent="0.3">
      <c r="A181" s="91"/>
      <c r="B181" s="42"/>
      <c r="C181" s="76" t="s">
        <v>203</v>
      </c>
      <c r="D181" s="84">
        <f t="shared" ref="D181:L181" si="56">IF(((D179="")*AND(D180="")),"",(D179-D180)*2)</f>
        <v>5929.8200000000006</v>
      </c>
      <c r="E181" s="84">
        <f t="shared" si="56"/>
        <v>6269.8600000000006</v>
      </c>
      <c r="F181" s="84">
        <f t="shared" si="56"/>
        <v>6338.6999999999989</v>
      </c>
      <c r="G181" s="84">
        <f t="shared" si="56"/>
        <v>6436.4199999999992</v>
      </c>
      <c r="H181" s="84">
        <f t="shared" si="56"/>
        <v>6308.9</v>
      </c>
      <c r="I181" s="84">
        <f t="shared" si="56"/>
        <v>6335.04</v>
      </c>
      <c r="J181" s="84">
        <f t="shared" si="56"/>
        <v>6344.0800000000008</v>
      </c>
      <c r="K181" s="84">
        <f t="shared" si="56"/>
        <v>6285.579999999999</v>
      </c>
      <c r="L181" s="84">
        <f t="shared" si="56"/>
        <v>6001.6799999999994</v>
      </c>
      <c r="M181" s="84"/>
      <c r="N181" s="84"/>
      <c r="O181" s="84"/>
      <c r="P181" s="84" t="str">
        <f>IF(((P179="")*AND(P180="")),"",(P179-P180)*2)</f>
        <v/>
      </c>
      <c r="Q181" s="42"/>
      <c r="R181" s="42"/>
      <c r="S181" s="42"/>
      <c r="T181" s="42"/>
      <c r="U181" s="80"/>
      <c r="V181" s="275"/>
      <c r="W181" s="42"/>
      <c r="X181" s="113"/>
      <c r="Y181" s="113"/>
    </row>
    <row r="182" spans="1:31" ht="12.75" customHeight="1" x14ac:dyDescent="0.25">
      <c r="A182" s="96">
        <v>42732</v>
      </c>
      <c r="B182" s="47" t="s">
        <v>206</v>
      </c>
      <c r="C182" s="80" t="s">
        <v>205</v>
      </c>
      <c r="D182" s="35">
        <v>6818.17</v>
      </c>
      <c r="E182" s="35">
        <v>6906.93</v>
      </c>
      <c r="F182" s="35">
        <v>6798.01</v>
      </c>
      <c r="G182" s="35">
        <v>6863.63</v>
      </c>
      <c r="H182" s="35">
        <v>6792.81</v>
      </c>
      <c r="I182" s="35">
        <v>6830.9</v>
      </c>
      <c r="J182" s="35">
        <v>6870.78</v>
      </c>
      <c r="K182" s="35">
        <v>6829.9</v>
      </c>
      <c r="L182" s="35">
        <v>6835.96</v>
      </c>
      <c r="M182" s="35">
        <v>6867.96</v>
      </c>
      <c r="N182" s="35">
        <v>6884.12</v>
      </c>
      <c r="O182" s="35">
        <v>6856.82</v>
      </c>
      <c r="P182" s="35">
        <v>6844.9</v>
      </c>
      <c r="Q182" s="50">
        <f>IF((L183=""),"",MAX(D184:P184))</f>
        <v>5240.3499999999995</v>
      </c>
      <c r="R182" s="47">
        <f>IF(L183="","",MIN(D184:L184))</f>
        <v>5199.8900000000003</v>
      </c>
      <c r="S182" s="53">
        <f>IF((P184=""),"",AVERAGE(D184:P184))</f>
        <v>5220.6669230769239</v>
      </c>
      <c r="T182" s="109">
        <f>IF((L183=""),"",(Q182-R182)/(Q182+R182)*100)</f>
        <v>0.38753898377814233</v>
      </c>
      <c r="U182" s="47">
        <f>STDEV(D184:P184)</f>
        <v>12.643366102832431</v>
      </c>
      <c r="V182" s="276" t="str">
        <f>IF(P183="","",IF(T182&lt;2.7,IF(S182&gt;5150,IF(S182&lt;5600,"Pass","Fail"),"Fail"),"Fail"))</f>
        <v>Pass</v>
      </c>
      <c r="W182" s="47">
        <v>1335</v>
      </c>
      <c r="X182" s="98"/>
      <c r="Y182" s="98"/>
      <c r="Z182" s="71">
        <v>4470</v>
      </c>
      <c r="AA182" s="71">
        <v>6020</v>
      </c>
      <c r="AB182" s="71">
        <v>5150</v>
      </c>
      <c r="AC182" s="71">
        <v>5600</v>
      </c>
      <c r="AD182" s="70">
        <v>2.7</v>
      </c>
      <c r="AE182" s="69">
        <v>10</v>
      </c>
    </row>
    <row r="183" spans="1:31" ht="12.75" customHeight="1" x14ac:dyDescent="0.25">
      <c r="A183" s="89"/>
      <c r="B183" s="47"/>
      <c r="C183" s="56" t="s">
        <v>204</v>
      </c>
      <c r="D183" s="35">
        <v>1600.76</v>
      </c>
      <c r="E183" s="35">
        <v>1695.74</v>
      </c>
      <c r="F183" s="35">
        <v>1598.12</v>
      </c>
      <c r="G183" s="35">
        <v>1655.16</v>
      </c>
      <c r="H183" s="35">
        <v>1566.5</v>
      </c>
      <c r="I183" s="35">
        <v>1598.28</v>
      </c>
      <c r="J183" s="35">
        <v>1655.47</v>
      </c>
      <c r="K183" s="35">
        <v>1598.08</v>
      </c>
      <c r="L183" s="35">
        <v>1632.75</v>
      </c>
      <c r="M183" s="35">
        <v>1635.63</v>
      </c>
      <c r="N183" s="35">
        <v>1654.45</v>
      </c>
      <c r="O183" s="35">
        <v>1636.73</v>
      </c>
      <c r="P183" s="35">
        <v>1604.55</v>
      </c>
      <c r="Q183" s="47"/>
      <c r="R183" s="47"/>
      <c r="S183" s="47"/>
      <c r="T183" s="47"/>
      <c r="U183" s="47"/>
      <c r="V183" s="274"/>
      <c r="W183" s="47"/>
      <c r="X183" s="102"/>
      <c r="Y183" s="102"/>
    </row>
    <row r="184" spans="1:31" ht="24.8" customHeight="1" thickBot="1" x14ac:dyDescent="0.3">
      <c r="A184" s="91"/>
      <c r="B184" s="80"/>
      <c r="C184" s="56" t="s">
        <v>203</v>
      </c>
      <c r="D184" s="97">
        <f t="shared" ref="D184:P184" si="57">IF(((D182="")*AND(D183="")),"",(D182-D183))</f>
        <v>5217.41</v>
      </c>
      <c r="E184" s="97">
        <f t="shared" si="57"/>
        <v>5211.1900000000005</v>
      </c>
      <c r="F184" s="97">
        <f t="shared" si="57"/>
        <v>5199.8900000000003</v>
      </c>
      <c r="G184" s="97">
        <f t="shared" si="57"/>
        <v>5208.47</v>
      </c>
      <c r="H184" s="97">
        <f t="shared" si="57"/>
        <v>5226.3100000000004</v>
      </c>
      <c r="I184" s="97">
        <f t="shared" si="57"/>
        <v>5232.62</v>
      </c>
      <c r="J184" s="97">
        <f t="shared" si="57"/>
        <v>5215.3099999999995</v>
      </c>
      <c r="K184" s="97">
        <f t="shared" si="57"/>
        <v>5231.82</v>
      </c>
      <c r="L184" s="97">
        <f t="shared" si="57"/>
        <v>5203.21</v>
      </c>
      <c r="M184" s="97">
        <f t="shared" si="57"/>
        <v>5232.33</v>
      </c>
      <c r="N184" s="97">
        <f t="shared" si="57"/>
        <v>5229.67</v>
      </c>
      <c r="O184" s="97">
        <f t="shared" si="57"/>
        <v>5220.09</v>
      </c>
      <c r="P184" s="97">
        <f t="shared" si="57"/>
        <v>5240.3499999999995</v>
      </c>
      <c r="Q184" s="80"/>
      <c r="R184" s="80"/>
      <c r="S184" s="80"/>
      <c r="T184" s="80"/>
      <c r="U184" s="80"/>
      <c r="V184" s="277"/>
      <c r="W184" s="80"/>
      <c r="X184" s="102"/>
      <c r="Y184" s="102"/>
    </row>
    <row r="185" spans="1:31" x14ac:dyDescent="0.25">
      <c r="A185" s="96">
        <v>42732</v>
      </c>
      <c r="B185" s="50" t="s">
        <v>208</v>
      </c>
      <c r="C185" s="56" t="s">
        <v>205</v>
      </c>
      <c r="D185" s="35">
        <v>5970.37</v>
      </c>
      <c r="E185" s="35">
        <v>6022.18</v>
      </c>
      <c r="F185" s="35">
        <v>6046.69</v>
      </c>
      <c r="G185" s="35">
        <v>6004.41</v>
      </c>
      <c r="H185" s="35">
        <v>5930.27</v>
      </c>
      <c r="I185" s="35">
        <v>5871.56</v>
      </c>
      <c r="J185" s="35">
        <v>6013.17</v>
      </c>
      <c r="K185" s="35">
        <v>6042.82</v>
      </c>
      <c r="L185" s="35">
        <v>5891.58</v>
      </c>
      <c r="M185" s="55"/>
      <c r="N185" s="55"/>
      <c r="O185" s="55"/>
      <c r="P185" s="55"/>
      <c r="Q185" s="50">
        <f>IF((L186=""),"",MAX(D187:L187))</f>
        <v>7065.1399999999994</v>
      </c>
      <c r="R185" s="50">
        <f>IF(L186="","",MIN(D187:L187))</f>
        <v>6810.6</v>
      </c>
      <c r="S185" s="77">
        <f>IF((L187=""),"",AVERAGE(D187:L187))</f>
        <v>6945.3155555555559</v>
      </c>
      <c r="T185" s="53">
        <f>IF((L186=""),"",(Q185-R185)/(Q185+R185)*100)</f>
        <v>1.8344246865392335</v>
      </c>
      <c r="U185" s="50">
        <f>STDEV(D187:P187)</f>
        <v>100.17554480898878</v>
      </c>
      <c r="V185" s="273" t="str">
        <f>IF(L186="","",IF(T185&lt;7.3,IF(S185&gt;5700,IF(S185&lt;7200,"Pass","Fail"),"Fail"),"Fail"))</f>
        <v>Pass</v>
      </c>
      <c r="W185" s="57">
        <v>1335</v>
      </c>
      <c r="X185" s="102"/>
      <c r="Y185" s="102"/>
      <c r="Z185" s="37">
        <v>4955</v>
      </c>
      <c r="AA185" s="37">
        <v>9645</v>
      </c>
      <c r="AB185" s="37">
        <v>5100</v>
      </c>
      <c r="AC185" s="37">
        <v>8300</v>
      </c>
      <c r="AD185" s="69">
        <v>9.8000000000000007</v>
      </c>
      <c r="AE185" s="69">
        <v>10</v>
      </c>
    </row>
    <row r="186" spans="1:31" ht="12.75" customHeight="1" x14ac:dyDescent="0.25">
      <c r="A186" s="89"/>
      <c r="B186" s="47"/>
      <c r="C186" s="56" t="s">
        <v>204</v>
      </c>
      <c r="D186" s="35">
        <v>2554.27</v>
      </c>
      <c r="E186" s="35">
        <v>2534.4899999999998</v>
      </c>
      <c r="F186" s="35">
        <v>2531.77</v>
      </c>
      <c r="G186" s="35">
        <v>2471.84</v>
      </c>
      <c r="H186" s="35">
        <v>2492.58</v>
      </c>
      <c r="I186" s="35">
        <v>2466.2600000000002</v>
      </c>
      <c r="J186" s="35">
        <v>2501.9299999999998</v>
      </c>
      <c r="K186" s="35">
        <v>2523.8000000000002</v>
      </c>
      <c r="L186" s="35">
        <v>2462.19</v>
      </c>
      <c r="M186" s="55"/>
      <c r="N186" s="55"/>
      <c r="O186" s="55"/>
      <c r="P186" s="55"/>
      <c r="Q186" s="47"/>
      <c r="R186" s="47"/>
      <c r="S186" s="47"/>
      <c r="T186" s="47"/>
      <c r="U186" s="47"/>
      <c r="V186" s="274"/>
      <c r="W186" s="47"/>
      <c r="X186" s="102"/>
      <c r="Y186" s="102"/>
    </row>
    <row r="187" spans="1:31" ht="24.8" customHeight="1" thickBot="1" x14ac:dyDescent="0.3">
      <c r="A187" s="91"/>
      <c r="B187" s="42"/>
      <c r="C187" s="76" t="s">
        <v>203</v>
      </c>
      <c r="D187" s="84">
        <f t="shared" ref="D187:L187" si="58">IF(((D185="")*AND(D186="")),"",(D185-D186)*2)</f>
        <v>6832.2</v>
      </c>
      <c r="E187" s="84">
        <f t="shared" si="58"/>
        <v>6975.380000000001</v>
      </c>
      <c r="F187" s="84">
        <f t="shared" si="58"/>
        <v>7029.8399999999992</v>
      </c>
      <c r="G187" s="84">
        <f t="shared" si="58"/>
        <v>7065.1399999999994</v>
      </c>
      <c r="H187" s="84">
        <f t="shared" si="58"/>
        <v>6875.380000000001</v>
      </c>
      <c r="I187" s="84">
        <f t="shared" si="58"/>
        <v>6810.6</v>
      </c>
      <c r="J187" s="84">
        <f t="shared" si="58"/>
        <v>7022.4800000000005</v>
      </c>
      <c r="K187" s="84">
        <f t="shared" si="58"/>
        <v>7038.0399999999991</v>
      </c>
      <c r="L187" s="84">
        <f t="shared" si="58"/>
        <v>6858.78</v>
      </c>
      <c r="M187" s="84"/>
      <c r="N187" s="84"/>
      <c r="O187" s="84"/>
      <c r="P187" s="84" t="str">
        <f>IF(((P185="")*AND(P186="")),"",(P185-P186)*2)</f>
        <v/>
      </c>
      <c r="Q187" s="42"/>
      <c r="R187" s="42"/>
      <c r="S187" s="42"/>
      <c r="T187" s="42"/>
      <c r="U187" s="80"/>
      <c r="V187" s="275"/>
      <c r="W187" s="42"/>
      <c r="X187" s="101"/>
      <c r="Y187" s="101"/>
    </row>
    <row r="188" spans="1:31" ht="12.75" customHeight="1" x14ac:dyDescent="0.25">
      <c r="A188" s="89">
        <v>42739</v>
      </c>
      <c r="B188" s="47" t="s">
        <v>206</v>
      </c>
      <c r="C188" s="80" t="s">
        <v>205</v>
      </c>
      <c r="D188" s="35">
        <v>6840.16</v>
      </c>
      <c r="E188" s="35">
        <v>6938.9</v>
      </c>
      <c r="F188" s="35">
        <v>6811.5</v>
      </c>
      <c r="G188" s="35">
        <v>6865.54</v>
      </c>
      <c r="H188" s="35">
        <v>6839.36</v>
      </c>
      <c r="I188" s="35">
        <v>6854.98</v>
      </c>
      <c r="J188" s="35">
        <v>6871.92</v>
      </c>
      <c r="K188" s="35">
        <v>6833.31</v>
      </c>
      <c r="L188" s="35">
        <v>6849.64</v>
      </c>
      <c r="M188" s="35">
        <v>6872.84</v>
      </c>
      <c r="N188" s="35">
        <v>6922.55</v>
      </c>
      <c r="O188" s="35">
        <v>6877.15</v>
      </c>
      <c r="P188" s="35">
        <v>6884.27</v>
      </c>
      <c r="Q188" s="50">
        <f>IF((L189=""),"",MAX(D190:P190))</f>
        <v>5274.08</v>
      </c>
      <c r="R188" s="47">
        <f>IF(L189="","",MIN(D190:L190))</f>
        <v>5228.66</v>
      </c>
      <c r="S188" s="53">
        <f>IF((P190=""),"",AVERAGE(D190:P190))</f>
        <v>5252.1346153846152</v>
      </c>
      <c r="T188" s="109">
        <f>IF((L189=""),"",(Q188-R188)/(Q188+R188)*100)</f>
        <v>0.4324585774759736</v>
      </c>
      <c r="U188" s="47">
        <f>STDEV(D190:P190)</f>
        <v>14.191213018029071</v>
      </c>
      <c r="V188" s="276" t="str">
        <f>IF(P189="","",IF(T188&lt;2.7,IF(S188&gt;5150,IF(S188&lt;5600,"Pass","Fail"),"Fail"),"Fail"))</f>
        <v>Pass</v>
      </c>
      <c r="W188" s="47">
        <v>1335</v>
      </c>
      <c r="X188" s="98"/>
      <c r="Y188" s="98"/>
      <c r="Z188" s="71">
        <v>4470</v>
      </c>
      <c r="AA188" s="71">
        <v>6020</v>
      </c>
      <c r="AB188" s="71">
        <v>5150</v>
      </c>
      <c r="AC188" s="71">
        <v>5600</v>
      </c>
      <c r="AD188" s="70">
        <v>2.7</v>
      </c>
      <c r="AE188" s="69">
        <v>10</v>
      </c>
    </row>
    <row r="189" spans="1:31" ht="12.75" customHeight="1" x14ac:dyDescent="0.25">
      <c r="A189" s="89"/>
      <c r="B189" s="47"/>
      <c r="C189" s="56" t="s">
        <v>204</v>
      </c>
      <c r="D189" s="35">
        <v>1594.12</v>
      </c>
      <c r="E189" s="35">
        <v>1696.98</v>
      </c>
      <c r="F189" s="35">
        <v>1582.84</v>
      </c>
      <c r="G189" s="35">
        <v>1626.01</v>
      </c>
      <c r="H189" s="35">
        <v>1584.6</v>
      </c>
      <c r="I189" s="35">
        <v>1589.48</v>
      </c>
      <c r="J189" s="35">
        <v>1627.94</v>
      </c>
      <c r="K189" s="35">
        <v>1568.93</v>
      </c>
      <c r="L189" s="35">
        <v>1615.29</v>
      </c>
      <c r="M189" s="35">
        <v>1606.05</v>
      </c>
      <c r="N189" s="35">
        <v>1658.21</v>
      </c>
      <c r="O189" s="35">
        <v>1623.73</v>
      </c>
      <c r="P189" s="35">
        <v>1610.19</v>
      </c>
      <c r="Q189" s="47"/>
      <c r="R189" s="47"/>
      <c r="S189" s="47"/>
      <c r="T189" s="47"/>
      <c r="U189" s="47"/>
      <c r="V189" s="274"/>
      <c r="W189" s="47"/>
      <c r="X189" s="102"/>
      <c r="Y189" s="102"/>
    </row>
    <row r="190" spans="1:31" ht="24.8" customHeight="1" thickBot="1" x14ac:dyDescent="0.3">
      <c r="A190" s="91"/>
      <c r="B190" s="80"/>
      <c r="C190" s="56" t="s">
        <v>203</v>
      </c>
      <c r="D190" s="97">
        <f t="shared" ref="D190:P190" si="59">IF(((D188="")*AND(D189="")),"",(D188-D189))</f>
        <v>5246.04</v>
      </c>
      <c r="E190" s="97">
        <f t="shared" si="59"/>
        <v>5241.92</v>
      </c>
      <c r="F190" s="97">
        <f t="shared" si="59"/>
        <v>5228.66</v>
      </c>
      <c r="G190" s="97">
        <f t="shared" si="59"/>
        <v>5239.53</v>
      </c>
      <c r="H190" s="97">
        <f t="shared" si="59"/>
        <v>5254.76</v>
      </c>
      <c r="I190" s="97">
        <f t="shared" si="59"/>
        <v>5265.5</v>
      </c>
      <c r="J190" s="97">
        <f t="shared" si="59"/>
        <v>5243.98</v>
      </c>
      <c r="K190" s="97">
        <f t="shared" si="59"/>
        <v>5264.38</v>
      </c>
      <c r="L190" s="97">
        <f t="shared" si="59"/>
        <v>5234.3500000000004</v>
      </c>
      <c r="M190" s="97">
        <f t="shared" si="59"/>
        <v>5266.79</v>
      </c>
      <c r="N190" s="97">
        <f t="shared" si="59"/>
        <v>5264.34</v>
      </c>
      <c r="O190" s="97">
        <f t="shared" si="59"/>
        <v>5253.42</v>
      </c>
      <c r="P190" s="97">
        <f t="shared" si="59"/>
        <v>5274.08</v>
      </c>
      <c r="Q190" s="80"/>
      <c r="R190" s="80"/>
      <c r="S190" s="80"/>
      <c r="T190" s="80"/>
      <c r="U190" s="80"/>
      <c r="V190" s="277"/>
      <c r="W190" s="80"/>
      <c r="X190" s="102"/>
      <c r="Y190" s="102"/>
    </row>
    <row r="191" spans="1:31" x14ac:dyDescent="0.25">
      <c r="A191" s="96">
        <v>42739</v>
      </c>
      <c r="B191" s="50" t="s">
        <v>208</v>
      </c>
      <c r="C191" s="56" t="s">
        <v>205</v>
      </c>
      <c r="D191" s="35">
        <v>5973.36</v>
      </c>
      <c r="E191" s="35">
        <v>6012.52</v>
      </c>
      <c r="F191" s="35">
        <v>6044.71</v>
      </c>
      <c r="G191" s="35">
        <v>6020.76</v>
      </c>
      <c r="H191" s="35">
        <v>5933.73</v>
      </c>
      <c r="I191" s="35">
        <v>5859.67</v>
      </c>
      <c r="J191" s="35">
        <v>6005.86</v>
      </c>
      <c r="K191" s="35">
        <v>6029.12</v>
      </c>
      <c r="L191" s="35">
        <v>5899.12</v>
      </c>
      <c r="M191" s="55"/>
      <c r="N191" s="55"/>
      <c r="O191" s="55"/>
      <c r="P191" s="55"/>
      <c r="Q191" s="50">
        <f>IF((L192=""),"",MAX(D193:L193))</f>
        <v>6745.38</v>
      </c>
      <c r="R191" s="50">
        <f>IF(L192="","",MIN(D193:L193))</f>
        <v>6404.88</v>
      </c>
      <c r="S191" s="77">
        <f>IF((L193=""),"",AVERAGE(D193:L193))</f>
        <v>6598.137777777777</v>
      </c>
      <c r="T191" s="53">
        <f>IF((L192=""),"",(Q191-R191)/(Q191+R191)*100)</f>
        <v>2.5893024168343439</v>
      </c>
      <c r="U191" s="50">
        <f>STDEV(D193:P193)</f>
        <v>117.0103681066105</v>
      </c>
      <c r="V191" s="273" t="str">
        <f>IF(L192="","",IF(T191&lt;7.3,IF(S191&gt;5700,IF(S191&lt;7200,"Pass","Fail"),"Fail"),"Fail"))</f>
        <v>Pass</v>
      </c>
      <c r="W191" s="57">
        <v>1335</v>
      </c>
      <c r="X191" s="102"/>
      <c r="Y191" s="102"/>
      <c r="Z191" s="37">
        <v>4955</v>
      </c>
      <c r="AA191" s="37">
        <v>9645</v>
      </c>
      <c r="AB191" s="37">
        <v>5100</v>
      </c>
      <c r="AC191" s="37">
        <v>8300</v>
      </c>
      <c r="AD191" s="69">
        <v>9.8000000000000007</v>
      </c>
      <c r="AE191" s="69">
        <v>10</v>
      </c>
    </row>
    <row r="192" spans="1:31" ht="12.75" customHeight="1" x14ac:dyDescent="0.25">
      <c r="A192" s="89"/>
      <c r="B192" s="47"/>
      <c r="C192" s="56" t="s">
        <v>204</v>
      </c>
      <c r="D192" s="35">
        <v>2724.04</v>
      </c>
      <c r="E192" s="35">
        <v>2697.49</v>
      </c>
      <c r="F192" s="35">
        <v>2694.89</v>
      </c>
      <c r="G192" s="35">
        <v>2648.07</v>
      </c>
      <c r="H192" s="35">
        <v>2666.03</v>
      </c>
      <c r="I192" s="35">
        <v>2657.23</v>
      </c>
      <c r="J192" s="35">
        <v>2662.37</v>
      </c>
      <c r="K192" s="35">
        <v>2686.98</v>
      </c>
      <c r="L192" s="35">
        <v>2650.13</v>
      </c>
      <c r="M192" s="55"/>
      <c r="N192" s="55"/>
      <c r="O192" s="55"/>
      <c r="P192" s="55"/>
      <c r="Q192" s="47"/>
      <c r="R192" s="47"/>
      <c r="S192" s="47"/>
      <c r="T192" s="47"/>
      <c r="U192" s="47"/>
      <c r="V192" s="274"/>
      <c r="W192" s="47"/>
      <c r="X192" s="102"/>
      <c r="Y192" s="102"/>
    </row>
    <row r="193" spans="1:31" ht="24.8" customHeight="1" thickBot="1" x14ac:dyDescent="0.3">
      <c r="A193" s="91"/>
      <c r="B193" s="42"/>
      <c r="C193" s="76" t="s">
        <v>203</v>
      </c>
      <c r="D193" s="84">
        <f t="shared" ref="D193:L193" si="60">IF(((D191="")*AND(D192="")),"",(D191-D192)*2)</f>
        <v>6498.6399999999994</v>
      </c>
      <c r="E193" s="84">
        <f t="shared" si="60"/>
        <v>6630.0600000000013</v>
      </c>
      <c r="F193" s="84">
        <f t="shared" si="60"/>
        <v>6699.64</v>
      </c>
      <c r="G193" s="84">
        <f t="shared" si="60"/>
        <v>6745.38</v>
      </c>
      <c r="H193" s="84">
        <f t="shared" si="60"/>
        <v>6535.3999999999987</v>
      </c>
      <c r="I193" s="84">
        <f t="shared" si="60"/>
        <v>6404.88</v>
      </c>
      <c r="J193" s="84">
        <f t="shared" si="60"/>
        <v>6686.98</v>
      </c>
      <c r="K193" s="84">
        <f t="shared" si="60"/>
        <v>6684.28</v>
      </c>
      <c r="L193" s="84">
        <f t="shared" si="60"/>
        <v>6497.98</v>
      </c>
      <c r="M193" s="84"/>
      <c r="N193" s="84"/>
      <c r="O193" s="84"/>
      <c r="P193" s="84" t="str">
        <f>IF(((P191="")*AND(P192="")),"",(P191-P192)*2)</f>
        <v/>
      </c>
      <c r="Q193" s="42"/>
      <c r="R193" s="42"/>
      <c r="S193" s="42"/>
      <c r="T193" s="42"/>
      <c r="U193" s="80"/>
      <c r="V193" s="275"/>
      <c r="W193" s="42"/>
      <c r="X193" s="101"/>
      <c r="Y193" s="101"/>
    </row>
    <row r="194" spans="1:31" ht="12.75" customHeight="1" x14ac:dyDescent="0.25">
      <c r="A194" s="96">
        <v>42746</v>
      </c>
      <c r="B194" s="47" t="s">
        <v>206</v>
      </c>
      <c r="C194" s="80" t="s">
        <v>205</v>
      </c>
      <c r="D194" s="35">
        <v>6828.76</v>
      </c>
      <c r="E194" s="35">
        <v>6923.89</v>
      </c>
      <c r="F194" s="35">
        <v>6791.22</v>
      </c>
      <c r="G194" s="35">
        <v>6864.5</v>
      </c>
      <c r="H194" s="35">
        <v>6814.64</v>
      </c>
      <c r="I194" s="35">
        <v>6839.09</v>
      </c>
      <c r="J194" s="35">
        <v>6873.95</v>
      </c>
      <c r="K194" s="35">
        <v>6836.72</v>
      </c>
      <c r="L194" s="35">
        <v>6828.19</v>
      </c>
      <c r="M194" s="35">
        <v>6869.47</v>
      </c>
      <c r="N194" s="35">
        <v>6904.25</v>
      </c>
      <c r="O194" s="35">
        <v>6858.14</v>
      </c>
      <c r="P194" s="35">
        <v>6866.14</v>
      </c>
      <c r="Q194" s="50">
        <f>IF((L195=""),"",MAX(D196:P196))</f>
        <v>5274.76</v>
      </c>
      <c r="R194" s="47">
        <f>IF(L195="","",MIN(D196:L196))</f>
        <v>5226.66</v>
      </c>
      <c r="S194" s="53">
        <f>IF((P196=""),"",AVERAGE(D196:P196))</f>
        <v>5250.6530769230776</v>
      </c>
      <c r="T194" s="109">
        <f>IF((L195=""),"",(Q194-R194)/(Q194+R194)*100)</f>
        <v>0.45803329454493164</v>
      </c>
      <c r="U194" s="47">
        <f>STDEV(D196:P196)</f>
        <v>14.390337837484083</v>
      </c>
      <c r="V194" s="276" t="str">
        <f>IF(P195="","",IF(T194&lt;2.7,IF(S194&gt;5150,IF(S194&lt;5600,"Pass","Fail"),"Fail"),"Fail"))</f>
        <v>Pass</v>
      </c>
      <c r="W194" s="47">
        <v>1159</v>
      </c>
      <c r="X194" s="98" t="s">
        <v>256</v>
      </c>
      <c r="Y194" s="98"/>
      <c r="Z194" s="71">
        <v>4470</v>
      </c>
      <c r="AA194" s="71">
        <v>6020</v>
      </c>
      <c r="AB194" s="71">
        <v>5150</v>
      </c>
      <c r="AC194" s="71">
        <v>5600</v>
      </c>
      <c r="AD194" s="70">
        <v>2.7</v>
      </c>
      <c r="AE194" s="69">
        <v>10</v>
      </c>
    </row>
    <row r="195" spans="1:31" ht="12.75" customHeight="1" x14ac:dyDescent="0.25">
      <c r="A195" s="89"/>
      <c r="B195" s="47"/>
      <c r="C195" s="56" t="s">
        <v>204</v>
      </c>
      <c r="D195" s="35">
        <v>1584.86</v>
      </c>
      <c r="E195" s="35">
        <v>1681.07</v>
      </c>
      <c r="F195" s="35">
        <v>1564.56</v>
      </c>
      <c r="G195" s="35">
        <v>1627.16</v>
      </c>
      <c r="H195" s="35">
        <v>1562.4</v>
      </c>
      <c r="I195" s="35">
        <v>1578.08</v>
      </c>
      <c r="J195" s="35">
        <v>1629.86</v>
      </c>
      <c r="K195" s="35">
        <v>1573.67</v>
      </c>
      <c r="L195" s="35">
        <v>1596.54</v>
      </c>
      <c r="M195" s="35">
        <v>1604.29</v>
      </c>
      <c r="N195" s="35">
        <v>1640.86</v>
      </c>
      <c r="O195" s="35">
        <v>1605.74</v>
      </c>
      <c r="P195" s="35">
        <v>1591.38</v>
      </c>
      <c r="Q195" s="47"/>
      <c r="R195" s="47"/>
      <c r="S195" s="47"/>
      <c r="T195" s="47"/>
      <c r="U195" s="47"/>
      <c r="V195" s="274"/>
      <c r="W195" s="47"/>
      <c r="X195" s="102"/>
      <c r="Y195" s="102"/>
    </row>
    <row r="196" spans="1:31" ht="24.8" customHeight="1" thickBot="1" x14ac:dyDescent="0.3">
      <c r="A196" s="91"/>
      <c r="B196" s="80"/>
      <c r="C196" s="56" t="s">
        <v>203</v>
      </c>
      <c r="D196" s="97">
        <f t="shared" ref="D196:P196" si="61">IF(((D194="")*AND(D195="")),"",(D194-D195))</f>
        <v>5243.9000000000005</v>
      </c>
      <c r="E196" s="97">
        <f t="shared" si="61"/>
        <v>5242.8200000000006</v>
      </c>
      <c r="F196" s="97">
        <f t="shared" si="61"/>
        <v>5226.66</v>
      </c>
      <c r="G196" s="97">
        <f t="shared" si="61"/>
        <v>5237.34</v>
      </c>
      <c r="H196" s="97">
        <f t="shared" si="61"/>
        <v>5252.24</v>
      </c>
      <c r="I196" s="97">
        <f t="shared" si="61"/>
        <v>5261.01</v>
      </c>
      <c r="J196" s="97">
        <f t="shared" si="61"/>
        <v>5244.09</v>
      </c>
      <c r="K196" s="97">
        <f t="shared" si="61"/>
        <v>5263.05</v>
      </c>
      <c r="L196" s="97">
        <f t="shared" si="61"/>
        <v>5231.6499999999996</v>
      </c>
      <c r="M196" s="97">
        <f t="shared" si="61"/>
        <v>5265.18</v>
      </c>
      <c r="N196" s="97">
        <f t="shared" si="61"/>
        <v>5263.39</v>
      </c>
      <c r="O196" s="97">
        <f t="shared" si="61"/>
        <v>5252.4000000000005</v>
      </c>
      <c r="P196" s="97">
        <f t="shared" si="61"/>
        <v>5274.76</v>
      </c>
      <c r="Q196" s="80"/>
      <c r="R196" s="80"/>
      <c r="S196" s="80"/>
      <c r="T196" s="80"/>
      <c r="U196" s="80"/>
      <c r="V196" s="277"/>
      <c r="W196" s="80"/>
      <c r="X196" s="102"/>
      <c r="Y196" s="102"/>
    </row>
    <row r="197" spans="1:31" x14ac:dyDescent="0.25">
      <c r="A197" s="96">
        <v>42746</v>
      </c>
      <c r="B197" s="50" t="s">
        <v>208</v>
      </c>
      <c r="C197" s="56" t="s">
        <v>205</v>
      </c>
      <c r="D197" s="35">
        <v>5987.18</v>
      </c>
      <c r="E197" s="35">
        <v>6027.14</v>
      </c>
      <c r="F197" s="35">
        <v>6052.41</v>
      </c>
      <c r="G197" s="35">
        <v>6015.15</v>
      </c>
      <c r="H197" s="35">
        <v>5949</v>
      </c>
      <c r="I197" s="35">
        <v>5893.38</v>
      </c>
      <c r="J197" s="35">
        <v>6018.59</v>
      </c>
      <c r="K197" s="35">
        <v>6042.19</v>
      </c>
      <c r="L197" s="35">
        <v>5924.28</v>
      </c>
      <c r="M197" s="55"/>
      <c r="N197" s="55"/>
      <c r="O197" s="55"/>
      <c r="P197" s="55"/>
      <c r="Q197" s="50">
        <f>IF((L198=""),"",MAX(D199:L199))</f>
        <v>6742.5599999999995</v>
      </c>
      <c r="R197" s="50">
        <f>IF(L198="","",MIN(D199:L199))</f>
        <v>6387.880000000001</v>
      </c>
      <c r="S197" s="77">
        <f>IF((L199=""),"",AVERAGE(D199:L199))</f>
        <v>6576.3488888888887</v>
      </c>
      <c r="T197" s="53">
        <f>IF((L198=""),"",(Q197-R197)/(Q197+R197)*100)</f>
        <v>2.7012042246870513</v>
      </c>
      <c r="U197" s="50">
        <f>STDEV(D199:P199)</f>
        <v>96.598786799374665</v>
      </c>
      <c r="V197" s="273" t="str">
        <f>IF(L198="","",IF(T197&lt;7.3,IF(S197&gt;5700,IF(S197&lt;7200,"Pass","Fail"),"Fail"),"Fail"))</f>
        <v>Pass</v>
      </c>
      <c r="W197" s="57">
        <v>1159</v>
      </c>
      <c r="X197" s="102" t="s">
        <v>256</v>
      </c>
      <c r="Y197" s="102"/>
      <c r="Z197" s="37">
        <v>4955</v>
      </c>
      <c r="AA197" s="37">
        <v>9645</v>
      </c>
      <c r="AB197" s="37">
        <v>5100</v>
      </c>
      <c r="AC197" s="37">
        <v>8300</v>
      </c>
      <c r="AD197" s="69">
        <v>9.8000000000000007</v>
      </c>
      <c r="AE197" s="69">
        <v>10</v>
      </c>
    </row>
    <row r="198" spans="1:31" ht="12.75" customHeight="1" x14ac:dyDescent="0.25">
      <c r="A198" s="89"/>
      <c r="B198" s="47"/>
      <c r="C198" s="56" t="s">
        <v>204</v>
      </c>
      <c r="D198" s="35">
        <v>2793.24</v>
      </c>
      <c r="E198" s="35">
        <v>2754.14</v>
      </c>
      <c r="F198" s="35">
        <v>2753.08</v>
      </c>
      <c r="G198" s="35">
        <v>2643.87</v>
      </c>
      <c r="H198" s="35">
        <v>2688.54</v>
      </c>
      <c r="I198" s="35">
        <v>2612.4</v>
      </c>
      <c r="J198" s="35">
        <v>2690.16</v>
      </c>
      <c r="K198" s="35">
        <v>2745.06</v>
      </c>
      <c r="L198" s="35">
        <v>2635.26</v>
      </c>
      <c r="M198" s="55"/>
      <c r="N198" s="55"/>
      <c r="O198" s="55"/>
      <c r="P198" s="55"/>
      <c r="Q198" s="47"/>
      <c r="R198" s="47"/>
      <c r="S198" s="47"/>
      <c r="T198" s="47"/>
      <c r="U198" s="47"/>
      <c r="V198" s="274"/>
      <c r="W198" s="47"/>
      <c r="X198" s="102"/>
      <c r="Y198" s="102"/>
    </row>
    <row r="199" spans="1:31" ht="24.8" customHeight="1" thickBot="1" x14ac:dyDescent="0.3">
      <c r="A199" s="91"/>
      <c r="B199" s="42"/>
      <c r="C199" s="76" t="s">
        <v>203</v>
      </c>
      <c r="D199" s="84">
        <f t="shared" ref="D199:L199" si="62">IF(((D197="")*AND(D198="")),"",(D197-D198)*2)</f>
        <v>6387.880000000001</v>
      </c>
      <c r="E199" s="84">
        <f t="shared" si="62"/>
        <v>6546.0000000000009</v>
      </c>
      <c r="F199" s="84">
        <f t="shared" si="62"/>
        <v>6598.66</v>
      </c>
      <c r="G199" s="84">
        <f t="shared" si="62"/>
        <v>6742.5599999999995</v>
      </c>
      <c r="H199" s="84">
        <f t="shared" si="62"/>
        <v>6520.92</v>
      </c>
      <c r="I199" s="84">
        <f t="shared" si="62"/>
        <v>6561.96</v>
      </c>
      <c r="J199" s="84">
        <f t="shared" si="62"/>
        <v>6656.8600000000006</v>
      </c>
      <c r="K199" s="84">
        <f t="shared" si="62"/>
        <v>6594.2599999999993</v>
      </c>
      <c r="L199" s="84">
        <f t="shared" si="62"/>
        <v>6578.0399999999991</v>
      </c>
      <c r="M199" s="84"/>
      <c r="N199" s="84"/>
      <c r="O199" s="84"/>
      <c r="P199" s="84" t="str">
        <f>IF(((P197="")*AND(P198="")),"",(P197-P198)*2)</f>
        <v/>
      </c>
      <c r="Q199" s="42"/>
      <c r="R199" s="42"/>
      <c r="S199" s="42"/>
      <c r="T199" s="42"/>
      <c r="U199" s="80"/>
      <c r="V199" s="275"/>
      <c r="W199" s="42"/>
      <c r="X199" s="101"/>
      <c r="Y199" s="101"/>
    </row>
    <row r="200" spans="1:31" ht="12.75" customHeight="1" x14ac:dyDescent="0.25">
      <c r="A200" s="96">
        <v>42750</v>
      </c>
      <c r="B200" s="47" t="s">
        <v>206</v>
      </c>
      <c r="C200" s="80" t="s">
        <v>205</v>
      </c>
      <c r="D200" s="35">
        <v>6968.64</v>
      </c>
      <c r="E200" s="35">
        <v>7059.04</v>
      </c>
      <c r="F200" s="35">
        <v>6933.8</v>
      </c>
      <c r="G200" s="35">
        <v>6990.14</v>
      </c>
      <c r="H200" s="35">
        <v>6963.46</v>
      </c>
      <c r="I200" s="35">
        <v>6978.02</v>
      </c>
      <c r="J200" s="35">
        <v>6997.66</v>
      </c>
      <c r="K200" s="35">
        <v>6959.02</v>
      </c>
      <c r="L200" s="35">
        <v>6971.36</v>
      </c>
      <c r="M200" s="35">
        <v>6999.2</v>
      </c>
      <c r="N200" s="35">
        <v>7046.05</v>
      </c>
      <c r="O200" s="35">
        <v>6998.42</v>
      </c>
      <c r="P200" s="35">
        <v>7011.89</v>
      </c>
      <c r="Q200" s="50">
        <f>IF((L201=""),"",MAX(D202:P202))</f>
        <v>5310.0700000000006</v>
      </c>
      <c r="R200" s="47">
        <f>IF(L201="","",MIN(D202:L202))</f>
        <v>5264.74</v>
      </c>
      <c r="S200" s="53">
        <f>IF((P202=""),"",AVERAGE(D202:P202))</f>
        <v>5286.2338461538466</v>
      </c>
      <c r="T200" s="109">
        <f>IF((L201=""),"",(Q200-R200)/(Q200+R200)*100)</f>
        <v>0.42866018396548805</v>
      </c>
      <c r="U200" s="47">
        <f>STDEV(D202:P202)</f>
        <v>14.29925379082295</v>
      </c>
      <c r="V200" s="276" t="str">
        <f>IF(P201="","",IF(T200&lt;2.7,IF(S200&gt;5150,IF(S200&lt;5600,"Pass","Fail"),"Fail"),"Fail"))</f>
        <v>Pass</v>
      </c>
      <c r="W200" s="47">
        <v>1159</v>
      </c>
      <c r="X200" s="112" t="s">
        <v>322</v>
      </c>
      <c r="Y200" s="112" t="s">
        <v>321</v>
      </c>
      <c r="Z200" s="71">
        <v>4470</v>
      </c>
      <c r="AA200" s="71">
        <v>6020</v>
      </c>
      <c r="AB200" s="71">
        <v>5150</v>
      </c>
      <c r="AC200" s="71">
        <v>5600</v>
      </c>
      <c r="AD200" s="70">
        <v>2.7</v>
      </c>
      <c r="AE200" s="69">
        <v>10</v>
      </c>
    </row>
    <row r="201" spans="1:31" ht="12.75" customHeight="1" x14ac:dyDescent="0.25">
      <c r="A201" s="89"/>
      <c r="B201" s="47"/>
      <c r="C201" s="56" t="s">
        <v>204</v>
      </c>
      <c r="D201" s="35">
        <v>1689.87</v>
      </c>
      <c r="E201" s="35">
        <v>1783.48</v>
      </c>
      <c r="F201" s="35">
        <v>1669.06</v>
      </c>
      <c r="G201" s="35">
        <v>1717.3</v>
      </c>
      <c r="H201" s="35">
        <v>1685.09</v>
      </c>
      <c r="I201" s="35">
        <v>1683.3</v>
      </c>
      <c r="J201" s="35">
        <v>1718.7</v>
      </c>
      <c r="K201" s="35">
        <v>1659.95</v>
      </c>
      <c r="L201" s="35">
        <v>1698.92</v>
      </c>
      <c r="M201" s="35">
        <v>1693.42</v>
      </c>
      <c r="N201" s="35">
        <v>1750.25</v>
      </c>
      <c r="O201" s="35">
        <v>1704.5</v>
      </c>
      <c r="P201" s="35">
        <v>1701.82</v>
      </c>
      <c r="Q201" s="47"/>
      <c r="R201" s="47"/>
      <c r="S201" s="47"/>
      <c r="T201" s="47"/>
      <c r="U201" s="47"/>
      <c r="V201" s="274"/>
      <c r="W201" s="47"/>
      <c r="X201" s="111"/>
      <c r="Y201" s="111"/>
      <c r="Z201" s="71">
        <v>4470</v>
      </c>
      <c r="AA201" s="71">
        <v>6020</v>
      </c>
      <c r="AB201" s="71">
        <v>4900</v>
      </c>
      <c r="AC201" s="71">
        <v>5500</v>
      </c>
      <c r="AD201" s="70">
        <v>3.7</v>
      </c>
      <c r="AE201" s="69">
        <v>10</v>
      </c>
    </row>
    <row r="202" spans="1:31" ht="24.8" customHeight="1" thickBot="1" x14ac:dyDescent="0.3">
      <c r="A202" s="91"/>
      <c r="B202" s="80"/>
      <c r="C202" s="56" t="s">
        <v>203</v>
      </c>
      <c r="D202" s="97">
        <f t="shared" ref="D202:P202" si="63">IF(((D200="")*AND(D201="")),"",(D200-D201))</f>
        <v>5278.77</v>
      </c>
      <c r="E202" s="97">
        <f t="shared" si="63"/>
        <v>5275.5599999999995</v>
      </c>
      <c r="F202" s="97">
        <f t="shared" si="63"/>
        <v>5264.74</v>
      </c>
      <c r="G202" s="97">
        <f t="shared" si="63"/>
        <v>5272.84</v>
      </c>
      <c r="H202" s="97">
        <f t="shared" si="63"/>
        <v>5278.37</v>
      </c>
      <c r="I202" s="97">
        <f t="shared" si="63"/>
        <v>5294.72</v>
      </c>
      <c r="J202" s="97">
        <f t="shared" si="63"/>
        <v>5278.96</v>
      </c>
      <c r="K202" s="97">
        <f t="shared" si="63"/>
        <v>5299.0700000000006</v>
      </c>
      <c r="L202" s="97">
        <f t="shared" si="63"/>
        <v>5272.44</v>
      </c>
      <c r="M202" s="97">
        <f t="shared" si="63"/>
        <v>5305.78</v>
      </c>
      <c r="N202" s="97">
        <f t="shared" si="63"/>
        <v>5295.8</v>
      </c>
      <c r="O202" s="97">
        <f t="shared" si="63"/>
        <v>5293.92</v>
      </c>
      <c r="P202" s="97">
        <f t="shared" si="63"/>
        <v>5310.0700000000006</v>
      </c>
      <c r="Q202" s="80"/>
      <c r="R202" s="80"/>
      <c r="S202" s="80"/>
      <c r="T202" s="80"/>
      <c r="U202" s="80"/>
      <c r="V202" s="277"/>
      <c r="W202" s="80"/>
      <c r="X202" s="111"/>
      <c r="Y202" s="111"/>
    </row>
    <row r="203" spans="1:31" x14ac:dyDescent="0.25">
      <c r="A203" s="96">
        <v>42750</v>
      </c>
      <c r="B203" s="50" t="s">
        <v>208</v>
      </c>
      <c r="C203" s="56" t="s">
        <v>205</v>
      </c>
      <c r="D203" s="35">
        <v>5973.35</v>
      </c>
      <c r="E203" s="35">
        <v>6015.21</v>
      </c>
      <c r="F203" s="35">
        <v>6041.59</v>
      </c>
      <c r="G203" s="35">
        <v>5992.92</v>
      </c>
      <c r="H203" s="35">
        <v>5915.05</v>
      </c>
      <c r="I203" s="35">
        <v>5930</v>
      </c>
      <c r="J203" s="35">
        <v>6018.88</v>
      </c>
      <c r="K203" s="35">
        <v>6035</v>
      </c>
      <c r="L203" s="35">
        <v>5902.08</v>
      </c>
      <c r="M203" s="55"/>
      <c r="N203" s="55"/>
      <c r="O203" s="55"/>
      <c r="P203" s="55"/>
      <c r="Q203" s="50">
        <f>IF((L204=""),"",MAX(D205:L205))</f>
        <v>6423.06</v>
      </c>
      <c r="R203" s="50">
        <f>IF(L204="","",MIN(D205:L205))</f>
        <v>6015.7200000000012</v>
      </c>
      <c r="S203" s="77">
        <f>IF((L205=""),"",AVERAGE(D205:L205))</f>
        <v>6227.7022222222222</v>
      </c>
      <c r="T203" s="53">
        <f>IF((L204=""),"",(Q203-R203)/(Q203+R203)*100)</f>
        <v>3.27475845701909</v>
      </c>
      <c r="U203" s="50">
        <f>STDEV(D205:P205)</f>
        <v>127.6306391288722</v>
      </c>
      <c r="V203" s="273" t="str">
        <f>IF(L204="","",IF(T203&lt;7.3,IF(S203&gt;5700,IF(S203&lt;7200,"Pass","Fail"),"Fail"),"Fail"))</f>
        <v>Pass</v>
      </c>
      <c r="W203" s="57">
        <v>1159</v>
      </c>
      <c r="X203" s="111" t="s">
        <v>322</v>
      </c>
      <c r="Y203" s="111" t="s">
        <v>321</v>
      </c>
      <c r="Z203" s="37">
        <v>4955</v>
      </c>
      <c r="AA203" s="37">
        <v>9645</v>
      </c>
      <c r="AB203" s="37">
        <v>5100</v>
      </c>
      <c r="AC203" s="37">
        <v>8300</v>
      </c>
      <c r="AD203" s="69">
        <v>9.8000000000000007</v>
      </c>
      <c r="AE203" s="69">
        <v>10</v>
      </c>
    </row>
    <row r="204" spans="1:31" ht="12.75" customHeight="1" x14ac:dyDescent="0.25">
      <c r="A204" s="89"/>
      <c r="B204" s="47"/>
      <c r="C204" s="56" t="s">
        <v>204</v>
      </c>
      <c r="D204" s="35">
        <v>2965.49</v>
      </c>
      <c r="E204" s="35">
        <v>2924.07</v>
      </c>
      <c r="F204" s="35">
        <v>2919.3</v>
      </c>
      <c r="G204" s="35">
        <v>2808.94</v>
      </c>
      <c r="H204" s="35">
        <v>2870.42</v>
      </c>
      <c r="I204" s="35">
        <v>2718.47</v>
      </c>
      <c r="J204" s="35">
        <v>2870.62</v>
      </c>
      <c r="K204" s="35">
        <v>2916.51</v>
      </c>
      <c r="L204" s="35">
        <v>2805.6</v>
      </c>
      <c r="M204" s="55"/>
      <c r="N204" s="55"/>
      <c r="O204" s="55"/>
      <c r="P204" s="55"/>
      <c r="Q204" s="47"/>
      <c r="R204" s="47"/>
      <c r="S204" s="47"/>
      <c r="T204" s="47"/>
      <c r="U204" s="47"/>
      <c r="V204" s="274"/>
      <c r="W204" s="47"/>
      <c r="X204" s="111"/>
      <c r="Y204" s="111"/>
      <c r="Z204" s="37">
        <v>4955</v>
      </c>
      <c r="AA204" s="37">
        <v>9645</v>
      </c>
      <c r="AB204" s="37">
        <v>6980</v>
      </c>
      <c r="AC204" s="37">
        <v>7960</v>
      </c>
      <c r="AD204" s="69">
        <v>5.8</v>
      </c>
      <c r="AE204" s="69">
        <v>10</v>
      </c>
    </row>
    <row r="205" spans="1:31" ht="24.8" customHeight="1" thickBot="1" x14ac:dyDescent="0.3">
      <c r="A205" s="91"/>
      <c r="B205" s="42"/>
      <c r="C205" s="76" t="s">
        <v>203</v>
      </c>
      <c r="D205" s="84">
        <f t="shared" ref="D205:L205" si="64">IF(((D203="")*AND(D204="")),"",(D203-D204)*2)</f>
        <v>6015.7200000000012</v>
      </c>
      <c r="E205" s="84">
        <f t="shared" si="64"/>
        <v>6182.28</v>
      </c>
      <c r="F205" s="84">
        <f t="shared" si="64"/>
        <v>6244.58</v>
      </c>
      <c r="G205" s="84">
        <f t="shared" si="64"/>
        <v>6367.96</v>
      </c>
      <c r="H205" s="84">
        <f t="shared" si="64"/>
        <v>6089.26</v>
      </c>
      <c r="I205" s="84">
        <f t="shared" si="64"/>
        <v>6423.06</v>
      </c>
      <c r="J205" s="84">
        <f t="shared" si="64"/>
        <v>6296.52</v>
      </c>
      <c r="K205" s="84">
        <f t="shared" si="64"/>
        <v>6236.98</v>
      </c>
      <c r="L205" s="84">
        <f t="shared" si="64"/>
        <v>6192.96</v>
      </c>
      <c r="M205" s="84"/>
      <c r="N205" s="84"/>
      <c r="O205" s="84"/>
      <c r="P205" s="84" t="str">
        <f>IF(((P203="")*AND(P204="")),"",(P203-P204)*2)</f>
        <v/>
      </c>
      <c r="Q205" s="42"/>
      <c r="R205" s="42"/>
      <c r="S205" s="42"/>
      <c r="T205" s="42"/>
      <c r="U205" s="80"/>
      <c r="V205" s="275"/>
      <c r="W205" s="42"/>
      <c r="X205" s="110"/>
      <c r="Y205" s="110"/>
      <c r="Z205" s="37">
        <v>4955</v>
      </c>
      <c r="AA205" s="37">
        <v>9645</v>
      </c>
      <c r="AB205" s="37">
        <v>6980</v>
      </c>
      <c r="AC205" s="37">
        <v>7960</v>
      </c>
      <c r="AD205" s="69">
        <v>5.8</v>
      </c>
      <c r="AE205" s="69">
        <v>10</v>
      </c>
    </row>
    <row r="206" spans="1:31" ht="12.75" customHeight="1" x14ac:dyDescent="0.25">
      <c r="A206" s="96">
        <v>42773</v>
      </c>
      <c r="B206" s="47" t="s">
        <v>206</v>
      </c>
      <c r="C206" s="80" t="s">
        <v>205</v>
      </c>
      <c r="D206" s="35">
        <v>6840.14</v>
      </c>
      <c r="E206" s="35">
        <v>6931.58</v>
      </c>
      <c r="F206" s="35">
        <v>6808.1</v>
      </c>
      <c r="G206" s="35">
        <v>6882.56</v>
      </c>
      <c r="H206" s="35">
        <v>6813.66</v>
      </c>
      <c r="I206" s="35">
        <v>6846.11</v>
      </c>
      <c r="J206" s="35">
        <v>6888.15</v>
      </c>
      <c r="K206" s="35">
        <v>6850.47</v>
      </c>
      <c r="L206" s="35">
        <v>6843.25</v>
      </c>
      <c r="M206" s="35">
        <v>6878.75</v>
      </c>
      <c r="N206" s="35">
        <v>6901.51</v>
      </c>
      <c r="O206" s="35">
        <v>6864.87</v>
      </c>
      <c r="P206" s="35">
        <v>6860.17</v>
      </c>
      <c r="Q206" s="50">
        <f>IF((L207=""),"",MAX(D208:P208))</f>
        <v>5279.89</v>
      </c>
      <c r="R206" s="47">
        <f>IF(L207="","",MIN(D208:L208))</f>
        <v>5209.7300000000005</v>
      </c>
      <c r="S206" s="53">
        <f>IF((P208=""),"",AVERAGE(D208:P208))</f>
        <v>5248.4061538461547</v>
      </c>
      <c r="T206" s="109">
        <f>IF((L207=""),"",(Q206-R206)/(Q206+R206)*100)</f>
        <v>0.66885168385508575</v>
      </c>
      <c r="U206" s="47">
        <f>STDEV(D208:P208)</f>
        <v>22.549124720064508</v>
      </c>
      <c r="V206" s="276" t="str">
        <f>IF(P207="","",IF(T206&lt;2.7,IF(S206&gt;5150,IF(S206&lt;5600,"Pass","Fail"),"Fail"),"Fail"))</f>
        <v>Pass</v>
      </c>
      <c r="W206" s="47">
        <v>1400</v>
      </c>
      <c r="X206" s="98" t="s">
        <v>255</v>
      </c>
      <c r="Y206" s="98"/>
      <c r="Z206" s="71">
        <v>4470</v>
      </c>
      <c r="AA206" s="71">
        <v>6020</v>
      </c>
      <c r="AB206" s="71">
        <v>5150</v>
      </c>
      <c r="AC206" s="71">
        <v>5600</v>
      </c>
      <c r="AD206" s="70">
        <v>2.7</v>
      </c>
      <c r="AE206" s="69">
        <v>10</v>
      </c>
    </row>
    <row r="207" spans="1:31" ht="12.75" customHeight="1" x14ac:dyDescent="0.25">
      <c r="A207" s="89"/>
      <c r="B207" s="47"/>
      <c r="C207" s="56" t="s">
        <v>204</v>
      </c>
      <c r="D207" s="35">
        <v>1611.2</v>
      </c>
      <c r="E207" s="35">
        <v>1690.33</v>
      </c>
      <c r="F207" s="35">
        <v>1598.37</v>
      </c>
      <c r="G207" s="35">
        <v>1650.07</v>
      </c>
      <c r="H207" s="35">
        <v>1546.59</v>
      </c>
      <c r="I207" s="35">
        <v>1577.21</v>
      </c>
      <c r="J207" s="35">
        <v>1648.87</v>
      </c>
      <c r="K207" s="35">
        <v>1596.04</v>
      </c>
      <c r="L207" s="35">
        <v>1624.52</v>
      </c>
      <c r="M207" s="35">
        <v>1615.41</v>
      </c>
      <c r="N207" s="35">
        <v>1622.53</v>
      </c>
      <c r="O207" s="35">
        <v>1618.62</v>
      </c>
      <c r="P207" s="35">
        <v>1580.28</v>
      </c>
      <c r="Q207" s="47"/>
      <c r="R207" s="47"/>
      <c r="S207" s="47"/>
      <c r="T207" s="47"/>
      <c r="U207" s="47"/>
      <c r="V207" s="274"/>
      <c r="W207" s="47"/>
      <c r="X207" s="102"/>
      <c r="Y207" s="102"/>
      <c r="Z207" s="37">
        <v>4955</v>
      </c>
      <c r="AA207" s="37">
        <v>9645</v>
      </c>
      <c r="AB207" s="37">
        <v>6980</v>
      </c>
      <c r="AC207" s="37">
        <v>7960</v>
      </c>
      <c r="AD207" s="69">
        <v>5.8</v>
      </c>
      <c r="AE207" s="69">
        <v>10</v>
      </c>
    </row>
    <row r="208" spans="1:31" ht="24.8" customHeight="1" thickBot="1" x14ac:dyDescent="0.3">
      <c r="A208" s="91"/>
      <c r="B208" s="80"/>
      <c r="C208" s="56" t="s">
        <v>203</v>
      </c>
      <c r="D208" s="97">
        <f t="shared" ref="D208:P208" si="65">IF(((D206="")*AND(D207="")),"",(D206-D207))</f>
        <v>5228.9400000000005</v>
      </c>
      <c r="E208" s="97">
        <f t="shared" si="65"/>
        <v>5241.25</v>
      </c>
      <c r="F208" s="97">
        <f t="shared" si="65"/>
        <v>5209.7300000000005</v>
      </c>
      <c r="G208" s="97">
        <f t="shared" si="65"/>
        <v>5232.4900000000007</v>
      </c>
      <c r="H208" s="97">
        <f t="shared" si="65"/>
        <v>5267.07</v>
      </c>
      <c r="I208" s="97">
        <f t="shared" si="65"/>
        <v>5268.9</v>
      </c>
      <c r="J208" s="97">
        <f t="shared" si="65"/>
        <v>5239.28</v>
      </c>
      <c r="K208" s="97">
        <f t="shared" si="65"/>
        <v>5254.43</v>
      </c>
      <c r="L208" s="97">
        <f t="shared" si="65"/>
        <v>5218.7299999999996</v>
      </c>
      <c r="M208" s="97">
        <f t="shared" si="65"/>
        <v>5263.34</v>
      </c>
      <c r="N208" s="97">
        <f t="shared" si="65"/>
        <v>5278.9800000000005</v>
      </c>
      <c r="O208" s="97">
        <f t="shared" si="65"/>
        <v>5246.25</v>
      </c>
      <c r="P208" s="97">
        <f t="shared" si="65"/>
        <v>5279.89</v>
      </c>
      <c r="Q208" s="80"/>
      <c r="R208" s="80"/>
      <c r="S208" s="80"/>
      <c r="T208" s="80"/>
      <c r="U208" s="80"/>
      <c r="V208" s="277"/>
      <c r="W208" s="80"/>
      <c r="X208" s="102"/>
      <c r="Y208" s="102"/>
      <c r="Z208" s="37">
        <v>4955</v>
      </c>
      <c r="AA208" s="37">
        <v>9645</v>
      </c>
      <c r="AB208" s="37">
        <v>6980</v>
      </c>
      <c r="AC208" s="37">
        <v>7960</v>
      </c>
      <c r="AD208" s="69">
        <v>5.8</v>
      </c>
      <c r="AE208" s="69">
        <v>10</v>
      </c>
    </row>
    <row r="209" spans="1:31" x14ac:dyDescent="0.25">
      <c r="A209" s="96">
        <v>42773</v>
      </c>
      <c r="B209" s="50" t="s">
        <v>208</v>
      </c>
      <c r="C209" s="56" t="s">
        <v>205</v>
      </c>
      <c r="D209" s="35">
        <v>5980.93</v>
      </c>
      <c r="E209" s="35">
        <v>6018.15</v>
      </c>
      <c r="F209" s="35">
        <v>6047.58</v>
      </c>
      <c r="G209" s="35">
        <v>6020.02</v>
      </c>
      <c r="H209" s="35">
        <v>5947.86</v>
      </c>
      <c r="I209" s="35">
        <v>5877.47</v>
      </c>
      <c r="J209" s="35">
        <v>6008.51</v>
      </c>
      <c r="K209" s="35">
        <v>6031.38</v>
      </c>
      <c r="L209" s="35">
        <v>5918.34</v>
      </c>
      <c r="M209" s="55"/>
      <c r="N209" s="55"/>
      <c r="O209" s="55"/>
      <c r="P209" s="55"/>
      <c r="Q209" s="50">
        <f>IF((L210=""),"",MAX(D211:L211))</f>
        <v>6884.8600000000006</v>
      </c>
      <c r="R209" s="50">
        <f>IF(L210="","",MIN(D211:L211))</f>
        <v>6455.14</v>
      </c>
      <c r="S209" s="77">
        <f>IF((L211=""),"",AVERAGE(D211:L211))</f>
        <v>6675.0355555555543</v>
      </c>
      <c r="T209" s="53">
        <f>IF((L210=""),"",(Q209-R209)/(Q209+R209)*100)</f>
        <v>3.2212893553223405</v>
      </c>
      <c r="U209" s="50">
        <f>STDEV(D211:P211)</f>
        <v>126.36825304552494</v>
      </c>
      <c r="V209" s="273" t="str">
        <f>IF(L210="","",IF(T209&lt;7.3,IF(S209&gt;5700,IF(S209&lt;7200,"Pass","Fail"),"Fail"),"Fail"))</f>
        <v>Pass</v>
      </c>
      <c r="W209" s="57">
        <v>1400</v>
      </c>
      <c r="X209" s="102" t="s">
        <v>255</v>
      </c>
      <c r="Y209" s="102"/>
      <c r="Z209" s="37">
        <v>4955</v>
      </c>
      <c r="AA209" s="37">
        <v>9645</v>
      </c>
      <c r="AB209" s="37">
        <v>5100</v>
      </c>
      <c r="AC209" s="37">
        <v>8300</v>
      </c>
      <c r="AD209" s="69">
        <v>9.8000000000000007</v>
      </c>
      <c r="AE209" s="69">
        <v>10</v>
      </c>
    </row>
    <row r="210" spans="1:31" ht="12.75" customHeight="1" x14ac:dyDescent="0.25">
      <c r="A210" s="89"/>
      <c r="B210" s="47"/>
      <c r="C210" s="56" t="s">
        <v>204</v>
      </c>
      <c r="D210" s="35">
        <v>2753.36</v>
      </c>
      <c r="E210" s="35">
        <v>2700.33</v>
      </c>
      <c r="F210" s="35">
        <v>2697.96</v>
      </c>
      <c r="G210" s="35">
        <v>2577.59</v>
      </c>
      <c r="H210" s="35">
        <v>2643.69</v>
      </c>
      <c r="I210" s="35">
        <v>2490.19</v>
      </c>
      <c r="J210" s="35">
        <v>2623.75</v>
      </c>
      <c r="K210" s="35">
        <v>2695.02</v>
      </c>
      <c r="L210" s="35">
        <v>2630.69</v>
      </c>
      <c r="M210" s="55"/>
      <c r="N210" s="55"/>
      <c r="O210" s="55"/>
      <c r="P210" s="55"/>
      <c r="Q210" s="47"/>
      <c r="R210" s="47"/>
      <c r="S210" s="47"/>
      <c r="T210" s="47"/>
      <c r="U210" s="47"/>
      <c r="V210" s="274"/>
      <c r="W210" s="47"/>
      <c r="X210" s="102"/>
      <c r="Y210" s="102"/>
      <c r="Z210" s="37">
        <v>4955</v>
      </c>
      <c r="AA210" s="37">
        <v>9645</v>
      </c>
      <c r="AB210" s="37">
        <v>6980</v>
      </c>
      <c r="AC210" s="37">
        <v>7960</v>
      </c>
      <c r="AD210" s="69">
        <v>5.8</v>
      </c>
      <c r="AE210" s="69">
        <v>10</v>
      </c>
    </row>
    <row r="211" spans="1:31" ht="24.8" customHeight="1" thickBot="1" x14ac:dyDescent="0.3">
      <c r="A211" s="91"/>
      <c r="B211" s="42"/>
      <c r="C211" s="76" t="s">
        <v>203</v>
      </c>
      <c r="D211" s="84">
        <f t="shared" ref="D211:L211" si="66">IF(((D209="")*AND(D210="")),"",(D209-D210)*2)</f>
        <v>6455.14</v>
      </c>
      <c r="E211" s="84">
        <f t="shared" si="66"/>
        <v>6635.6399999999994</v>
      </c>
      <c r="F211" s="84">
        <f t="shared" si="66"/>
        <v>6699.24</v>
      </c>
      <c r="G211" s="84">
        <f t="shared" si="66"/>
        <v>6884.8600000000006</v>
      </c>
      <c r="H211" s="84">
        <f t="shared" si="66"/>
        <v>6608.3399999999992</v>
      </c>
      <c r="I211" s="84">
        <f t="shared" si="66"/>
        <v>6774.56</v>
      </c>
      <c r="J211" s="84">
        <f t="shared" si="66"/>
        <v>6769.52</v>
      </c>
      <c r="K211" s="84">
        <f t="shared" si="66"/>
        <v>6672.72</v>
      </c>
      <c r="L211" s="84">
        <f t="shared" si="66"/>
        <v>6575.3</v>
      </c>
      <c r="M211" s="84"/>
      <c r="N211" s="84"/>
      <c r="O211" s="84"/>
      <c r="P211" s="84" t="str">
        <f>IF(((P209="")*AND(P210="")),"",(P209-P210)*2)</f>
        <v/>
      </c>
      <c r="Q211" s="42"/>
      <c r="R211" s="42"/>
      <c r="S211" s="42"/>
      <c r="T211" s="42"/>
      <c r="U211" s="80"/>
      <c r="V211" s="275"/>
      <c r="W211" s="42"/>
      <c r="X211" s="101"/>
      <c r="Y211" s="101"/>
      <c r="Z211" s="37">
        <v>4955</v>
      </c>
      <c r="AA211" s="37">
        <v>9645</v>
      </c>
      <c r="AB211" s="37">
        <v>6980</v>
      </c>
      <c r="AC211" s="37">
        <v>7960</v>
      </c>
      <c r="AD211" s="69">
        <v>5.8</v>
      </c>
      <c r="AE211" s="69">
        <v>10</v>
      </c>
    </row>
    <row r="212" spans="1:31" ht="12.75" customHeight="1" x14ac:dyDescent="0.25">
      <c r="A212" s="96">
        <v>42792</v>
      </c>
      <c r="B212" s="47" t="s">
        <v>206</v>
      </c>
      <c r="C212" s="80" t="s">
        <v>205</v>
      </c>
      <c r="D212" s="35">
        <v>7154.94</v>
      </c>
      <c r="E212" s="35">
        <v>6934.79</v>
      </c>
      <c r="F212" s="35">
        <v>6879.33</v>
      </c>
      <c r="G212" s="35">
        <v>6963.48</v>
      </c>
      <c r="H212" s="35">
        <v>7229.32</v>
      </c>
      <c r="I212" s="35">
        <v>7222.51</v>
      </c>
      <c r="J212" s="35">
        <v>6956.77</v>
      </c>
      <c r="K212" s="35">
        <v>6960.28</v>
      </c>
      <c r="L212" s="35">
        <v>7236.29</v>
      </c>
      <c r="M212" s="35">
        <v>7154.94</v>
      </c>
      <c r="N212" s="35">
        <v>6934.79</v>
      </c>
      <c r="O212" s="35">
        <v>6879.33</v>
      </c>
      <c r="P212" s="35">
        <v>6963.48</v>
      </c>
      <c r="Q212" s="50">
        <f>IF((L213=""),"",MAX(D214:P214))</f>
        <v>5503.59</v>
      </c>
      <c r="R212" s="47">
        <f>IF(L213="","",MIN(D214:L214))</f>
        <v>5104.92</v>
      </c>
      <c r="S212" s="53">
        <f>IF((P214=""),"",AVERAGE(D214:P214))</f>
        <v>5287.0115384615383</v>
      </c>
      <c r="T212" s="109">
        <f>IF((L213=""),"",(Q212-R212)/(Q212+R212)*100)</f>
        <v>3.7580206833947472</v>
      </c>
      <c r="U212" s="47">
        <f>STDEV(D214:P214)</f>
        <v>153.99339460109715</v>
      </c>
      <c r="V212" s="276" t="str">
        <f>IF(P213="","",IF(T212&lt;2.7,IF(S212&gt;5150,IF(S212&lt;5600,"Pass","Fail"),"Fail"),"Fail"))</f>
        <v>Fail</v>
      </c>
      <c r="W212" s="47" t="s">
        <v>253</v>
      </c>
      <c r="X212" s="98" t="s">
        <v>254</v>
      </c>
      <c r="Y212" s="98"/>
      <c r="Z212" s="71">
        <v>4470</v>
      </c>
      <c r="AA212" s="71">
        <v>6020</v>
      </c>
      <c r="AB212" s="71">
        <v>5150</v>
      </c>
      <c r="AC212" s="71">
        <v>5600</v>
      </c>
      <c r="AD212" s="70">
        <v>2.7</v>
      </c>
      <c r="AE212" s="69">
        <v>10</v>
      </c>
    </row>
    <row r="213" spans="1:31" ht="12.75" customHeight="1" x14ac:dyDescent="0.25">
      <c r="A213" s="89"/>
      <c r="B213" s="47"/>
      <c r="C213" s="56" t="s">
        <v>204</v>
      </c>
      <c r="D213" s="35">
        <v>1734.8</v>
      </c>
      <c r="E213" s="35">
        <v>1829.87</v>
      </c>
      <c r="F213" s="35">
        <v>1710.29</v>
      </c>
      <c r="G213" s="35">
        <v>1765.7</v>
      </c>
      <c r="H213" s="35">
        <v>1725.73</v>
      </c>
      <c r="I213" s="35">
        <v>1725.92</v>
      </c>
      <c r="J213" s="35">
        <v>1767.56</v>
      </c>
      <c r="K213" s="35">
        <v>1705.56</v>
      </c>
      <c r="L213" s="35">
        <v>1741.13</v>
      </c>
      <c r="M213" s="35">
        <v>1741.11</v>
      </c>
      <c r="N213" s="35">
        <v>1794.5</v>
      </c>
      <c r="O213" s="35">
        <v>1747.68</v>
      </c>
      <c r="P213" s="35">
        <v>1749.25</v>
      </c>
      <c r="Q213" s="47"/>
      <c r="R213" s="47"/>
      <c r="S213" s="47"/>
      <c r="T213" s="47"/>
      <c r="U213" s="47"/>
      <c r="V213" s="274"/>
      <c r="W213" s="47"/>
      <c r="X213" s="102"/>
      <c r="Y213" s="102"/>
      <c r="Z213" s="37">
        <v>4955</v>
      </c>
      <c r="AA213" s="37">
        <v>9645</v>
      </c>
      <c r="AB213" s="37">
        <v>6980</v>
      </c>
      <c r="AC213" s="37">
        <v>7960</v>
      </c>
      <c r="AD213" s="69">
        <v>5.8</v>
      </c>
      <c r="AE213" s="69">
        <v>10</v>
      </c>
    </row>
    <row r="214" spans="1:31" ht="24.8" customHeight="1" thickBot="1" x14ac:dyDescent="0.3">
      <c r="A214" s="91"/>
      <c r="B214" s="80"/>
      <c r="C214" s="56" t="s">
        <v>203</v>
      </c>
      <c r="D214" s="97">
        <f t="shared" ref="D214:P214" si="67">IF(((D212="")*AND(D213="")),"",(D212-D213))</f>
        <v>5420.1399999999994</v>
      </c>
      <c r="E214" s="97">
        <f t="shared" si="67"/>
        <v>5104.92</v>
      </c>
      <c r="F214" s="97">
        <f t="shared" si="67"/>
        <v>5169.04</v>
      </c>
      <c r="G214" s="97">
        <f t="shared" si="67"/>
        <v>5197.78</v>
      </c>
      <c r="H214" s="97">
        <f t="shared" si="67"/>
        <v>5503.59</v>
      </c>
      <c r="I214" s="97">
        <f t="shared" si="67"/>
        <v>5496.59</v>
      </c>
      <c r="J214" s="97">
        <f t="shared" si="67"/>
        <v>5189.2100000000009</v>
      </c>
      <c r="K214" s="97">
        <f t="shared" si="67"/>
        <v>5254.7199999999993</v>
      </c>
      <c r="L214" s="97">
        <f t="shared" si="67"/>
        <v>5495.16</v>
      </c>
      <c r="M214" s="97">
        <f t="shared" si="67"/>
        <v>5413.83</v>
      </c>
      <c r="N214" s="97">
        <f t="shared" si="67"/>
        <v>5140.29</v>
      </c>
      <c r="O214" s="97">
        <f t="shared" si="67"/>
        <v>5131.6499999999996</v>
      </c>
      <c r="P214" s="97">
        <f t="shared" si="67"/>
        <v>5214.2299999999996</v>
      </c>
      <c r="Q214" s="80"/>
      <c r="R214" s="80"/>
      <c r="S214" s="80"/>
      <c r="T214" s="80"/>
      <c r="U214" s="80"/>
      <c r="V214" s="277"/>
      <c r="W214" s="80"/>
      <c r="X214" s="102"/>
      <c r="Y214" s="102"/>
      <c r="Z214" s="37">
        <v>4955</v>
      </c>
      <c r="AA214" s="37">
        <v>9645</v>
      </c>
      <c r="AB214" s="37">
        <v>6980</v>
      </c>
      <c r="AC214" s="37">
        <v>7960</v>
      </c>
      <c r="AD214" s="69">
        <v>5.8</v>
      </c>
      <c r="AE214" s="69">
        <v>10</v>
      </c>
    </row>
    <row r="215" spans="1:31" x14ac:dyDescent="0.25">
      <c r="A215" s="96">
        <v>42792</v>
      </c>
      <c r="B215" s="50" t="s">
        <v>208</v>
      </c>
      <c r="C215" s="56" t="s">
        <v>205</v>
      </c>
      <c r="D215" s="35">
        <v>5948.39</v>
      </c>
      <c r="E215" s="35">
        <v>6116.29</v>
      </c>
      <c r="F215" s="35">
        <v>6135.46</v>
      </c>
      <c r="G215" s="35">
        <v>6124.16</v>
      </c>
      <c r="H215" s="35">
        <v>5972.46</v>
      </c>
      <c r="I215" s="35">
        <v>5932.1</v>
      </c>
      <c r="J215" s="35">
        <v>6106.77</v>
      </c>
      <c r="K215" s="35">
        <v>6116.83</v>
      </c>
      <c r="L215" s="35">
        <v>6034.3</v>
      </c>
      <c r="M215" s="55"/>
      <c r="N215" s="55"/>
      <c r="O215" s="55"/>
      <c r="P215" s="55"/>
      <c r="Q215" s="50">
        <f>IF((L216=""),"",MAX(D217:L217))</f>
        <v>7205.0199999999995</v>
      </c>
      <c r="R215" s="50">
        <f>IF(L216="","",MIN(D217:L217))</f>
        <v>6723.5800000000008</v>
      </c>
      <c r="S215" s="77">
        <f>IF((L217=""),"",AVERAGE(D217:L217))</f>
        <v>7040.3688888888901</v>
      </c>
      <c r="T215" s="53">
        <f>IF((L216=""),"",(Q215-R215)/(Q215+R215)*100)</f>
        <v>3.4564852174662111</v>
      </c>
      <c r="U215" s="50">
        <f>STDEV(D217:P217)</f>
        <v>142.45097195565575</v>
      </c>
      <c r="V215" s="273" t="str">
        <f>IF(L216="","",IF(T215&lt;7.3,IF(S215&gt;5700,IF(S215&lt;7200,"Pass","Fail"),"Fail"),"Fail"))</f>
        <v>Pass</v>
      </c>
      <c r="W215" s="57" t="s">
        <v>253</v>
      </c>
      <c r="X215" s="102" t="s">
        <v>254</v>
      </c>
      <c r="Y215" s="102"/>
      <c r="Z215" s="37">
        <v>4955</v>
      </c>
      <c r="AA215" s="37">
        <v>9645</v>
      </c>
      <c r="AB215" s="37">
        <v>5100</v>
      </c>
      <c r="AC215" s="37">
        <v>8300</v>
      </c>
      <c r="AD215" s="69">
        <v>9.8000000000000007</v>
      </c>
      <c r="AE215" s="69">
        <v>10</v>
      </c>
    </row>
    <row r="216" spans="1:31" ht="12.75" customHeight="1" x14ac:dyDescent="0.25">
      <c r="A216" s="89"/>
      <c r="B216" s="47"/>
      <c r="C216" s="56" t="s">
        <v>204</v>
      </c>
      <c r="D216" s="35">
        <v>2586.6</v>
      </c>
      <c r="E216" s="35">
        <v>2582.19</v>
      </c>
      <c r="F216" s="35">
        <v>2579.71</v>
      </c>
      <c r="G216" s="35">
        <v>2521.65</v>
      </c>
      <c r="H216" s="35">
        <v>2452.41</v>
      </c>
      <c r="I216" s="35">
        <v>2470.4499999999998</v>
      </c>
      <c r="J216" s="35">
        <v>2532.39</v>
      </c>
      <c r="K216" s="35">
        <v>2566.73</v>
      </c>
      <c r="L216" s="35">
        <v>2512.9699999999998</v>
      </c>
      <c r="M216" s="55"/>
      <c r="N216" s="55"/>
      <c r="O216" s="55"/>
      <c r="P216" s="55"/>
      <c r="Q216" s="47"/>
      <c r="R216" s="47"/>
      <c r="S216" s="47"/>
      <c r="T216" s="47"/>
      <c r="U216" s="47"/>
      <c r="V216" s="274"/>
      <c r="W216" s="47"/>
      <c r="X216" s="102"/>
      <c r="Y216" s="102"/>
      <c r="Z216" s="37">
        <v>4955</v>
      </c>
      <c r="AA216" s="37">
        <v>9645</v>
      </c>
      <c r="AB216" s="37">
        <v>6980</v>
      </c>
      <c r="AC216" s="37">
        <v>7960</v>
      </c>
      <c r="AD216" s="69">
        <v>5.8</v>
      </c>
      <c r="AE216" s="69">
        <v>10</v>
      </c>
    </row>
    <row r="217" spans="1:31" ht="24.8" customHeight="1" thickBot="1" x14ac:dyDescent="0.3">
      <c r="A217" s="91"/>
      <c r="B217" s="42"/>
      <c r="C217" s="76" t="s">
        <v>203</v>
      </c>
      <c r="D217" s="84">
        <f t="shared" ref="D217:L217" si="68">IF(((D215="")*AND(D216="")),"",(D215-D216)*2)</f>
        <v>6723.5800000000008</v>
      </c>
      <c r="E217" s="84">
        <f t="shared" si="68"/>
        <v>7068.2</v>
      </c>
      <c r="F217" s="84">
        <f t="shared" si="68"/>
        <v>7111.5</v>
      </c>
      <c r="G217" s="84">
        <f t="shared" si="68"/>
        <v>7205.0199999999995</v>
      </c>
      <c r="H217" s="84">
        <f t="shared" si="68"/>
        <v>7040.1</v>
      </c>
      <c r="I217" s="84">
        <f t="shared" si="68"/>
        <v>6923.3000000000011</v>
      </c>
      <c r="J217" s="84">
        <f t="shared" si="68"/>
        <v>7148.7600000000011</v>
      </c>
      <c r="K217" s="84">
        <f t="shared" si="68"/>
        <v>7100.2</v>
      </c>
      <c r="L217" s="84">
        <f t="shared" si="68"/>
        <v>7042.6600000000008</v>
      </c>
      <c r="M217" s="84"/>
      <c r="N217" s="84"/>
      <c r="O217" s="84"/>
      <c r="P217" s="84" t="str">
        <f>IF(((P215="")*AND(P216="")),"",(P215-P216)*2)</f>
        <v/>
      </c>
      <c r="Q217" s="42"/>
      <c r="R217" s="42"/>
      <c r="S217" s="42"/>
      <c r="T217" s="42"/>
      <c r="U217" s="80"/>
      <c r="V217" s="275"/>
      <c r="W217" s="42"/>
      <c r="X217" s="101"/>
      <c r="Y217" s="101"/>
      <c r="Z217" s="37">
        <v>4955</v>
      </c>
      <c r="AA217" s="37">
        <v>9645</v>
      </c>
      <c r="AB217" s="37">
        <v>6980</v>
      </c>
      <c r="AC217" s="37">
        <v>7960</v>
      </c>
      <c r="AD217" s="69">
        <v>5.8</v>
      </c>
      <c r="AE217" s="69">
        <v>10</v>
      </c>
    </row>
    <row r="218" spans="1:31" ht="12.75" customHeight="1" x14ac:dyDescent="0.25">
      <c r="A218" s="96">
        <v>42836</v>
      </c>
      <c r="B218" s="47" t="s">
        <v>206</v>
      </c>
      <c r="C218" s="80" t="s">
        <v>205</v>
      </c>
      <c r="D218" s="35">
        <v>6864.79</v>
      </c>
      <c r="E218" s="35">
        <v>6946.3</v>
      </c>
      <c r="F218" s="35">
        <v>6817.01</v>
      </c>
      <c r="G218" s="35">
        <v>6889.39</v>
      </c>
      <c r="H218" s="35">
        <v>6823.55</v>
      </c>
      <c r="I218" s="35">
        <v>6875.4</v>
      </c>
      <c r="J218" s="35">
        <v>6912.64</v>
      </c>
      <c r="K218" s="35">
        <v>6837.04</v>
      </c>
      <c r="L218" s="35">
        <v>6853.31</v>
      </c>
      <c r="M218" s="35">
        <v>6896.65</v>
      </c>
      <c r="N218" s="35">
        <v>6932.41</v>
      </c>
      <c r="O218" s="35">
        <v>6874.65</v>
      </c>
      <c r="P218" s="35">
        <v>6890.61</v>
      </c>
      <c r="Q218" s="50">
        <f>IF((L219=""),"",MAX(D220:P220))</f>
        <v>5242.2</v>
      </c>
      <c r="R218" s="47">
        <f>IF(L219="","",MIN(D220:L220))</f>
        <v>5202.6900000000005</v>
      </c>
      <c r="S218" s="53">
        <f>IF((P220=""),"",AVERAGE(D220:P220))</f>
        <v>5225.584615384616</v>
      </c>
      <c r="T218" s="109">
        <f>IF((L219=""),"",(Q218-R218)/(Q218+R218)*100)</f>
        <v>0.37827109715850821</v>
      </c>
      <c r="U218" s="47">
        <f>STDEV(D220:P220)</f>
        <v>13.843817883435808</v>
      </c>
      <c r="V218" s="276" t="str">
        <f>IF(P219="","",IF(T218&lt;2.7,IF(S218&gt;5150,IF(S218&lt;5600,"Pass","Fail"),"Fail"),"Fail"))</f>
        <v>Pass</v>
      </c>
      <c r="W218" s="47">
        <v>1400</v>
      </c>
      <c r="X218" s="98" t="s">
        <v>252</v>
      </c>
      <c r="Y218" s="98"/>
      <c r="Z218" s="71">
        <v>4470</v>
      </c>
      <c r="AA218" s="71">
        <v>6020</v>
      </c>
      <c r="AB218" s="71">
        <v>5150</v>
      </c>
      <c r="AC218" s="71">
        <v>5600</v>
      </c>
      <c r="AD218" s="70">
        <v>2.7</v>
      </c>
      <c r="AE218" s="69">
        <v>10</v>
      </c>
    </row>
    <row r="219" spans="1:31" ht="12.75" customHeight="1" x14ac:dyDescent="0.25">
      <c r="A219" s="89"/>
      <c r="B219" s="47"/>
      <c r="C219" s="56" t="s">
        <v>204</v>
      </c>
      <c r="D219" s="35">
        <v>1646.7</v>
      </c>
      <c r="E219" s="35">
        <v>1730.83</v>
      </c>
      <c r="F219" s="35">
        <v>1614.32</v>
      </c>
      <c r="G219" s="35">
        <v>1655.9</v>
      </c>
      <c r="H219" s="35">
        <v>1615.78</v>
      </c>
      <c r="I219" s="35">
        <v>1638.17</v>
      </c>
      <c r="J219" s="35">
        <v>1672.53</v>
      </c>
      <c r="K219" s="35">
        <v>1594.84</v>
      </c>
      <c r="L219" s="35">
        <v>1646.04</v>
      </c>
      <c r="M219" s="35">
        <v>1661.26</v>
      </c>
      <c r="N219" s="35">
        <v>1702.61</v>
      </c>
      <c r="O219" s="35">
        <v>1649.97</v>
      </c>
      <c r="P219" s="35">
        <v>1652.2</v>
      </c>
      <c r="Q219" s="47"/>
      <c r="R219" s="47"/>
      <c r="S219" s="47"/>
      <c r="T219" s="47"/>
      <c r="U219" s="47"/>
      <c r="V219" s="274"/>
      <c r="W219" s="47"/>
      <c r="X219" s="102"/>
      <c r="Y219" s="102"/>
      <c r="Z219" s="37">
        <v>4955</v>
      </c>
      <c r="AA219" s="37">
        <v>9645</v>
      </c>
      <c r="AB219" s="37">
        <v>6980</v>
      </c>
      <c r="AC219" s="37">
        <v>7960</v>
      </c>
      <c r="AD219" s="69">
        <v>5.8</v>
      </c>
      <c r="AE219" s="69">
        <v>10</v>
      </c>
    </row>
    <row r="220" spans="1:31" ht="24.8" customHeight="1" thickBot="1" x14ac:dyDescent="0.3">
      <c r="A220" s="91"/>
      <c r="B220" s="80"/>
      <c r="C220" s="56" t="s">
        <v>203</v>
      </c>
      <c r="D220" s="97">
        <f t="shared" ref="D220:P220" si="69">IF(((D218="")*AND(D219="")),"",(D218-D219))</f>
        <v>5218.09</v>
      </c>
      <c r="E220" s="97">
        <f t="shared" si="69"/>
        <v>5215.47</v>
      </c>
      <c r="F220" s="97">
        <f t="shared" si="69"/>
        <v>5202.6900000000005</v>
      </c>
      <c r="G220" s="97">
        <f t="shared" si="69"/>
        <v>5233.49</v>
      </c>
      <c r="H220" s="97">
        <f t="shared" si="69"/>
        <v>5207.7700000000004</v>
      </c>
      <c r="I220" s="97">
        <f t="shared" si="69"/>
        <v>5237.2299999999996</v>
      </c>
      <c r="J220" s="97">
        <f t="shared" si="69"/>
        <v>5240.1100000000006</v>
      </c>
      <c r="K220" s="97">
        <f t="shared" si="69"/>
        <v>5242.2</v>
      </c>
      <c r="L220" s="97">
        <f t="shared" si="69"/>
        <v>5207.2700000000004</v>
      </c>
      <c r="M220" s="97">
        <f t="shared" si="69"/>
        <v>5235.3899999999994</v>
      </c>
      <c r="N220" s="97">
        <f t="shared" si="69"/>
        <v>5229.8</v>
      </c>
      <c r="O220" s="97">
        <f t="shared" si="69"/>
        <v>5224.6799999999994</v>
      </c>
      <c r="P220" s="97">
        <f t="shared" si="69"/>
        <v>5238.41</v>
      </c>
      <c r="Q220" s="80"/>
      <c r="R220" s="80"/>
      <c r="S220" s="80"/>
      <c r="T220" s="80"/>
      <c r="U220" s="80"/>
      <c r="V220" s="277"/>
      <c r="W220" s="80"/>
      <c r="X220" s="102"/>
      <c r="Y220" s="102"/>
      <c r="Z220" s="37">
        <v>4955</v>
      </c>
      <c r="AA220" s="37">
        <v>9645</v>
      </c>
      <c r="AB220" s="37">
        <v>6980</v>
      </c>
      <c r="AC220" s="37">
        <v>7960</v>
      </c>
      <c r="AD220" s="69">
        <v>5.8</v>
      </c>
      <c r="AE220" s="69">
        <v>10</v>
      </c>
    </row>
    <row r="221" spans="1:31" x14ac:dyDescent="0.25">
      <c r="A221" s="96">
        <v>42836</v>
      </c>
      <c r="B221" s="50" t="s">
        <v>208</v>
      </c>
      <c r="C221" s="56" t="s">
        <v>205</v>
      </c>
      <c r="D221" s="35">
        <v>5953.6</v>
      </c>
      <c r="E221" s="35">
        <v>6019.26</v>
      </c>
      <c r="F221" s="35">
        <v>6041.19</v>
      </c>
      <c r="G221" s="35">
        <v>5973.89</v>
      </c>
      <c r="H221" s="35">
        <v>5915.06</v>
      </c>
      <c r="I221" s="35">
        <v>5855.69</v>
      </c>
      <c r="J221" s="35">
        <v>6009.79</v>
      </c>
      <c r="K221" s="35">
        <v>6039</v>
      </c>
      <c r="L221" s="35">
        <v>5885.68</v>
      </c>
      <c r="M221" s="55"/>
      <c r="N221" s="55"/>
      <c r="O221" s="55"/>
      <c r="P221" s="55"/>
      <c r="Q221" s="50">
        <f>IF((L222=""),"",MAX(D223:L223))</f>
        <v>6914.66</v>
      </c>
      <c r="R221" s="50">
        <f>IF(L222="","",MIN(D223:L223))</f>
        <v>6680.0400000000009</v>
      </c>
      <c r="S221" s="77">
        <f>IF((L223=""),"",AVERAGE(D223:L223))</f>
        <v>6803.8088888888897</v>
      </c>
      <c r="T221" s="53">
        <f>IF((L222=""),"",(Q221-R221)/(Q221+R221)*100)</f>
        <v>1.7258196208816596</v>
      </c>
      <c r="U221" s="50">
        <f>STDEV(D223:P223)</f>
        <v>88.95084884986251</v>
      </c>
      <c r="V221" s="273" t="str">
        <f>IF(L222="","",IF(T221&lt;7.3,IF(S221&gt;5700,IF(S221&lt;7200,"Pass","Fail"),"Fail"),"Fail"))</f>
        <v>Pass</v>
      </c>
      <c r="W221" s="57">
        <v>1400</v>
      </c>
      <c r="X221" s="102" t="s">
        <v>252</v>
      </c>
      <c r="Y221" s="102"/>
      <c r="Z221" s="37">
        <v>4955</v>
      </c>
      <c r="AA221" s="37">
        <v>9645</v>
      </c>
      <c r="AB221" s="37">
        <v>5100</v>
      </c>
      <c r="AC221" s="37">
        <v>8300</v>
      </c>
      <c r="AD221" s="69">
        <v>9.8000000000000007</v>
      </c>
      <c r="AE221" s="69">
        <v>10</v>
      </c>
    </row>
    <row r="222" spans="1:31" ht="12.75" customHeight="1" x14ac:dyDescent="0.25">
      <c r="A222" s="89"/>
      <c r="B222" s="47"/>
      <c r="C222" s="56" t="s">
        <v>204</v>
      </c>
      <c r="D222" s="35">
        <v>2613.58</v>
      </c>
      <c r="E222" s="35">
        <v>2605.67</v>
      </c>
      <c r="F222" s="35">
        <v>2623</v>
      </c>
      <c r="G222" s="35">
        <v>2520.5300000000002</v>
      </c>
      <c r="H222" s="35">
        <v>2520.3000000000002</v>
      </c>
      <c r="I222" s="35">
        <v>2510.83</v>
      </c>
      <c r="J222" s="35">
        <v>2552.46</v>
      </c>
      <c r="K222" s="35">
        <v>2605.92</v>
      </c>
      <c r="L222" s="35">
        <v>2523.73</v>
      </c>
      <c r="M222" s="55"/>
      <c r="N222" s="55"/>
      <c r="O222" s="55"/>
      <c r="P222" s="55"/>
      <c r="Q222" s="47"/>
      <c r="R222" s="47"/>
      <c r="S222" s="47"/>
      <c r="T222" s="47"/>
      <c r="U222" s="47"/>
      <c r="V222" s="274"/>
      <c r="W222" s="47"/>
      <c r="X222" s="102"/>
      <c r="Y222" s="102"/>
      <c r="Z222" s="37">
        <v>4955</v>
      </c>
      <c r="AA222" s="37">
        <v>9645</v>
      </c>
      <c r="AB222" s="37">
        <v>6980</v>
      </c>
      <c r="AC222" s="37">
        <v>7960</v>
      </c>
      <c r="AD222" s="69">
        <v>5.8</v>
      </c>
      <c r="AE222" s="69">
        <v>10</v>
      </c>
    </row>
    <row r="223" spans="1:31" ht="24.8" customHeight="1" thickBot="1" x14ac:dyDescent="0.3">
      <c r="A223" s="91"/>
      <c r="B223" s="42"/>
      <c r="C223" s="76" t="s">
        <v>203</v>
      </c>
      <c r="D223" s="84">
        <f t="shared" ref="D223:L223" si="70">IF(((D221="")*AND(D222="")),"",(D221-D222)*2)</f>
        <v>6680.0400000000009</v>
      </c>
      <c r="E223" s="84">
        <f t="shared" si="70"/>
        <v>6827.18</v>
      </c>
      <c r="F223" s="84">
        <f t="shared" si="70"/>
        <v>6836.3799999999992</v>
      </c>
      <c r="G223" s="84">
        <f t="shared" si="70"/>
        <v>6906.72</v>
      </c>
      <c r="H223" s="84">
        <f t="shared" si="70"/>
        <v>6789.52</v>
      </c>
      <c r="I223" s="84">
        <f t="shared" si="70"/>
        <v>6689.7199999999993</v>
      </c>
      <c r="J223" s="84">
        <f t="shared" si="70"/>
        <v>6914.66</v>
      </c>
      <c r="K223" s="84">
        <f t="shared" si="70"/>
        <v>6866.16</v>
      </c>
      <c r="L223" s="84">
        <f t="shared" si="70"/>
        <v>6723.9000000000005</v>
      </c>
      <c r="M223" s="84"/>
      <c r="N223" s="84"/>
      <c r="O223" s="84"/>
      <c r="P223" s="84" t="str">
        <f>IF(((P221="")*AND(P222="")),"",(P221-P222)*2)</f>
        <v/>
      </c>
      <c r="Q223" s="42"/>
      <c r="R223" s="42"/>
      <c r="S223" s="42"/>
      <c r="T223" s="42"/>
      <c r="U223" s="80"/>
      <c r="V223" s="275"/>
      <c r="W223" s="42"/>
      <c r="X223" s="101"/>
      <c r="Y223" s="101"/>
      <c r="Z223" s="37">
        <v>4955</v>
      </c>
      <c r="AA223" s="37">
        <v>9645</v>
      </c>
      <c r="AB223" s="37">
        <v>6980</v>
      </c>
      <c r="AC223" s="37">
        <v>7960</v>
      </c>
      <c r="AD223" s="69">
        <v>5.8</v>
      </c>
      <c r="AE223" s="69">
        <v>10</v>
      </c>
    </row>
    <row r="224" spans="1:31" ht="12.75" customHeight="1" x14ac:dyDescent="0.25">
      <c r="A224" s="96">
        <v>42845</v>
      </c>
      <c r="B224" s="47" t="s">
        <v>206</v>
      </c>
      <c r="C224" s="80" t="s">
        <v>205</v>
      </c>
      <c r="D224" s="35">
        <v>6875.89</v>
      </c>
      <c r="E224" s="35">
        <v>6967.89</v>
      </c>
      <c r="F224" s="35">
        <v>6820.66</v>
      </c>
      <c r="G224" s="35">
        <v>6882.37</v>
      </c>
      <c r="H224" s="35">
        <v>6856.94</v>
      </c>
      <c r="I224" s="35">
        <v>6891.99</v>
      </c>
      <c r="J224" s="35">
        <v>6901.58</v>
      </c>
      <c r="K224" s="35">
        <v>6823.69</v>
      </c>
      <c r="L224" s="35">
        <v>6854.47</v>
      </c>
      <c r="M224" s="35">
        <v>6889.08</v>
      </c>
      <c r="N224" s="35">
        <v>6957.81</v>
      </c>
      <c r="O224" s="35">
        <v>6878.56</v>
      </c>
      <c r="P224" s="35">
        <v>6911.42</v>
      </c>
      <c r="Q224" s="50">
        <f>IF((L225=""),"",MAX(D226:P226))</f>
        <v>5253.96</v>
      </c>
      <c r="R224" s="47">
        <f>IF(L225="","",MIN(D226:L226))</f>
        <v>5199.6399999999994</v>
      </c>
      <c r="S224" s="53">
        <f>IF((P226=""),"",AVERAGE(D226:P226))</f>
        <v>5228.0476923076922</v>
      </c>
      <c r="T224" s="109">
        <f>IF((L225=""),"",(Q224-R224)/(Q224+R224)*100)</f>
        <v>0.51962960128568747</v>
      </c>
      <c r="U224" s="47">
        <f>STDEV(D226:P226)</f>
        <v>18.574704642715332</v>
      </c>
      <c r="V224" s="276" t="str">
        <f>IF(P225="","",IF(T224&lt;2.7,IF(S224&gt;5150,IF(S224&lt;5600,"Pass","Fail"),"Fail"),"Fail"))</f>
        <v>Pass</v>
      </c>
      <c r="W224" s="47">
        <v>1335</v>
      </c>
      <c r="X224" s="98" t="s">
        <v>251</v>
      </c>
      <c r="Y224" s="98"/>
      <c r="Z224" s="71">
        <v>4470</v>
      </c>
      <c r="AA224" s="71">
        <v>6020</v>
      </c>
      <c r="AB224" s="71">
        <v>5150</v>
      </c>
      <c r="AC224" s="71">
        <v>5600</v>
      </c>
      <c r="AD224" s="70">
        <v>2.7</v>
      </c>
      <c r="AE224" s="69">
        <v>10</v>
      </c>
    </row>
    <row r="225" spans="1:31" ht="12.75" customHeight="1" x14ac:dyDescent="0.25">
      <c r="A225" s="89"/>
      <c r="B225" s="47"/>
      <c r="C225" s="56" t="s">
        <v>204</v>
      </c>
      <c r="D225" s="35">
        <v>1643.34</v>
      </c>
      <c r="E225" s="35">
        <v>1743.68</v>
      </c>
      <c r="F225" s="35">
        <v>1621.02</v>
      </c>
      <c r="G225" s="35">
        <v>1662.85</v>
      </c>
      <c r="H225" s="35">
        <v>1639.97</v>
      </c>
      <c r="I225" s="35">
        <v>1638.03</v>
      </c>
      <c r="J225" s="35">
        <v>1662.41</v>
      </c>
      <c r="K225" s="35">
        <v>1617.38</v>
      </c>
      <c r="L225" s="35">
        <v>1649.06</v>
      </c>
      <c r="M225" s="35">
        <v>1646.26</v>
      </c>
      <c r="N225" s="35">
        <v>1708.75</v>
      </c>
      <c r="O225" s="35">
        <v>1656.62</v>
      </c>
      <c r="P225" s="35">
        <v>1658.36</v>
      </c>
      <c r="Q225" s="47"/>
      <c r="R225" s="47"/>
      <c r="S225" s="47"/>
      <c r="T225" s="47"/>
      <c r="U225" s="47"/>
      <c r="V225" s="274"/>
      <c r="W225" s="47"/>
      <c r="X225" s="102"/>
      <c r="Y225" s="102"/>
      <c r="Z225" s="37">
        <v>4955</v>
      </c>
      <c r="AA225" s="37">
        <v>9645</v>
      </c>
      <c r="AB225" s="37">
        <v>6980</v>
      </c>
      <c r="AC225" s="37">
        <v>7960</v>
      </c>
      <c r="AD225" s="69">
        <v>5.8</v>
      </c>
      <c r="AE225" s="69">
        <v>10</v>
      </c>
    </row>
    <row r="226" spans="1:31" ht="24.8" customHeight="1" thickBot="1" x14ac:dyDescent="0.3">
      <c r="A226" s="91"/>
      <c r="B226" s="80"/>
      <c r="C226" s="56" t="s">
        <v>203</v>
      </c>
      <c r="D226" s="97">
        <f t="shared" ref="D226:P226" si="71">IF(((D224="")*AND(D225="")),"",(D224-D225))</f>
        <v>5232.55</v>
      </c>
      <c r="E226" s="97">
        <f t="shared" si="71"/>
        <v>5224.21</v>
      </c>
      <c r="F226" s="97">
        <f t="shared" si="71"/>
        <v>5199.6399999999994</v>
      </c>
      <c r="G226" s="97">
        <f t="shared" si="71"/>
        <v>5219.5200000000004</v>
      </c>
      <c r="H226" s="97">
        <f t="shared" si="71"/>
        <v>5216.9699999999993</v>
      </c>
      <c r="I226" s="97">
        <f t="shared" si="71"/>
        <v>5253.96</v>
      </c>
      <c r="J226" s="97">
        <f t="shared" si="71"/>
        <v>5239.17</v>
      </c>
      <c r="K226" s="97">
        <f t="shared" si="71"/>
        <v>5206.3099999999995</v>
      </c>
      <c r="L226" s="97">
        <f t="shared" si="71"/>
        <v>5205.41</v>
      </c>
      <c r="M226" s="97">
        <f t="shared" si="71"/>
        <v>5242.82</v>
      </c>
      <c r="N226" s="97">
        <f t="shared" si="71"/>
        <v>5249.06</v>
      </c>
      <c r="O226" s="97">
        <f t="shared" si="71"/>
        <v>5221.9400000000005</v>
      </c>
      <c r="P226" s="97">
        <f t="shared" si="71"/>
        <v>5253.06</v>
      </c>
      <c r="Q226" s="80"/>
      <c r="R226" s="80"/>
      <c r="S226" s="80"/>
      <c r="T226" s="80"/>
      <c r="U226" s="80"/>
      <c r="V226" s="277"/>
      <c r="W226" s="80"/>
      <c r="X226" s="102"/>
      <c r="Y226" s="102"/>
      <c r="Z226" s="37">
        <v>4955</v>
      </c>
      <c r="AA226" s="37">
        <v>9645</v>
      </c>
      <c r="AB226" s="37">
        <v>6980</v>
      </c>
      <c r="AC226" s="37">
        <v>7960</v>
      </c>
      <c r="AD226" s="69">
        <v>5.8</v>
      </c>
      <c r="AE226" s="69">
        <v>10</v>
      </c>
    </row>
    <row r="227" spans="1:31" x14ac:dyDescent="0.25">
      <c r="A227" s="96">
        <v>42845</v>
      </c>
      <c r="B227" s="50" t="s">
        <v>208</v>
      </c>
      <c r="C227" s="56" t="s">
        <v>205</v>
      </c>
      <c r="D227" s="35">
        <v>5970.56</v>
      </c>
      <c r="E227" s="35">
        <v>6029.37</v>
      </c>
      <c r="F227" s="35">
        <v>6050.12</v>
      </c>
      <c r="G227" s="35">
        <v>5986.22</v>
      </c>
      <c r="H227" s="35">
        <v>5929.5</v>
      </c>
      <c r="I227" s="35">
        <v>5887.58</v>
      </c>
      <c r="J227" s="35">
        <v>6010.48</v>
      </c>
      <c r="K227" s="35">
        <v>6050.27</v>
      </c>
      <c r="L227" s="35">
        <v>5898.18</v>
      </c>
      <c r="M227" s="55"/>
      <c r="N227" s="55"/>
      <c r="O227" s="55"/>
      <c r="P227" s="55"/>
      <c r="Q227" s="50">
        <f>IF((L228=""),"",MAX(D229:L229))</f>
        <v>6892.88</v>
      </c>
      <c r="R227" s="50">
        <f>IF(L228="","",MIN(D229:L229))</f>
        <v>6700.8600000000006</v>
      </c>
      <c r="S227" s="77">
        <f>IF((L229=""),"",AVERAGE(D229:L229))</f>
        <v>6797.4044444444453</v>
      </c>
      <c r="T227" s="53">
        <f>IF((L228=""),"",(Q227-R227)/(Q227+R227)*100)</f>
        <v>1.4125619586662648</v>
      </c>
      <c r="U227" s="50">
        <f>STDEV(D229:P229)</f>
        <v>73.793670309707124</v>
      </c>
      <c r="V227" s="273" t="str">
        <f>IF(L228="","",IF(T227&lt;7.3,IF(S227&gt;5700,IF(S227&lt;7200,"Pass","Fail"),"Fail"),"Fail"))</f>
        <v>Pass</v>
      </c>
      <c r="W227" s="57">
        <v>1335</v>
      </c>
      <c r="X227" s="102" t="s">
        <v>251</v>
      </c>
      <c r="Y227" s="102"/>
      <c r="Z227" s="37">
        <v>4955</v>
      </c>
      <c r="AA227" s="37">
        <v>9645</v>
      </c>
      <c r="AB227" s="37">
        <v>5100</v>
      </c>
      <c r="AC227" s="37">
        <v>8300</v>
      </c>
      <c r="AD227" s="69">
        <v>9.8000000000000007</v>
      </c>
      <c r="AE227" s="69">
        <v>10</v>
      </c>
    </row>
    <row r="228" spans="1:31" ht="12.75" customHeight="1" x14ac:dyDescent="0.25">
      <c r="A228" s="89"/>
      <c r="B228" s="47"/>
      <c r="C228" s="56" t="s">
        <v>204</v>
      </c>
      <c r="D228" s="35">
        <v>2620.13</v>
      </c>
      <c r="E228" s="35">
        <v>2652.58</v>
      </c>
      <c r="F228" s="35">
        <v>2646.64</v>
      </c>
      <c r="G228" s="35">
        <v>2545.1</v>
      </c>
      <c r="H228" s="35">
        <v>2483.06</v>
      </c>
      <c r="I228" s="35">
        <v>2512.9699999999998</v>
      </c>
      <c r="J228" s="35">
        <v>2577.3000000000002</v>
      </c>
      <c r="K228" s="35">
        <v>2640.91</v>
      </c>
      <c r="L228" s="35">
        <v>2545.27</v>
      </c>
      <c r="M228" s="55"/>
      <c r="N228" s="55"/>
      <c r="O228" s="55"/>
      <c r="P228" s="55"/>
      <c r="Q228" s="47"/>
      <c r="R228" s="47"/>
      <c r="S228" s="47"/>
      <c r="T228" s="47"/>
      <c r="U228" s="47"/>
      <c r="V228" s="274"/>
      <c r="W228" s="47"/>
      <c r="X228" s="102"/>
      <c r="Y228" s="102"/>
      <c r="Z228" s="37">
        <v>4955</v>
      </c>
      <c r="AA228" s="37">
        <v>9645</v>
      </c>
      <c r="AB228" s="37">
        <v>6980</v>
      </c>
      <c r="AC228" s="37">
        <v>7960</v>
      </c>
      <c r="AD228" s="69">
        <v>5.8</v>
      </c>
      <c r="AE228" s="69">
        <v>10</v>
      </c>
    </row>
    <row r="229" spans="1:31" ht="24.8" customHeight="1" thickBot="1" x14ac:dyDescent="0.3">
      <c r="A229" s="91"/>
      <c r="B229" s="42"/>
      <c r="C229" s="76" t="s">
        <v>203</v>
      </c>
      <c r="D229" s="84">
        <f t="shared" ref="D229:L229" si="72">IF(((D227="")*AND(D228="")),"",(D227-D228)*2)</f>
        <v>6700.8600000000006</v>
      </c>
      <c r="E229" s="84">
        <f t="shared" si="72"/>
        <v>6753.58</v>
      </c>
      <c r="F229" s="84">
        <f t="shared" si="72"/>
        <v>6806.96</v>
      </c>
      <c r="G229" s="84">
        <f t="shared" si="72"/>
        <v>6882.2400000000007</v>
      </c>
      <c r="H229" s="84">
        <f t="shared" si="72"/>
        <v>6892.88</v>
      </c>
      <c r="I229" s="84">
        <f t="shared" si="72"/>
        <v>6749.22</v>
      </c>
      <c r="J229" s="84">
        <f t="shared" si="72"/>
        <v>6866.3599999999988</v>
      </c>
      <c r="K229" s="84">
        <f t="shared" si="72"/>
        <v>6818.7200000000012</v>
      </c>
      <c r="L229" s="84">
        <f t="shared" si="72"/>
        <v>6705.8200000000006</v>
      </c>
      <c r="M229" s="84"/>
      <c r="N229" s="84"/>
      <c r="O229" s="84"/>
      <c r="P229" s="84" t="str">
        <f>IF(((P227="")*AND(P228="")),"",(P227-P228)*2)</f>
        <v/>
      </c>
      <c r="Q229" s="42"/>
      <c r="R229" s="42"/>
      <c r="S229" s="42"/>
      <c r="T229" s="42"/>
      <c r="U229" s="80"/>
      <c r="V229" s="275"/>
      <c r="W229" s="42"/>
      <c r="X229" s="101"/>
      <c r="Y229" s="101"/>
      <c r="Z229" s="37">
        <v>4955</v>
      </c>
      <c r="AA229" s="37">
        <v>9645</v>
      </c>
      <c r="AB229" s="37">
        <v>6980</v>
      </c>
      <c r="AC229" s="37">
        <v>7960</v>
      </c>
      <c r="AD229" s="69">
        <v>5.8</v>
      </c>
      <c r="AE229" s="69">
        <v>10</v>
      </c>
    </row>
    <row r="230" spans="1:31" ht="12.75" customHeight="1" x14ac:dyDescent="0.25">
      <c r="A230" s="96">
        <v>42849</v>
      </c>
      <c r="B230" s="47" t="s">
        <v>206</v>
      </c>
      <c r="C230" s="80" t="s">
        <v>205</v>
      </c>
      <c r="D230" s="35">
        <v>6984.52</v>
      </c>
      <c r="E230" s="35">
        <v>7072.31</v>
      </c>
      <c r="F230" s="35">
        <v>6928.46</v>
      </c>
      <c r="G230" s="35">
        <v>6990.35</v>
      </c>
      <c r="H230" s="35">
        <v>6965.34</v>
      </c>
      <c r="I230" s="35">
        <v>6999.78</v>
      </c>
      <c r="J230" s="35">
        <v>7011.53</v>
      </c>
      <c r="K230" s="35">
        <v>6933.9</v>
      </c>
      <c r="L230" s="35">
        <v>6963.37</v>
      </c>
      <c r="M230" s="35">
        <v>7000.81</v>
      </c>
      <c r="N230" s="35">
        <v>7064.39</v>
      </c>
      <c r="O230" s="35">
        <v>6990.45</v>
      </c>
      <c r="P230" s="35">
        <v>7022.9</v>
      </c>
      <c r="Q230" s="50">
        <f>IF((L231=""),"",MAX(D232:P232))</f>
        <v>5245.21</v>
      </c>
      <c r="R230" s="47">
        <f>IF(L231="","",MIN(D232:L232))</f>
        <v>5187.0700000000006</v>
      </c>
      <c r="S230" s="53">
        <f>IF((P232=""),"",AVERAGE(D232:P232))</f>
        <v>5216.7761538461546</v>
      </c>
      <c r="T230" s="109">
        <f>IF((L231=""),"",(Q230-R230)/(Q230+R230)*100)</f>
        <v>0.5573086611939041</v>
      </c>
      <c r="U230" s="47">
        <f>STDEV(D232:P232)</f>
        <v>19.892136025098502</v>
      </c>
      <c r="V230" s="276" t="str">
        <f>IF(P231="","",IF(T230&lt;2.7,IF(S230&gt;5150,IF(S230&lt;5600,"Pass","Fail"),"Fail"),"Fail"))</f>
        <v>Pass</v>
      </c>
      <c r="W230" s="47">
        <v>64</v>
      </c>
      <c r="X230" s="98" t="s">
        <v>250</v>
      </c>
      <c r="Y230" s="98"/>
      <c r="Z230" s="71">
        <v>4470</v>
      </c>
      <c r="AA230" s="71">
        <v>6020</v>
      </c>
      <c r="AB230" s="71">
        <v>5150</v>
      </c>
      <c r="AC230" s="71">
        <v>5600</v>
      </c>
      <c r="AD230" s="70">
        <v>2.7</v>
      </c>
      <c r="AE230" s="69">
        <v>10</v>
      </c>
    </row>
    <row r="231" spans="1:31" ht="12.75" customHeight="1" x14ac:dyDescent="0.25">
      <c r="A231" s="89"/>
      <c r="B231" s="47"/>
      <c r="C231" s="56" t="s">
        <v>204</v>
      </c>
      <c r="D231" s="35">
        <v>1785.57</v>
      </c>
      <c r="E231" s="35">
        <v>1885.24</v>
      </c>
      <c r="F231" s="35">
        <v>1738.54</v>
      </c>
      <c r="G231" s="35">
        <v>1750.74</v>
      </c>
      <c r="H231" s="35">
        <v>1764.91</v>
      </c>
      <c r="I231" s="35">
        <v>1773.55</v>
      </c>
      <c r="J231" s="35">
        <v>1766.32</v>
      </c>
      <c r="K231" s="35">
        <v>1701.03</v>
      </c>
      <c r="L231" s="35">
        <v>1767.41</v>
      </c>
      <c r="M231" s="35">
        <v>1772.92</v>
      </c>
      <c r="N231" s="35">
        <v>1841.86</v>
      </c>
      <c r="O231" s="35">
        <v>1772.86</v>
      </c>
      <c r="P231" s="35">
        <v>1789.07</v>
      </c>
      <c r="Q231" s="47"/>
      <c r="R231" s="47"/>
      <c r="S231" s="47"/>
      <c r="T231" s="47"/>
      <c r="U231" s="47"/>
      <c r="V231" s="274"/>
      <c r="W231" s="47"/>
      <c r="X231" s="102"/>
      <c r="Y231" s="102"/>
      <c r="Z231" s="37">
        <v>4955</v>
      </c>
      <c r="AA231" s="37">
        <v>9645</v>
      </c>
      <c r="AB231" s="37">
        <v>6980</v>
      </c>
      <c r="AC231" s="37">
        <v>7960</v>
      </c>
      <c r="AD231" s="69">
        <v>5.8</v>
      </c>
      <c r="AE231" s="69">
        <v>10</v>
      </c>
    </row>
    <row r="232" spans="1:31" ht="24.8" customHeight="1" thickBot="1" x14ac:dyDescent="0.3">
      <c r="A232" s="91"/>
      <c r="B232" s="80"/>
      <c r="C232" s="56" t="s">
        <v>203</v>
      </c>
      <c r="D232" s="97">
        <f t="shared" ref="D232:P232" si="73">IF(((D230="")*AND(D231="")),"",(D230-D231))</f>
        <v>5198.9500000000007</v>
      </c>
      <c r="E232" s="97">
        <f t="shared" si="73"/>
        <v>5187.0700000000006</v>
      </c>
      <c r="F232" s="97">
        <f t="shared" si="73"/>
        <v>5189.92</v>
      </c>
      <c r="G232" s="97">
        <f t="shared" si="73"/>
        <v>5239.6100000000006</v>
      </c>
      <c r="H232" s="97">
        <f t="shared" si="73"/>
        <v>5200.43</v>
      </c>
      <c r="I232" s="97">
        <f t="shared" si="73"/>
        <v>5226.2299999999996</v>
      </c>
      <c r="J232" s="97">
        <f t="shared" si="73"/>
        <v>5245.21</v>
      </c>
      <c r="K232" s="97">
        <f t="shared" si="73"/>
        <v>5232.87</v>
      </c>
      <c r="L232" s="97">
        <f t="shared" si="73"/>
        <v>5195.96</v>
      </c>
      <c r="M232" s="97">
        <f t="shared" si="73"/>
        <v>5227.8900000000003</v>
      </c>
      <c r="N232" s="97">
        <f t="shared" si="73"/>
        <v>5222.5300000000007</v>
      </c>
      <c r="O232" s="97">
        <f t="shared" si="73"/>
        <v>5217.59</v>
      </c>
      <c r="P232" s="97">
        <f t="shared" si="73"/>
        <v>5233.83</v>
      </c>
      <c r="Q232" s="80"/>
      <c r="R232" s="80"/>
      <c r="S232" s="80"/>
      <c r="T232" s="80"/>
      <c r="U232" s="80"/>
      <c r="V232" s="277"/>
      <c r="W232" s="80"/>
      <c r="X232" s="102"/>
      <c r="Y232" s="102"/>
      <c r="Z232" s="37">
        <v>4955</v>
      </c>
      <c r="AA232" s="37">
        <v>9645</v>
      </c>
      <c r="AB232" s="37">
        <v>6980</v>
      </c>
      <c r="AC232" s="37">
        <v>7960</v>
      </c>
      <c r="AD232" s="69">
        <v>5.8</v>
      </c>
      <c r="AE232" s="69">
        <v>10</v>
      </c>
    </row>
    <row r="233" spans="1:31" x14ac:dyDescent="0.25">
      <c r="A233" s="96">
        <v>42849</v>
      </c>
      <c r="B233" s="50" t="s">
        <v>208</v>
      </c>
      <c r="C233" s="56" t="s">
        <v>205</v>
      </c>
      <c r="D233" s="35">
        <v>5970.08</v>
      </c>
      <c r="E233" s="35">
        <v>6024.62</v>
      </c>
      <c r="F233" s="35">
        <v>6047.51</v>
      </c>
      <c r="G233" s="35">
        <v>5992.53</v>
      </c>
      <c r="H233" s="35">
        <v>5947.41</v>
      </c>
      <c r="I233" s="35">
        <v>5892.97</v>
      </c>
      <c r="J233" s="35">
        <v>6002.61</v>
      </c>
      <c r="K233" s="35">
        <v>6045.7</v>
      </c>
      <c r="L233" s="35">
        <v>5896.98</v>
      </c>
      <c r="M233" s="55"/>
      <c r="N233" s="55"/>
      <c r="O233" s="55"/>
      <c r="P233" s="55"/>
      <c r="Q233" s="50">
        <f>IF((L234=""),"",MAX(D235:L235))</f>
        <v>6697.7599999999993</v>
      </c>
      <c r="R233" s="50">
        <f>IF(L234="","",MIN(D235:L235))</f>
        <v>6222.24</v>
      </c>
      <c r="S233" s="77">
        <f>IF((L235=""),"",AVERAGE(D235:L235))</f>
        <v>6531.5155555555557</v>
      </c>
      <c r="T233" s="53">
        <f>IF((L234=""),"",(Q233-R233)/(Q233+R233)*100)</f>
        <v>3.6804953560371478</v>
      </c>
      <c r="U233" s="50">
        <f>STDEV(D235:P235)</f>
        <v>131.01142956924687</v>
      </c>
      <c r="V233" s="273" t="str">
        <f>IF(L234="","",IF(T233&lt;7.3,IF(S233&gt;5700,IF(S233&lt;7200,"Pass","Fail"),"Fail"),"Fail"))</f>
        <v>Pass</v>
      </c>
      <c r="W233" s="57">
        <v>64</v>
      </c>
      <c r="X233" s="102" t="s">
        <v>250</v>
      </c>
      <c r="Y233" s="102"/>
      <c r="Z233" s="37">
        <v>4955</v>
      </c>
      <c r="AA233" s="37">
        <v>9645</v>
      </c>
      <c r="AB233" s="37">
        <v>5100</v>
      </c>
      <c r="AC233" s="37">
        <v>8300</v>
      </c>
      <c r="AD233" s="69">
        <v>9.8000000000000007</v>
      </c>
      <c r="AE233" s="69">
        <v>10</v>
      </c>
    </row>
    <row r="234" spans="1:31" ht="12.75" customHeight="1" x14ac:dyDescent="0.25">
      <c r="A234" s="89"/>
      <c r="B234" s="47"/>
      <c r="C234" s="56" t="s">
        <v>204</v>
      </c>
      <c r="D234" s="35">
        <v>2858.96</v>
      </c>
      <c r="E234" s="35">
        <v>2759.74</v>
      </c>
      <c r="F234" s="35">
        <v>2759.26</v>
      </c>
      <c r="G234" s="35">
        <v>2643.65</v>
      </c>
      <c r="H234" s="35">
        <v>2690.47</v>
      </c>
      <c r="I234" s="35">
        <v>2646.51</v>
      </c>
      <c r="J234" s="35">
        <v>2692.63</v>
      </c>
      <c r="K234" s="35">
        <v>2759.7</v>
      </c>
      <c r="L234" s="35">
        <v>2617.67</v>
      </c>
      <c r="M234" s="55"/>
      <c r="N234" s="55"/>
      <c r="O234" s="55"/>
      <c r="P234" s="55"/>
      <c r="Q234" s="47"/>
      <c r="R234" s="47"/>
      <c r="S234" s="47"/>
      <c r="T234" s="47"/>
      <c r="U234" s="47"/>
      <c r="V234" s="274"/>
      <c r="W234" s="47"/>
      <c r="X234" s="102"/>
      <c r="Y234" s="102"/>
      <c r="Z234" s="37">
        <v>4955</v>
      </c>
      <c r="AA234" s="37">
        <v>9645</v>
      </c>
      <c r="AB234" s="37">
        <v>6980</v>
      </c>
      <c r="AC234" s="37">
        <v>7960</v>
      </c>
      <c r="AD234" s="69">
        <v>5.8</v>
      </c>
      <c r="AE234" s="69">
        <v>10</v>
      </c>
    </row>
    <row r="235" spans="1:31" ht="24.8" customHeight="1" thickBot="1" x14ac:dyDescent="0.3">
      <c r="A235" s="91"/>
      <c r="B235" s="42"/>
      <c r="C235" s="76" t="s">
        <v>203</v>
      </c>
      <c r="D235" s="84">
        <f t="shared" ref="D235:L235" si="74">IF(((D233="")*AND(D234="")),"",(D233-D234)*2)</f>
        <v>6222.24</v>
      </c>
      <c r="E235" s="84">
        <f t="shared" si="74"/>
        <v>6529.76</v>
      </c>
      <c r="F235" s="84">
        <f t="shared" si="74"/>
        <v>6576.5</v>
      </c>
      <c r="G235" s="84">
        <f t="shared" si="74"/>
        <v>6697.7599999999993</v>
      </c>
      <c r="H235" s="84">
        <f t="shared" si="74"/>
        <v>6513.88</v>
      </c>
      <c r="I235" s="84">
        <f t="shared" si="74"/>
        <v>6492.92</v>
      </c>
      <c r="J235" s="84">
        <f t="shared" si="74"/>
        <v>6619.9599999999991</v>
      </c>
      <c r="K235" s="84">
        <f t="shared" si="74"/>
        <v>6572</v>
      </c>
      <c r="L235" s="84">
        <f t="shared" si="74"/>
        <v>6558.619999999999</v>
      </c>
      <c r="M235" s="84"/>
      <c r="N235" s="84"/>
      <c r="O235" s="84"/>
      <c r="P235" s="84" t="str">
        <f>IF(((P233="")*AND(P234="")),"",(P233-P234)*2)</f>
        <v/>
      </c>
      <c r="Q235" s="42"/>
      <c r="R235" s="42"/>
      <c r="S235" s="42"/>
      <c r="T235" s="42"/>
      <c r="U235" s="80"/>
      <c r="V235" s="275"/>
      <c r="W235" s="42"/>
      <c r="X235" s="101"/>
      <c r="Y235" s="101"/>
      <c r="Z235" s="37">
        <v>4955</v>
      </c>
      <c r="AA235" s="37">
        <v>9645</v>
      </c>
      <c r="AB235" s="37">
        <v>6980</v>
      </c>
      <c r="AC235" s="37">
        <v>7960</v>
      </c>
      <c r="AD235" s="69">
        <v>5.8</v>
      </c>
      <c r="AE235" s="69">
        <v>10</v>
      </c>
    </row>
    <row r="236" spans="1:31" ht="12.75" customHeight="1" x14ac:dyDescent="0.25">
      <c r="A236" s="96">
        <v>42905</v>
      </c>
      <c r="B236" s="47" t="s">
        <v>206</v>
      </c>
      <c r="C236" s="80" t="s">
        <v>205</v>
      </c>
      <c r="D236" s="35">
        <v>6877</v>
      </c>
      <c r="E236" s="35">
        <v>6971</v>
      </c>
      <c r="F236" s="35">
        <v>6820</v>
      </c>
      <c r="G236" s="35">
        <v>6880</v>
      </c>
      <c r="H236" s="35">
        <v>6859</v>
      </c>
      <c r="I236" s="35">
        <v>6891</v>
      </c>
      <c r="J236" s="66">
        <v>6899</v>
      </c>
      <c r="K236" s="66">
        <v>6822</v>
      </c>
      <c r="L236" s="66">
        <v>6853</v>
      </c>
      <c r="M236" s="66">
        <v>6887</v>
      </c>
      <c r="N236" s="66">
        <v>6956</v>
      </c>
      <c r="O236" s="66">
        <v>6880</v>
      </c>
      <c r="P236" s="66">
        <v>6910</v>
      </c>
      <c r="Q236" s="50">
        <f>IF((L237=""),"",MAX(D238:P238))</f>
        <v>5587</v>
      </c>
      <c r="R236" s="47">
        <f>IF(L237="","",MIN(D238:L238))</f>
        <v>5488</v>
      </c>
      <c r="S236" s="53">
        <f>IF((P238=""),"",AVERAGE(D238:P238))</f>
        <v>5533.4615384615381</v>
      </c>
      <c r="T236" s="109">
        <f>IF((L237=""),"",(Q236-R236)/(Q236+R236)*100)</f>
        <v>0.89390519187358908</v>
      </c>
      <c r="U236" s="47">
        <f>STDEV(D238:P238)</f>
        <v>33.360693899196669</v>
      </c>
      <c r="V236" s="276" t="str">
        <f>IF(P237="","",IF(T236&lt;2.7,IF(S236&gt;5150,IF(S236&lt;5600,"Pass","Fail"),"Fail"),"Fail"))</f>
        <v>Pass</v>
      </c>
      <c r="W236" s="47">
        <v>1159</v>
      </c>
      <c r="X236" s="98" t="s">
        <v>249</v>
      </c>
      <c r="Y236" s="98"/>
      <c r="Z236" s="71">
        <v>4470</v>
      </c>
      <c r="AA236" s="71">
        <v>6020</v>
      </c>
      <c r="AB236" s="71">
        <v>5150</v>
      </c>
      <c r="AC236" s="71">
        <v>5600</v>
      </c>
      <c r="AD236" s="70">
        <v>2.7</v>
      </c>
      <c r="AE236" s="69">
        <v>10</v>
      </c>
    </row>
    <row r="237" spans="1:31" ht="12.75" customHeight="1" x14ac:dyDescent="0.25">
      <c r="A237" s="89"/>
      <c r="B237" s="47"/>
      <c r="C237" s="56" t="s">
        <v>204</v>
      </c>
      <c r="D237" s="35">
        <v>1373</v>
      </c>
      <c r="E237" s="35">
        <v>1474</v>
      </c>
      <c r="F237" s="35">
        <v>1304</v>
      </c>
      <c r="G237" s="35">
        <v>1319</v>
      </c>
      <c r="H237" s="35">
        <v>1371</v>
      </c>
      <c r="I237" s="35">
        <v>1353</v>
      </c>
      <c r="J237" s="66">
        <v>1322</v>
      </c>
      <c r="K237" s="66">
        <v>1235</v>
      </c>
      <c r="L237" s="66">
        <v>1330</v>
      </c>
      <c r="M237" s="66">
        <v>1304</v>
      </c>
      <c r="N237" s="66">
        <v>1444</v>
      </c>
      <c r="O237" s="66">
        <v>1350</v>
      </c>
      <c r="P237" s="66">
        <v>1391</v>
      </c>
      <c r="Q237" s="47"/>
      <c r="R237" s="47"/>
      <c r="S237" s="47"/>
      <c r="T237" s="47"/>
      <c r="U237" s="47"/>
      <c r="V237" s="274"/>
      <c r="W237" s="47"/>
      <c r="X237" s="102"/>
      <c r="Y237" s="102"/>
      <c r="Z237" s="37">
        <v>4955</v>
      </c>
      <c r="AA237" s="37">
        <v>9645</v>
      </c>
      <c r="AB237" s="37">
        <v>6980</v>
      </c>
      <c r="AC237" s="37">
        <v>7960</v>
      </c>
      <c r="AD237" s="69">
        <v>5.8</v>
      </c>
      <c r="AE237" s="69">
        <v>10</v>
      </c>
    </row>
    <row r="238" spans="1:31" ht="24.8" customHeight="1" thickBot="1" x14ac:dyDescent="0.3">
      <c r="A238" s="91"/>
      <c r="B238" s="80"/>
      <c r="C238" s="56" t="s">
        <v>203</v>
      </c>
      <c r="D238" s="97">
        <f t="shared" ref="D238:P238" si="75">IF(((D236="")*AND(D237="")),"",(D236-D237))</f>
        <v>5504</v>
      </c>
      <c r="E238" s="97">
        <f t="shared" si="75"/>
        <v>5497</v>
      </c>
      <c r="F238" s="97">
        <f t="shared" si="75"/>
        <v>5516</v>
      </c>
      <c r="G238" s="97">
        <f t="shared" si="75"/>
        <v>5561</v>
      </c>
      <c r="H238" s="97">
        <f t="shared" si="75"/>
        <v>5488</v>
      </c>
      <c r="I238" s="97">
        <f t="shared" si="75"/>
        <v>5538</v>
      </c>
      <c r="J238" s="97">
        <f t="shared" si="75"/>
        <v>5577</v>
      </c>
      <c r="K238" s="97">
        <f t="shared" si="75"/>
        <v>5587</v>
      </c>
      <c r="L238" s="97">
        <f t="shared" si="75"/>
        <v>5523</v>
      </c>
      <c r="M238" s="97">
        <f t="shared" si="75"/>
        <v>5583</v>
      </c>
      <c r="N238" s="97">
        <f t="shared" si="75"/>
        <v>5512</v>
      </c>
      <c r="O238" s="97">
        <f t="shared" si="75"/>
        <v>5530</v>
      </c>
      <c r="P238" s="97">
        <f t="shared" si="75"/>
        <v>5519</v>
      </c>
      <c r="Q238" s="80"/>
      <c r="R238" s="80"/>
      <c r="S238" s="80"/>
      <c r="T238" s="80"/>
      <c r="U238" s="80"/>
      <c r="V238" s="277"/>
      <c r="W238" s="80"/>
      <c r="X238" s="102"/>
      <c r="Y238" s="102"/>
      <c r="Z238" s="37">
        <v>4955</v>
      </c>
      <c r="AA238" s="37">
        <v>9645</v>
      </c>
      <c r="AB238" s="37">
        <v>6980</v>
      </c>
      <c r="AC238" s="37">
        <v>7960</v>
      </c>
      <c r="AD238" s="69">
        <v>5.8</v>
      </c>
      <c r="AE238" s="69">
        <v>10</v>
      </c>
    </row>
    <row r="239" spans="1:31" x14ac:dyDescent="0.25">
      <c r="A239" s="96">
        <v>42905</v>
      </c>
      <c r="B239" s="50" t="s">
        <v>208</v>
      </c>
      <c r="C239" s="56" t="s">
        <v>205</v>
      </c>
      <c r="D239" s="35">
        <v>5961</v>
      </c>
      <c r="E239" s="35">
        <v>6008</v>
      </c>
      <c r="F239" s="35">
        <v>6032</v>
      </c>
      <c r="G239" s="35">
        <v>5993</v>
      </c>
      <c r="H239" s="35">
        <v>5963</v>
      </c>
      <c r="I239" s="35">
        <v>5954</v>
      </c>
      <c r="J239" s="66">
        <v>5999</v>
      </c>
      <c r="K239" s="66">
        <v>6024</v>
      </c>
      <c r="L239" s="66">
        <v>5900</v>
      </c>
      <c r="M239" s="55"/>
      <c r="N239" s="55"/>
      <c r="O239" s="55"/>
      <c r="P239" s="55"/>
      <c r="Q239" s="50">
        <f>IF((L240=""),"",MAX(D241:L241))</f>
        <v>7568</v>
      </c>
      <c r="R239" s="50">
        <f>IF(L240="","",MIN(D241:L241))</f>
        <v>7356</v>
      </c>
      <c r="S239" s="77">
        <f>IF((L241=""),"",AVERAGE(D241:L241))</f>
        <v>7497.1111111111113</v>
      </c>
      <c r="T239" s="53">
        <f>IF((L240=""),"",(Q239-R239)/(Q239+R239)*100)</f>
        <v>1.4205306888233717</v>
      </c>
      <c r="U239" s="50">
        <f>STDEV(D241:P241)</f>
        <v>77.994301786163277</v>
      </c>
      <c r="V239" s="273" t="str">
        <f>IF(L240="","",IF(T239&lt;7.3,IF(S239&gt;5700,IF(S239&lt;7200,"Pass","Fail"),"Fail"),"Fail"))</f>
        <v>Fail</v>
      </c>
      <c r="W239" s="57">
        <v>1159</v>
      </c>
      <c r="X239" s="102" t="s">
        <v>249</v>
      </c>
      <c r="Y239" s="102"/>
      <c r="Z239" s="37">
        <v>4955</v>
      </c>
      <c r="AA239" s="37">
        <v>9645</v>
      </c>
      <c r="AB239" s="37">
        <v>5100</v>
      </c>
      <c r="AC239" s="37">
        <v>8300</v>
      </c>
      <c r="AD239" s="69">
        <v>9.8000000000000007</v>
      </c>
      <c r="AE239" s="69">
        <v>10</v>
      </c>
    </row>
    <row r="240" spans="1:31" ht="12.75" customHeight="1" x14ac:dyDescent="0.25">
      <c r="A240" s="89"/>
      <c r="B240" s="47"/>
      <c r="C240" s="56" t="s">
        <v>204</v>
      </c>
      <c r="D240" s="35">
        <v>2260</v>
      </c>
      <c r="E240" s="35">
        <v>2253</v>
      </c>
      <c r="F240" s="35">
        <v>2256</v>
      </c>
      <c r="G240" s="35">
        <v>2212</v>
      </c>
      <c r="H240" s="35">
        <v>2243</v>
      </c>
      <c r="I240" s="35">
        <v>2170</v>
      </c>
      <c r="J240" s="35">
        <v>2228</v>
      </c>
      <c r="K240" s="35">
        <v>2253</v>
      </c>
      <c r="L240" s="35">
        <v>2222</v>
      </c>
      <c r="M240" s="55"/>
      <c r="N240" s="55"/>
      <c r="O240" s="55"/>
      <c r="P240" s="55"/>
      <c r="Q240" s="47"/>
      <c r="R240" s="47"/>
      <c r="S240" s="47"/>
      <c r="T240" s="47"/>
      <c r="U240" s="47"/>
      <c r="V240" s="274"/>
      <c r="W240" s="47"/>
      <c r="X240" s="102"/>
      <c r="Y240" s="102"/>
      <c r="Z240" s="37">
        <v>4955</v>
      </c>
      <c r="AA240" s="37">
        <v>9645</v>
      </c>
      <c r="AB240" s="37">
        <v>6980</v>
      </c>
      <c r="AC240" s="37">
        <v>7960</v>
      </c>
      <c r="AD240" s="69">
        <v>5.8</v>
      </c>
      <c r="AE240" s="69">
        <v>10</v>
      </c>
    </row>
    <row r="241" spans="1:31" ht="24.8" customHeight="1" thickBot="1" x14ac:dyDescent="0.3">
      <c r="A241" s="91"/>
      <c r="B241" s="42"/>
      <c r="C241" s="76" t="s">
        <v>203</v>
      </c>
      <c r="D241" s="84">
        <f t="shared" ref="D241:L241" si="76">IF(((D239="")*AND(D240="")),"",(D239-D240)*2)</f>
        <v>7402</v>
      </c>
      <c r="E241" s="84">
        <f t="shared" si="76"/>
        <v>7510</v>
      </c>
      <c r="F241" s="84">
        <f t="shared" si="76"/>
        <v>7552</v>
      </c>
      <c r="G241" s="84">
        <f t="shared" si="76"/>
        <v>7562</v>
      </c>
      <c r="H241" s="84">
        <f t="shared" si="76"/>
        <v>7440</v>
      </c>
      <c r="I241" s="84">
        <f t="shared" si="76"/>
        <v>7568</v>
      </c>
      <c r="J241" s="84">
        <f t="shared" si="76"/>
        <v>7542</v>
      </c>
      <c r="K241" s="84">
        <f t="shared" si="76"/>
        <v>7542</v>
      </c>
      <c r="L241" s="84">
        <f t="shared" si="76"/>
        <v>7356</v>
      </c>
      <c r="M241" s="84"/>
      <c r="N241" s="84"/>
      <c r="O241" s="84"/>
      <c r="P241" s="84" t="str">
        <f>IF(((P239="")*AND(P240="")),"",(P239-P240)*2)</f>
        <v/>
      </c>
      <c r="Q241" s="42"/>
      <c r="R241" s="42"/>
      <c r="S241" s="42"/>
      <c r="T241" s="42"/>
      <c r="U241" s="80"/>
      <c r="V241" s="275"/>
      <c r="W241" s="42"/>
      <c r="X241" s="101"/>
      <c r="Y241" s="101"/>
      <c r="Z241" s="37">
        <v>4955</v>
      </c>
      <c r="AA241" s="37">
        <v>9645</v>
      </c>
      <c r="AB241" s="37">
        <v>6980</v>
      </c>
      <c r="AC241" s="37">
        <v>7960</v>
      </c>
      <c r="AD241" s="69">
        <v>5.8</v>
      </c>
      <c r="AE241" s="69">
        <v>10</v>
      </c>
    </row>
    <row r="242" spans="1:31" ht="12.75" customHeight="1" x14ac:dyDescent="0.25">
      <c r="A242" s="96">
        <v>42912</v>
      </c>
      <c r="B242" s="47" t="s">
        <v>206</v>
      </c>
      <c r="C242" s="80" t="s">
        <v>205</v>
      </c>
      <c r="D242" s="35">
        <v>6995</v>
      </c>
      <c r="E242" s="35">
        <v>7084</v>
      </c>
      <c r="F242" s="35">
        <v>6937</v>
      </c>
      <c r="G242" s="35">
        <v>6998</v>
      </c>
      <c r="H242" s="35">
        <v>6977</v>
      </c>
      <c r="I242" s="35">
        <v>7009</v>
      </c>
      <c r="J242" s="66">
        <v>7017</v>
      </c>
      <c r="K242" s="66">
        <v>6938</v>
      </c>
      <c r="L242" s="66">
        <v>6970</v>
      </c>
      <c r="M242" s="66">
        <v>7005</v>
      </c>
      <c r="N242" s="66">
        <v>7073</v>
      </c>
      <c r="O242" s="66">
        <v>6997</v>
      </c>
      <c r="P242" s="66">
        <v>7030</v>
      </c>
      <c r="Q242" s="50">
        <f>IF((L243=""),"",MAX(D244:P244))</f>
        <v>5451</v>
      </c>
      <c r="R242" s="47">
        <f>IF(L243="","",MIN(D244:L244))</f>
        <v>5405</v>
      </c>
      <c r="S242" s="53">
        <f>IF((P244=""),"",AVERAGE(D244:P244))</f>
        <v>5429.9230769230771</v>
      </c>
      <c r="T242" s="109">
        <f>IF((L243=""),"",(Q242-R242)/(Q242+R242)*100)</f>
        <v>0.42372881355932202</v>
      </c>
      <c r="U242" s="47">
        <f>STDEV(D244:P244)</f>
        <v>14.517010358320672</v>
      </c>
      <c r="V242" s="276" t="str">
        <f>IF(P243="","",IF(T242&lt;2.7,IF(S242&gt;5150,IF(S242&lt;5600,"Pass","Fail"),"Fail"),"Fail"))</f>
        <v>Pass</v>
      </c>
      <c r="W242" s="47">
        <v>1159</v>
      </c>
      <c r="X242" s="99" t="s">
        <v>248</v>
      </c>
      <c r="Y242" s="99"/>
      <c r="Z242" s="71">
        <v>4470</v>
      </c>
      <c r="AA242" s="71">
        <v>6020</v>
      </c>
      <c r="AB242" s="71">
        <v>5150</v>
      </c>
      <c r="AC242" s="71">
        <v>5600</v>
      </c>
      <c r="AD242" s="70">
        <v>2.7</v>
      </c>
      <c r="AE242" s="69">
        <v>10</v>
      </c>
    </row>
    <row r="243" spans="1:31" ht="12.75" customHeight="1" x14ac:dyDescent="0.25">
      <c r="A243" s="89"/>
      <c r="B243" s="47"/>
      <c r="C243" s="56" t="s">
        <v>204</v>
      </c>
      <c r="D243" s="35">
        <v>1568</v>
      </c>
      <c r="E243" s="35">
        <v>1660</v>
      </c>
      <c r="F243" s="35">
        <v>1525</v>
      </c>
      <c r="G243" s="35">
        <v>1549</v>
      </c>
      <c r="H243" s="35">
        <v>1545</v>
      </c>
      <c r="I243" s="35">
        <v>1574</v>
      </c>
      <c r="J243" s="66">
        <v>1566</v>
      </c>
      <c r="K243" s="66">
        <v>1490</v>
      </c>
      <c r="L243" s="66">
        <v>1565</v>
      </c>
      <c r="M243" s="66">
        <v>1569</v>
      </c>
      <c r="N243" s="66">
        <v>1641</v>
      </c>
      <c r="O243" s="66">
        <v>1585</v>
      </c>
      <c r="P243" s="66">
        <v>1604</v>
      </c>
      <c r="Q243" s="47"/>
      <c r="R243" s="47"/>
      <c r="S243" s="47"/>
      <c r="T243" s="47"/>
      <c r="U243" s="47"/>
      <c r="V243" s="274"/>
      <c r="W243" s="47"/>
      <c r="X243" s="102"/>
      <c r="Y243" s="102"/>
      <c r="Z243" s="37">
        <v>4955</v>
      </c>
      <c r="AA243" s="37">
        <v>9645</v>
      </c>
      <c r="AB243" s="37">
        <v>6980</v>
      </c>
      <c r="AC243" s="37">
        <v>7960</v>
      </c>
      <c r="AD243" s="69">
        <v>5.8</v>
      </c>
      <c r="AE243" s="69">
        <v>10</v>
      </c>
    </row>
    <row r="244" spans="1:31" ht="24.8" customHeight="1" thickBot="1" x14ac:dyDescent="0.3">
      <c r="A244" s="91"/>
      <c r="B244" s="80"/>
      <c r="C244" s="56" t="s">
        <v>203</v>
      </c>
      <c r="D244" s="97">
        <f t="shared" ref="D244:P244" si="77">IF(((D242="")*AND(D243="")),"",(D242-D243))</f>
        <v>5427</v>
      </c>
      <c r="E244" s="97">
        <f t="shared" si="77"/>
        <v>5424</v>
      </c>
      <c r="F244" s="97">
        <f t="shared" si="77"/>
        <v>5412</v>
      </c>
      <c r="G244" s="97">
        <f t="shared" si="77"/>
        <v>5449</v>
      </c>
      <c r="H244" s="97">
        <f t="shared" si="77"/>
        <v>5432</v>
      </c>
      <c r="I244" s="97">
        <f t="shared" si="77"/>
        <v>5435</v>
      </c>
      <c r="J244" s="97">
        <f t="shared" si="77"/>
        <v>5451</v>
      </c>
      <c r="K244" s="97">
        <f t="shared" si="77"/>
        <v>5448</v>
      </c>
      <c r="L244" s="97">
        <f t="shared" si="77"/>
        <v>5405</v>
      </c>
      <c r="M244" s="97">
        <f t="shared" si="77"/>
        <v>5436</v>
      </c>
      <c r="N244" s="97">
        <f t="shared" si="77"/>
        <v>5432</v>
      </c>
      <c r="O244" s="97">
        <f t="shared" si="77"/>
        <v>5412</v>
      </c>
      <c r="P244" s="97">
        <f t="shared" si="77"/>
        <v>5426</v>
      </c>
      <c r="Q244" s="80"/>
      <c r="R244" s="80"/>
      <c r="S244" s="80"/>
      <c r="T244" s="80"/>
      <c r="U244" s="80"/>
      <c r="V244" s="277"/>
      <c r="W244" s="80"/>
      <c r="X244" s="102"/>
      <c r="Y244" s="102"/>
      <c r="Z244" s="37">
        <v>4955</v>
      </c>
      <c r="AA244" s="37">
        <v>9645</v>
      </c>
      <c r="AB244" s="37">
        <v>6980</v>
      </c>
      <c r="AC244" s="37">
        <v>7960</v>
      </c>
      <c r="AD244" s="69">
        <v>5.8</v>
      </c>
      <c r="AE244" s="69">
        <v>10</v>
      </c>
    </row>
    <row r="245" spans="1:31" x14ac:dyDescent="0.25">
      <c r="A245" s="96">
        <v>42912</v>
      </c>
      <c r="B245" s="50" t="s">
        <v>208</v>
      </c>
      <c r="C245" s="56" t="s">
        <v>205</v>
      </c>
      <c r="D245" s="35">
        <v>5972</v>
      </c>
      <c r="E245" s="35">
        <v>6015</v>
      </c>
      <c r="F245" s="35">
        <v>6044</v>
      </c>
      <c r="G245" s="35">
        <v>6010</v>
      </c>
      <c r="H245" s="35">
        <v>5981</v>
      </c>
      <c r="I245" s="35">
        <v>5994</v>
      </c>
      <c r="J245" s="66">
        <v>6005</v>
      </c>
      <c r="K245" s="66">
        <v>6034</v>
      </c>
      <c r="L245" s="66">
        <v>5908</v>
      </c>
      <c r="M245" s="55"/>
      <c r="N245" s="55"/>
      <c r="O245" s="55"/>
      <c r="P245" s="55"/>
      <c r="Q245" s="50">
        <f>IF((L246=""),"",MAX(D247:L247))</f>
        <v>7520</v>
      </c>
      <c r="R245" s="50">
        <f>IF(L246="","",MIN(D247:L247))</f>
        <v>7230</v>
      </c>
      <c r="S245" s="77">
        <f>IF((L247=""),"",AVERAGE(D247:L247))</f>
        <v>7371.5555555555557</v>
      </c>
      <c r="T245" s="53">
        <f>IF((L246=""),"",(Q245-R245)/(Q245+R245)*100)</f>
        <v>1.9661016949152541</v>
      </c>
      <c r="U245" s="50">
        <f>STDEV(D247:P247)</f>
        <v>81.876600917342543</v>
      </c>
      <c r="V245" s="273" t="str">
        <f>IF(L246="","",IF(T245&lt;7.3,IF(S245&gt;5700,IF(S245&lt;7200,"Pass","Fail"),"Fail"),"Fail"))</f>
        <v>Fail</v>
      </c>
      <c r="W245" s="57">
        <v>1159</v>
      </c>
      <c r="X245" s="102" t="s">
        <v>248</v>
      </c>
      <c r="Y245" s="102"/>
      <c r="Z245" s="37">
        <v>4955</v>
      </c>
      <c r="AA245" s="37">
        <v>9645</v>
      </c>
      <c r="AB245" s="37">
        <v>5100</v>
      </c>
      <c r="AC245" s="37">
        <v>8300</v>
      </c>
      <c r="AD245" s="69">
        <v>9.8000000000000007</v>
      </c>
      <c r="AE245" s="69">
        <v>10</v>
      </c>
    </row>
    <row r="246" spans="1:31" ht="12.75" customHeight="1" x14ac:dyDescent="0.25">
      <c r="A246" s="89"/>
      <c r="B246" s="47"/>
      <c r="C246" s="56" t="s">
        <v>204</v>
      </c>
      <c r="D246" s="35">
        <v>2332</v>
      </c>
      <c r="E246" s="35">
        <v>2334</v>
      </c>
      <c r="F246" s="35">
        <v>2340</v>
      </c>
      <c r="G246" s="35">
        <v>2304</v>
      </c>
      <c r="H246" s="35">
        <v>2294</v>
      </c>
      <c r="I246" s="35">
        <v>2234</v>
      </c>
      <c r="J246" s="35">
        <v>2315</v>
      </c>
      <c r="K246" s="35">
        <v>2345</v>
      </c>
      <c r="L246" s="35">
        <v>2293</v>
      </c>
      <c r="M246" s="55"/>
      <c r="N246" s="55"/>
      <c r="O246" s="55"/>
      <c r="P246" s="55"/>
      <c r="Q246" s="47"/>
      <c r="R246" s="47"/>
      <c r="S246" s="47"/>
      <c r="T246" s="47"/>
      <c r="U246" s="47"/>
      <c r="V246" s="274"/>
      <c r="W246" s="47"/>
      <c r="X246" s="102"/>
      <c r="Y246" s="102"/>
      <c r="Z246" s="37">
        <v>4955</v>
      </c>
      <c r="AA246" s="37">
        <v>9645</v>
      </c>
      <c r="AB246" s="37">
        <v>6980</v>
      </c>
      <c r="AC246" s="37">
        <v>7960</v>
      </c>
      <c r="AD246" s="69">
        <v>5.8</v>
      </c>
      <c r="AE246" s="69">
        <v>10</v>
      </c>
    </row>
    <row r="247" spans="1:31" ht="24.8" customHeight="1" thickBot="1" x14ac:dyDescent="0.3">
      <c r="A247" s="89"/>
      <c r="B247" s="47"/>
      <c r="C247" s="50" t="s">
        <v>203</v>
      </c>
      <c r="D247" s="54">
        <f t="shared" ref="D247:L247" si="78">IF(((D245="")*AND(D246="")),"",(D245-D246)*2)</f>
        <v>7280</v>
      </c>
      <c r="E247" s="54">
        <f t="shared" si="78"/>
        <v>7362</v>
      </c>
      <c r="F247" s="54">
        <f t="shared" si="78"/>
        <v>7408</v>
      </c>
      <c r="G247" s="54">
        <f t="shared" si="78"/>
        <v>7412</v>
      </c>
      <c r="H247" s="54">
        <f t="shared" si="78"/>
        <v>7374</v>
      </c>
      <c r="I247" s="54">
        <f t="shared" si="78"/>
        <v>7520</v>
      </c>
      <c r="J247" s="54">
        <f t="shared" si="78"/>
        <v>7380</v>
      </c>
      <c r="K247" s="54">
        <f t="shared" si="78"/>
        <v>7378</v>
      </c>
      <c r="L247" s="54">
        <f t="shared" si="78"/>
        <v>7230</v>
      </c>
      <c r="M247" s="54"/>
      <c r="N247" s="54"/>
      <c r="O247" s="54"/>
      <c r="P247" s="54" t="str">
        <f>IF(((P245="")*AND(P246="")),"",(P245-P246)*2)</f>
        <v/>
      </c>
      <c r="Q247" s="47"/>
      <c r="R247" s="47"/>
      <c r="S247" s="47"/>
      <c r="T247" s="47"/>
      <c r="U247" s="47"/>
      <c r="V247" s="274"/>
      <c r="W247" s="47"/>
      <c r="X247" s="101"/>
      <c r="Y247" s="101"/>
      <c r="Z247" s="37">
        <v>4955</v>
      </c>
      <c r="AA247" s="37">
        <v>9645</v>
      </c>
      <c r="AB247" s="37">
        <v>6980</v>
      </c>
      <c r="AC247" s="37">
        <v>7960</v>
      </c>
      <c r="AD247" s="69">
        <v>5.8</v>
      </c>
      <c r="AE247" s="69">
        <v>10</v>
      </c>
    </row>
    <row r="248" spans="1:31" ht="12.75" customHeight="1" x14ac:dyDescent="0.25">
      <c r="A248" s="96">
        <v>42916</v>
      </c>
      <c r="B248" s="57" t="s">
        <v>206</v>
      </c>
      <c r="C248" s="61" t="s">
        <v>205</v>
      </c>
      <c r="D248" s="35">
        <v>6877.77</v>
      </c>
      <c r="E248" s="35">
        <v>6963.91</v>
      </c>
      <c r="F248" s="35">
        <v>6830.2</v>
      </c>
      <c r="G248" s="35">
        <v>6902.35</v>
      </c>
      <c r="H248" s="35">
        <v>6841.69</v>
      </c>
      <c r="I248" s="35">
        <v>6890.68</v>
      </c>
      <c r="J248" s="35">
        <v>6925.5</v>
      </c>
      <c r="K248" s="35">
        <v>6850.82</v>
      </c>
      <c r="L248" s="35">
        <v>6865.99</v>
      </c>
      <c r="M248" s="35">
        <v>6910.42</v>
      </c>
      <c r="N248" s="35">
        <v>6950.09</v>
      </c>
      <c r="O248" s="35">
        <v>6889.22</v>
      </c>
      <c r="P248" s="35">
        <v>6907.72</v>
      </c>
      <c r="Q248" s="50">
        <f>IF((L249=""),"",MAX(D250:P250))</f>
        <v>5425.74</v>
      </c>
      <c r="R248" s="57">
        <f>IF(L249="","",MIN(D250:L250))</f>
        <v>5377.61</v>
      </c>
      <c r="S248" s="53">
        <f>IF((P250=""),"",AVERAGE(D250:P250))</f>
        <v>5398.3046153846144</v>
      </c>
      <c r="T248" s="53">
        <f>IF((L249=""),"",(Q248-R248)/(Q248+R248)*100)</f>
        <v>0.44550995755946177</v>
      </c>
      <c r="U248" s="57">
        <f>STDEV(D250:P250)</f>
        <v>16.436646867789445</v>
      </c>
      <c r="V248" s="276" t="str">
        <f>IF(P249="","",IF(T248&lt;2.7,IF(S248&gt;5150,IF(S248&lt;5600,"Pass","Fail"),"Fail"),"Fail"))</f>
        <v>Pass</v>
      </c>
      <c r="W248" s="57">
        <v>102</v>
      </c>
      <c r="X248" s="99" t="s">
        <v>247</v>
      </c>
      <c r="Y248" s="99"/>
      <c r="Z248" s="71">
        <v>4470</v>
      </c>
      <c r="AA248" s="71">
        <v>6020</v>
      </c>
      <c r="AB248" s="71">
        <v>5150</v>
      </c>
      <c r="AC248" s="71">
        <v>5600</v>
      </c>
      <c r="AD248" s="70">
        <v>2.7</v>
      </c>
      <c r="AE248" s="69">
        <v>10</v>
      </c>
    </row>
    <row r="249" spans="1:31" ht="12.75" customHeight="1" x14ac:dyDescent="0.25">
      <c r="A249" s="49"/>
      <c r="B249" s="47"/>
      <c r="C249" s="56" t="s">
        <v>204</v>
      </c>
      <c r="D249" s="35">
        <v>1490.42</v>
      </c>
      <c r="E249" s="35">
        <v>1576.67</v>
      </c>
      <c r="F249" s="35">
        <v>1452.59</v>
      </c>
      <c r="G249" s="35">
        <v>1490.62</v>
      </c>
      <c r="H249" s="35">
        <v>1461.67</v>
      </c>
      <c r="I249" s="35">
        <v>1486.1</v>
      </c>
      <c r="J249" s="35">
        <v>1506.28</v>
      </c>
      <c r="K249" s="35">
        <v>1425.08</v>
      </c>
      <c r="L249" s="35">
        <v>1487.67</v>
      </c>
      <c r="M249" s="35">
        <v>1494.27</v>
      </c>
      <c r="N249" s="35">
        <v>1549.32</v>
      </c>
      <c r="O249" s="35">
        <v>1500.77</v>
      </c>
      <c r="P249" s="35">
        <v>1506.94</v>
      </c>
      <c r="Q249" s="47"/>
      <c r="R249" s="47"/>
      <c r="S249" s="47"/>
      <c r="T249" s="47"/>
      <c r="U249" s="47"/>
      <c r="V249" s="274"/>
      <c r="W249" s="47"/>
      <c r="X249" s="102"/>
      <c r="Y249" s="102"/>
      <c r="Z249" s="37">
        <v>4955</v>
      </c>
      <c r="AA249" s="37">
        <v>9645</v>
      </c>
      <c r="AB249" s="37">
        <v>6980</v>
      </c>
      <c r="AC249" s="37">
        <v>7960</v>
      </c>
      <c r="AD249" s="69">
        <v>5.8</v>
      </c>
      <c r="AE249" s="69">
        <v>10</v>
      </c>
    </row>
    <row r="250" spans="1:31" ht="23.95" customHeight="1" x14ac:dyDescent="0.25">
      <c r="A250" s="81"/>
      <c r="B250" s="80"/>
      <c r="C250" s="56" t="s">
        <v>203</v>
      </c>
      <c r="D250" s="97">
        <f t="shared" ref="D250:P250" si="79">IF(((D248="")*AND(D249="")),"",(D248-D249))</f>
        <v>5387.35</v>
      </c>
      <c r="E250" s="97">
        <f t="shared" si="79"/>
        <v>5387.24</v>
      </c>
      <c r="F250" s="97">
        <f t="shared" si="79"/>
        <v>5377.61</v>
      </c>
      <c r="G250" s="97">
        <f t="shared" si="79"/>
        <v>5411.7300000000005</v>
      </c>
      <c r="H250" s="97">
        <f t="shared" si="79"/>
        <v>5380.0199999999995</v>
      </c>
      <c r="I250" s="97">
        <f t="shared" si="79"/>
        <v>5404.58</v>
      </c>
      <c r="J250" s="97">
        <f t="shared" si="79"/>
        <v>5419.22</v>
      </c>
      <c r="K250" s="97">
        <f t="shared" si="79"/>
        <v>5425.74</v>
      </c>
      <c r="L250" s="97">
        <f t="shared" si="79"/>
        <v>5378.32</v>
      </c>
      <c r="M250" s="97">
        <f t="shared" si="79"/>
        <v>5416.15</v>
      </c>
      <c r="N250" s="97">
        <f t="shared" si="79"/>
        <v>5400.77</v>
      </c>
      <c r="O250" s="97">
        <f t="shared" si="79"/>
        <v>5388.4500000000007</v>
      </c>
      <c r="P250" s="97">
        <f t="shared" si="79"/>
        <v>5400.7800000000007</v>
      </c>
      <c r="Q250" s="80"/>
      <c r="R250" s="80"/>
      <c r="S250" s="80"/>
      <c r="T250" s="47"/>
      <c r="U250" s="80"/>
      <c r="V250" s="277"/>
      <c r="W250" s="80"/>
      <c r="X250" s="102"/>
      <c r="Y250" s="102"/>
      <c r="Z250" s="37">
        <v>4955</v>
      </c>
      <c r="AA250" s="37">
        <v>9645</v>
      </c>
      <c r="AB250" s="37">
        <v>6980</v>
      </c>
      <c r="AC250" s="37">
        <v>7960</v>
      </c>
      <c r="AD250" s="69">
        <v>5.8</v>
      </c>
      <c r="AE250" s="69">
        <v>10</v>
      </c>
    </row>
    <row r="251" spans="1:31" x14ac:dyDescent="0.25">
      <c r="A251" s="96">
        <v>42916</v>
      </c>
      <c r="B251" s="50" t="s">
        <v>208</v>
      </c>
      <c r="C251" s="56" t="s">
        <v>205</v>
      </c>
      <c r="D251" s="35">
        <v>5971.76</v>
      </c>
      <c r="E251" s="35">
        <v>6013.6</v>
      </c>
      <c r="F251" s="35">
        <v>6036.95</v>
      </c>
      <c r="G251" s="35">
        <v>5995.6</v>
      </c>
      <c r="H251" s="35">
        <v>5966.11</v>
      </c>
      <c r="I251" s="35">
        <v>5959.36</v>
      </c>
      <c r="J251" s="35">
        <v>6005.51</v>
      </c>
      <c r="K251" s="35">
        <v>6028.7</v>
      </c>
      <c r="L251" s="35">
        <v>5902.73</v>
      </c>
      <c r="M251" s="55"/>
      <c r="N251" s="55"/>
      <c r="O251" s="55"/>
      <c r="P251" s="55"/>
      <c r="Q251" s="50">
        <f>IF((L252=""),"",MAX(D253:L253))</f>
        <v>7544.7199999999993</v>
      </c>
      <c r="R251" s="50">
        <f>IF(L252="","",MIN(D253:L253))</f>
        <v>7072.2199999999993</v>
      </c>
      <c r="S251" s="77">
        <f>IF((L253=""),"",AVERAGE(D253:L253))</f>
        <v>7291.4177777777786</v>
      </c>
      <c r="T251" s="52">
        <f>IF((L252=""),"",(Q251-R251)/(Q251+R251)*100)</f>
        <v>3.2325507253912242</v>
      </c>
      <c r="U251" s="50">
        <f>STDEV(D253:P253)</f>
        <v>132.32011239582746</v>
      </c>
      <c r="V251" s="273" t="str">
        <f>IF(L252="","",IF(T251&lt;7.3,IF(S251&gt;5700,IF(S251&lt;7200,"Pass","Fail"),"Fail"),"Fail"))</f>
        <v>Fail</v>
      </c>
      <c r="W251" s="47">
        <v>102</v>
      </c>
      <c r="X251" s="102" t="s">
        <v>247</v>
      </c>
      <c r="Y251" s="102"/>
      <c r="Z251" s="37">
        <v>4955</v>
      </c>
      <c r="AA251" s="37">
        <v>9645</v>
      </c>
      <c r="AB251" s="37">
        <v>5100</v>
      </c>
      <c r="AC251" s="37">
        <v>8300</v>
      </c>
      <c r="AD251" s="69">
        <v>9.8000000000000007</v>
      </c>
      <c r="AE251" s="69">
        <v>10</v>
      </c>
    </row>
    <row r="252" spans="1:31" ht="12.75" customHeight="1" x14ac:dyDescent="0.25">
      <c r="A252" s="49"/>
      <c r="B252" s="47"/>
      <c r="C252" s="56" t="s">
        <v>204</v>
      </c>
      <c r="D252" s="35">
        <v>2395.81</v>
      </c>
      <c r="E252" s="35">
        <v>2382.8200000000002</v>
      </c>
      <c r="F252" s="35">
        <v>2381.48</v>
      </c>
      <c r="G252" s="35">
        <v>2332.54</v>
      </c>
      <c r="H252" s="35">
        <v>2285.02</v>
      </c>
      <c r="I252" s="35">
        <v>2187</v>
      </c>
      <c r="J252" s="35">
        <v>2346.88</v>
      </c>
      <c r="K252" s="35">
        <v>2390.77</v>
      </c>
      <c r="L252" s="35">
        <v>2366.62</v>
      </c>
      <c r="M252" s="55"/>
      <c r="N252" s="55"/>
      <c r="O252" s="55"/>
      <c r="P252" s="55"/>
      <c r="Q252" s="47"/>
      <c r="R252" s="47"/>
      <c r="S252" s="47"/>
      <c r="T252" s="47"/>
      <c r="U252" s="47"/>
      <c r="V252" s="274"/>
      <c r="W252" s="47"/>
      <c r="X252" s="102"/>
      <c r="Y252" s="102"/>
      <c r="Z252" s="37">
        <v>4955</v>
      </c>
      <c r="AA252" s="37">
        <v>9645</v>
      </c>
      <c r="AB252" s="37">
        <v>6980</v>
      </c>
      <c r="AC252" s="37">
        <v>7960</v>
      </c>
      <c r="AD252" s="69">
        <v>5.8</v>
      </c>
      <c r="AE252" s="69">
        <v>10</v>
      </c>
    </row>
    <row r="253" spans="1:31" ht="24.8" customHeight="1" thickBot="1" x14ac:dyDescent="0.3">
      <c r="A253" s="45"/>
      <c r="B253" s="42"/>
      <c r="C253" s="76" t="s">
        <v>203</v>
      </c>
      <c r="D253" s="84">
        <f t="shared" ref="D253:L253" si="80">IF(((D251="")*AND(D252="")),"",(D251-D252)*2)</f>
        <v>7151.9000000000005</v>
      </c>
      <c r="E253" s="84">
        <f t="shared" si="80"/>
        <v>7261.56</v>
      </c>
      <c r="F253" s="84">
        <f t="shared" si="80"/>
        <v>7310.94</v>
      </c>
      <c r="G253" s="84">
        <f t="shared" si="80"/>
        <v>7326.1200000000008</v>
      </c>
      <c r="H253" s="84">
        <f t="shared" si="80"/>
        <v>7362.1799999999994</v>
      </c>
      <c r="I253" s="84">
        <f t="shared" si="80"/>
        <v>7544.7199999999993</v>
      </c>
      <c r="J253" s="84">
        <f t="shared" si="80"/>
        <v>7317.26</v>
      </c>
      <c r="K253" s="84">
        <f t="shared" si="80"/>
        <v>7275.86</v>
      </c>
      <c r="L253" s="84">
        <f t="shared" si="80"/>
        <v>7072.2199999999993</v>
      </c>
      <c r="M253" s="84"/>
      <c r="N253" s="84"/>
      <c r="O253" s="84"/>
      <c r="P253" s="84" t="str">
        <f>IF(((P251="")*AND(P252="")),"",(P251-P252)*2)</f>
        <v/>
      </c>
      <c r="Q253" s="42"/>
      <c r="R253" s="42"/>
      <c r="S253" s="42"/>
      <c r="T253" s="42"/>
      <c r="U253" s="42"/>
      <c r="V253" s="275"/>
      <c r="W253" s="42"/>
      <c r="X253" s="101"/>
      <c r="Y253" s="101"/>
      <c r="Z253" s="37">
        <v>4955</v>
      </c>
      <c r="AA253" s="37">
        <v>9645</v>
      </c>
      <c r="AB253" s="37">
        <v>6980</v>
      </c>
      <c r="AC253" s="37">
        <v>7960</v>
      </c>
      <c r="AD253" s="69">
        <v>5.8</v>
      </c>
      <c r="AE253" s="69">
        <v>10</v>
      </c>
    </row>
    <row r="254" spans="1:31" ht="12.75" customHeight="1" x14ac:dyDescent="0.25">
      <c r="A254" s="96">
        <v>42922</v>
      </c>
      <c r="B254" s="57" t="s">
        <v>206</v>
      </c>
      <c r="C254" s="61" t="s">
        <v>205</v>
      </c>
      <c r="D254" s="35">
        <v>6891.83</v>
      </c>
      <c r="E254" s="35">
        <v>6981.29</v>
      </c>
      <c r="F254" s="35">
        <v>6837.71</v>
      </c>
      <c r="G254" s="35">
        <v>6898.53</v>
      </c>
      <c r="H254" s="35">
        <v>6867.45</v>
      </c>
      <c r="I254" s="35">
        <v>6903.71</v>
      </c>
      <c r="J254" s="35">
        <v>6916.23</v>
      </c>
      <c r="K254" s="35">
        <v>6837.14</v>
      </c>
      <c r="L254" s="35">
        <v>6868.81</v>
      </c>
      <c r="M254" s="35">
        <v>6901.79</v>
      </c>
      <c r="N254" s="35">
        <v>6965.4</v>
      </c>
      <c r="O254" s="35">
        <v>6890.66</v>
      </c>
      <c r="P254" s="35">
        <v>6920.39</v>
      </c>
      <c r="Q254" s="50">
        <f>IF((L255=""),"",MAX(D256:P256))</f>
        <v>5404.3799999999992</v>
      </c>
      <c r="R254" s="57">
        <f>IF(L255="","",MIN(D256:L256))</f>
        <v>5353.01</v>
      </c>
      <c r="S254" s="53">
        <f>IF((P256=""),"",AVERAGE(D256:P256))</f>
        <v>5384.9669230769232</v>
      </c>
      <c r="T254" s="53">
        <f>IF((L255=""),"",(Q254-R254)/(Q254+R254)*100)</f>
        <v>0.47753218949948811</v>
      </c>
      <c r="U254" s="57">
        <f>STDEV(D256:P256)</f>
        <v>19.331863328287625</v>
      </c>
      <c r="V254" s="276" t="str">
        <f>IF(P255="","",IF(T254&lt;2.7,IF(S254&gt;5150,IF(S254&lt;5600,"Pass","Fail"),"Fail"),"Fail"))</f>
        <v>Pass</v>
      </c>
      <c r="W254" s="57">
        <v>102</v>
      </c>
      <c r="X254" s="99" t="s">
        <v>246</v>
      </c>
      <c r="Y254" s="99"/>
      <c r="Z254" s="71">
        <v>4470</v>
      </c>
      <c r="AA254" s="71">
        <v>6020</v>
      </c>
      <c r="AB254" s="71">
        <v>5150</v>
      </c>
      <c r="AC254" s="71">
        <v>5600</v>
      </c>
      <c r="AD254" s="70">
        <v>2.7</v>
      </c>
      <c r="AE254" s="69">
        <v>10</v>
      </c>
    </row>
    <row r="255" spans="1:31" ht="12.75" customHeight="1" x14ac:dyDescent="0.25">
      <c r="A255" s="49"/>
      <c r="B255" s="47"/>
      <c r="C255" s="56" t="s">
        <v>204</v>
      </c>
      <c r="D255" s="35">
        <v>1522.68</v>
      </c>
      <c r="E255" s="35">
        <v>1603.3</v>
      </c>
      <c r="F255" s="35">
        <v>1484.14</v>
      </c>
      <c r="G255" s="35">
        <v>1510.63</v>
      </c>
      <c r="H255" s="35">
        <v>1493.9</v>
      </c>
      <c r="I255" s="35">
        <v>1500.46</v>
      </c>
      <c r="J255" s="35">
        <v>1514.75</v>
      </c>
      <c r="K255" s="35">
        <v>1433.17</v>
      </c>
      <c r="L255" s="35">
        <v>1515.8</v>
      </c>
      <c r="M255" s="35">
        <v>1498.53</v>
      </c>
      <c r="N255" s="35">
        <v>1561.02</v>
      </c>
      <c r="O255" s="35">
        <v>1517.46</v>
      </c>
      <c r="P255" s="35">
        <v>1520.53</v>
      </c>
      <c r="Q255" s="47"/>
      <c r="R255" s="47"/>
      <c r="S255" s="47"/>
      <c r="T255" s="47"/>
      <c r="U255" s="47"/>
      <c r="V255" s="274"/>
      <c r="W255" s="47"/>
      <c r="X255" s="102"/>
      <c r="Y255" s="102"/>
      <c r="Z255" s="37">
        <v>4955</v>
      </c>
      <c r="AA255" s="37">
        <v>9645</v>
      </c>
      <c r="AB255" s="37">
        <v>6980</v>
      </c>
      <c r="AC255" s="37">
        <v>7960</v>
      </c>
      <c r="AD255" s="69">
        <v>5.8</v>
      </c>
      <c r="AE255" s="69">
        <v>10</v>
      </c>
    </row>
    <row r="256" spans="1:31" ht="23.95" customHeight="1" x14ac:dyDescent="0.25">
      <c r="A256" s="81"/>
      <c r="B256" s="80"/>
      <c r="C256" s="56" t="s">
        <v>203</v>
      </c>
      <c r="D256" s="97">
        <f t="shared" ref="D256:P256" si="81">IF(((D254="")*AND(D255="")),"",(D254-D255))</f>
        <v>5369.15</v>
      </c>
      <c r="E256" s="97">
        <f t="shared" si="81"/>
        <v>5377.99</v>
      </c>
      <c r="F256" s="97">
        <f t="shared" si="81"/>
        <v>5353.57</v>
      </c>
      <c r="G256" s="97">
        <f t="shared" si="81"/>
        <v>5387.9</v>
      </c>
      <c r="H256" s="97">
        <f t="shared" si="81"/>
        <v>5373.5499999999993</v>
      </c>
      <c r="I256" s="97">
        <f t="shared" si="81"/>
        <v>5403.25</v>
      </c>
      <c r="J256" s="97">
        <f t="shared" si="81"/>
        <v>5401.48</v>
      </c>
      <c r="K256" s="97">
        <f t="shared" si="81"/>
        <v>5403.97</v>
      </c>
      <c r="L256" s="97">
        <f t="shared" si="81"/>
        <v>5353.01</v>
      </c>
      <c r="M256" s="97">
        <f t="shared" si="81"/>
        <v>5403.26</v>
      </c>
      <c r="N256" s="97">
        <f t="shared" si="81"/>
        <v>5404.3799999999992</v>
      </c>
      <c r="O256" s="97">
        <f t="shared" si="81"/>
        <v>5373.2</v>
      </c>
      <c r="P256" s="97">
        <f t="shared" si="81"/>
        <v>5399.8600000000006</v>
      </c>
      <c r="Q256" s="80"/>
      <c r="R256" s="80"/>
      <c r="S256" s="80"/>
      <c r="T256" s="47"/>
      <c r="U256" s="80"/>
      <c r="V256" s="277"/>
      <c r="W256" s="80"/>
      <c r="X256" s="102"/>
      <c r="Y256" s="102"/>
      <c r="Z256" s="37">
        <v>4955</v>
      </c>
      <c r="AA256" s="37">
        <v>9645</v>
      </c>
      <c r="AB256" s="37">
        <v>6980</v>
      </c>
      <c r="AC256" s="37">
        <v>7960</v>
      </c>
      <c r="AD256" s="69">
        <v>5.8</v>
      </c>
      <c r="AE256" s="69">
        <v>10</v>
      </c>
    </row>
    <row r="257" spans="1:31" x14ac:dyDescent="0.25">
      <c r="A257" s="96">
        <v>42922</v>
      </c>
      <c r="B257" s="50" t="s">
        <v>208</v>
      </c>
      <c r="C257" s="56" t="s">
        <v>205</v>
      </c>
      <c r="D257" s="35">
        <v>5979.15</v>
      </c>
      <c r="E257" s="35">
        <v>6021.68</v>
      </c>
      <c r="F257" s="35">
        <v>6046.85</v>
      </c>
      <c r="G257" s="35">
        <v>6003.73</v>
      </c>
      <c r="H257" s="35">
        <v>5958.39</v>
      </c>
      <c r="I257" s="35">
        <v>5962.14</v>
      </c>
      <c r="J257" s="35">
        <v>6017.28</v>
      </c>
      <c r="K257" s="35">
        <v>6034.47</v>
      </c>
      <c r="L257" s="35">
        <v>5903.97</v>
      </c>
      <c r="M257" s="55"/>
      <c r="N257" s="55"/>
      <c r="O257" s="55"/>
      <c r="P257" s="55"/>
      <c r="Q257" s="50">
        <f>IF((L258=""),"",MAX(D259:L259))</f>
        <v>7058.8000000000011</v>
      </c>
      <c r="R257" s="50">
        <f>IF(L258="","",MIN(D259:L259))</f>
        <v>6712.42</v>
      </c>
      <c r="S257" s="77">
        <f>IF((L259=""),"",AVERAGE(D259:L259))</f>
        <v>6930.1977777777784</v>
      </c>
      <c r="T257" s="52">
        <f>IF((L258=""),"",(Q257-R257)/(Q257+R257)*100)</f>
        <v>2.5152455628477433</v>
      </c>
      <c r="U257" s="50">
        <f>STDEV(D259:P259)</f>
        <v>130.43983304360876</v>
      </c>
      <c r="V257" s="273" t="str">
        <f>IF(L258="","",IF(T257&lt;7.3,IF(S257&gt;5700,IF(S257&lt;7200,"Pass","Fail"),"Fail"),"Fail"))</f>
        <v>Pass</v>
      </c>
      <c r="W257" s="47">
        <v>102</v>
      </c>
      <c r="X257" s="102" t="s">
        <v>246</v>
      </c>
      <c r="Y257" s="102"/>
      <c r="Z257" s="37">
        <v>4955</v>
      </c>
      <c r="AA257" s="37">
        <v>9645</v>
      </c>
      <c r="AB257" s="37">
        <v>5100</v>
      </c>
      <c r="AC257" s="37">
        <v>8300</v>
      </c>
      <c r="AD257" s="69">
        <v>9.8000000000000007</v>
      </c>
      <c r="AE257" s="69">
        <v>10</v>
      </c>
    </row>
    <row r="258" spans="1:31" ht="12.75" customHeight="1" x14ac:dyDescent="0.25">
      <c r="A258" s="49"/>
      <c r="B258" s="47"/>
      <c r="C258" s="56" t="s">
        <v>204</v>
      </c>
      <c r="D258" s="35">
        <v>2621.0100000000002</v>
      </c>
      <c r="E258" s="35">
        <v>2559.0300000000002</v>
      </c>
      <c r="F258" s="35">
        <v>2548.0700000000002</v>
      </c>
      <c r="G258" s="35">
        <v>2484.14</v>
      </c>
      <c r="H258" s="35">
        <v>2464.0100000000002</v>
      </c>
      <c r="I258" s="35">
        <v>2432.7399999999998</v>
      </c>
      <c r="J258" s="35">
        <v>2511.9699999999998</v>
      </c>
      <c r="K258" s="35">
        <v>2573.04</v>
      </c>
      <c r="L258" s="35">
        <v>2547.7600000000002</v>
      </c>
      <c r="M258" s="55"/>
      <c r="N258" s="55"/>
      <c r="O258" s="55"/>
      <c r="P258" s="55"/>
      <c r="Q258" s="47"/>
      <c r="R258" s="47"/>
      <c r="S258" s="47"/>
      <c r="T258" s="47"/>
      <c r="U258" s="47"/>
      <c r="V258" s="274"/>
      <c r="W258" s="47"/>
      <c r="X258" s="102"/>
      <c r="Y258" s="102"/>
      <c r="Z258" s="37">
        <v>4955</v>
      </c>
      <c r="AA258" s="37">
        <v>9645</v>
      </c>
      <c r="AB258" s="37">
        <v>6980</v>
      </c>
      <c r="AC258" s="37">
        <v>7960</v>
      </c>
      <c r="AD258" s="69">
        <v>5.8</v>
      </c>
      <c r="AE258" s="69">
        <v>10</v>
      </c>
    </row>
    <row r="259" spans="1:31" ht="24.8" customHeight="1" thickBot="1" x14ac:dyDescent="0.3">
      <c r="A259" s="45"/>
      <c r="B259" s="42"/>
      <c r="C259" s="76" t="s">
        <v>203</v>
      </c>
      <c r="D259" s="84">
        <f t="shared" ref="D259:L259" si="82">IF(((D257="")*AND(D258="")),"",(D257-D258)*2)</f>
        <v>6716.2799999999988</v>
      </c>
      <c r="E259" s="84">
        <f t="shared" si="82"/>
        <v>6925.3</v>
      </c>
      <c r="F259" s="84">
        <f t="shared" si="82"/>
        <v>6997.56</v>
      </c>
      <c r="G259" s="84">
        <f t="shared" si="82"/>
        <v>7039.1799999999994</v>
      </c>
      <c r="H259" s="84">
        <f t="shared" si="82"/>
        <v>6988.76</v>
      </c>
      <c r="I259" s="84">
        <f t="shared" si="82"/>
        <v>7058.8000000000011</v>
      </c>
      <c r="J259" s="84">
        <f t="shared" si="82"/>
        <v>7010.62</v>
      </c>
      <c r="K259" s="84">
        <f t="shared" si="82"/>
        <v>6922.8600000000006</v>
      </c>
      <c r="L259" s="84">
        <f t="shared" si="82"/>
        <v>6712.42</v>
      </c>
      <c r="M259" s="84"/>
      <c r="N259" s="84"/>
      <c r="O259" s="84"/>
      <c r="P259" s="84" t="str">
        <f>IF(((P257="")*AND(P258="")),"",(P257-P258)*2)</f>
        <v/>
      </c>
      <c r="Q259" s="42"/>
      <c r="R259" s="42"/>
      <c r="S259" s="42"/>
      <c r="T259" s="42"/>
      <c r="U259" s="42"/>
      <c r="V259" s="275"/>
      <c r="W259" s="42"/>
      <c r="X259" s="101"/>
      <c r="Y259" s="101"/>
      <c r="Z259" s="37">
        <v>4955</v>
      </c>
      <c r="AA259" s="37">
        <v>9645</v>
      </c>
      <c r="AB259" s="37">
        <v>6980</v>
      </c>
      <c r="AC259" s="37">
        <v>7960</v>
      </c>
      <c r="AD259" s="69">
        <v>5.8</v>
      </c>
      <c r="AE259" s="69">
        <v>10</v>
      </c>
    </row>
    <row r="260" spans="1:31" ht="12.75" customHeight="1" x14ac:dyDescent="0.25">
      <c r="A260" s="96">
        <v>42930</v>
      </c>
      <c r="B260" s="57" t="s">
        <v>206</v>
      </c>
      <c r="C260" s="61" t="s">
        <v>205</v>
      </c>
      <c r="D260" s="35">
        <v>7006.02</v>
      </c>
      <c r="E260" s="35">
        <v>7095.79</v>
      </c>
      <c r="F260" s="35">
        <v>6948.54</v>
      </c>
      <c r="G260" s="35">
        <v>7011.6</v>
      </c>
      <c r="H260" s="35">
        <v>6988.49</v>
      </c>
      <c r="I260" s="35">
        <v>7021.74</v>
      </c>
      <c r="J260" s="35">
        <v>7032.01</v>
      </c>
      <c r="K260" s="35">
        <v>6951.22</v>
      </c>
      <c r="L260" s="35">
        <v>6982</v>
      </c>
      <c r="M260" s="35">
        <v>7020.03</v>
      </c>
      <c r="N260" s="35">
        <v>7085.65</v>
      </c>
      <c r="O260" s="35">
        <v>7008.05</v>
      </c>
      <c r="P260" s="35">
        <v>7040.64</v>
      </c>
      <c r="Q260" s="50">
        <f>IF((L261=""),"",MAX(D262:P262))</f>
        <v>5397.58</v>
      </c>
      <c r="R260" s="57">
        <f>IF(L261="","",MIN(D262:L262))</f>
        <v>5327.62</v>
      </c>
      <c r="S260" s="53">
        <f>IF((P262=""),"",AVERAGE(D262:P262))</f>
        <v>5374.668461538462</v>
      </c>
      <c r="T260" s="53">
        <f>IF((L261=""),"",(Q260-R260)/(Q260+R260)*100)</f>
        <v>0.652295528288517</v>
      </c>
      <c r="U260" s="57">
        <f>STDEV(D262:P262)</f>
        <v>24.622627414011568</v>
      </c>
      <c r="V260" s="276" t="str">
        <f>IF(P261="","",IF(T260&lt;2.7,IF(S260&gt;5150,IF(S260&lt;5600,"Pass","Fail"),"Fail"),"Fail"))</f>
        <v>Pass</v>
      </c>
      <c r="W260" s="57">
        <v>102</v>
      </c>
      <c r="X260" s="99" t="s">
        <v>245</v>
      </c>
      <c r="Y260" s="99"/>
      <c r="Z260" s="71">
        <v>4470</v>
      </c>
      <c r="AA260" s="71">
        <v>6020</v>
      </c>
      <c r="AB260" s="71">
        <v>5150</v>
      </c>
      <c r="AC260" s="71">
        <v>5600</v>
      </c>
      <c r="AD260" s="70">
        <v>2.7</v>
      </c>
      <c r="AE260" s="69">
        <v>10</v>
      </c>
    </row>
    <row r="261" spans="1:31" ht="12.75" customHeight="1" x14ac:dyDescent="0.25">
      <c r="A261" s="49"/>
      <c r="B261" s="47"/>
      <c r="C261" s="56" t="s">
        <v>204</v>
      </c>
      <c r="D261" s="35">
        <v>1648.05</v>
      </c>
      <c r="E261" s="35">
        <v>1721.24</v>
      </c>
      <c r="F261" s="35">
        <v>1620.38</v>
      </c>
      <c r="G261" s="35">
        <v>1627.06</v>
      </c>
      <c r="H261" s="35">
        <v>1594.16</v>
      </c>
      <c r="I261" s="35">
        <v>1629.45</v>
      </c>
      <c r="J261" s="35">
        <v>1637.09</v>
      </c>
      <c r="K261" s="35">
        <v>1564.99</v>
      </c>
      <c r="L261" s="35">
        <v>1654.38</v>
      </c>
      <c r="M261" s="35">
        <v>1636.12</v>
      </c>
      <c r="N261" s="35">
        <v>1688.07</v>
      </c>
      <c r="O261" s="35">
        <v>1652.07</v>
      </c>
      <c r="P261" s="35">
        <v>1648.03</v>
      </c>
      <c r="Q261" s="47"/>
      <c r="R261" s="47"/>
      <c r="S261" s="47"/>
      <c r="T261" s="47"/>
      <c r="U261" s="47"/>
      <c r="V261" s="274"/>
      <c r="W261" s="47"/>
      <c r="X261" s="102"/>
      <c r="Y261" s="102"/>
      <c r="Z261" s="37">
        <v>4955</v>
      </c>
      <c r="AA261" s="37">
        <v>9645</v>
      </c>
      <c r="AB261" s="37">
        <v>6980</v>
      </c>
      <c r="AC261" s="37">
        <v>7960</v>
      </c>
      <c r="AD261" s="69">
        <v>5.8</v>
      </c>
      <c r="AE261" s="69">
        <v>10</v>
      </c>
    </row>
    <row r="262" spans="1:31" ht="23.95" customHeight="1" x14ac:dyDescent="0.25">
      <c r="A262" s="81"/>
      <c r="B262" s="80"/>
      <c r="C262" s="56" t="s">
        <v>203</v>
      </c>
      <c r="D262" s="97">
        <f t="shared" ref="D262:P262" si="83">IF(((D260="")*AND(D261="")),"",(D260-D261))</f>
        <v>5357.97</v>
      </c>
      <c r="E262" s="97">
        <f t="shared" si="83"/>
        <v>5374.55</v>
      </c>
      <c r="F262" s="97">
        <f t="shared" si="83"/>
        <v>5328.16</v>
      </c>
      <c r="G262" s="97">
        <f t="shared" si="83"/>
        <v>5384.5400000000009</v>
      </c>
      <c r="H262" s="97">
        <f t="shared" si="83"/>
        <v>5394.33</v>
      </c>
      <c r="I262" s="97">
        <f t="shared" si="83"/>
        <v>5392.29</v>
      </c>
      <c r="J262" s="97">
        <f t="shared" si="83"/>
        <v>5394.92</v>
      </c>
      <c r="K262" s="97">
        <f t="shared" si="83"/>
        <v>5386.2300000000005</v>
      </c>
      <c r="L262" s="97">
        <f t="shared" si="83"/>
        <v>5327.62</v>
      </c>
      <c r="M262" s="97">
        <f t="shared" si="83"/>
        <v>5383.91</v>
      </c>
      <c r="N262" s="97">
        <f t="shared" si="83"/>
        <v>5397.58</v>
      </c>
      <c r="O262" s="97">
        <f t="shared" si="83"/>
        <v>5355.9800000000005</v>
      </c>
      <c r="P262" s="97">
        <f t="shared" si="83"/>
        <v>5392.6100000000006</v>
      </c>
      <c r="Q262" s="80"/>
      <c r="R262" s="80"/>
      <c r="S262" s="80"/>
      <c r="T262" s="47"/>
      <c r="U262" s="80"/>
      <c r="V262" s="277"/>
      <c r="W262" s="80"/>
      <c r="X262" s="102"/>
      <c r="Y262" s="102"/>
      <c r="Z262" s="37">
        <v>4955</v>
      </c>
      <c r="AA262" s="37">
        <v>9645</v>
      </c>
      <c r="AB262" s="37">
        <v>6980</v>
      </c>
      <c r="AC262" s="37">
        <v>7960</v>
      </c>
      <c r="AD262" s="69">
        <v>5.8</v>
      </c>
      <c r="AE262" s="69">
        <v>10</v>
      </c>
    </row>
    <row r="263" spans="1:31" x14ac:dyDescent="0.25">
      <c r="A263" s="96">
        <v>42930</v>
      </c>
      <c r="B263" s="50" t="s">
        <v>208</v>
      </c>
      <c r="C263" s="56" t="s">
        <v>205</v>
      </c>
      <c r="D263" s="35">
        <v>5965.69</v>
      </c>
      <c r="E263" s="35">
        <v>6020.86</v>
      </c>
      <c r="F263" s="35">
        <v>6035.19</v>
      </c>
      <c r="G263" s="35">
        <v>5983.44</v>
      </c>
      <c r="H263" s="35">
        <v>5928.06</v>
      </c>
      <c r="I263" s="35">
        <v>5958.75</v>
      </c>
      <c r="J263" s="35">
        <v>6014.59</v>
      </c>
      <c r="K263" s="35">
        <v>6038.77</v>
      </c>
      <c r="L263" s="35">
        <v>5895.74</v>
      </c>
      <c r="M263" s="55"/>
      <c r="N263" s="55"/>
      <c r="O263" s="55"/>
      <c r="P263" s="55"/>
      <c r="Q263" s="50">
        <f>IF((L264=""),"",MAX(D265:L265))</f>
        <v>7571.36</v>
      </c>
      <c r="R263" s="50">
        <f>IF(L264="","",MIN(D265:L265))</f>
        <v>7050.1399999999994</v>
      </c>
      <c r="S263" s="77">
        <f>IF((L265=""),"",AVERAGE(D265:L265))</f>
        <v>7291.9155555555544</v>
      </c>
      <c r="T263" s="52">
        <f>IF((L264=""),"",(Q263-R263)/(Q263+R263)*100)</f>
        <v>3.5647505385904341</v>
      </c>
      <c r="U263" s="50">
        <f>STDEV(D265:P265)</f>
        <v>138.78685988874381</v>
      </c>
      <c r="V263" s="273" t="str">
        <f>IF(L264="","",IF(T263&lt;7.3,IF(S263&gt;5700,IF(S263&lt;7200,"Pass","Fail"),"Fail"),"Fail"))</f>
        <v>Fail</v>
      </c>
      <c r="W263" s="47">
        <v>102</v>
      </c>
      <c r="X263" s="102" t="s">
        <v>245</v>
      </c>
      <c r="Y263" s="102"/>
      <c r="Z263" s="37">
        <v>4955</v>
      </c>
      <c r="AA263" s="37">
        <v>9645</v>
      </c>
      <c r="AB263" s="37">
        <v>5100</v>
      </c>
      <c r="AC263" s="37">
        <v>8300</v>
      </c>
      <c r="AD263" s="69">
        <v>9.8000000000000007</v>
      </c>
      <c r="AE263" s="69">
        <v>10</v>
      </c>
    </row>
    <row r="264" spans="1:31" ht="12.75" customHeight="1" x14ac:dyDescent="0.25">
      <c r="A264" s="49"/>
      <c r="B264" s="47"/>
      <c r="C264" s="56" t="s">
        <v>204</v>
      </c>
      <c r="D264" s="35">
        <v>2378.7399999999998</v>
      </c>
      <c r="E264" s="35">
        <v>2379.5700000000002</v>
      </c>
      <c r="F264" s="35">
        <v>2377.89</v>
      </c>
      <c r="G264" s="35">
        <v>2331.5100000000002</v>
      </c>
      <c r="H264" s="35">
        <v>2256.86</v>
      </c>
      <c r="I264" s="35">
        <v>2173.0700000000002</v>
      </c>
      <c r="J264" s="35">
        <v>2361.1799999999998</v>
      </c>
      <c r="K264" s="35">
        <v>2397.98</v>
      </c>
      <c r="L264" s="35">
        <v>2370.67</v>
      </c>
      <c r="M264" s="55"/>
      <c r="N264" s="55"/>
      <c r="O264" s="55"/>
      <c r="P264" s="55"/>
      <c r="Q264" s="47"/>
      <c r="R264" s="47"/>
      <c r="S264" s="47"/>
      <c r="T264" s="47"/>
      <c r="U264" s="47"/>
      <c r="V264" s="274"/>
      <c r="W264" s="47"/>
      <c r="X264" s="102"/>
      <c r="Y264" s="102"/>
      <c r="Z264" s="37">
        <v>4955</v>
      </c>
      <c r="AA264" s="37">
        <v>9645</v>
      </c>
      <c r="AB264" s="37">
        <v>6980</v>
      </c>
      <c r="AC264" s="37">
        <v>7960</v>
      </c>
      <c r="AD264" s="69">
        <v>5.8</v>
      </c>
      <c r="AE264" s="69">
        <v>10</v>
      </c>
    </row>
    <row r="265" spans="1:31" ht="24.8" customHeight="1" thickBot="1" x14ac:dyDescent="0.3">
      <c r="A265" s="45"/>
      <c r="B265" s="42"/>
      <c r="C265" s="76" t="s">
        <v>203</v>
      </c>
      <c r="D265" s="84">
        <f t="shared" ref="D265:L265" si="84">IF(((D263="")*AND(D264="")),"",(D263-D264)*2)</f>
        <v>7173.9</v>
      </c>
      <c r="E265" s="84">
        <f t="shared" si="84"/>
        <v>7282.579999999999</v>
      </c>
      <c r="F265" s="84">
        <f t="shared" si="84"/>
        <v>7314.5999999999995</v>
      </c>
      <c r="G265" s="84">
        <f t="shared" si="84"/>
        <v>7303.8599999999988</v>
      </c>
      <c r="H265" s="84">
        <f t="shared" si="84"/>
        <v>7342.4000000000005</v>
      </c>
      <c r="I265" s="84">
        <f t="shared" si="84"/>
        <v>7571.36</v>
      </c>
      <c r="J265" s="84">
        <f t="shared" si="84"/>
        <v>7306.8200000000006</v>
      </c>
      <c r="K265" s="84">
        <f t="shared" si="84"/>
        <v>7281.5800000000008</v>
      </c>
      <c r="L265" s="84">
        <f t="shared" si="84"/>
        <v>7050.1399999999994</v>
      </c>
      <c r="M265" s="84"/>
      <c r="N265" s="84"/>
      <c r="O265" s="84"/>
      <c r="P265" s="84" t="str">
        <f>IF(((P263="")*AND(P264="")),"",(P263-P264)*2)</f>
        <v/>
      </c>
      <c r="Q265" s="42"/>
      <c r="R265" s="42"/>
      <c r="S265" s="42"/>
      <c r="T265" s="42"/>
      <c r="U265" s="42"/>
      <c r="V265" s="275"/>
      <c r="W265" s="42"/>
      <c r="X265" s="101"/>
      <c r="Y265" s="101"/>
      <c r="Z265" s="37">
        <v>4955</v>
      </c>
      <c r="AA265" s="37">
        <v>9645</v>
      </c>
      <c r="AB265" s="37">
        <v>6980</v>
      </c>
      <c r="AC265" s="37">
        <v>7960</v>
      </c>
      <c r="AD265" s="69">
        <v>5.8</v>
      </c>
      <c r="AE265" s="69">
        <v>10</v>
      </c>
    </row>
    <row r="266" spans="1:31" ht="12.75" customHeight="1" x14ac:dyDescent="0.25">
      <c r="A266" s="96">
        <v>42941</v>
      </c>
      <c r="B266" s="57" t="s">
        <v>206</v>
      </c>
      <c r="C266" s="61" t="s">
        <v>205</v>
      </c>
      <c r="D266" s="35">
        <v>6885.92</v>
      </c>
      <c r="E266" s="35">
        <v>6977.29</v>
      </c>
      <c r="F266" s="35">
        <v>6829.29</v>
      </c>
      <c r="G266" s="35">
        <v>6890.58</v>
      </c>
      <c r="H266" s="35">
        <v>6867.13</v>
      </c>
      <c r="I266" s="35">
        <v>6900.87</v>
      </c>
      <c r="J266" s="35">
        <v>6910.4</v>
      </c>
      <c r="K266" s="35">
        <v>6832.99</v>
      </c>
      <c r="L266" s="35">
        <v>6864.89</v>
      </c>
      <c r="M266" s="35">
        <v>6898.29</v>
      </c>
      <c r="N266" s="35">
        <v>6965.84</v>
      </c>
      <c r="O266" s="35">
        <v>6886.64</v>
      </c>
      <c r="P266" s="35">
        <v>6917.15</v>
      </c>
      <c r="Q266" s="50">
        <f>IF((L267=""),"",MAX(D268:P268))</f>
        <v>5363.1399999999994</v>
      </c>
      <c r="R266" s="57">
        <f>IF(L267="","",MIN(D268:L268))</f>
        <v>5309.79</v>
      </c>
      <c r="S266" s="53">
        <f>IF((P268=""),"",AVERAGE(D268:P268))</f>
        <v>5344.1046153846155</v>
      </c>
      <c r="T266" s="53">
        <f>IF((L267=""),"",(Q266-R266)/(Q266+R266)*100)</f>
        <v>0.49986273684920124</v>
      </c>
      <c r="U266" s="57">
        <f>STDEV(D268:P268)</f>
        <v>17.576329070364366</v>
      </c>
      <c r="V266" s="276" t="str">
        <f>IF(P267="","",IF(T266&lt;2.7,IF(S266&gt;5150,IF(S266&lt;5600,"Pass","Fail"),"Fail"),"Fail"))</f>
        <v>Pass</v>
      </c>
      <c r="W266" s="57">
        <v>1159</v>
      </c>
      <c r="X266" s="99" t="s">
        <v>244</v>
      </c>
      <c r="Y266" s="99"/>
      <c r="Z266" s="71">
        <v>4470</v>
      </c>
      <c r="AA266" s="71">
        <v>6020</v>
      </c>
      <c r="AB266" s="71">
        <v>5150</v>
      </c>
      <c r="AC266" s="71">
        <v>5600</v>
      </c>
      <c r="AD266" s="70">
        <v>2.7</v>
      </c>
      <c r="AE266" s="69">
        <v>10</v>
      </c>
    </row>
    <row r="267" spans="1:31" ht="12.75" customHeight="1" x14ac:dyDescent="0.25">
      <c r="A267" s="49"/>
      <c r="B267" s="47"/>
      <c r="C267" s="56" t="s">
        <v>204</v>
      </c>
      <c r="D267" s="35">
        <v>1551.07</v>
      </c>
      <c r="E267" s="35">
        <v>1630.08</v>
      </c>
      <c r="F267" s="35">
        <v>1519.5</v>
      </c>
      <c r="G267" s="35">
        <v>1543.13</v>
      </c>
      <c r="H267" s="35">
        <v>1517.59</v>
      </c>
      <c r="I267" s="35">
        <v>1537.73</v>
      </c>
      <c r="J267" s="35">
        <v>1555.22</v>
      </c>
      <c r="K267" s="35">
        <v>1482.26</v>
      </c>
      <c r="L267" s="35">
        <v>1554.11</v>
      </c>
      <c r="M267" s="35">
        <v>1545.42</v>
      </c>
      <c r="N267" s="35">
        <v>1604.73</v>
      </c>
      <c r="O267" s="35">
        <v>1555.16</v>
      </c>
      <c r="P267" s="35">
        <v>1557.92</v>
      </c>
      <c r="Q267" s="47"/>
      <c r="R267" s="47"/>
      <c r="S267" s="47"/>
      <c r="T267" s="47"/>
      <c r="U267" s="47"/>
      <c r="V267" s="274"/>
      <c r="W267" s="47"/>
      <c r="X267" s="102"/>
      <c r="Y267" s="102"/>
      <c r="Z267" s="71">
        <v>4470</v>
      </c>
      <c r="AA267" s="71">
        <v>6020</v>
      </c>
      <c r="AB267" s="71">
        <v>4900</v>
      </c>
      <c r="AC267" s="71">
        <v>5500</v>
      </c>
      <c r="AD267" s="70">
        <v>3.7</v>
      </c>
      <c r="AE267" s="69">
        <v>10</v>
      </c>
    </row>
    <row r="268" spans="1:31" ht="24.8" customHeight="1" thickBot="1" x14ac:dyDescent="0.3">
      <c r="A268" s="81"/>
      <c r="B268" s="80"/>
      <c r="C268" s="56" t="s">
        <v>203</v>
      </c>
      <c r="D268" s="97">
        <f t="shared" ref="D268:P268" si="85">IF(((D266="")*AND(D267="")),"",(D266-D267))</f>
        <v>5334.85</v>
      </c>
      <c r="E268" s="97">
        <f t="shared" si="85"/>
        <v>5347.21</v>
      </c>
      <c r="F268" s="97">
        <f t="shared" si="85"/>
        <v>5309.79</v>
      </c>
      <c r="G268" s="97">
        <f t="shared" si="85"/>
        <v>5347.45</v>
      </c>
      <c r="H268" s="97">
        <f t="shared" si="85"/>
        <v>5349.54</v>
      </c>
      <c r="I268" s="97">
        <f t="shared" si="85"/>
        <v>5363.1399999999994</v>
      </c>
      <c r="J268" s="97">
        <f t="shared" si="85"/>
        <v>5355.1799999999994</v>
      </c>
      <c r="K268" s="97">
        <f t="shared" si="85"/>
        <v>5350.73</v>
      </c>
      <c r="L268" s="97">
        <f t="shared" si="85"/>
        <v>5310.7800000000007</v>
      </c>
      <c r="M268" s="97">
        <f t="shared" si="85"/>
        <v>5352.87</v>
      </c>
      <c r="N268" s="97">
        <f t="shared" si="85"/>
        <v>5361.1100000000006</v>
      </c>
      <c r="O268" s="97">
        <f t="shared" si="85"/>
        <v>5331.4800000000005</v>
      </c>
      <c r="P268" s="97">
        <f t="shared" si="85"/>
        <v>5359.23</v>
      </c>
      <c r="Q268" s="80"/>
      <c r="R268" s="80"/>
      <c r="S268" s="80"/>
      <c r="T268" s="47"/>
      <c r="U268" s="80"/>
      <c r="V268" s="277"/>
      <c r="W268" s="80"/>
      <c r="X268" s="102"/>
      <c r="Y268" s="102"/>
      <c r="Z268" s="71">
        <v>4470</v>
      </c>
      <c r="AA268" s="71">
        <v>6020</v>
      </c>
      <c r="AB268" s="71">
        <v>4900</v>
      </c>
      <c r="AC268" s="71">
        <v>5500</v>
      </c>
      <c r="AD268" s="70">
        <v>3.7</v>
      </c>
      <c r="AE268" s="69">
        <v>10</v>
      </c>
    </row>
    <row r="269" spans="1:31" x14ac:dyDescent="0.25">
      <c r="A269" s="96">
        <v>42941</v>
      </c>
      <c r="B269" s="50" t="s">
        <v>208</v>
      </c>
      <c r="C269" s="56" t="s">
        <v>205</v>
      </c>
      <c r="D269" s="35">
        <v>5972.95</v>
      </c>
      <c r="E269" s="35">
        <v>6021.2</v>
      </c>
      <c r="F269" s="35">
        <v>6050.32</v>
      </c>
      <c r="G269" s="35">
        <v>5995.02</v>
      </c>
      <c r="H269" s="35">
        <v>5956.96</v>
      </c>
      <c r="I269" s="35">
        <v>5958.2</v>
      </c>
      <c r="J269" s="35">
        <v>6012.43</v>
      </c>
      <c r="K269" s="35">
        <v>6038.12</v>
      </c>
      <c r="L269" s="35">
        <v>5905.35</v>
      </c>
      <c r="M269" s="55"/>
      <c r="N269" s="55"/>
      <c r="O269" s="55"/>
      <c r="P269" s="55"/>
      <c r="Q269" s="50">
        <f>IF((L270=""),"",MAX(D271:L271))</f>
        <v>6967.98</v>
      </c>
      <c r="R269" s="50">
        <f>IF(L270="","",MIN(D271:L271))</f>
        <v>6530.9000000000005</v>
      </c>
      <c r="S269" s="77">
        <f>IF((L271=""),"",AVERAGE(D271:L271))</f>
        <v>6741.1533333333327</v>
      </c>
      <c r="T269" s="52">
        <f>IF((L270=""),"",(Q269-R269)/(Q269+R269)*100)</f>
        <v>3.2378982552626514</v>
      </c>
      <c r="U269" s="50">
        <f>STDEV(D271:P271)</f>
        <v>136.2616519788308</v>
      </c>
      <c r="V269" s="273" t="str">
        <f>IF(L270="","",IF(T269&lt;7.3,IF(S269&gt;5700,IF(S269&lt;7200,"Pass","Fail"),"Fail"),"Fail"))</f>
        <v>Pass</v>
      </c>
      <c r="W269" s="57">
        <v>1159</v>
      </c>
      <c r="X269" s="102" t="s">
        <v>244</v>
      </c>
      <c r="Y269" s="102"/>
      <c r="Z269" s="37">
        <v>4955</v>
      </c>
      <c r="AA269" s="37">
        <v>9645</v>
      </c>
      <c r="AB269" s="37">
        <v>5100</v>
      </c>
      <c r="AC269" s="37">
        <v>8300</v>
      </c>
      <c r="AD269" s="69">
        <v>9.8000000000000007</v>
      </c>
      <c r="AE269" s="69">
        <v>10</v>
      </c>
    </row>
    <row r="270" spans="1:31" ht="12.75" customHeight="1" x14ac:dyDescent="0.25">
      <c r="A270" s="49"/>
      <c r="B270" s="47"/>
      <c r="C270" s="56" t="s">
        <v>204</v>
      </c>
      <c r="D270" s="35">
        <v>2676.28</v>
      </c>
      <c r="E270" s="35">
        <v>2669.51</v>
      </c>
      <c r="F270" s="35">
        <v>2684.78</v>
      </c>
      <c r="G270" s="35">
        <v>2593.44</v>
      </c>
      <c r="H270" s="35">
        <v>2509.58</v>
      </c>
      <c r="I270" s="35">
        <v>2474.21</v>
      </c>
      <c r="J270" s="35">
        <v>2637.77</v>
      </c>
      <c r="K270" s="35">
        <v>2689.89</v>
      </c>
      <c r="L270" s="35">
        <v>2639.9</v>
      </c>
      <c r="M270" s="55"/>
      <c r="N270" s="55"/>
      <c r="O270" s="55"/>
      <c r="P270" s="55"/>
      <c r="Q270" s="47"/>
      <c r="R270" s="47"/>
      <c r="S270" s="47"/>
      <c r="T270" s="47"/>
      <c r="U270" s="47"/>
      <c r="V270" s="274"/>
      <c r="W270" s="47"/>
      <c r="X270" s="102"/>
      <c r="Y270" s="102"/>
    </row>
    <row r="271" spans="1:31" ht="24.8" customHeight="1" thickBot="1" x14ac:dyDescent="0.3">
      <c r="A271" s="45"/>
      <c r="B271" s="42"/>
      <c r="C271" s="76" t="s">
        <v>203</v>
      </c>
      <c r="D271" s="84">
        <f t="shared" ref="D271:L271" si="86">IF(((D269="")*AND(D270="")),"",(D269-D270)*2)</f>
        <v>6593.3399999999992</v>
      </c>
      <c r="E271" s="84">
        <f t="shared" si="86"/>
        <v>6703.3799999999992</v>
      </c>
      <c r="F271" s="84">
        <f t="shared" si="86"/>
        <v>6731.079999999999</v>
      </c>
      <c r="G271" s="84">
        <f t="shared" si="86"/>
        <v>6803.1600000000008</v>
      </c>
      <c r="H271" s="84">
        <f t="shared" si="86"/>
        <v>6894.76</v>
      </c>
      <c r="I271" s="84">
        <f t="shared" si="86"/>
        <v>6967.98</v>
      </c>
      <c r="J271" s="84">
        <f t="shared" si="86"/>
        <v>6749.3200000000006</v>
      </c>
      <c r="K271" s="84">
        <f t="shared" si="86"/>
        <v>6696.46</v>
      </c>
      <c r="L271" s="84">
        <f t="shared" si="86"/>
        <v>6530.9000000000005</v>
      </c>
      <c r="M271" s="84"/>
      <c r="N271" s="84"/>
      <c r="O271" s="84"/>
      <c r="P271" s="84" t="str">
        <f>IF(((P269="")*AND(P270="")),"",(P269-P270)*2)</f>
        <v/>
      </c>
      <c r="Q271" s="42"/>
      <c r="R271" s="42"/>
      <c r="S271" s="42"/>
      <c r="T271" s="42"/>
      <c r="U271" s="42"/>
      <c r="V271" s="275"/>
      <c r="W271" s="42"/>
      <c r="X271" s="101"/>
      <c r="Y271" s="101"/>
    </row>
    <row r="272" spans="1:31" ht="12.75" customHeight="1" x14ac:dyDescent="0.25">
      <c r="A272" s="96">
        <v>42951</v>
      </c>
      <c r="B272" s="57" t="s">
        <v>206</v>
      </c>
      <c r="C272" s="61" t="s">
        <v>205</v>
      </c>
      <c r="D272" s="35">
        <v>6886.51</v>
      </c>
      <c r="E272" s="35">
        <v>6971.1</v>
      </c>
      <c r="F272" s="35">
        <v>6838.64</v>
      </c>
      <c r="G272" s="35">
        <v>6908.24</v>
      </c>
      <c r="H272" s="35">
        <v>6848.93</v>
      </c>
      <c r="I272" s="35">
        <v>6896.6</v>
      </c>
      <c r="J272" s="35">
        <v>6929.8</v>
      </c>
      <c r="K272" s="35">
        <v>6856.87</v>
      </c>
      <c r="L272" s="35">
        <v>6872.96</v>
      </c>
      <c r="M272" s="35">
        <v>6914.05</v>
      </c>
      <c r="N272" s="35">
        <v>6954.62</v>
      </c>
      <c r="O272" s="35">
        <v>6895.57</v>
      </c>
      <c r="P272" s="35">
        <v>6913.64</v>
      </c>
      <c r="Q272" s="50">
        <f>IF((L273=""),"",MAX(D274:P274))</f>
        <v>5366.3600000000006</v>
      </c>
      <c r="R272" s="57">
        <f>IF(L273="","",MIN(D274:L274))</f>
        <v>5313.55</v>
      </c>
      <c r="S272" s="53">
        <f>IF((P274=""),"",AVERAGE(D274:P274))</f>
        <v>5337.1523076923086</v>
      </c>
      <c r="T272" s="53">
        <f>IF((L273=""),"",(Q272-R272)/(Q272+R272)*100)</f>
        <v>0.4944798223955108</v>
      </c>
      <c r="U272" s="57">
        <f>STDEV(D274:P274)</f>
        <v>14.208468809039088</v>
      </c>
      <c r="V272" s="276" t="str">
        <f>IF(P273="","",IF(T272&lt;2.7,IF(S272&gt;5150,IF(S272&lt;5600,"Pass","Fail"),"Fail"),"Fail"))</f>
        <v>Pass</v>
      </c>
      <c r="W272" s="57">
        <v>1159</v>
      </c>
      <c r="X272" s="99" t="s">
        <v>243</v>
      </c>
      <c r="Y272" s="99"/>
      <c r="Z272" s="71">
        <v>4470</v>
      </c>
      <c r="AA272" s="71">
        <v>6020</v>
      </c>
      <c r="AB272" s="71">
        <v>5150</v>
      </c>
      <c r="AC272" s="71">
        <v>5600</v>
      </c>
      <c r="AD272" s="70">
        <v>2.7</v>
      </c>
      <c r="AE272" s="69">
        <v>10</v>
      </c>
    </row>
    <row r="273" spans="1:31" ht="12.75" customHeight="1" x14ac:dyDescent="0.25">
      <c r="A273" s="49"/>
      <c r="B273" s="47"/>
      <c r="C273" s="56" t="s">
        <v>204</v>
      </c>
      <c r="D273" s="35">
        <v>1550.65</v>
      </c>
      <c r="E273" s="35">
        <v>1634.18</v>
      </c>
      <c r="F273" s="35">
        <v>1524.7</v>
      </c>
      <c r="G273" s="35">
        <v>1567.46</v>
      </c>
      <c r="H273" s="35">
        <v>1515.1</v>
      </c>
      <c r="I273" s="35">
        <v>1551.05</v>
      </c>
      <c r="J273" s="35">
        <v>1563.44</v>
      </c>
      <c r="K273" s="35">
        <v>1505.38</v>
      </c>
      <c r="L273" s="35">
        <v>1559.41</v>
      </c>
      <c r="M273" s="35">
        <v>1573.72</v>
      </c>
      <c r="N273" s="35">
        <v>1615.83</v>
      </c>
      <c r="O273" s="35">
        <v>1570.55</v>
      </c>
      <c r="P273" s="35">
        <v>1573.08</v>
      </c>
      <c r="Q273" s="47"/>
      <c r="R273" s="47"/>
      <c r="S273" s="47"/>
      <c r="T273" s="47"/>
      <c r="U273" s="47"/>
      <c r="V273" s="274"/>
      <c r="W273" s="47"/>
      <c r="X273" s="102"/>
      <c r="Y273" s="102"/>
      <c r="Z273" s="71">
        <v>4470</v>
      </c>
      <c r="AA273" s="71">
        <v>6020</v>
      </c>
      <c r="AB273" s="71">
        <v>4900</v>
      </c>
      <c r="AC273" s="71">
        <v>5500</v>
      </c>
      <c r="AD273" s="70">
        <v>3.7</v>
      </c>
      <c r="AE273" s="69">
        <v>10</v>
      </c>
    </row>
    <row r="274" spans="1:31" ht="23.95" customHeight="1" x14ac:dyDescent="0.25">
      <c r="A274" s="81"/>
      <c r="B274" s="80"/>
      <c r="C274" s="56" t="s">
        <v>203</v>
      </c>
      <c r="D274" s="97">
        <f t="shared" ref="D274:P274" si="87">IF(((D272="")*AND(D273="")),"",(D272-D273))</f>
        <v>5335.8600000000006</v>
      </c>
      <c r="E274" s="97">
        <f t="shared" si="87"/>
        <v>5336.92</v>
      </c>
      <c r="F274" s="97">
        <f t="shared" si="87"/>
        <v>5313.9400000000005</v>
      </c>
      <c r="G274" s="97">
        <f t="shared" si="87"/>
        <v>5340.78</v>
      </c>
      <c r="H274" s="97">
        <f t="shared" si="87"/>
        <v>5333.83</v>
      </c>
      <c r="I274" s="97">
        <f t="shared" si="87"/>
        <v>5345.55</v>
      </c>
      <c r="J274" s="97">
        <f t="shared" si="87"/>
        <v>5366.3600000000006</v>
      </c>
      <c r="K274" s="97">
        <f t="shared" si="87"/>
        <v>5351.49</v>
      </c>
      <c r="L274" s="97">
        <f t="shared" si="87"/>
        <v>5313.55</v>
      </c>
      <c r="M274" s="97">
        <f t="shared" si="87"/>
        <v>5340.33</v>
      </c>
      <c r="N274" s="97">
        <f t="shared" si="87"/>
        <v>5338.79</v>
      </c>
      <c r="O274" s="97">
        <f t="shared" si="87"/>
        <v>5325.0199999999995</v>
      </c>
      <c r="P274" s="97">
        <f t="shared" si="87"/>
        <v>5340.56</v>
      </c>
      <c r="Q274" s="80"/>
      <c r="R274" s="80"/>
      <c r="S274" s="80"/>
      <c r="T274" s="47"/>
      <c r="U274" s="80"/>
      <c r="V274" s="277"/>
      <c r="W274" s="80"/>
      <c r="X274" s="102"/>
      <c r="Y274" s="102"/>
      <c r="Z274" s="71">
        <v>4470</v>
      </c>
      <c r="AA274" s="71">
        <v>6020</v>
      </c>
      <c r="AB274" s="71">
        <v>4900</v>
      </c>
      <c r="AC274" s="71">
        <v>5500</v>
      </c>
      <c r="AD274" s="70">
        <v>3.7</v>
      </c>
      <c r="AE274" s="69">
        <v>10</v>
      </c>
    </row>
    <row r="275" spans="1:31" x14ac:dyDescent="0.25">
      <c r="A275" s="96">
        <v>42951</v>
      </c>
      <c r="B275" s="50" t="s">
        <v>208</v>
      </c>
      <c r="C275" s="56" t="s">
        <v>205</v>
      </c>
      <c r="D275" s="35">
        <v>5980.88</v>
      </c>
      <c r="E275" s="35">
        <v>6015.77</v>
      </c>
      <c r="F275" s="35">
        <v>6058.13</v>
      </c>
      <c r="G275" s="35">
        <v>6035.67</v>
      </c>
      <c r="H275" s="35">
        <v>5945.35</v>
      </c>
      <c r="I275" s="35">
        <v>5980.69</v>
      </c>
      <c r="J275" s="35">
        <v>6009.31</v>
      </c>
      <c r="K275" s="35">
        <v>6028.55</v>
      </c>
      <c r="L275" s="35">
        <v>5914.47</v>
      </c>
      <c r="M275" s="55"/>
      <c r="N275" s="55"/>
      <c r="O275" s="55"/>
      <c r="P275" s="55"/>
      <c r="Q275" s="50">
        <f>IF((L276=""),"",MAX(D277:L277))</f>
        <v>6998.4800000000005</v>
      </c>
      <c r="R275" s="50">
        <f>IF(L276="","",MIN(D277:L277))</f>
        <v>6794.54</v>
      </c>
      <c r="S275" s="77">
        <f>IF((L277=""),"",AVERAGE(D277:L277))</f>
        <v>6872.9866666666676</v>
      </c>
      <c r="T275" s="52">
        <f>IF((L276=""),"",(Q275-R275)/(Q275+R275)*100)</f>
        <v>1.4785739453723732</v>
      </c>
      <c r="U275" s="50">
        <f>STDEV(D277:P277)</f>
        <v>69.351325870526679</v>
      </c>
      <c r="V275" s="273" t="str">
        <f>IF(L276="","",IF(T275&lt;7.3,IF(S275&gt;5700,IF(S275&lt;7200,"Pass","Fail"),"Fail"),"Fail"))</f>
        <v>Pass</v>
      </c>
      <c r="W275" s="47">
        <v>1159</v>
      </c>
      <c r="X275" s="102" t="s">
        <v>243</v>
      </c>
      <c r="Y275" s="102"/>
      <c r="Z275" s="37">
        <v>4955</v>
      </c>
      <c r="AA275" s="37">
        <v>9645</v>
      </c>
      <c r="AB275" s="37">
        <v>5100</v>
      </c>
      <c r="AC275" s="37">
        <v>8300</v>
      </c>
      <c r="AD275" s="69">
        <v>9.8000000000000007</v>
      </c>
      <c r="AE275" s="69">
        <v>10</v>
      </c>
    </row>
    <row r="276" spans="1:31" ht="12.75" customHeight="1" x14ac:dyDescent="0.25">
      <c r="A276" s="96"/>
      <c r="B276" s="47"/>
      <c r="C276" s="56" t="s">
        <v>204</v>
      </c>
      <c r="D276" s="35">
        <v>2583.61</v>
      </c>
      <c r="E276" s="35">
        <v>2608.7800000000002</v>
      </c>
      <c r="F276" s="35">
        <v>2628.21</v>
      </c>
      <c r="G276" s="35">
        <v>2536.4299999999998</v>
      </c>
      <c r="H276" s="35">
        <v>2517.39</v>
      </c>
      <c r="I276" s="35">
        <v>2503.58</v>
      </c>
      <c r="J276" s="35">
        <v>2551.86</v>
      </c>
      <c r="K276" s="35">
        <v>2601.15</v>
      </c>
      <c r="L276" s="35">
        <v>2509.37</v>
      </c>
      <c r="M276" s="55"/>
      <c r="N276" s="55"/>
      <c r="O276" s="55"/>
      <c r="P276" s="55"/>
      <c r="Q276" s="47"/>
      <c r="R276" s="47"/>
      <c r="S276" s="47"/>
      <c r="T276" s="47"/>
      <c r="U276" s="47"/>
      <c r="V276" s="274"/>
      <c r="W276" s="47"/>
      <c r="X276" s="102"/>
      <c r="Y276" s="102"/>
    </row>
    <row r="277" spans="1:31" ht="24.8" customHeight="1" thickBot="1" x14ac:dyDescent="0.3">
      <c r="A277" s="96"/>
      <c r="B277" s="42"/>
      <c r="C277" s="76" t="s">
        <v>203</v>
      </c>
      <c r="D277" s="84">
        <f t="shared" ref="D277:L277" si="88">IF(((D275="")*AND(D276="")),"",(D275-D276)*2)</f>
        <v>6794.54</v>
      </c>
      <c r="E277" s="84">
        <f t="shared" si="88"/>
        <v>6813.9800000000005</v>
      </c>
      <c r="F277" s="84">
        <f t="shared" si="88"/>
        <v>6859.84</v>
      </c>
      <c r="G277" s="84">
        <f t="shared" si="88"/>
        <v>6998.4800000000005</v>
      </c>
      <c r="H277" s="84">
        <f t="shared" si="88"/>
        <v>6855.920000000001</v>
      </c>
      <c r="I277" s="84">
        <f t="shared" si="88"/>
        <v>6954.2199999999993</v>
      </c>
      <c r="J277" s="84">
        <f t="shared" si="88"/>
        <v>6914.9000000000005</v>
      </c>
      <c r="K277" s="84">
        <f t="shared" si="88"/>
        <v>6854.8</v>
      </c>
      <c r="L277" s="84">
        <f t="shared" si="88"/>
        <v>6810.2000000000007</v>
      </c>
      <c r="M277" s="84"/>
      <c r="N277" s="84"/>
      <c r="O277" s="84"/>
      <c r="P277" s="84" t="str">
        <f>IF(((P275="")*AND(P276="")),"",(P275-P276)*2)</f>
        <v/>
      </c>
      <c r="Q277" s="42"/>
      <c r="R277" s="42"/>
      <c r="S277" s="42"/>
      <c r="T277" s="42"/>
      <c r="U277" s="42"/>
      <c r="V277" s="275"/>
      <c r="W277" s="42"/>
      <c r="X277" s="101"/>
      <c r="Y277" s="101"/>
    </row>
    <row r="278" spans="1:31" ht="12.75" customHeight="1" x14ac:dyDescent="0.25">
      <c r="A278" s="96">
        <v>42968</v>
      </c>
      <c r="B278" s="57" t="s">
        <v>206</v>
      </c>
      <c r="C278" s="61" t="s">
        <v>205</v>
      </c>
      <c r="D278" s="35">
        <v>6842</v>
      </c>
      <c r="E278" s="35">
        <v>6946</v>
      </c>
      <c r="F278" s="35">
        <v>6778</v>
      </c>
      <c r="G278" s="35">
        <v>6854</v>
      </c>
      <c r="H278" s="35">
        <v>6856</v>
      </c>
      <c r="I278" s="66">
        <v>6890</v>
      </c>
      <c r="J278" s="66">
        <v>6884</v>
      </c>
      <c r="K278" s="66">
        <v>6785</v>
      </c>
      <c r="L278" s="66">
        <v>6801</v>
      </c>
      <c r="M278" s="66">
        <v>6886</v>
      </c>
      <c r="N278" s="66">
        <v>6942</v>
      </c>
      <c r="O278" s="66">
        <v>6847</v>
      </c>
      <c r="P278" s="66">
        <v>6869</v>
      </c>
      <c r="Q278" s="50">
        <f>IF((L279=""),"",MAX(D280:P280))</f>
        <v>5380</v>
      </c>
      <c r="R278" s="57">
        <f>IF(L279="","",MIN(D280:L280))</f>
        <v>5296</v>
      </c>
      <c r="S278" s="53">
        <f>IF((P280=""),"",AVERAGE(D280:P280))</f>
        <v>5333.3846153846152</v>
      </c>
      <c r="T278" s="53">
        <f>IF((L279=""),"",(Q278-R278)/(Q278+R278)*100)</f>
        <v>0.78681153990258523</v>
      </c>
      <c r="U278" s="57">
        <f>STDEV(D280:P280)</f>
        <v>26.638125752194796</v>
      </c>
      <c r="V278" s="276" t="str">
        <f>IF(P279="","",IF(T278&lt;2.7,IF(S278&gt;5150,IF(S278&lt;5600,"Pass","Fail"),"Fail"),"Fail"))</f>
        <v>Pass</v>
      </c>
      <c r="W278" s="57">
        <v>1159</v>
      </c>
      <c r="X278" s="98"/>
      <c r="Y278" s="98"/>
      <c r="Z278" s="71">
        <v>4470</v>
      </c>
      <c r="AA278" s="71">
        <v>6020</v>
      </c>
      <c r="AB278" s="71">
        <v>5150</v>
      </c>
      <c r="AC278" s="71">
        <v>5600</v>
      </c>
      <c r="AD278" s="70">
        <v>2.7</v>
      </c>
      <c r="AE278" s="69">
        <v>10</v>
      </c>
    </row>
    <row r="279" spans="1:31" ht="12.75" customHeight="1" x14ac:dyDescent="0.25">
      <c r="A279" s="96"/>
      <c r="B279" s="47"/>
      <c r="C279" s="56" t="s">
        <v>204</v>
      </c>
      <c r="D279" s="35">
        <v>1529</v>
      </c>
      <c r="E279" s="35">
        <v>1615</v>
      </c>
      <c r="F279" s="35">
        <v>1482</v>
      </c>
      <c r="G279" s="35">
        <v>1518</v>
      </c>
      <c r="H279" s="35">
        <v>1519</v>
      </c>
      <c r="I279" s="35">
        <v>1520</v>
      </c>
      <c r="J279" s="35">
        <v>1538</v>
      </c>
      <c r="K279" s="35">
        <v>1405</v>
      </c>
      <c r="L279" s="35">
        <v>1504</v>
      </c>
      <c r="M279" s="35">
        <v>1520</v>
      </c>
      <c r="N279" s="35">
        <v>1614</v>
      </c>
      <c r="O279" s="35">
        <v>1535</v>
      </c>
      <c r="P279" s="35">
        <v>1547</v>
      </c>
      <c r="Q279" s="47"/>
      <c r="R279" s="47"/>
      <c r="S279" s="47"/>
      <c r="T279" s="47"/>
      <c r="U279" s="47"/>
      <c r="V279" s="274"/>
      <c r="W279" s="47"/>
      <c r="X279" s="102"/>
      <c r="Y279" s="102"/>
      <c r="Z279" s="71">
        <v>4470</v>
      </c>
      <c r="AA279" s="71">
        <v>6020</v>
      </c>
      <c r="AB279" s="71">
        <v>4900</v>
      </c>
      <c r="AC279" s="71">
        <v>5500</v>
      </c>
      <c r="AD279" s="70">
        <v>3.7</v>
      </c>
      <c r="AE279" s="69">
        <v>10</v>
      </c>
    </row>
    <row r="280" spans="1:31" ht="23.95" customHeight="1" x14ac:dyDescent="0.25">
      <c r="A280" s="96"/>
      <c r="B280" s="80"/>
      <c r="C280" s="56" t="s">
        <v>203</v>
      </c>
      <c r="D280" s="97">
        <f t="shared" ref="D280:P280" si="89">IF(((D278="")*AND(D279="")),"",(D278-D279))</f>
        <v>5313</v>
      </c>
      <c r="E280" s="97">
        <f t="shared" si="89"/>
        <v>5331</v>
      </c>
      <c r="F280" s="97">
        <f t="shared" si="89"/>
        <v>5296</v>
      </c>
      <c r="G280" s="97">
        <f t="shared" si="89"/>
        <v>5336</v>
      </c>
      <c r="H280" s="97">
        <f t="shared" si="89"/>
        <v>5337</v>
      </c>
      <c r="I280" s="97">
        <f t="shared" si="89"/>
        <v>5370</v>
      </c>
      <c r="J280" s="97">
        <f t="shared" si="89"/>
        <v>5346</v>
      </c>
      <c r="K280" s="97">
        <f t="shared" si="89"/>
        <v>5380</v>
      </c>
      <c r="L280" s="97">
        <f t="shared" si="89"/>
        <v>5297</v>
      </c>
      <c r="M280" s="97">
        <f t="shared" si="89"/>
        <v>5366</v>
      </c>
      <c r="N280" s="97">
        <f t="shared" si="89"/>
        <v>5328</v>
      </c>
      <c r="O280" s="97">
        <f t="shared" si="89"/>
        <v>5312</v>
      </c>
      <c r="P280" s="97">
        <f t="shared" si="89"/>
        <v>5322</v>
      </c>
      <c r="Q280" s="80"/>
      <c r="R280" s="80"/>
      <c r="S280" s="80"/>
      <c r="T280" s="47"/>
      <c r="U280" s="80"/>
      <c r="V280" s="277"/>
      <c r="W280" s="80"/>
      <c r="X280" s="102"/>
      <c r="Y280" s="102"/>
      <c r="Z280" s="71">
        <v>4470</v>
      </c>
      <c r="AA280" s="71">
        <v>6020</v>
      </c>
      <c r="AB280" s="71">
        <v>4900</v>
      </c>
      <c r="AC280" s="71">
        <v>5500</v>
      </c>
      <c r="AD280" s="70">
        <v>3.7</v>
      </c>
      <c r="AE280" s="69">
        <v>10</v>
      </c>
    </row>
    <row r="281" spans="1:31" x14ac:dyDescent="0.25">
      <c r="A281" s="96">
        <v>42968</v>
      </c>
      <c r="B281" s="50" t="s">
        <v>208</v>
      </c>
      <c r="C281" s="56" t="s">
        <v>205</v>
      </c>
      <c r="D281" s="35">
        <v>5902</v>
      </c>
      <c r="E281" s="35">
        <v>5999</v>
      </c>
      <c r="F281" s="35">
        <v>6020</v>
      </c>
      <c r="G281" s="35">
        <v>5967</v>
      </c>
      <c r="H281" s="35">
        <v>5848</v>
      </c>
      <c r="I281" s="35">
        <v>5890</v>
      </c>
      <c r="J281" s="35">
        <v>5971</v>
      </c>
      <c r="K281" s="35">
        <v>6013</v>
      </c>
      <c r="L281" s="35">
        <v>5822</v>
      </c>
      <c r="M281" s="55"/>
      <c r="N281" s="55"/>
      <c r="O281" s="55"/>
      <c r="P281" s="55"/>
      <c r="Q281" s="50">
        <f>IF((L282=""),"",MAX(D283:L283))</f>
        <v>6836</v>
      </c>
      <c r="R281" s="50">
        <f>IF(L282="","",MIN(D283:L283))</f>
        <v>6634</v>
      </c>
      <c r="S281" s="77">
        <f>IF((L283=""),"",AVERAGE(D283:L283))</f>
        <v>6764.2222222222226</v>
      </c>
      <c r="T281" s="52">
        <f>IF((L282=""),"",(Q281-R281)/(Q281+R281)*100)</f>
        <v>1.4996288047512991</v>
      </c>
      <c r="U281" s="50">
        <f>STDEV(D283:P283)</f>
        <v>58.416131714145919</v>
      </c>
      <c r="V281" s="273" t="str">
        <f>IF(L282="","",IF(T281&lt;7.3,IF(S281&gt;5700,IF(S281&lt;7200,"Pass","Fail"),"Fail"),"Fail"))</f>
        <v>Pass</v>
      </c>
      <c r="W281" s="47">
        <v>1159</v>
      </c>
      <c r="X281" s="108"/>
      <c r="Y281" s="108"/>
      <c r="Z281" s="37">
        <v>4955</v>
      </c>
      <c r="AA281" s="37">
        <v>9645</v>
      </c>
      <c r="AB281" s="37">
        <v>5100</v>
      </c>
      <c r="AC281" s="37">
        <v>8300</v>
      </c>
      <c r="AD281" s="69">
        <v>9.8000000000000007</v>
      </c>
      <c r="AE281" s="69">
        <v>10</v>
      </c>
    </row>
    <row r="282" spans="1:31" ht="12.75" customHeight="1" x14ac:dyDescent="0.25">
      <c r="A282" s="96"/>
      <c r="B282" s="47"/>
      <c r="C282" s="56" t="s">
        <v>204</v>
      </c>
      <c r="D282" s="35">
        <v>2495</v>
      </c>
      <c r="E282" s="35">
        <v>2638</v>
      </c>
      <c r="F282" s="35">
        <v>2634</v>
      </c>
      <c r="G282" s="35">
        <v>2549</v>
      </c>
      <c r="H282" s="35">
        <v>2467</v>
      </c>
      <c r="I282" s="66">
        <v>2504</v>
      </c>
      <c r="J282" s="66">
        <v>2576</v>
      </c>
      <c r="K282" s="66">
        <v>2625</v>
      </c>
      <c r="L282" s="66">
        <v>2505</v>
      </c>
      <c r="M282" s="55"/>
      <c r="N282" s="55"/>
      <c r="O282" s="55"/>
      <c r="P282" s="55"/>
      <c r="Q282" s="47"/>
      <c r="R282" s="47"/>
      <c r="S282" s="47"/>
      <c r="T282" s="47"/>
      <c r="U282" s="47"/>
      <c r="V282" s="274"/>
      <c r="W282" s="47"/>
      <c r="X282" s="108"/>
      <c r="Y282" s="108"/>
    </row>
    <row r="283" spans="1:31" ht="24.8" customHeight="1" thickBot="1" x14ac:dyDescent="0.3">
      <c r="A283" s="96"/>
      <c r="B283" s="42"/>
      <c r="C283" s="76" t="s">
        <v>203</v>
      </c>
      <c r="D283" s="84">
        <f t="shared" ref="D283:L283" si="90">IF(((D281="")*AND(D282="")),"",(D281-D282)*2)</f>
        <v>6814</v>
      </c>
      <c r="E283" s="84">
        <f t="shared" si="90"/>
        <v>6722</v>
      </c>
      <c r="F283" s="84">
        <f t="shared" si="90"/>
        <v>6772</v>
      </c>
      <c r="G283" s="84">
        <f t="shared" si="90"/>
        <v>6836</v>
      </c>
      <c r="H283" s="84">
        <f t="shared" si="90"/>
        <v>6762</v>
      </c>
      <c r="I283" s="84">
        <f t="shared" si="90"/>
        <v>6772</v>
      </c>
      <c r="J283" s="84">
        <f t="shared" si="90"/>
        <v>6790</v>
      </c>
      <c r="K283" s="84">
        <f t="shared" si="90"/>
        <v>6776</v>
      </c>
      <c r="L283" s="84">
        <f t="shared" si="90"/>
        <v>6634</v>
      </c>
      <c r="M283" s="84"/>
      <c r="N283" s="84"/>
      <c r="O283" s="84"/>
      <c r="P283" s="84" t="str">
        <f>IF(((P281="")*AND(P282="")),"",(P281-P282)*2)</f>
        <v/>
      </c>
      <c r="Q283" s="42"/>
      <c r="R283" s="42"/>
      <c r="S283" s="42"/>
      <c r="T283" s="42"/>
      <c r="U283" s="42"/>
      <c r="V283" s="275"/>
      <c r="W283" s="42"/>
      <c r="X283" s="107"/>
      <c r="Y283" s="107"/>
    </row>
    <row r="284" spans="1:31" ht="12.75" customHeight="1" x14ac:dyDescent="0.25">
      <c r="A284" s="96">
        <v>42972</v>
      </c>
      <c r="B284" s="57" t="s">
        <v>206</v>
      </c>
      <c r="C284" s="61" t="s">
        <v>205</v>
      </c>
      <c r="D284" s="35">
        <v>6868.56</v>
      </c>
      <c r="E284" s="35">
        <v>6979.05</v>
      </c>
      <c r="F284" s="35">
        <v>6789.57</v>
      </c>
      <c r="G284" s="35">
        <v>6855.71</v>
      </c>
      <c r="H284" s="35">
        <v>6894.37</v>
      </c>
      <c r="I284" s="35">
        <v>6910.12</v>
      </c>
      <c r="J284" s="35">
        <v>6883.64</v>
      </c>
      <c r="K284" s="35">
        <v>6788.83</v>
      </c>
      <c r="L284" s="35">
        <v>6811.4</v>
      </c>
      <c r="M284" s="35">
        <v>6886.27</v>
      </c>
      <c r="N284" s="35">
        <v>6973.71</v>
      </c>
      <c r="O284" s="35">
        <v>6858.19</v>
      </c>
      <c r="P284" s="35">
        <v>6901.04</v>
      </c>
      <c r="Q284" s="50">
        <f>IF((L285=""),"",MAX(D286:P286))</f>
        <v>5374.54</v>
      </c>
      <c r="R284" s="57">
        <f>IF(L285="","",MIN(D286:L286))</f>
        <v>5260.5599999999995</v>
      </c>
      <c r="S284" s="53">
        <f>IF((P286=""),"",AVERAGE(D286:P286))</f>
        <v>5324.3661538461538</v>
      </c>
      <c r="T284" s="53">
        <f>IF((L285=""),"",(Q284-R284)/(Q284+R284)*100)</f>
        <v>1.0717341632894894</v>
      </c>
      <c r="U284" s="57">
        <f>STDEV(D286:P286)</f>
        <v>37.921509845658484</v>
      </c>
      <c r="V284" s="276" t="str">
        <f>IF(P285="","",IF(T284&lt;2.7,IF(S284&gt;5150,IF(S284&lt;5600,"Pass","Fail"),"Fail"),"Fail"))</f>
        <v>Pass</v>
      </c>
      <c r="W284" s="57">
        <v>121</v>
      </c>
      <c r="X284" s="99"/>
      <c r="Y284" s="99"/>
      <c r="Z284" s="71">
        <v>4470</v>
      </c>
      <c r="AA284" s="71">
        <v>6020</v>
      </c>
      <c r="AB284" s="71">
        <v>5150</v>
      </c>
      <c r="AC284" s="71">
        <v>5600</v>
      </c>
      <c r="AD284" s="70">
        <v>2.7</v>
      </c>
      <c r="AE284" s="69">
        <v>10</v>
      </c>
    </row>
    <row r="285" spans="1:31" ht="12.75" customHeight="1" x14ac:dyDescent="0.25">
      <c r="A285" s="96"/>
      <c r="B285" s="47"/>
      <c r="C285" s="56" t="s">
        <v>204</v>
      </c>
      <c r="D285" s="35">
        <v>1581.05</v>
      </c>
      <c r="E285" s="35">
        <v>1646.66</v>
      </c>
      <c r="F285" s="35">
        <v>1529.01</v>
      </c>
      <c r="G285" s="35">
        <v>1539.96</v>
      </c>
      <c r="H285" s="35">
        <v>1535.4</v>
      </c>
      <c r="I285" s="35">
        <v>1535.58</v>
      </c>
      <c r="J285" s="35">
        <v>1550.48</v>
      </c>
      <c r="K285" s="35">
        <v>1435.65</v>
      </c>
      <c r="L285" s="35">
        <v>1548.38</v>
      </c>
      <c r="M285" s="35">
        <v>1525.83</v>
      </c>
      <c r="N285" s="35">
        <v>1616.58</v>
      </c>
      <c r="O285" s="35">
        <v>1564.23</v>
      </c>
      <c r="P285" s="35">
        <v>1574.89</v>
      </c>
      <c r="Q285" s="47"/>
      <c r="R285" s="47"/>
      <c r="S285" s="47"/>
      <c r="T285" s="47"/>
      <c r="U285" s="47"/>
      <c r="V285" s="274"/>
      <c r="W285" s="47"/>
      <c r="X285" s="102"/>
      <c r="Y285" s="102"/>
      <c r="Z285" s="71">
        <v>4470</v>
      </c>
      <c r="AA285" s="71">
        <v>6020</v>
      </c>
      <c r="AB285" s="71">
        <v>4900</v>
      </c>
      <c r="AC285" s="71">
        <v>5500</v>
      </c>
      <c r="AD285" s="70">
        <v>3.7</v>
      </c>
      <c r="AE285" s="69">
        <v>10</v>
      </c>
    </row>
    <row r="286" spans="1:31" ht="23.95" customHeight="1" x14ac:dyDescent="0.25">
      <c r="A286" s="96"/>
      <c r="B286" s="80"/>
      <c r="C286" s="56" t="s">
        <v>203</v>
      </c>
      <c r="D286" s="97">
        <f t="shared" ref="D286:P286" si="91">IF(((D284="")*AND(D285="")),"",(D284-D285))</f>
        <v>5287.51</v>
      </c>
      <c r="E286" s="97">
        <f t="shared" si="91"/>
        <v>5332.39</v>
      </c>
      <c r="F286" s="97">
        <f t="shared" si="91"/>
        <v>5260.5599999999995</v>
      </c>
      <c r="G286" s="97">
        <f t="shared" si="91"/>
        <v>5315.75</v>
      </c>
      <c r="H286" s="97">
        <f t="shared" si="91"/>
        <v>5358.9699999999993</v>
      </c>
      <c r="I286" s="97">
        <f t="shared" si="91"/>
        <v>5374.54</v>
      </c>
      <c r="J286" s="97">
        <f t="shared" si="91"/>
        <v>5333.16</v>
      </c>
      <c r="K286" s="97">
        <f t="shared" si="91"/>
        <v>5353.18</v>
      </c>
      <c r="L286" s="97">
        <f t="shared" si="91"/>
        <v>5263.0199999999995</v>
      </c>
      <c r="M286" s="97">
        <f t="shared" si="91"/>
        <v>5360.4400000000005</v>
      </c>
      <c r="N286" s="97">
        <f t="shared" si="91"/>
        <v>5357.13</v>
      </c>
      <c r="O286" s="97">
        <f t="shared" si="91"/>
        <v>5293.9599999999991</v>
      </c>
      <c r="P286" s="97">
        <f t="shared" si="91"/>
        <v>5326.15</v>
      </c>
      <c r="Q286" s="80"/>
      <c r="R286" s="80"/>
      <c r="S286" s="80"/>
      <c r="T286" s="47"/>
      <c r="U286" s="80"/>
      <c r="V286" s="277"/>
      <c r="W286" s="80"/>
      <c r="X286" s="102"/>
      <c r="Y286" s="102"/>
      <c r="Z286" s="71">
        <v>4470</v>
      </c>
      <c r="AA286" s="71">
        <v>6020</v>
      </c>
      <c r="AB286" s="71">
        <v>4900</v>
      </c>
      <c r="AC286" s="71">
        <v>5500</v>
      </c>
      <c r="AD286" s="70">
        <v>3.7</v>
      </c>
      <c r="AE286" s="69">
        <v>10</v>
      </c>
    </row>
    <row r="287" spans="1:31" x14ac:dyDescent="0.25">
      <c r="A287" s="96">
        <v>42972</v>
      </c>
      <c r="B287" s="50" t="s">
        <v>208</v>
      </c>
      <c r="C287" s="56" t="s">
        <v>205</v>
      </c>
      <c r="D287" s="35">
        <v>5903.92</v>
      </c>
      <c r="E287" s="35">
        <v>6003.11</v>
      </c>
      <c r="F287" s="35">
        <v>6022.33</v>
      </c>
      <c r="G287" s="35">
        <v>5969.08</v>
      </c>
      <c r="H287" s="35">
        <v>5845.52</v>
      </c>
      <c r="I287" s="35">
        <v>5902.42</v>
      </c>
      <c r="J287" s="35">
        <v>5978.41</v>
      </c>
      <c r="K287" s="35">
        <v>6015.78</v>
      </c>
      <c r="L287" s="35">
        <v>5828.36</v>
      </c>
      <c r="M287" s="55"/>
      <c r="N287" s="55"/>
      <c r="O287" s="55"/>
      <c r="P287" s="55"/>
      <c r="Q287" s="50">
        <f>IF((L288=""),"",MAX(D289:L289))</f>
        <v>6950.56</v>
      </c>
      <c r="R287" s="50">
        <f>IF(L288="","",MIN(D289:L289))</f>
        <v>6675.4</v>
      </c>
      <c r="S287" s="77">
        <f>IF((L289=""),"",AVERAGE(D289:L289))</f>
        <v>6781.4</v>
      </c>
      <c r="T287" s="52">
        <f>IF((L288=""),"",(Q287-R287)/(Q287+R287)*100)</f>
        <v>2.0193806528127247</v>
      </c>
      <c r="U287" s="50">
        <f>STDEV(D289:P289)</f>
        <v>80.548959645671786</v>
      </c>
      <c r="V287" s="273" t="str">
        <f>IF(L288="","",IF(T287&lt;7.3,IF(S287&gt;5700,IF(S287&lt;7200,"Pass","Fail"),"Fail"),"Fail"))</f>
        <v>Pass</v>
      </c>
      <c r="W287" s="47">
        <v>121</v>
      </c>
      <c r="X287" s="102"/>
      <c r="Y287" s="102"/>
      <c r="Z287" s="37">
        <v>4955</v>
      </c>
      <c r="AA287" s="37">
        <v>9645</v>
      </c>
      <c r="AB287" s="37">
        <v>5100</v>
      </c>
      <c r="AC287" s="37">
        <v>8300</v>
      </c>
      <c r="AD287" s="69">
        <v>9.8000000000000007</v>
      </c>
      <c r="AE287" s="69">
        <v>10</v>
      </c>
    </row>
    <row r="288" spans="1:31" ht="12.75" customHeight="1" x14ac:dyDescent="0.25">
      <c r="A288" s="96"/>
      <c r="B288" s="47"/>
      <c r="C288" s="56" t="s">
        <v>204</v>
      </c>
      <c r="D288" s="35">
        <v>2496.58</v>
      </c>
      <c r="E288" s="35">
        <v>2627.51</v>
      </c>
      <c r="F288" s="35">
        <v>2638.91</v>
      </c>
      <c r="G288" s="35">
        <v>2571.66</v>
      </c>
      <c r="H288" s="35">
        <v>2435.21</v>
      </c>
      <c r="I288" s="35">
        <v>2427.14</v>
      </c>
      <c r="J288" s="35">
        <v>2595.56</v>
      </c>
      <c r="K288" s="35">
        <v>2669.4</v>
      </c>
      <c r="L288" s="35">
        <v>2490.66</v>
      </c>
      <c r="M288" s="55"/>
      <c r="N288" s="55"/>
      <c r="O288" s="55"/>
      <c r="P288" s="55"/>
      <c r="Q288" s="47"/>
      <c r="R288" s="47"/>
      <c r="S288" s="47"/>
      <c r="T288" s="47"/>
      <c r="U288" s="47"/>
      <c r="V288" s="274"/>
      <c r="W288" s="47"/>
      <c r="X288" s="102"/>
      <c r="Y288" s="102"/>
    </row>
    <row r="289" spans="1:31" ht="24.8" customHeight="1" thickBot="1" x14ac:dyDescent="0.3">
      <c r="A289" s="96"/>
      <c r="B289" s="42"/>
      <c r="C289" s="76" t="s">
        <v>203</v>
      </c>
      <c r="D289" s="84">
        <f t="shared" ref="D289:L289" si="92">IF(((D287="")*AND(D288="")),"",(D287-D288)*2)</f>
        <v>6814.68</v>
      </c>
      <c r="E289" s="84">
        <f t="shared" si="92"/>
        <v>6751.1999999999989</v>
      </c>
      <c r="F289" s="84">
        <f t="shared" si="92"/>
        <v>6766.84</v>
      </c>
      <c r="G289" s="84">
        <f t="shared" si="92"/>
        <v>6794.84</v>
      </c>
      <c r="H289" s="84">
        <f t="shared" si="92"/>
        <v>6820.6200000000008</v>
      </c>
      <c r="I289" s="84">
        <f t="shared" si="92"/>
        <v>6950.56</v>
      </c>
      <c r="J289" s="84">
        <f t="shared" si="92"/>
        <v>6765.7</v>
      </c>
      <c r="K289" s="84">
        <f t="shared" si="92"/>
        <v>6692.7599999999993</v>
      </c>
      <c r="L289" s="84">
        <f t="shared" si="92"/>
        <v>6675.4</v>
      </c>
      <c r="M289" s="84"/>
      <c r="N289" s="84"/>
      <c r="O289" s="84"/>
      <c r="P289" s="84" t="str">
        <f>IF(((P287="")*AND(P288="")),"",(P287-P288)*2)</f>
        <v/>
      </c>
      <c r="Q289" s="42"/>
      <c r="R289" s="42"/>
      <c r="S289" s="42"/>
      <c r="T289" s="42"/>
      <c r="U289" s="42"/>
      <c r="V289" s="275"/>
      <c r="W289" s="42"/>
      <c r="X289" s="101"/>
      <c r="Y289" s="101"/>
    </row>
    <row r="290" spans="1:31" ht="14.95" customHeight="1" x14ac:dyDescent="0.3">
      <c r="A290" s="96">
        <v>42976</v>
      </c>
      <c r="B290" s="57" t="s">
        <v>206</v>
      </c>
      <c r="C290" s="61" t="s">
        <v>205</v>
      </c>
      <c r="D290" s="106">
        <v>7006.63</v>
      </c>
      <c r="E290" s="106">
        <v>7106.7</v>
      </c>
      <c r="F290" s="106">
        <v>6927.69</v>
      </c>
      <c r="G290" s="106">
        <v>6993.31</v>
      </c>
      <c r="H290" s="106">
        <v>7021.38</v>
      </c>
      <c r="I290" s="106">
        <v>7038.2</v>
      </c>
      <c r="J290" s="106">
        <v>7018.66</v>
      </c>
      <c r="K290" s="106">
        <v>6926.81</v>
      </c>
      <c r="L290" s="106">
        <v>6944.6</v>
      </c>
      <c r="M290" s="106">
        <v>7017.62</v>
      </c>
      <c r="N290" s="106">
        <v>7097.23</v>
      </c>
      <c r="O290" s="106">
        <v>6987.7</v>
      </c>
      <c r="P290" s="106">
        <v>7028.06</v>
      </c>
      <c r="Q290" s="50">
        <f>IF((L291=""),"",MAX(D292:P292))</f>
        <v>5405.37</v>
      </c>
      <c r="R290" s="57">
        <f>IF(L291="","",MIN(D292:L292))</f>
        <v>5291.23</v>
      </c>
      <c r="S290" s="53">
        <f>IF((P292=""),"",AVERAGE(D292:P292))</f>
        <v>5354.4192307692301</v>
      </c>
      <c r="T290" s="53">
        <f>IF((L291=""),"",(Q290-R290)/(Q290+R290)*100)</f>
        <v>1.067068040311878</v>
      </c>
      <c r="U290" s="57">
        <f>STDEV(D292:P292)</f>
        <v>37.452644646615319</v>
      </c>
      <c r="V290" s="276" t="str">
        <f>IF(P291="","",IF(T290&lt;2.7,IF(S290&gt;5150,IF(S290&lt;5600,"Pass","Fail"),"Fail"),"Fail"))</f>
        <v>Pass</v>
      </c>
      <c r="W290" s="57">
        <v>1428</v>
      </c>
      <c r="X290" s="99"/>
      <c r="Y290" s="99"/>
      <c r="Z290" s="71">
        <v>4470</v>
      </c>
      <c r="AA290" s="71">
        <v>6020</v>
      </c>
      <c r="AB290" s="71">
        <v>5150</v>
      </c>
      <c r="AC290" s="71">
        <v>5600</v>
      </c>
      <c r="AD290" s="70">
        <v>2.7</v>
      </c>
      <c r="AE290" s="69">
        <v>10</v>
      </c>
    </row>
    <row r="291" spans="1:31" ht="14.95" customHeight="1" x14ac:dyDescent="0.3">
      <c r="A291" s="96"/>
      <c r="B291" s="47"/>
      <c r="C291" s="56" t="s">
        <v>204</v>
      </c>
      <c r="D291" s="106">
        <v>1683.84</v>
      </c>
      <c r="E291" s="106">
        <v>1739.72</v>
      </c>
      <c r="F291" s="106">
        <v>1636.46</v>
      </c>
      <c r="G291" s="106">
        <v>1654.29</v>
      </c>
      <c r="H291" s="106">
        <v>1629.66</v>
      </c>
      <c r="I291" s="106">
        <v>1632.83</v>
      </c>
      <c r="J291" s="106">
        <v>1662.64</v>
      </c>
      <c r="K291" s="106">
        <v>1549.7</v>
      </c>
      <c r="L291" s="106">
        <v>1651.88</v>
      </c>
      <c r="M291" s="106">
        <v>1628.59</v>
      </c>
      <c r="N291" s="106">
        <v>1709.66</v>
      </c>
      <c r="O291" s="106">
        <v>1661.31</v>
      </c>
      <c r="P291" s="106">
        <v>1666.56</v>
      </c>
      <c r="Q291" s="47"/>
      <c r="R291" s="47"/>
      <c r="S291" s="47"/>
      <c r="T291" s="47"/>
      <c r="U291" s="47"/>
      <c r="V291" s="274"/>
      <c r="W291" s="47"/>
      <c r="X291" s="102"/>
      <c r="Y291" s="102"/>
      <c r="Z291" s="71">
        <v>4470</v>
      </c>
      <c r="AA291" s="71">
        <v>6020</v>
      </c>
      <c r="AB291" s="71">
        <v>4900</v>
      </c>
      <c r="AC291" s="71">
        <v>5500</v>
      </c>
      <c r="AD291" s="70">
        <v>3.7</v>
      </c>
      <c r="AE291" s="69">
        <v>10</v>
      </c>
    </row>
    <row r="292" spans="1:31" ht="23.95" customHeight="1" x14ac:dyDescent="0.25">
      <c r="A292" s="96"/>
      <c r="B292" s="80"/>
      <c r="C292" s="56" t="s">
        <v>203</v>
      </c>
      <c r="D292" s="97">
        <f t="shared" ref="D292:P292" si="93">IF(((D290="")*AND(D291="")),"",(D290-D291))</f>
        <v>5322.79</v>
      </c>
      <c r="E292" s="97">
        <f t="shared" si="93"/>
        <v>5366.98</v>
      </c>
      <c r="F292" s="97">
        <f t="shared" si="93"/>
        <v>5291.23</v>
      </c>
      <c r="G292" s="97">
        <f t="shared" si="93"/>
        <v>5339.02</v>
      </c>
      <c r="H292" s="97">
        <f t="shared" si="93"/>
        <v>5391.72</v>
      </c>
      <c r="I292" s="97">
        <f t="shared" si="93"/>
        <v>5405.37</v>
      </c>
      <c r="J292" s="97">
        <f t="shared" si="93"/>
        <v>5356.0199999999995</v>
      </c>
      <c r="K292" s="97">
        <f t="shared" si="93"/>
        <v>5377.1100000000006</v>
      </c>
      <c r="L292" s="97">
        <f t="shared" si="93"/>
        <v>5292.72</v>
      </c>
      <c r="M292" s="97">
        <f t="shared" si="93"/>
        <v>5389.03</v>
      </c>
      <c r="N292" s="97">
        <f t="shared" si="93"/>
        <v>5387.57</v>
      </c>
      <c r="O292" s="97">
        <f t="shared" si="93"/>
        <v>5326.3899999999994</v>
      </c>
      <c r="P292" s="97">
        <f t="shared" si="93"/>
        <v>5361.5</v>
      </c>
      <c r="Q292" s="80"/>
      <c r="R292" s="80"/>
      <c r="S292" s="80"/>
      <c r="T292" s="47"/>
      <c r="U292" s="80"/>
      <c r="V292" s="277"/>
      <c r="W292" s="80"/>
      <c r="X292" s="102"/>
      <c r="Y292" s="102"/>
      <c r="Z292" s="71">
        <v>4470</v>
      </c>
      <c r="AA292" s="71">
        <v>6020</v>
      </c>
      <c r="AB292" s="71">
        <v>4900</v>
      </c>
      <c r="AC292" s="71">
        <v>5500</v>
      </c>
      <c r="AD292" s="70">
        <v>3.7</v>
      </c>
      <c r="AE292" s="69">
        <v>10</v>
      </c>
    </row>
    <row r="293" spans="1:31" ht="14.4" x14ac:dyDescent="0.3">
      <c r="A293" s="96">
        <v>42976</v>
      </c>
      <c r="B293" s="50" t="s">
        <v>208</v>
      </c>
      <c r="C293" s="56" t="s">
        <v>205</v>
      </c>
      <c r="D293" s="105">
        <v>5909.46</v>
      </c>
      <c r="E293" s="105">
        <v>6033.06</v>
      </c>
      <c r="F293" s="105">
        <v>6040.4</v>
      </c>
      <c r="G293" s="105">
        <v>5988.4</v>
      </c>
      <c r="H293" s="105">
        <v>5901.61</v>
      </c>
      <c r="I293" s="105">
        <v>5963.41</v>
      </c>
      <c r="J293" s="105">
        <v>5993.63</v>
      </c>
      <c r="K293" s="105">
        <v>6038.61</v>
      </c>
      <c r="L293" s="105">
        <v>5847.22</v>
      </c>
      <c r="M293" s="55"/>
      <c r="N293" s="55"/>
      <c r="O293" s="55"/>
      <c r="P293" s="55"/>
      <c r="Q293" s="50">
        <f>IF((L294=""),"",MAX(D295:L295))</f>
        <v>7132.2</v>
      </c>
      <c r="R293" s="50">
        <f>IF(L294="","",MIN(D295:L295))</f>
        <v>6606.3600000000006</v>
      </c>
      <c r="S293" s="77">
        <f>IF((L295=""),"",AVERAGE(D295:L295))</f>
        <v>6808.1177777777775</v>
      </c>
      <c r="T293" s="52">
        <f>IF((L294=""),"",(Q293-R293)/(Q293+R293)*100)</f>
        <v>3.8274753685975762</v>
      </c>
      <c r="U293" s="50">
        <f>STDEV(D295:P295)</f>
        <v>164.59477496094578</v>
      </c>
      <c r="V293" s="273" t="str">
        <f>IF(L294="","",IF(T293&lt;7.3,IF(S293&gt;5700,IF(S293&lt;7200,"Pass","Fail"),"Fail"),"Fail"))</f>
        <v>Pass</v>
      </c>
      <c r="W293" s="47">
        <v>1428</v>
      </c>
      <c r="X293" s="102"/>
      <c r="Y293" s="102"/>
      <c r="Z293" s="37">
        <v>4955</v>
      </c>
      <c r="AA293" s="37">
        <v>9645</v>
      </c>
      <c r="AB293" s="37">
        <v>5100</v>
      </c>
      <c r="AC293" s="37">
        <v>8300</v>
      </c>
      <c r="AD293" s="69">
        <v>9.8000000000000007</v>
      </c>
      <c r="AE293" s="69">
        <v>10</v>
      </c>
    </row>
    <row r="294" spans="1:31" ht="14.95" customHeight="1" x14ac:dyDescent="0.3">
      <c r="A294" s="96"/>
      <c r="B294" s="47"/>
      <c r="C294" s="56" t="s">
        <v>204</v>
      </c>
      <c r="D294" s="104">
        <v>2520.85</v>
      </c>
      <c r="E294" s="104">
        <v>2663.89</v>
      </c>
      <c r="F294" s="104">
        <v>2664.92</v>
      </c>
      <c r="G294" s="104">
        <v>2576.83</v>
      </c>
      <c r="H294" s="104">
        <v>2397.65</v>
      </c>
      <c r="I294" s="104">
        <v>2397.31</v>
      </c>
      <c r="J294" s="104">
        <v>2607.75</v>
      </c>
      <c r="K294" s="104">
        <v>2706.03</v>
      </c>
      <c r="L294" s="104">
        <v>2544.04</v>
      </c>
      <c r="M294" s="55"/>
      <c r="N294" s="55"/>
      <c r="O294" s="55"/>
      <c r="P294" s="55"/>
      <c r="Q294" s="47"/>
      <c r="R294" s="47"/>
      <c r="S294" s="47"/>
      <c r="T294" s="47"/>
      <c r="U294" s="47"/>
      <c r="V294" s="274"/>
      <c r="W294" s="47"/>
      <c r="X294" s="102"/>
      <c r="Y294" s="102"/>
    </row>
    <row r="295" spans="1:31" ht="24.8" customHeight="1" thickBot="1" x14ac:dyDescent="0.3">
      <c r="A295" s="96"/>
      <c r="B295" s="42"/>
      <c r="C295" s="76" t="s">
        <v>203</v>
      </c>
      <c r="D295" s="84">
        <f t="shared" ref="D295:L295" si="94">IF(((D293="")*AND(D294="")),"",(D293-D294)*2)</f>
        <v>6777.22</v>
      </c>
      <c r="E295" s="84">
        <f t="shared" si="94"/>
        <v>6738.3400000000011</v>
      </c>
      <c r="F295" s="84">
        <f t="shared" si="94"/>
        <v>6750.9599999999991</v>
      </c>
      <c r="G295" s="84">
        <f t="shared" si="94"/>
        <v>6823.1399999999994</v>
      </c>
      <c r="H295" s="84">
        <f t="shared" si="94"/>
        <v>7007.9199999999992</v>
      </c>
      <c r="I295" s="84">
        <f t="shared" si="94"/>
        <v>7132.2</v>
      </c>
      <c r="J295" s="84">
        <f t="shared" si="94"/>
        <v>6771.76</v>
      </c>
      <c r="K295" s="84">
        <f t="shared" si="94"/>
        <v>6665.1599999999989</v>
      </c>
      <c r="L295" s="84">
        <f t="shared" si="94"/>
        <v>6606.3600000000006</v>
      </c>
      <c r="M295" s="84"/>
      <c r="N295" s="84"/>
      <c r="O295" s="84"/>
      <c r="P295" s="84" t="str">
        <f>IF(((P293="")*AND(P294="")),"",(P293-P294)*2)</f>
        <v/>
      </c>
      <c r="Q295" s="42"/>
      <c r="R295" s="42"/>
      <c r="S295" s="42"/>
      <c r="T295" s="42"/>
      <c r="U295" s="42"/>
      <c r="V295" s="275"/>
      <c r="W295" s="42"/>
      <c r="X295" s="101"/>
      <c r="Y295" s="101"/>
    </row>
    <row r="296" spans="1:31" ht="14.95" customHeight="1" x14ac:dyDescent="0.3">
      <c r="A296" s="96">
        <v>42981</v>
      </c>
      <c r="B296" s="57" t="s">
        <v>206</v>
      </c>
      <c r="C296" s="61" t="s">
        <v>205</v>
      </c>
      <c r="D296" s="103">
        <v>6840</v>
      </c>
      <c r="E296" s="103">
        <v>6932</v>
      </c>
      <c r="F296" s="103">
        <v>6776</v>
      </c>
      <c r="G296" s="103">
        <v>6861</v>
      </c>
      <c r="H296" s="103">
        <v>6846</v>
      </c>
      <c r="I296" s="103">
        <v>6887</v>
      </c>
      <c r="J296" s="103">
        <v>6882</v>
      </c>
      <c r="K296" s="103">
        <v>6814</v>
      </c>
      <c r="L296" s="103">
        <v>6793</v>
      </c>
      <c r="M296" s="103">
        <v>6888</v>
      </c>
      <c r="N296" s="103">
        <v>6953</v>
      </c>
      <c r="O296" s="103">
        <v>6845</v>
      </c>
      <c r="P296" s="103">
        <v>6869</v>
      </c>
      <c r="Q296" s="50">
        <f>IF((L297=""),"",MAX(D298:P298))</f>
        <v>5440</v>
      </c>
      <c r="R296" s="57">
        <f>IF(L297="","",MIN(D298:L298))</f>
        <v>5368</v>
      </c>
      <c r="S296" s="53">
        <f>IF((P298=""),"",AVERAGE(D298:P298))</f>
        <v>5404.1538461538457</v>
      </c>
      <c r="T296" s="53">
        <f>IF((L297=""),"",(Q296-R296)/(Q296+R296)*100)</f>
        <v>0.66617320503330868</v>
      </c>
      <c r="U296" s="57">
        <f>STDEV(D298:P298)</f>
        <v>24.501177365744944</v>
      </c>
      <c r="V296" s="276" t="str">
        <f>IF(P297="","",IF(T296&lt;2.7,IF(S296&gt;5150,IF(S296&lt;5600,"Pass","Fail"),"Fail"),"Fail"))</f>
        <v>Pass</v>
      </c>
      <c r="W296" s="57">
        <v>1159</v>
      </c>
      <c r="X296" s="99" t="s">
        <v>242</v>
      </c>
      <c r="Y296" s="99"/>
      <c r="Z296" s="71">
        <v>4470</v>
      </c>
      <c r="AA296" s="71">
        <v>6020</v>
      </c>
      <c r="AB296" s="71">
        <v>5150</v>
      </c>
      <c r="AC296" s="71">
        <v>5600</v>
      </c>
      <c r="AD296" s="70">
        <v>2.7</v>
      </c>
      <c r="AE296" s="69">
        <v>10</v>
      </c>
    </row>
    <row r="297" spans="1:31" ht="14.95" customHeight="1" x14ac:dyDescent="0.3">
      <c r="A297" s="96"/>
      <c r="B297" s="47"/>
      <c r="C297" s="56" t="s">
        <v>204</v>
      </c>
      <c r="D297" s="103">
        <v>1458</v>
      </c>
      <c r="E297" s="103">
        <v>1540</v>
      </c>
      <c r="F297" s="103">
        <v>1407</v>
      </c>
      <c r="G297" s="103">
        <v>1450</v>
      </c>
      <c r="H297" s="103">
        <v>1440</v>
      </c>
      <c r="I297" s="103">
        <v>1457</v>
      </c>
      <c r="J297" s="103">
        <v>1453</v>
      </c>
      <c r="K297" s="103">
        <v>1378</v>
      </c>
      <c r="L297" s="103">
        <v>1425</v>
      </c>
      <c r="M297" s="103">
        <v>1448</v>
      </c>
      <c r="N297" s="103">
        <v>1547</v>
      </c>
      <c r="O297" s="103">
        <v>1460</v>
      </c>
      <c r="P297" s="103">
        <v>1469</v>
      </c>
      <c r="Q297" s="47"/>
      <c r="R297" s="47"/>
      <c r="S297" s="47"/>
      <c r="T297" s="47"/>
      <c r="U297" s="47"/>
      <c r="V297" s="274"/>
      <c r="W297" s="47"/>
      <c r="X297" s="102"/>
      <c r="Y297" s="102"/>
      <c r="Z297" s="71">
        <v>4470</v>
      </c>
      <c r="AA297" s="71">
        <v>6020</v>
      </c>
      <c r="AB297" s="71">
        <v>4900</v>
      </c>
      <c r="AC297" s="71">
        <v>5500</v>
      </c>
      <c r="AD297" s="70">
        <v>3.7</v>
      </c>
      <c r="AE297" s="69">
        <v>10</v>
      </c>
    </row>
    <row r="298" spans="1:31" ht="23.95" customHeight="1" x14ac:dyDescent="0.25">
      <c r="A298" s="96"/>
      <c r="B298" s="80"/>
      <c r="C298" s="56" t="s">
        <v>203</v>
      </c>
      <c r="D298" s="97">
        <f t="shared" ref="D298:P298" si="95">IF(((D296="")*AND(D297="")),"",(D296-D297))</f>
        <v>5382</v>
      </c>
      <c r="E298" s="97">
        <f t="shared" si="95"/>
        <v>5392</v>
      </c>
      <c r="F298" s="97">
        <f t="shared" si="95"/>
        <v>5369</v>
      </c>
      <c r="G298" s="97">
        <f t="shared" si="95"/>
        <v>5411</v>
      </c>
      <c r="H298" s="97">
        <f t="shared" si="95"/>
        <v>5406</v>
      </c>
      <c r="I298" s="97">
        <f t="shared" si="95"/>
        <v>5430</v>
      </c>
      <c r="J298" s="97">
        <f t="shared" si="95"/>
        <v>5429</v>
      </c>
      <c r="K298" s="97">
        <f t="shared" si="95"/>
        <v>5436</v>
      </c>
      <c r="L298" s="97">
        <f t="shared" si="95"/>
        <v>5368</v>
      </c>
      <c r="M298" s="97">
        <f t="shared" si="95"/>
        <v>5440</v>
      </c>
      <c r="N298" s="97">
        <f t="shared" si="95"/>
        <v>5406</v>
      </c>
      <c r="O298" s="97">
        <f t="shared" si="95"/>
        <v>5385</v>
      </c>
      <c r="P298" s="97">
        <f t="shared" si="95"/>
        <v>5400</v>
      </c>
      <c r="Q298" s="80"/>
      <c r="R298" s="80"/>
      <c r="S298" s="80"/>
      <c r="T298" s="47"/>
      <c r="U298" s="80"/>
      <c r="V298" s="277"/>
      <c r="W298" s="80"/>
      <c r="X298" s="102"/>
      <c r="Y298" s="102"/>
      <c r="Z298" s="71">
        <v>4470</v>
      </c>
      <c r="AA298" s="71">
        <v>6020</v>
      </c>
      <c r="AB298" s="71">
        <v>4900</v>
      </c>
      <c r="AC298" s="71">
        <v>5500</v>
      </c>
      <c r="AD298" s="70">
        <v>3.7</v>
      </c>
      <c r="AE298" s="69">
        <v>10</v>
      </c>
    </row>
    <row r="299" spans="1:31" x14ac:dyDescent="0.25">
      <c r="A299" s="96">
        <v>42981</v>
      </c>
      <c r="B299" s="50" t="s">
        <v>208</v>
      </c>
      <c r="C299" s="56" t="s">
        <v>205</v>
      </c>
      <c r="D299" s="35">
        <v>6131</v>
      </c>
      <c r="E299" s="35">
        <v>6216</v>
      </c>
      <c r="F299" s="35">
        <v>6213</v>
      </c>
      <c r="G299" s="35">
        <v>6165</v>
      </c>
      <c r="H299" s="35">
        <v>6003</v>
      </c>
      <c r="I299" s="35">
        <v>6064</v>
      </c>
      <c r="J299" s="35">
        <v>6196</v>
      </c>
      <c r="K299" s="35">
        <v>6138</v>
      </c>
      <c r="L299" s="35">
        <v>6011</v>
      </c>
      <c r="M299" s="55"/>
      <c r="N299" s="55"/>
      <c r="O299" s="55"/>
      <c r="P299" s="55"/>
      <c r="Q299" s="50">
        <f>IF((L300=""),"",MAX(D301:L301))</f>
        <v>6848</v>
      </c>
      <c r="R299" s="50">
        <f>IF(L300="","",MIN(D301:L301))</f>
        <v>6752</v>
      </c>
      <c r="S299" s="77">
        <f>IF((L301=""),"",AVERAGE(D301:L301))</f>
        <v>6807.5555555555557</v>
      </c>
      <c r="T299" s="52">
        <f>IF((L300=""),"",(Q299-R299)/(Q299+R299)*100)</f>
        <v>0.70588235294117652</v>
      </c>
      <c r="U299" s="50">
        <f>STDEV(D301:P301)</f>
        <v>35.408724599705337</v>
      </c>
      <c r="V299" s="273" t="str">
        <f>IF(L300="","",IF(T299&lt;7.3,IF(S299&gt;5700,IF(S299&lt;7200,"Pass","Fail"),"Fail"),"Fail"))</f>
        <v>Pass</v>
      </c>
      <c r="W299" s="47">
        <v>1159</v>
      </c>
      <c r="X299" s="102" t="s">
        <v>242</v>
      </c>
      <c r="Y299" s="102"/>
      <c r="Z299" s="37">
        <v>4955</v>
      </c>
      <c r="AA299" s="37">
        <v>9645</v>
      </c>
      <c r="AB299" s="37">
        <v>5100</v>
      </c>
      <c r="AC299" s="37">
        <v>8300</v>
      </c>
      <c r="AD299" s="69">
        <v>9.8000000000000007</v>
      </c>
      <c r="AE299" s="69">
        <v>10</v>
      </c>
    </row>
    <row r="300" spans="1:31" ht="12.75" customHeight="1" x14ac:dyDescent="0.25">
      <c r="A300" s="96"/>
      <c r="B300" s="47"/>
      <c r="C300" s="56" t="s">
        <v>204</v>
      </c>
      <c r="D300" s="35">
        <v>2735</v>
      </c>
      <c r="E300" s="35">
        <v>2801</v>
      </c>
      <c r="F300" s="35">
        <v>2794</v>
      </c>
      <c r="G300" s="35">
        <v>2741</v>
      </c>
      <c r="H300" s="35">
        <v>2590</v>
      </c>
      <c r="I300" s="35">
        <v>2674</v>
      </c>
      <c r="J300" s="35">
        <v>2778</v>
      </c>
      <c r="K300" s="35">
        <v>2755</v>
      </c>
      <c r="L300" s="35">
        <v>2635</v>
      </c>
      <c r="M300" s="55"/>
      <c r="N300" s="55"/>
      <c r="O300" s="55"/>
      <c r="P300" s="55"/>
      <c r="Q300" s="47"/>
      <c r="R300" s="47"/>
      <c r="S300" s="47"/>
      <c r="T300" s="47"/>
      <c r="U300" s="47"/>
      <c r="V300" s="274"/>
      <c r="W300" s="47"/>
      <c r="X300" s="102"/>
      <c r="Y300" s="102"/>
    </row>
    <row r="301" spans="1:31" ht="24.8" customHeight="1" thickBot="1" x14ac:dyDescent="0.3">
      <c r="A301" s="96"/>
      <c r="B301" s="42"/>
      <c r="C301" s="76" t="s">
        <v>203</v>
      </c>
      <c r="D301" s="84">
        <f t="shared" ref="D301:L301" si="96">IF(((D299="")*AND(D300="")),"",(D299-D300)*2)</f>
        <v>6792</v>
      </c>
      <c r="E301" s="84">
        <f t="shared" si="96"/>
        <v>6830</v>
      </c>
      <c r="F301" s="84">
        <f t="shared" si="96"/>
        <v>6838</v>
      </c>
      <c r="G301" s="84">
        <f t="shared" si="96"/>
        <v>6848</v>
      </c>
      <c r="H301" s="84">
        <f t="shared" si="96"/>
        <v>6826</v>
      </c>
      <c r="I301" s="84">
        <f t="shared" si="96"/>
        <v>6780</v>
      </c>
      <c r="J301" s="84">
        <f t="shared" si="96"/>
        <v>6836</v>
      </c>
      <c r="K301" s="84">
        <f t="shared" si="96"/>
        <v>6766</v>
      </c>
      <c r="L301" s="84">
        <f t="shared" si="96"/>
        <v>6752</v>
      </c>
      <c r="M301" s="84"/>
      <c r="N301" s="84"/>
      <c r="O301" s="84"/>
      <c r="P301" s="84" t="str">
        <f>IF(((P299="")*AND(P300="")),"",(P299-P300)*2)</f>
        <v/>
      </c>
      <c r="Q301" s="42"/>
      <c r="R301" s="42"/>
      <c r="S301" s="42"/>
      <c r="T301" s="42"/>
      <c r="U301" s="42"/>
      <c r="V301" s="275"/>
      <c r="W301" s="42"/>
      <c r="X301" s="101"/>
      <c r="Y301" s="101"/>
    </row>
    <row r="302" spans="1:31" ht="12.75" customHeight="1" x14ac:dyDescent="0.25">
      <c r="A302" s="96">
        <v>42992</v>
      </c>
      <c r="B302" s="57" t="s">
        <v>206</v>
      </c>
      <c r="C302" s="61" t="s">
        <v>205</v>
      </c>
      <c r="D302" s="35">
        <v>6889.89</v>
      </c>
      <c r="E302" s="35">
        <v>6998.63</v>
      </c>
      <c r="F302" s="35">
        <v>6809.24</v>
      </c>
      <c r="G302" s="35">
        <v>6875.92</v>
      </c>
      <c r="H302" s="35">
        <v>6911.72</v>
      </c>
      <c r="I302" s="35">
        <v>6927.96</v>
      </c>
      <c r="J302" s="35">
        <v>6905.65</v>
      </c>
      <c r="K302" s="35">
        <v>6815.38</v>
      </c>
      <c r="L302" s="35">
        <v>6832.71</v>
      </c>
      <c r="M302" s="35">
        <v>6905.5</v>
      </c>
      <c r="N302" s="35">
        <v>6995.64</v>
      </c>
      <c r="O302" s="35">
        <v>6878.92</v>
      </c>
      <c r="P302" s="35">
        <v>6920.98</v>
      </c>
      <c r="Q302" s="50">
        <f>IF((L303=""),"",MAX(D304:P304))</f>
        <v>5381.23</v>
      </c>
      <c r="R302" s="57">
        <f>IF(L303="","",MIN(D304:L304))</f>
        <v>5271.74</v>
      </c>
      <c r="S302" s="53">
        <f>IF((P304=""),"",AVERAGE(D304:P304))</f>
        <v>5332.1046153846155</v>
      </c>
      <c r="T302" s="53">
        <f>IF((L303=""),"",(Q302-R302)/(Q302+R302)*100)</f>
        <v>1.0277884946639275</v>
      </c>
      <c r="U302" s="57">
        <f>STDEV(D304:P304)</f>
        <v>36.113131641039878</v>
      </c>
      <c r="V302" s="276" t="str">
        <f>IF(P303="","",IF(T302&lt;2.7,IF(S302&gt;5150,IF(S302&lt;5600,"Pass","Fail"),"Fail"),"Fail"))</f>
        <v>Pass</v>
      </c>
      <c r="W302" s="57">
        <v>121</v>
      </c>
      <c r="X302" s="99"/>
      <c r="Y302" s="99"/>
      <c r="Z302" s="71">
        <v>4470</v>
      </c>
      <c r="AA302" s="71">
        <v>6020</v>
      </c>
      <c r="AB302" s="71">
        <v>5150</v>
      </c>
      <c r="AC302" s="71">
        <v>5600</v>
      </c>
      <c r="AD302" s="70">
        <v>2.7</v>
      </c>
      <c r="AE302" s="69">
        <v>10</v>
      </c>
    </row>
    <row r="303" spans="1:31" ht="12.75" customHeight="1" x14ac:dyDescent="0.25">
      <c r="A303" s="96"/>
      <c r="B303" s="47"/>
      <c r="C303" s="56" t="s">
        <v>204</v>
      </c>
      <c r="D303" s="35">
        <v>1591.39</v>
      </c>
      <c r="E303" s="35">
        <v>1660.22</v>
      </c>
      <c r="F303" s="35">
        <v>1537.5</v>
      </c>
      <c r="G303" s="35">
        <v>1552.42</v>
      </c>
      <c r="H303" s="35">
        <v>1546.75</v>
      </c>
      <c r="I303" s="35">
        <v>1546.73</v>
      </c>
      <c r="J303" s="35">
        <v>1567.54</v>
      </c>
      <c r="K303" s="35">
        <v>1454.65</v>
      </c>
      <c r="L303" s="35">
        <v>1559.89</v>
      </c>
      <c r="M303" s="35">
        <v>1541.19</v>
      </c>
      <c r="N303" s="35">
        <v>1632.69</v>
      </c>
      <c r="O303" s="35">
        <v>1576.48</v>
      </c>
      <c r="P303" s="35">
        <v>1583.33</v>
      </c>
      <c r="Q303" s="47"/>
      <c r="R303" s="47"/>
      <c r="S303" s="47"/>
      <c r="T303" s="47"/>
      <c r="U303" s="47"/>
      <c r="V303" s="274"/>
      <c r="W303" s="47"/>
      <c r="X303" s="102"/>
      <c r="Y303" s="102"/>
      <c r="Z303" s="71">
        <v>4470</v>
      </c>
      <c r="AA303" s="71">
        <v>6020</v>
      </c>
      <c r="AB303" s="71">
        <v>4900</v>
      </c>
      <c r="AC303" s="71">
        <v>5500</v>
      </c>
      <c r="AD303" s="70">
        <v>3.7</v>
      </c>
      <c r="AE303" s="69">
        <v>10</v>
      </c>
    </row>
    <row r="304" spans="1:31" ht="23.95" customHeight="1" x14ac:dyDescent="0.25">
      <c r="A304" s="96"/>
      <c r="B304" s="80"/>
      <c r="C304" s="56" t="s">
        <v>203</v>
      </c>
      <c r="D304" s="97">
        <f t="shared" ref="D304:P304" si="97">IF(((D302="")*AND(D303="")),"",(D302-D303))</f>
        <v>5298.5</v>
      </c>
      <c r="E304" s="97">
        <f t="shared" si="97"/>
        <v>5338.41</v>
      </c>
      <c r="F304" s="97">
        <f t="shared" si="97"/>
        <v>5271.74</v>
      </c>
      <c r="G304" s="97">
        <f t="shared" si="97"/>
        <v>5323.5</v>
      </c>
      <c r="H304" s="97">
        <f t="shared" si="97"/>
        <v>5364.97</v>
      </c>
      <c r="I304" s="97">
        <f t="shared" si="97"/>
        <v>5381.23</v>
      </c>
      <c r="J304" s="97">
        <f t="shared" si="97"/>
        <v>5338.11</v>
      </c>
      <c r="K304" s="97">
        <f t="shared" si="97"/>
        <v>5360.73</v>
      </c>
      <c r="L304" s="97">
        <f t="shared" si="97"/>
        <v>5272.82</v>
      </c>
      <c r="M304" s="97">
        <f t="shared" si="97"/>
        <v>5364.3099999999995</v>
      </c>
      <c r="N304" s="97">
        <f t="shared" si="97"/>
        <v>5362.9500000000007</v>
      </c>
      <c r="O304" s="97">
        <f t="shared" si="97"/>
        <v>5302.4400000000005</v>
      </c>
      <c r="P304" s="97">
        <f t="shared" si="97"/>
        <v>5337.65</v>
      </c>
      <c r="Q304" s="80"/>
      <c r="R304" s="80"/>
      <c r="S304" s="80"/>
      <c r="T304" s="47"/>
      <c r="U304" s="80"/>
      <c r="V304" s="277"/>
      <c r="W304" s="80"/>
      <c r="X304" s="102"/>
      <c r="Y304" s="102"/>
      <c r="Z304" s="71">
        <v>4470</v>
      </c>
      <c r="AA304" s="71">
        <v>6020</v>
      </c>
      <c r="AB304" s="71">
        <v>4900</v>
      </c>
      <c r="AC304" s="71">
        <v>5500</v>
      </c>
      <c r="AD304" s="70">
        <v>3.7</v>
      </c>
      <c r="AE304" s="69">
        <v>10</v>
      </c>
    </row>
    <row r="305" spans="1:31" x14ac:dyDescent="0.25">
      <c r="A305" s="96">
        <v>42992</v>
      </c>
      <c r="B305" s="50" t="s">
        <v>208</v>
      </c>
      <c r="C305" s="56" t="s">
        <v>205</v>
      </c>
      <c r="D305" s="35">
        <v>5920.62</v>
      </c>
      <c r="E305" s="35">
        <v>6015.7</v>
      </c>
      <c r="F305" s="35">
        <v>6031.48</v>
      </c>
      <c r="G305" s="35">
        <v>5985.34</v>
      </c>
      <c r="H305" s="35">
        <v>5868.84</v>
      </c>
      <c r="I305" s="35">
        <v>5906.81</v>
      </c>
      <c r="J305" s="35">
        <v>5996.84</v>
      </c>
      <c r="K305" s="35">
        <v>6033.38</v>
      </c>
      <c r="L305" s="35">
        <v>5844.54</v>
      </c>
      <c r="M305" s="55"/>
      <c r="N305" s="55"/>
      <c r="O305" s="55"/>
      <c r="P305" s="55"/>
      <c r="Q305" s="50">
        <f>IF((L306=""),"",MAX(D307:L307))</f>
        <v>7081.6800000000012</v>
      </c>
      <c r="R305" s="50">
        <f>IF(L306="","",MIN(D307:L307))</f>
        <v>6699.26</v>
      </c>
      <c r="S305" s="77">
        <f>IF((L307=""),"",AVERAGE(D307:L307))</f>
        <v>6884.2177777777779</v>
      </c>
      <c r="T305" s="52">
        <f>IF((L306=""),"",(Q305-R305)/(Q305+R305)*100)</f>
        <v>2.7749921268070312</v>
      </c>
      <c r="U305" s="50">
        <f>STDEV(D307:P307)</f>
        <v>121.96681124160185</v>
      </c>
      <c r="V305" s="273" t="str">
        <f>IF(L306="","",IF(T305&lt;7.3,IF(S305&gt;5700,IF(S305&lt;7200,"Pass","Fail"),"Fail"),"Fail"))</f>
        <v>Pass</v>
      </c>
      <c r="W305" s="47">
        <v>121</v>
      </c>
      <c r="X305" s="102"/>
      <c r="Y305" s="102"/>
      <c r="Z305" s="37">
        <v>4955</v>
      </c>
      <c r="AA305" s="37">
        <v>9645</v>
      </c>
      <c r="AB305" s="37">
        <v>5100</v>
      </c>
      <c r="AC305" s="37">
        <v>8300</v>
      </c>
      <c r="AD305" s="69">
        <v>9.8000000000000007</v>
      </c>
      <c r="AE305" s="69">
        <v>10</v>
      </c>
    </row>
    <row r="306" spans="1:31" ht="12.75" customHeight="1" x14ac:dyDescent="0.25">
      <c r="A306" s="49"/>
      <c r="B306" s="47"/>
      <c r="C306" s="56" t="s">
        <v>204</v>
      </c>
      <c r="D306" s="35">
        <v>2503.5100000000002</v>
      </c>
      <c r="E306" s="35">
        <v>2597.1799999999998</v>
      </c>
      <c r="F306" s="35">
        <v>2614.3000000000002</v>
      </c>
      <c r="G306" s="35">
        <v>2516.83</v>
      </c>
      <c r="H306" s="35">
        <v>2358</v>
      </c>
      <c r="I306" s="35">
        <v>2365.9699999999998</v>
      </c>
      <c r="J306" s="35">
        <v>2524.85</v>
      </c>
      <c r="K306" s="35">
        <v>2649.02</v>
      </c>
      <c r="L306" s="35">
        <v>2494.91</v>
      </c>
      <c r="M306" s="55"/>
      <c r="N306" s="55"/>
      <c r="O306" s="55"/>
      <c r="P306" s="55"/>
      <c r="Q306" s="47"/>
      <c r="R306" s="47"/>
      <c r="S306" s="47"/>
      <c r="T306" s="47"/>
      <c r="U306" s="47"/>
      <c r="V306" s="274"/>
      <c r="W306" s="47"/>
      <c r="X306" s="102"/>
      <c r="Y306" s="102"/>
    </row>
    <row r="307" spans="1:31" ht="24.8" customHeight="1" thickBot="1" x14ac:dyDescent="0.3">
      <c r="A307" s="45"/>
      <c r="B307" s="42"/>
      <c r="C307" s="76" t="s">
        <v>203</v>
      </c>
      <c r="D307" s="84">
        <f t="shared" ref="D307:L307" si="98">IF(((D305="")*AND(D306="")),"",(D305-D306)*2)</f>
        <v>6834.2199999999993</v>
      </c>
      <c r="E307" s="84">
        <f t="shared" si="98"/>
        <v>6837.04</v>
      </c>
      <c r="F307" s="84">
        <f t="shared" si="98"/>
        <v>6834.3599999999988</v>
      </c>
      <c r="G307" s="84">
        <f t="shared" si="98"/>
        <v>6937.02</v>
      </c>
      <c r="H307" s="84">
        <f t="shared" si="98"/>
        <v>7021.68</v>
      </c>
      <c r="I307" s="84">
        <f t="shared" si="98"/>
        <v>7081.6800000000012</v>
      </c>
      <c r="J307" s="84">
        <f t="shared" si="98"/>
        <v>6943.9800000000005</v>
      </c>
      <c r="K307" s="84">
        <f t="shared" si="98"/>
        <v>6768.72</v>
      </c>
      <c r="L307" s="84">
        <f t="shared" si="98"/>
        <v>6699.26</v>
      </c>
      <c r="M307" s="84"/>
      <c r="N307" s="84"/>
      <c r="O307" s="84"/>
      <c r="P307" s="84" t="str">
        <f>IF(((P305="")*AND(P306="")),"",(P305-P306)*2)</f>
        <v/>
      </c>
      <c r="Q307" s="42"/>
      <c r="R307" s="42"/>
      <c r="S307" s="42"/>
      <c r="T307" s="42"/>
      <c r="U307" s="42"/>
      <c r="V307" s="275"/>
      <c r="W307" s="42"/>
      <c r="X307" s="101"/>
      <c r="Y307" s="101"/>
    </row>
    <row r="308" spans="1:31" ht="12.75" customHeight="1" x14ac:dyDescent="0.25">
      <c r="A308" s="96">
        <v>42997</v>
      </c>
      <c r="B308" s="57" t="s">
        <v>206</v>
      </c>
      <c r="C308" s="61" t="s">
        <v>205</v>
      </c>
      <c r="D308" s="35">
        <v>6901.43</v>
      </c>
      <c r="E308" s="35">
        <v>7013.36</v>
      </c>
      <c r="F308" s="35">
        <v>6821.11</v>
      </c>
      <c r="G308" s="35">
        <v>6885.82</v>
      </c>
      <c r="H308" s="35">
        <v>6924.45</v>
      </c>
      <c r="I308" s="35">
        <v>6939.25</v>
      </c>
      <c r="J308" s="35">
        <v>6915.07</v>
      </c>
      <c r="K308" s="35">
        <v>6825.8</v>
      </c>
      <c r="L308" s="35">
        <v>6844.1</v>
      </c>
      <c r="M308" s="35">
        <v>6914.61</v>
      </c>
      <c r="N308" s="35">
        <v>7008.46</v>
      </c>
      <c r="O308" s="35">
        <v>6887.24</v>
      </c>
      <c r="P308" s="35">
        <v>6929.85</v>
      </c>
      <c r="Q308" s="50">
        <f>IF((L309=""),"",MAX(D310:P310))</f>
        <v>5600.18</v>
      </c>
      <c r="R308" s="57">
        <f>IF(L309="","",MIN(D310:L310))</f>
        <v>5443.54</v>
      </c>
      <c r="S308" s="53">
        <f>IF((P310=""),"",AVERAGE(D310:P310))</f>
        <v>5510.4030769230758</v>
      </c>
      <c r="T308" s="53">
        <f>IF((L309=""),"",(Q308-R308)/(Q308+R308)*100)</f>
        <v>1.418362653163973</v>
      </c>
      <c r="U308" s="57">
        <f>STDEV(D310:P310)</f>
        <v>51.251403783151055</v>
      </c>
      <c r="V308" s="276" t="str">
        <f>IF(P309="","",IF(T308&lt;2.7,IF(S308&gt;5150,IF(S308&lt;5600,"Pass","Fail"),"Fail"),"Fail"))</f>
        <v>Pass</v>
      </c>
      <c r="W308" s="57">
        <v>1335</v>
      </c>
      <c r="X308" s="99"/>
      <c r="Y308" s="99" t="s">
        <v>241</v>
      </c>
      <c r="Z308" s="71">
        <v>4470</v>
      </c>
      <c r="AA308" s="71">
        <v>6020</v>
      </c>
      <c r="AB308" s="71">
        <v>5150</v>
      </c>
      <c r="AC308" s="71">
        <v>5600</v>
      </c>
      <c r="AD308" s="70">
        <v>2.7</v>
      </c>
      <c r="AE308" s="69">
        <v>10</v>
      </c>
    </row>
    <row r="309" spans="1:31" ht="12.75" customHeight="1" x14ac:dyDescent="0.25">
      <c r="A309" s="96"/>
      <c r="B309" s="47"/>
      <c r="C309" s="56" t="s">
        <v>204</v>
      </c>
      <c r="D309" s="35">
        <v>1457.89</v>
      </c>
      <c r="E309" s="35">
        <v>1538.23</v>
      </c>
      <c r="F309" s="35">
        <v>1373.59</v>
      </c>
      <c r="G309" s="35">
        <v>1361.74</v>
      </c>
      <c r="H309" s="35">
        <v>1440.65</v>
      </c>
      <c r="I309" s="35">
        <v>1390.35</v>
      </c>
      <c r="J309" s="35">
        <v>1361.92</v>
      </c>
      <c r="K309" s="35">
        <v>1225.6199999999999</v>
      </c>
      <c r="L309" s="35">
        <v>1380</v>
      </c>
      <c r="M309" s="35">
        <v>1319.89</v>
      </c>
      <c r="N309" s="35">
        <v>1511.04</v>
      </c>
      <c r="O309" s="35">
        <v>1385.01</v>
      </c>
      <c r="P309" s="35">
        <v>1429.38</v>
      </c>
      <c r="Q309" s="47"/>
      <c r="R309" s="47"/>
      <c r="S309" s="47"/>
      <c r="T309" s="47"/>
      <c r="U309" s="47"/>
      <c r="V309" s="274"/>
      <c r="W309" s="47"/>
      <c r="X309" s="102"/>
      <c r="Y309" s="102"/>
    </row>
    <row r="310" spans="1:31" ht="23.95" customHeight="1" x14ac:dyDescent="0.25">
      <c r="A310" s="96"/>
      <c r="B310" s="80"/>
      <c r="C310" s="56" t="s">
        <v>203</v>
      </c>
      <c r="D310" s="97">
        <f t="shared" ref="D310:P310" si="99">IF(((D308="")*AND(D309="")),"",(D308-D309))</f>
        <v>5443.54</v>
      </c>
      <c r="E310" s="97">
        <f t="shared" si="99"/>
        <v>5475.1299999999992</v>
      </c>
      <c r="F310" s="97">
        <f t="shared" si="99"/>
        <v>5447.5199999999995</v>
      </c>
      <c r="G310" s="97">
        <f t="shared" si="99"/>
        <v>5524.08</v>
      </c>
      <c r="H310" s="97">
        <f t="shared" si="99"/>
        <v>5483.7999999999993</v>
      </c>
      <c r="I310" s="97">
        <f t="shared" si="99"/>
        <v>5548.9</v>
      </c>
      <c r="J310" s="97">
        <f t="shared" si="99"/>
        <v>5553.15</v>
      </c>
      <c r="K310" s="97">
        <f t="shared" si="99"/>
        <v>5600.18</v>
      </c>
      <c r="L310" s="97">
        <f t="shared" si="99"/>
        <v>5464.1</v>
      </c>
      <c r="M310" s="97">
        <f t="shared" si="99"/>
        <v>5594.7199999999993</v>
      </c>
      <c r="N310" s="97">
        <f t="shared" si="99"/>
        <v>5497.42</v>
      </c>
      <c r="O310" s="97">
        <f t="shared" si="99"/>
        <v>5502.23</v>
      </c>
      <c r="P310" s="97">
        <f t="shared" si="99"/>
        <v>5500.47</v>
      </c>
      <c r="Q310" s="80"/>
      <c r="R310" s="80"/>
      <c r="S310" s="80"/>
      <c r="T310" s="47"/>
      <c r="U310" s="80"/>
      <c r="V310" s="277"/>
      <c r="W310" s="80"/>
      <c r="X310" s="102"/>
      <c r="Y310" s="102"/>
    </row>
    <row r="311" spans="1:31" x14ac:dyDescent="0.25">
      <c r="A311" s="96">
        <v>42997</v>
      </c>
      <c r="B311" s="50" t="s">
        <v>208</v>
      </c>
      <c r="C311" s="56" t="s">
        <v>205</v>
      </c>
      <c r="D311" s="35">
        <v>5925.2</v>
      </c>
      <c r="E311" s="35">
        <v>6018.44</v>
      </c>
      <c r="F311" s="35">
        <v>6033.8</v>
      </c>
      <c r="G311" s="35">
        <v>5981.09</v>
      </c>
      <c r="H311" s="35">
        <v>5883.19</v>
      </c>
      <c r="I311" s="35">
        <v>5906.07</v>
      </c>
      <c r="J311" s="35">
        <v>5994.76</v>
      </c>
      <c r="K311" s="35">
        <v>6033.46</v>
      </c>
      <c r="L311" s="35">
        <v>5853.86</v>
      </c>
      <c r="M311" s="55"/>
      <c r="N311" s="55"/>
      <c r="O311" s="55"/>
      <c r="P311" s="55"/>
      <c r="Q311" s="50">
        <f>IF((L312=""),"",MAX(D313:L313))</f>
        <v>7544.4599999999991</v>
      </c>
      <c r="R311" s="50">
        <f>IF(L312="","",MIN(D313:L313))</f>
        <v>7183.82</v>
      </c>
      <c r="S311" s="77">
        <f>IF((L313=""),"",AVERAGE(D313:L313))</f>
        <v>7410.6888888888898</v>
      </c>
      <c r="T311" s="52">
        <f>IF((L312=""),"",(Q311-R311)/(Q311+R311)*100)</f>
        <v>2.4486226497595065</v>
      </c>
      <c r="U311" s="50">
        <f>STDEV(D313:P313)</f>
        <v>107.41759730654519</v>
      </c>
      <c r="V311" s="273" t="str">
        <f>IF(L312="","",IF(T311&lt;7.3,IF(S311&gt;5700,IF(S311&lt;7200,"Pass","Fail"),"Fail"),"Fail"))</f>
        <v>Fail</v>
      </c>
      <c r="W311" s="47">
        <v>1335</v>
      </c>
      <c r="X311" s="102"/>
      <c r="Y311" s="102"/>
      <c r="Z311" s="37">
        <v>4955</v>
      </c>
      <c r="AA311" s="37">
        <v>9645</v>
      </c>
      <c r="AB311" s="37">
        <v>5100</v>
      </c>
      <c r="AC311" s="37">
        <v>8300</v>
      </c>
      <c r="AD311" s="69">
        <v>9.8000000000000007</v>
      </c>
      <c r="AE311" s="69">
        <v>10</v>
      </c>
    </row>
    <row r="312" spans="1:31" ht="12.75" customHeight="1" x14ac:dyDescent="0.25">
      <c r="A312" s="49"/>
      <c r="B312" s="47"/>
      <c r="C312" s="56" t="s">
        <v>204</v>
      </c>
      <c r="D312" s="35">
        <v>2273.13</v>
      </c>
      <c r="E312" s="35">
        <v>2309.7399999999998</v>
      </c>
      <c r="F312" s="35">
        <v>2296.8200000000002</v>
      </c>
      <c r="G312" s="35">
        <v>2262.2600000000002</v>
      </c>
      <c r="H312" s="35">
        <v>2138.37</v>
      </c>
      <c r="I312" s="35">
        <v>2133.84</v>
      </c>
      <c r="J312" s="35">
        <v>2277.35</v>
      </c>
      <c r="K312" s="35">
        <v>2328.31</v>
      </c>
      <c r="L312" s="35">
        <v>2261.9499999999998</v>
      </c>
      <c r="M312" s="55"/>
      <c r="N312" s="55"/>
      <c r="O312" s="55"/>
      <c r="P312" s="55"/>
      <c r="Q312" s="47"/>
      <c r="R312" s="47"/>
      <c r="S312" s="47"/>
      <c r="T312" s="47"/>
      <c r="U312" s="47"/>
      <c r="V312" s="274"/>
      <c r="W312" s="47"/>
      <c r="X312" s="102"/>
      <c r="Y312" s="102"/>
    </row>
    <row r="313" spans="1:31" ht="24.8" customHeight="1" thickBot="1" x14ac:dyDescent="0.3">
      <c r="A313" s="45"/>
      <c r="B313" s="42"/>
      <c r="C313" s="76" t="s">
        <v>203</v>
      </c>
      <c r="D313" s="84">
        <f t="shared" ref="D313:L313" si="100">IF(((D311="")*AND(D312="")),"",(D311-D312)*2)</f>
        <v>7304.1399999999994</v>
      </c>
      <c r="E313" s="84">
        <f t="shared" si="100"/>
        <v>7417.4</v>
      </c>
      <c r="F313" s="84">
        <f t="shared" si="100"/>
        <v>7473.96</v>
      </c>
      <c r="G313" s="84">
        <f t="shared" si="100"/>
        <v>7437.66</v>
      </c>
      <c r="H313" s="84">
        <f t="shared" si="100"/>
        <v>7489.6399999999994</v>
      </c>
      <c r="I313" s="84">
        <f t="shared" si="100"/>
        <v>7544.4599999999991</v>
      </c>
      <c r="J313" s="84">
        <f t="shared" si="100"/>
        <v>7434.8200000000006</v>
      </c>
      <c r="K313" s="84">
        <f t="shared" si="100"/>
        <v>7410.3</v>
      </c>
      <c r="L313" s="84">
        <f t="shared" si="100"/>
        <v>7183.82</v>
      </c>
      <c r="M313" s="84"/>
      <c r="N313" s="84"/>
      <c r="O313" s="84"/>
      <c r="P313" s="84" t="str">
        <f>IF(((P311="")*AND(P312="")),"",(P311-P312)*2)</f>
        <v/>
      </c>
      <c r="Q313" s="42"/>
      <c r="R313" s="42"/>
      <c r="S313" s="42"/>
      <c r="T313" s="42"/>
      <c r="U313" s="42"/>
      <c r="V313" s="275"/>
      <c r="W313" s="42"/>
      <c r="X313" s="101"/>
      <c r="Y313" s="101"/>
    </row>
    <row r="314" spans="1:31" ht="12.75" customHeight="1" x14ac:dyDescent="0.25">
      <c r="A314" s="96">
        <v>43004</v>
      </c>
      <c r="B314" s="57" t="s">
        <v>206</v>
      </c>
      <c r="C314" s="61" t="s">
        <v>205</v>
      </c>
      <c r="D314" s="35">
        <v>7104.3</v>
      </c>
      <c r="E314" s="35">
        <v>6927.41</v>
      </c>
      <c r="F314" s="35">
        <v>7005.04</v>
      </c>
      <c r="G314" s="35">
        <v>7005.65</v>
      </c>
      <c r="H314" s="35">
        <v>7036.35</v>
      </c>
      <c r="I314" s="35">
        <v>7038.74</v>
      </c>
      <c r="J314" s="35">
        <v>6952.08</v>
      </c>
      <c r="K314" s="35">
        <v>6955.51</v>
      </c>
      <c r="L314" s="35">
        <v>7035.63</v>
      </c>
      <c r="M314" s="35">
        <v>7095.15</v>
      </c>
      <c r="N314" s="35">
        <v>6998.97</v>
      </c>
      <c r="O314" s="35">
        <v>7021.05</v>
      </c>
      <c r="P314" s="35">
        <v>6929.85</v>
      </c>
      <c r="Q314" s="50">
        <f>IF((L315=""),"",MAX(D316:P316))</f>
        <v>5653.5999999999995</v>
      </c>
      <c r="R314" s="57">
        <f>IF(L315="","",MIN(D316:L316))</f>
        <v>5282.21</v>
      </c>
      <c r="S314" s="53">
        <f>IF((P316=""),"",AVERAGE(D316:P316))</f>
        <v>5502.7876923076929</v>
      </c>
      <c r="T314" s="53">
        <f>IF((L315=""),"",(Q314-R314)/(Q314+R314)*100)</f>
        <v>3.3960904587771679</v>
      </c>
      <c r="U314" s="57">
        <f>STDEV(D316:P316)</f>
        <v>100.33725539016277</v>
      </c>
      <c r="V314" s="276" t="str">
        <f>IF(P315="","",IF(T314&lt;2.7,IF(S314&gt;5150,IF(S314&lt;5600,"Pass","Fail"),"Fail"),"Fail"))</f>
        <v>Fail</v>
      </c>
      <c r="W314" s="57">
        <v>1519</v>
      </c>
      <c r="X314" s="99"/>
      <c r="Y314" s="99"/>
      <c r="Z314" s="71">
        <v>4470</v>
      </c>
      <c r="AA314" s="71">
        <v>6020</v>
      </c>
      <c r="AB314" s="71">
        <v>5150</v>
      </c>
      <c r="AC314" s="71">
        <v>5600</v>
      </c>
      <c r="AD314" s="70">
        <v>2.7</v>
      </c>
      <c r="AE314" s="69">
        <v>10</v>
      </c>
    </row>
    <row r="315" spans="1:31" ht="12.75" customHeight="1" x14ac:dyDescent="0.25">
      <c r="A315" s="96"/>
      <c r="B315" s="47"/>
      <c r="C315" s="56" t="s">
        <v>204</v>
      </c>
      <c r="D315" s="35">
        <v>1547.11</v>
      </c>
      <c r="E315" s="35">
        <v>1645.2</v>
      </c>
      <c r="F315" s="35">
        <v>1459.22</v>
      </c>
      <c r="G315" s="35">
        <v>1478.3</v>
      </c>
      <c r="H315" s="35">
        <v>1551.01</v>
      </c>
      <c r="I315" s="35">
        <v>1504.52</v>
      </c>
      <c r="J315" s="35">
        <v>1485.21</v>
      </c>
      <c r="K315" s="35">
        <v>1348.46</v>
      </c>
      <c r="L315" s="35">
        <v>1471.51</v>
      </c>
      <c r="M315" s="35">
        <v>1441.55</v>
      </c>
      <c r="N315" s="35">
        <v>1620.04</v>
      </c>
      <c r="O315" s="35">
        <v>1487.77</v>
      </c>
      <c r="P315" s="35">
        <v>1529.59</v>
      </c>
      <c r="Q315" s="47"/>
      <c r="R315" s="47"/>
      <c r="S315" s="47"/>
      <c r="T315" s="47"/>
      <c r="U315" s="47"/>
      <c r="V315" s="274"/>
      <c r="W315" s="47"/>
      <c r="X315" s="102"/>
      <c r="Y315" s="102"/>
    </row>
    <row r="316" spans="1:31" ht="23.95" customHeight="1" x14ac:dyDescent="0.25">
      <c r="A316" s="96"/>
      <c r="B316" s="80"/>
      <c r="C316" s="56" t="s">
        <v>203</v>
      </c>
      <c r="D316" s="97">
        <f t="shared" ref="D316:P316" si="101">IF(((D314="")*AND(D315="")),"",(D314-D315))</f>
        <v>5557.1900000000005</v>
      </c>
      <c r="E316" s="97">
        <f t="shared" si="101"/>
        <v>5282.21</v>
      </c>
      <c r="F316" s="97">
        <f t="shared" si="101"/>
        <v>5545.82</v>
      </c>
      <c r="G316" s="97">
        <f t="shared" si="101"/>
        <v>5527.3499999999995</v>
      </c>
      <c r="H316" s="97">
        <f t="shared" si="101"/>
        <v>5485.34</v>
      </c>
      <c r="I316" s="97">
        <f t="shared" si="101"/>
        <v>5534.2199999999993</v>
      </c>
      <c r="J316" s="97">
        <f t="shared" si="101"/>
        <v>5466.87</v>
      </c>
      <c r="K316" s="97">
        <f t="shared" si="101"/>
        <v>5607.05</v>
      </c>
      <c r="L316" s="97">
        <f t="shared" si="101"/>
        <v>5564.12</v>
      </c>
      <c r="M316" s="97">
        <f t="shared" si="101"/>
        <v>5653.5999999999995</v>
      </c>
      <c r="N316" s="97">
        <f t="shared" si="101"/>
        <v>5378.93</v>
      </c>
      <c r="O316" s="97">
        <f t="shared" si="101"/>
        <v>5533.2800000000007</v>
      </c>
      <c r="P316" s="97">
        <f t="shared" si="101"/>
        <v>5400.26</v>
      </c>
      <c r="Q316" s="80"/>
      <c r="R316" s="80"/>
      <c r="S316" s="80"/>
      <c r="T316" s="47"/>
      <c r="U316" s="80"/>
      <c r="V316" s="277"/>
      <c r="W316" s="80"/>
      <c r="X316" s="102"/>
      <c r="Y316" s="102"/>
    </row>
    <row r="317" spans="1:31" x14ac:dyDescent="0.25">
      <c r="A317" s="96">
        <v>43004</v>
      </c>
      <c r="B317" s="50" t="s">
        <v>208</v>
      </c>
      <c r="C317" s="56" t="s">
        <v>205</v>
      </c>
      <c r="D317" s="35">
        <v>5923.91</v>
      </c>
      <c r="E317" s="35">
        <v>6018.65</v>
      </c>
      <c r="F317" s="35">
        <v>6036.37</v>
      </c>
      <c r="G317" s="35">
        <v>5983.63</v>
      </c>
      <c r="H317" s="35">
        <v>5873.71</v>
      </c>
      <c r="I317" s="35">
        <v>5925.04</v>
      </c>
      <c r="J317" s="35">
        <v>5997.72</v>
      </c>
      <c r="K317" s="35">
        <v>6033.93</v>
      </c>
      <c r="L317" s="35">
        <v>5853.81</v>
      </c>
      <c r="M317" s="55"/>
      <c r="N317" s="55"/>
      <c r="O317" s="55"/>
      <c r="P317" s="55"/>
      <c r="Q317" s="50">
        <f>IF((L318=""),"",MAX(D319:L319))</f>
        <v>7449</v>
      </c>
      <c r="R317" s="50">
        <f>IF(L318="","",MIN(D319:L319))</f>
        <v>7120.5400000000009</v>
      </c>
      <c r="S317" s="77">
        <f>IF((L319=""),"",AVERAGE(D319:L319))</f>
        <v>7335.0399999999981</v>
      </c>
      <c r="T317" s="52">
        <f>IF((L318=""),"",(Q317-R317)/(Q317+R317)*100)</f>
        <v>2.2544294466400387</v>
      </c>
      <c r="U317" s="50">
        <f>STDEV(D319:P319)</f>
        <v>96.438274040963435</v>
      </c>
      <c r="V317" s="273" t="str">
        <f>IF(L318="","",IF(T317&lt;7.3,IF(S317&gt;5700,IF(S317&lt;7200,"Pass","Fail"),"Fail"),"Fail"))</f>
        <v>Fail</v>
      </c>
      <c r="W317" s="47">
        <v>1519</v>
      </c>
      <c r="X317" s="102"/>
      <c r="Y317" s="102"/>
      <c r="Z317" s="37">
        <v>4955</v>
      </c>
      <c r="AA317" s="37">
        <v>9645</v>
      </c>
      <c r="AB317" s="37">
        <v>5100</v>
      </c>
      <c r="AC317" s="37">
        <v>8300</v>
      </c>
      <c r="AD317" s="69">
        <v>9.8000000000000007</v>
      </c>
      <c r="AE317" s="69">
        <v>10</v>
      </c>
    </row>
    <row r="318" spans="1:31" ht="12.75" customHeight="1" x14ac:dyDescent="0.25">
      <c r="A318" s="49"/>
      <c r="B318" s="47"/>
      <c r="C318" s="56" t="s">
        <v>204</v>
      </c>
      <c r="D318" s="35">
        <v>2295.5500000000002</v>
      </c>
      <c r="E318" s="35">
        <v>2330.58</v>
      </c>
      <c r="F318" s="35">
        <v>2334.79</v>
      </c>
      <c r="G318" s="35">
        <v>2304.17</v>
      </c>
      <c r="H318" s="35">
        <v>2193.4499999999998</v>
      </c>
      <c r="I318" s="35">
        <v>2200.54</v>
      </c>
      <c r="J318" s="35">
        <v>2338.9</v>
      </c>
      <c r="K318" s="35">
        <v>2347.5700000000002</v>
      </c>
      <c r="L318" s="35">
        <v>2293.54</v>
      </c>
      <c r="M318" s="55"/>
      <c r="N318" s="55"/>
      <c r="O318" s="55"/>
      <c r="P318" s="55"/>
      <c r="Q318" s="47"/>
      <c r="R318" s="47"/>
      <c r="S318" s="47"/>
      <c r="T318" s="47"/>
      <c r="U318" s="47"/>
      <c r="V318" s="274"/>
      <c r="W318" s="47"/>
      <c r="X318" s="102"/>
      <c r="Y318" s="102"/>
    </row>
    <row r="319" spans="1:31" ht="24.8" customHeight="1" thickBot="1" x14ac:dyDescent="0.3">
      <c r="A319" s="45"/>
      <c r="B319" s="42"/>
      <c r="C319" s="76" t="s">
        <v>203</v>
      </c>
      <c r="D319" s="84">
        <f t="shared" ref="D319:L319" si="102">IF(((D317="")*AND(D318="")),"",(D317-D318)*2)</f>
        <v>7256.7199999999993</v>
      </c>
      <c r="E319" s="84">
        <f t="shared" si="102"/>
        <v>7376.1399999999994</v>
      </c>
      <c r="F319" s="84">
        <f t="shared" si="102"/>
        <v>7403.16</v>
      </c>
      <c r="G319" s="84">
        <f t="shared" si="102"/>
        <v>7358.92</v>
      </c>
      <c r="H319" s="84">
        <f t="shared" si="102"/>
        <v>7360.52</v>
      </c>
      <c r="I319" s="84">
        <f t="shared" si="102"/>
        <v>7449</v>
      </c>
      <c r="J319" s="84">
        <f t="shared" si="102"/>
        <v>7317.64</v>
      </c>
      <c r="K319" s="84">
        <f t="shared" si="102"/>
        <v>7372.72</v>
      </c>
      <c r="L319" s="84">
        <f t="shared" si="102"/>
        <v>7120.5400000000009</v>
      </c>
      <c r="M319" s="84"/>
      <c r="N319" s="84"/>
      <c r="O319" s="84"/>
      <c r="P319" s="84" t="str">
        <f>IF(((P317="")*AND(P318="")),"",(P317-P318)*2)</f>
        <v/>
      </c>
      <c r="Q319" s="42"/>
      <c r="R319" s="42"/>
      <c r="S319" s="42"/>
      <c r="T319" s="42"/>
      <c r="U319" s="42"/>
      <c r="V319" s="275"/>
      <c r="W319" s="42"/>
      <c r="X319" s="101"/>
      <c r="Y319" s="101"/>
    </row>
    <row r="320" spans="1:31" ht="12.75" customHeight="1" x14ac:dyDescent="0.25">
      <c r="A320" s="96">
        <v>43011</v>
      </c>
      <c r="B320" s="57" t="s">
        <v>206</v>
      </c>
      <c r="C320" s="61" t="s">
        <v>205</v>
      </c>
      <c r="D320" s="35">
        <v>7104.3</v>
      </c>
      <c r="E320" s="35">
        <v>6927.41</v>
      </c>
      <c r="F320" s="35">
        <v>7005.04</v>
      </c>
      <c r="G320" s="35">
        <v>7005.65</v>
      </c>
      <c r="H320" s="35">
        <v>7036.35</v>
      </c>
      <c r="I320" s="35">
        <v>7038.74</v>
      </c>
      <c r="J320" s="35">
        <v>6952.08</v>
      </c>
      <c r="K320" s="35">
        <v>6955.51</v>
      </c>
      <c r="L320" s="35">
        <v>7035.63</v>
      </c>
      <c r="M320" s="35">
        <v>7095.15</v>
      </c>
      <c r="N320" s="35">
        <v>6998.97</v>
      </c>
      <c r="O320" s="35">
        <v>7021.05</v>
      </c>
      <c r="P320" s="35">
        <v>6929.85</v>
      </c>
      <c r="Q320" s="50">
        <f>IF((L321=""),"",MAX(D322:P322))</f>
        <v>5653.5999999999995</v>
      </c>
      <c r="R320" s="57">
        <f>IF(L321="","",MIN(D322:L322))</f>
        <v>5282.21</v>
      </c>
      <c r="S320" s="53">
        <f>IF((P322=""),"",AVERAGE(D322:P322))</f>
        <v>5502.7876923076929</v>
      </c>
      <c r="T320" s="53">
        <f>IF((L321=""),"",(Q320-R320)/(Q320+R320)*100)</f>
        <v>3.3960904587771679</v>
      </c>
      <c r="U320" s="57">
        <f>STDEV(D322:P322)</f>
        <v>100.33725539016277</v>
      </c>
      <c r="V320" s="276" t="str">
        <f>IF(P321="","",IF(T320&lt;2.7,IF(S320&gt;5150,IF(S320&lt;5600,"Pass","Fail"),"Fail"),"Fail"))</f>
        <v>Fail</v>
      </c>
      <c r="W320" s="57">
        <v>1519</v>
      </c>
      <c r="X320" s="99"/>
      <c r="Y320" s="99"/>
      <c r="Z320" s="71">
        <v>4470</v>
      </c>
      <c r="AA320" s="71">
        <v>6020</v>
      </c>
      <c r="AB320" s="71">
        <v>5150</v>
      </c>
      <c r="AC320" s="71">
        <v>5600</v>
      </c>
      <c r="AD320" s="70">
        <v>2.7</v>
      </c>
      <c r="AE320" s="69">
        <v>10</v>
      </c>
    </row>
    <row r="321" spans="1:31" ht="12.75" customHeight="1" x14ac:dyDescent="0.25">
      <c r="A321" s="96"/>
      <c r="B321" s="47"/>
      <c r="C321" s="56" t="s">
        <v>204</v>
      </c>
      <c r="D321" s="35">
        <v>1547.11</v>
      </c>
      <c r="E321" s="35">
        <v>1645.2</v>
      </c>
      <c r="F321" s="35">
        <v>1459.22</v>
      </c>
      <c r="G321" s="35">
        <v>1478.3</v>
      </c>
      <c r="H321" s="35">
        <v>1551.01</v>
      </c>
      <c r="I321" s="35">
        <v>1504.52</v>
      </c>
      <c r="J321" s="35">
        <v>1485.21</v>
      </c>
      <c r="K321" s="35">
        <v>1348.46</v>
      </c>
      <c r="L321" s="35">
        <v>1471.51</v>
      </c>
      <c r="M321" s="35">
        <v>1441.55</v>
      </c>
      <c r="N321" s="35">
        <v>1620.04</v>
      </c>
      <c r="O321" s="35">
        <v>1487.77</v>
      </c>
      <c r="P321" s="35">
        <v>1529.59</v>
      </c>
      <c r="Q321" s="47"/>
      <c r="R321" s="47"/>
      <c r="S321" s="47"/>
      <c r="T321" s="47"/>
      <c r="U321" s="47"/>
      <c r="V321" s="274"/>
      <c r="W321" s="47"/>
      <c r="X321" s="102"/>
      <c r="Y321" s="102"/>
    </row>
    <row r="322" spans="1:31" ht="23.95" customHeight="1" x14ac:dyDescent="0.25">
      <c r="A322" s="96"/>
      <c r="B322" s="80"/>
      <c r="C322" s="56" t="s">
        <v>203</v>
      </c>
      <c r="D322" s="97">
        <f t="shared" ref="D322:P322" si="103">IF(((D320="")*AND(D321="")),"",(D320-D321))</f>
        <v>5557.1900000000005</v>
      </c>
      <c r="E322" s="97">
        <f t="shared" si="103"/>
        <v>5282.21</v>
      </c>
      <c r="F322" s="97">
        <f t="shared" si="103"/>
        <v>5545.82</v>
      </c>
      <c r="G322" s="97">
        <f t="shared" si="103"/>
        <v>5527.3499999999995</v>
      </c>
      <c r="H322" s="97">
        <f t="shared" si="103"/>
        <v>5485.34</v>
      </c>
      <c r="I322" s="97">
        <f t="shared" si="103"/>
        <v>5534.2199999999993</v>
      </c>
      <c r="J322" s="97">
        <f t="shared" si="103"/>
        <v>5466.87</v>
      </c>
      <c r="K322" s="97">
        <f t="shared" si="103"/>
        <v>5607.05</v>
      </c>
      <c r="L322" s="97">
        <f t="shared" si="103"/>
        <v>5564.12</v>
      </c>
      <c r="M322" s="97">
        <f t="shared" si="103"/>
        <v>5653.5999999999995</v>
      </c>
      <c r="N322" s="97">
        <f t="shared" si="103"/>
        <v>5378.93</v>
      </c>
      <c r="O322" s="97">
        <f t="shared" si="103"/>
        <v>5533.2800000000007</v>
      </c>
      <c r="P322" s="97">
        <f t="shared" si="103"/>
        <v>5400.26</v>
      </c>
      <c r="Q322" s="80"/>
      <c r="R322" s="80"/>
      <c r="S322" s="80"/>
      <c r="T322" s="47"/>
      <c r="U322" s="80"/>
      <c r="V322" s="277"/>
      <c r="W322" s="80"/>
      <c r="X322" s="102"/>
      <c r="Y322" s="102"/>
    </row>
    <row r="323" spans="1:31" x14ac:dyDescent="0.25">
      <c r="A323" s="96">
        <v>43011</v>
      </c>
      <c r="B323" s="50" t="s">
        <v>208</v>
      </c>
      <c r="C323" s="56" t="s">
        <v>205</v>
      </c>
      <c r="D323" s="35">
        <v>5923.91</v>
      </c>
      <c r="E323" s="35">
        <v>6018.65</v>
      </c>
      <c r="F323" s="35">
        <v>6036.37</v>
      </c>
      <c r="G323" s="35">
        <v>5983.63</v>
      </c>
      <c r="H323" s="35">
        <v>5873.71</v>
      </c>
      <c r="I323" s="35">
        <v>5925.04</v>
      </c>
      <c r="J323" s="35">
        <v>5997.72</v>
      </c>
      <c r="K323" s="35">
        <v>6033.93</v>
      </c>
      <c r="L323" s="35">
        <v>5853.81</v>
      </c>
      <c r="M323" s="55"/>
      <c r="N323" s="55"/>
      <c r="O323" s="55"/>
      <c r="P323" s="55"/>
      <c r="Q323" s="50">
        <f>IF((L324=""),"",MAX(D325:L325))</f>
        <v>7449</v>
      </c>
      <c r="R323" s="50">
        <f>IF(L324="","",MIN(D325:L325))</f>
        <v>7120.5400000000009</v>
      </c>
      <c r="S323" s="77">
        <f>IF((L325=""),"",AVERAGE(D325:L325))</f>
        <v>7335.0399999999981</v>
      </c>
      <c r="T323" s="52">
        <f>IF((L324=""),"",(Q323-R323)/(Q323+R323)*100)</f>
        <v>2.2544294466400387</v>
      </c>
      <c r="U323" s="50">
        <f>STDEV(D325:P325)</f>
        <v>96.438274040963435</v>
      </c>
      <c r="V323" s="273" t="str">
        <f>IF(L324="","",IF(T323&lt;7.3,IF(S323&gt;5700,IF(S323&lt;7200,"Pass","Fail"),"Fail"),"Fail"))</f>
        <v>Fail</v>
      </c>
      <c r="W323" s="47">
        <v>1519</v>
      </c>
      <c r="X323" s="102"/>
      <c r="Y323" s="102"/>
      <c r="Z323" s="37">
        <v>4955</v>
      </c>
      <c r="AA323" s="37">
        <v>9645</v>
      </c>
      <c r="AB323" s="37">
        <v>5100</v>
      </c>
      <c r="AC323" s="37">
        <v>8300</v>
      </c>
      <c r="AD323" s="69">
        <v>9.8000000000000007</v>
      </c>
      <c r="AE323" s="69">
        <v>10</v>
      </c>
    </row>
    <row r="324" spans="1:31" ht="12.75" customHeight="1" x14ac:dyDescent="0.25">
      <c r="A324" s="49"/>
      <c r="B324" s="47"/>
      <c r="C324" s="56" t="s">
        <v>204</v>
      </c>
      <c r="D324" s="35">
        <v>2295.5500000000002</v>
      </c>
      <c r="E324" s="35">
        <v>2330.58</v>
      </c>
      <c r="F324" s="35">
        <v>2334.79</v>
      </c>
      <c r="G324" s="35">
        <v>2304.17</v>
      </c>
      <c r="H324" s="35">
        <v>2193.4499999999998</v>
      </c>
      <c r="I324" s="35">
        <v>2200.54</v>
      </c>
      <c r="J324" s="35">
        <v>2338.9</v>
      </c>
      <c r="K324" s="35">
        <v>2347.5700000000002</v>
      </c>
      <c r="L324" s="35">
        <v>2293.54</v>
      </c>
      <c r="M324" s="55"/>
      <c r="N324" s="55"/>
      <c r="O324" s="55"/>
      <c r="P324" s="55"/>
      <c r="Q324" s="47"/>
      <c r="R324" s="47"/>
      <c r="S324" s="47"/>
      <c r="T324" s="47"/>
      <c r="U324" s="47"/>
      <c r="V324" s="274"/>
      <c r="W324" s="47"/>
      <c r="X324" s="102"/>
      <c r="Y324" s="102"/>
    </row>
    <row r="325" spans="1:31" ht="24.8" customHeight="1" thickBot="1" x14ac:dyDescent="0.3">
      <c r="A325" s="45"/>
      <c r="B325" s="42"/>
      <c r="C325" s="76" t="s">
        <v>203</v>
      </c>
      <c r="D325" s="84">
        <f t="shared" ref="D325:L325" si="104">IF(((D323="")*AND(D324="")),"",(D323-D324)*2)</f>
        <v>7256.7199999999993</v>
      </c>
      <c r="E325" s="84">
        <f t="shared" si="104"/>
        <v>7376.1399999999994</v>
      </c>
      <c r="F325" s="84">
        <f t="shared" si="104"/>
        <v>7403.16</v>
      </c>
      <c r="G325" s="84">
        <f t="shared" si="104"/>
        <v>7358.92</v>
      </c>
      <c r="H325" s="84">
        <f t="shared" si="104"/>
        <v>7360.52</v>
      </c>
      <c r="I325" s="84">
        <f t="shared" si="104"/>
        <v>7449</v>
      </c>
      <c r="J325" s="84">
        <f t="shared" si="104"/>
        <v>7317.64</v>
      </c>
      <c r="K325" s="84">
        <f t="shared" si="104"/>
        <v>7372.72</v>
      </c>
      <c r="L325" s="84">
        <f t="shared" si="104"/>
        <v>7120.5400000000009</v>
      </c>
      <c r="M325" s="84"/>
      <c r="N325" s="84"/>
      <c r="O325" s="84"/>
      <c r="P325" s="84" t="str">
        <f>IF(((P323="")*AND(P324="")),"",(P323-P324)*2)</f>
        <v/>
      </c>
      <c r="Q325" s="42"/>
      <c r="R325" s="42"/>
      <c r="S325" s="42"/>
      <c r="T325" s="42"/>
      <c r="U325" s="42"/>
      <c r="V325" s="275"/>
      <c r="W325" s="42"/>
      <c r="X325" s="101"/>
      <c r="Y325" s="101"/>
    </row>
    <row r="326" spans="1:31" ht="12.75" customHeight="1" x14ac:dyDescent="0.25">
      <c r="A326" s="96">
        <v>43011</v>
      </c>
      <c r="B326" s="57" t="s">
        <v>206</v>
      </c>
      <c r="C326" s="61" t="s">
        <v>205</v>
      </c>
      <c r="D326" s="35">
        <v>6924.02</v>
      </c>
      <c r="E326" s="35">
        <v>7027.28</v>
      </c>
      <c r="F326" s="35">
        <v>6844.88</v>
      </c>
      <c r="G326" s="35">
        <v>6922.23</v>
      </c>
      <c r="H326" s="35">
        <v>6930.34</v>
      </c>
      <c r="I326" s="35">
        <v>6957.23</v>
      </c>
      <c r="J326" s="35">
        <v>6955.46</v>
      </c>
      <c r="K326" s="35">
        <v>6865.94</v>
      </c>
      <c r="L326" s="35">
        <v>6871.02</v>
      </c>
      <c r="M326" s="35">
        <v>6952.35</v>
      </c>
      <c r="N326" s="35">
        <v>7017.69</v>
      </c>
      <c r="O326" s="35">
        <v>6915.32</v>
      </c>
      <c r="P326" s="35">
        <v>6946.63</v>
      </c>
      <c r="Q326" s="50">
        <f>IF((L327=""),"",MAX(D328:P328))</f>
        <v>5511.4900000000007</v>
      </c>
      <c r="R326" s="57">
        <f>IF(L327="","",MIN(D328:L328))</f>
        <v>5404.32</v>
      </c>
      <c r="S326" s="53">
        <f>IF((P328=""),"",AVERAGE(D328:P328))</f>
        <v>5466.7284615384615</v>
      </c>
      <c r="T326" s="53">
        <f>IF((L327=""),"",(Q326-R326)/(Q326+R326)*100)</f>
        <v>0.98178696771014673</v>
      </c>
      <c r="U326" s="57">
        <f>STDEV(D328:P328)</f>
        <v>35.411062265473305</v>
      </c>
      <c r="V326" s="276" t="str">
        <f>IF(P327="","",IF(T326&lt;2.7,IF(S326&gt;5150,IF(S326&lt;5600,"Pass","Fail"),"Fail"),"Fail"))</f>
        <v>Pass</v>
      </c>
      <c r="W326" s="57">
        <v>1428</v>
      </c>
      <c r="X326" s="99"/>
      <c r="Y326" s="99"/>
      <c r="Z326" s="71">
        <v>4470</v>
      </c>
      <c r="AA326" s="71">
        <v>6020</v>
      </c>
      <c r="AB326" s="71">
        <v>5150</v>
      </c>
      <c r="AC326" s="71">
        <v>5600</v>
      </c>
      <c r="AD326" s="70">
        <v>2.7</v>
      </c>
      <c r="AE326" s="69">
        <v>10</v>
      </c>
    </row>
    <row r="327" spans="1:31" ht="12.75" customHeight="1" x14ac:dyDescent="0.25">
      <c r="A327" s="96"/>
      <c r="B327" s="47"/>
      <c r="C327" s="56" t="s">
        <v>204</v>
      </c>
      <c r="D327" s="35">
        <v>1498.78</v>
      </c>
      <c r="E327" s="35">
        <v>1558.5</v>
      </c>
      <c r="F327" s="35">
        <v>1440.56</v>
      </c>
      <c r="G327" s="35">
        <v>1473.56</v>
      </c>
      <c r="H327" s="35">
        <v>1438.26</v>
      </c>
      <c r="I327" s="35">
        <v>1448.06</v>
      </c>
      <c r="J327" s="35">
        <v>1485.27</v>
      </c>
      <c r="K327" s="35">
        <v>1363.57</v>
      </c>
      <c r="L327" s="35">
        <v>1454.08</v>
      </c>
      <c r="M327" s="35">
        <v>1440.86</v>
      </c>
      <c r="N327" s="35">
        <v>1526.37</v>
      </c>
      <c r="O327" s="35">
        <v>1463.4</v>
      </c>
      <c r="P327" s="35">
        <v>1471.65</v>
      </c>
      <c r="Q327" s="47"/>
      <c r="R327" s="47"/>
      <c r="S327" s="47"/>
      <c r="T327" s="47"/>
      <c r="U327" s="47"/>
      <c r="V327" s="274"/>
      <c r="W327" s="47"/>
      <c r="X327" s="102"/>
      <c r="Y327" s="102"/>
    </row>
    <row r="328" spans="1:31" ht="23.95" customHeight="1" x14ac:dyDescent="0.25">
      <c r="A328" s="96"/>
      <c r="B328" s="80"/>
      <c r="C328" s="56" t="s">
        <v>203</v>
      </c>
      <c r="D328" s="97">
        <f t="shared" ref="D328:P328" si="105">IF(((D326="")*AND(D327="")),"",(D326-D327))</f>
        <v>5425.2400000000007</v>
      </c>
      <c r="E328" s="97">
        <f t="shared" si="105"/>
        <v>5468.78</v>
      </c>
      <c r="F328" s="97">
        <f t="shared" si="105"/>
        <v>5404.32</v>
      </c>
      <c r="G328" s="97">
        <f t="shared" si="105"/>
        <v>5448.67</v>
      </c>
      <c r="H328" s="97">
        <f t="shared" si="105"/>
        <v>5492.08</v>
      </c>
      <c r="I328" s="97">
        <f t="shared" si="105"/>
        <v>5509.17</v>
      </c>
      <c r="J328" s="97">
        <f t="shared" si="105"/>
        <v>5470.1900000000005</v>
      </c>
      <c r="K328" s="97">
        <f t="shared" si="105"/>
        <v>5502.37</v>
      </c>
      <c r="L328" s="97">
        <f t="shared" si="105"/>
        <v>5416.9400000000005</v>
      </c>
      <c r="M328" s="97">
        <f t="shared" si="105"/>
        <v>5511.4900000000007</v>
      </c>
      <c r="N328" s="97">
        <f t="shared" si="105"/>
        <v>5491.32</v>
      </c>
      <c r="O328" s="97">
        <f t="shared" si="105"/>
        <v>5451.92</v>
      </c>
      <c r="P328" s="97">
        <f t="shared" si="105"/>
        <v>5474.98</v>
      </c>
      <c r="Q328" s="80"/>
      <c r="R328" s="80"/>
      <c r="S328" s="80"/>
      <c r="T328" s="47"/>
      <c r="U328" s="80"/>
      <c r="V328" s="277"/>
      <c r="W328" s="80"/>
      <c r="X328" s="102"/>
      <c r="Y328" s="102"/>
    </row>
    <row r="329" spans="1:31" x14ac:dyDescent="0.25">
      <c r="A329" s="96">
        <v>43011</v>
      </c>
      <c r="B329" s="50" t="s">
        <v>208</v>
      </c>
      <c r="C329" s="56" t="s">
        <v>205</v>
      </c>
      <c r="D329" s="35">
        <v>5931.94</v>
      </c>
      <c r="E329" s="35">
        <v>6021.62</v>
      </c>
      <c r="F329" s="35">
        <v>6043.7</v>
      </c>
      <c r="G329" s="35">
        <v>5984.47</v>
      </c>
      <c r="H329" s="35">
        <v>5892.24</v>
      </c>
      <c r="I329" s="35">
        <v>5926.3</v>
      </c>
      <c r="J329" s="35">
        <v>5997.67</v>
      </c>
      <c r="K329" s="35">
        <v>6036.54</v>
      </c>
      <c r="L329" s="35">
        <v>5855.89</v>
      </c>
      <c r="M329" s="55"/>
      <c r="N329" s="55"/>
      <c r="O329" s="55"/>
      <c r="P329" s="55"/>
      <c r="Q329" s="50">
        <f>IF((L330=""),"",MAX(D331:L331))</f>
        <v>7417.3200000000006</v>
      </c>
      <c r="R329" s="50">
        <f>IF(L330="","",MIN(D331:L331))</f>
        <v>6987.9600000000009</v>
      </c>
      <c r="S329" s="77">
        <f>IF((L331=""),"",AVERAGE(D331:L331))</f>
        <v>7243.66</v>
      </c>
      <c r="T329" s="52">
        <f>IF((L330=""),"",(Q329-R329)/(Q329+R329)*100)</f>
        <v>2.9805737896104736</v>
      </c>
      <c r="U329" s="50">
        <f>STDEV(D331:P331)</f>
        <v>125.66460161875334</v>
      </c>
      <c r="V329" s="273" t="str">
        <f>IF(L330="","",IF(T329&lt;7.3,IF(S329&gt;5700,IF(S329&lt;7200,"Pass","Fail"),"Fail"),"Fail"))</f>
        <v>Fail</v>
      </c>
      <c r="W329" s="47">
        <v>1428</v>
      </c>
      <c r="X329" s="102"/>
      <c r="Y329" s="102"/>
      <c r="Z329" s="37">
        <v>4955</v>
      </c>
      <c r="AA329" s="37">
        <v>9645</v>
      </c>
      <c r="AB329" s="37">
        <v>5100</v>
      </c>
      <c r="AC329" s="37">
        <v>8300</v>
      </c>
      <c r="AD329" s="69">
        <v>9.8000000000000007</v>
      </c>
      <c r="AE329" s="69">
        <v>10</v>
      </c>
    </row>
    <row r="330" spans="1:31" ht="12.75" customHeight="1" x14ac:dyDescent="0.25">
      <c r="A330" s="49"/>
      <c r="B330" s="47"/>
      <c r="C330" s="56" t="s">
        <v>204</v>
      </c>
      <c r="D330" s="35">
        <v>2366.23</v>
      </c>
      <c r="E330" s="35">
        <v>2399.92</v>
      </c>
      <c r="F330" s="35">
        <v>2390.23</v>
      </c>
      <c r="G330" s="35">
        <v>2353.89</v>
      </c>
      <c r="H330" s="35">
        <v>2211.64</v>
      </c>
      <c r="I330" s="35">
        <v>2217.64</v>
      </c>
      <c r="J330" s="35">
        <v>2374.02</v>
      </c>
      <c r="K330" s="35">
        <v>2418.42</v>
      </c>
      <c r="L330" s="35">
        <v>2361.91</v>
      </c>
      <c r="M330" s="55"/>
      <c r="N330" s="55"/>
      <c r="O330" s="55"/>
      <c r="P330" s="55"/>
      <c r="Q330" s="47"/>
      <c r="R330" s="47"/>
      <c r="S330" s="47"/>
      <c r="T330" s="47"/>
      <c r="U330" s="47"/>
      <c r="V330" s="274"/>
      <c r="W330" s="47"/>
      <c r="X330" s="102"/>
      <c r="Y330" s="102"/>
    </row>
    <row r="331" spans="1:31" ht="24.8" customHeight="1" thickBot="1" x14ac:dyDescent="0.3">
      <c r="A331" s="45"/>
      <c r="B331" s="42"/>
      <c r="C331" s="76" t="s">
        <v>203</v>
      </c>
      <c r="D331" s="84">
        <f t="shared" ref="D331:L331" si="106">IF(((D329="")*AND(D330="")),"",(D329-D330)*2)</f>
        <v>7131.4199999999992</v>
      </c>
      <c r="E331" s="84">
        <f t="shared" si="106"/>
        <v>7243.4</v>
      </c>
      <c r="F331" s="84">
        <f t="shared" si="106"/>
        <v>7306.94</v>
      </c>
      <c r="G331" s="84">
        <f t="shared" si="106"/>
        <v>7261.1600000000008</v>
      </c>
      <c r="H331" s="84">
        <f t="shared" si="106"/>
        <v>7361.2</v>
      </c>
      <c r="I331" s="84">
        <f t="shared" si="106"/>
        <v>7417.3200000000006</v>
      </c>
      <c r="J331" s="84">
        <f t="shared" si="106"/>
        <v>7247.3</v>
      </c>
      <c r="K331" s="84">
        <f t="shared" si="106"/>
        <v>7236.24</v>
      </c>
      <c r="L331" s="84">
        <f t="shared" si="106"/>
        <v>6987.9600000000009</v>
      </c>
      <c r="M331" s="84"/>
      <c r="N331" s="84"/>
      <c r="O331" s="84"/>
      <c r="P331" s="84" t="str">
        <f>IF(((P329="")*AND(P330="")),"",(P329-P330)*2)</f>
        <v/>
      </c>
      <c r="Q331" s="42"/>
      <c r="R331" s="42"/>
      <c r="S331" s="42"/>
      <c r="T331" s="42"/>
      <c r="U331" s="42"/>
      <c r="V331" s="275"/>
      <c r="W331" s="42"/>
      <c r="X331" s="101"/>
      <c r="Y331" s="101"/>
    </row>
    <row r="332" spans="1:31" ht="12.75" customHeight="1" x14ac:dyDescent="0.25">
      <c r="A332" s="96">
        <v>43018</v>
      </c>
      <c r="B332" s="57" t="s">
        <v>206</v>
      </c>
      <c r="C332" s="61" t="s">
        <v>205</v>
      </c>
      <c r="D332" s="35">
        <v>6898.89</v>
      </c>
      <c r="E332" s="35">
        <v>7010.64</v>
      </c>
      <c r="F332" s="35">
        <v>6809</v>
      </c>
      <c r="G332" s="35">
        <v>6869.73</v>
      </c>
      <c r="H332" s="35">
        <v>6922.78</v>
      </c>
      <c r="I332" s="35">
        <v>6931.3</v>
      </c>
      <c r="J332" s="35">
        <v>6896.79</v>
      </c>
      <c r="K332" s="35">
        <v>6805.64</v>
      </c>
      <c r="L332" s="35">
        <v>6829.52</v>
      </c>
      <c r="M332" s="35">
        <v>6896.33</v>
      </c>
      <c r="N332" s="35">
        <v>7001.66</v>
      </c>
      <c r="O332" s="35">
        <v>6874.86</v>
      </c>
      <c r="P332" s="35">
        <v>6926.46</v>
      </c>
      <c r="Q332" s="50">
        <f>IF((L333=""),"",MAX(D334:P334))</f>
        <v>5483.66</v>
      </c>
      <c r="R332" s="57">
        <f>IF(L333="","",MIN(D334:L334))</f>
        <v>5396.34</v>
      </c>
      <c r="S332" s="53">
        <f>IF((P334=""),"",AVERAGE(D334:P334))</f>
        <v>5432.0653846153837</v>
      </c>
      <c r="T332" s="53">
        <f>IF((L333=""),"",(Q332-R332)/(Q332+R332)*100)</f>
        <v>0.80257352941176197</v>
      </c>
      <c r="U332" s="57">
        <f>STDEV(D334:P334)</f>
        <v>25.856844553355824</v>
      </c>
      <c r="V332" s="276" t="str">
        <f>IF(P333="","",IF(T332&lt;2.7,IF(S332&gt;5150,IF(S332&lt;5600,"Pass","Fail"),"Fail"),"Fail"))</f>
        <v>Pass</v>
      </c>
      <c r="W332" s="57">
        <v>1428</v>
      </c>
      <c r="X332" s="99" t="s">
        <v>240</v>
      </c>
      <c r="Y332" s="99"/>
      <c r="Z332" s="71">
        <v>4470</v>
      </c>
      <c r="AA332" s="71">
        <v>6020</v>
      </c>
      <c r="AB332" s="71">
        <v>5150</v>
      </c>
      <c r="AC332" s="71">
        <v>5600</v>
      </c>
      <c r="AD332" s="70">
        <v>2.7</v>
      </c>
      <c r="AE332" s="69">
        <v>10</v>
      </c>
    </row>
    <row r="333" spans="1:31" ht="12.75" customHeight="1" x14ac:dyDescent="0.25">
      <c r="A333" s="96"/>
      <c r="B333" s="47"/>
      <c r="C333" s="56" t="s">
        <v>204</v>
      </c>
      <c r="D333" s="35">
        <v>1489.06</v>
      </c>
      <c r="E333" s="35">
        <v>1588.73</v>
      </c>
      <c r="F333" s="35">
        <v>1412.66</v>
      </c>
      <c r="G333" s="35">
        <v>1438.63</v>
      </c>
      <c r="H333" s="35">
        <v>1498.04</v>
      </c>
      <c r="I333" s="35">
        <v>1469.58</v>
      </c>
      <c r="J333" s="35">
        <v>1452.75</v>
      </c>
      <c r="K333" s="35">
        <v>1321.98</v>
      </c>
      <c r="L333" s="35">
        <v>1423.91</v>
      </c>
      <c r="M333" s="35">
        <v>1426.34</v>
      </c>
      <c r="N333" s="35">
        <v>1577.24</v>
      </c>
      <c r="O333" s="35">
        <v>1453.27</v>
      </c>
      <c r="P333" s="35">
        <v>1504.56</v>
      </c>
      <c r="Q333" s="47"/>
      <c r="R333" s="47"/>
      <c r="S333" s="47"/>
      <c r="T333" s="47"/>
      <c r="U333" s="47"/>
      <c r="V333" s="274"/>
      <c r="W333" s="47"/>
      <c r="X333" s="102"/>
      <c r="Y333" s="102"/>
    </row>
    <row r="334" spans="1:31" ht="23.95" customHeight="1" x14ac:dyDescent="0.25">
      <c r="A334" s="96"/>
      <c r="B334" s="80"/>
      <c r="C334" s="56" t="s">
        <v>203</v>
      </c>
      <c r="D334" s="97">
        <f t="shared" ref="D334:P334" si="107">IF(((D332="")*AND(D333="")),"",(D332-D333))</f>
        <v>5409.83</v>
      </c>
      <c r="E334" s="97">
        <f t="shared" si="107"/>
        <v>5421.91</v>
      </c>
      <c r="F334" s="97">
        <f t="shared" si="107"/>
        <v>5396.34</v>
      </c>
      <c r="G334" s="97">
        <f t="shared" si="107"/>
        <v>5431.0999999999995</v>
      </c>
      <c r="H334" s="97">
        <f t="shared" si="107"/>
        <v>5424.74</v>
      </c>
      <c r="I334" s="97">
        <f t="shared" si="107"/>
        <v>5461.72</v>
      </c>
      <c r="J334" s="97">
        <f t="shared" si="107"/>
        <v>5444.04</v>
      </c>
      <c r="K334" s="97">
        <f t="shared" si="107"/>
        <v>5483.66</v>
      </c>
      <c r="L334" s="97">
        <f t="shared" si="107"/>
        <v>5405.6100000000006</v>
      </c>
      <c r="M334" s="97">
        <f t="shared" si="107"/>
        <v>5469.99</v>
      </c>
      <c r="N334" s="97">
        <f t="shared" si="107"/>
        <v>5424.42</v>
      </c>
      <c r="O334" s="97">
        <f t="shared" si="107"/>
        <v>5421.59</v>
      </c>
      <c r="P334" s="97">
        <f t="shared" si="107"/>
        <v>5421.9</v>
      </c>
      <c r="Q334" s="80"/>
      <c r="R334" s="80"/>
      <c r="S334" s="80"/>
      <c r="T334" s="47"/>
      <c r="U334" s="80"/>
      <c r="V334" s="277"/>
      <c r="W334" s="80"/>
      <c r="X334" s="102"/>
      <c r="Y334" s="102"/>
    </row>
    <row r="335" spans="1:31" x14ac:dyDescent="0.25">
      <c r="A335" s="96">
        <v>43018</v>
      </c>
      <c r="B335" s="50" t="s">
        <v>208</v>
      </c>
      <c r="C335" s="56" t="s">
        <v>205</v>
      </c>
      <c r="D335" s="35">
        <v>5933.83</v>
      </c>
      <c r="E335" s="35">
        <v>6014.78</v>
      </c>
      <c r="F335" s="35">
        <v>6036.08</v>
      </c>
      <c r="G335" s="35">
        <v>5982.53</v>
      </c>
      <c r="H335" s="35">
        <v>5892.6</v>
      </c>
      <c r="I335" s="35">
        <v>5915.81</v>
      </c>
      <c r="J335" s="35">
        <v>5999.19</v>
      </c>
      <c r="K335" s="35">
        <v>6025.63</v>
      </c>
      <c r="L335" s="35">
        <v>5857.09</v>
      </c>
      <c r="M335" s="55"/>
      <c r="N335" s="55"/>
      <c r="O335" s="55"/>
      <c r="P335" s="55"/>
      <c r="Q335" s="50">
        <f>IF((L336=""),"",MAX(D337:L337))</f>
        <v>7109.52</v>
      </c>
      <c r="R335" s="50">
        <f>IF(L336="","",MIN(D337:L337))</f>
        <v>6862.8</v>
      </c>
      <c r="S335" s="77">
        <f>IF((L337=""),"",AVERAGE(D337:L337))</f>
        <v>7042.2199999999993</v>
      </c>
      <c r="T335" s="52">
        <f>IF((L336=""),"",(Q335-R335)/(Q335+R335)*100)</f>
        <v>1.7657769074856593</v>
      </c>
      <c r="U335" s="50">
        <f>STDEV(D337:P337)</f>
        <v>78.380956233003374</v>
      </c>
      <c r="V335" s="273" t="str">
        <f>IF(L336="","",IF(T335&lt;9.8,IF(S335&gt;5100,IF(S335&lt;8300,"Pass","Fail"),"Fail"),"Fail"))</f>
        <v>Pass</v>
      </c>
      <c r="W335" s="47">
        <v>1428</v>
      </c>
      <c r="X335" s="102" t="s">
        <v>240</v>
      </c>
      <c r="Y335" s="102"/>
      <c r="Z335" s="37">
        <v>4955</v>
      </c>
      <c r="AA335" s="37">
        <v>9645</v>
      </c>
      <c r="AB335" s="37">
        <v>5100</v>
      </c>
      <c r="AC335" s="37">
        <v>8300</v>
      </c>
      <c r="AD335" s="69">
        <v>9.8000000000000007</v>
      </c>
      <c r="AE335" s="69">
        <v>10</v>
      </c>
    </row>
    <row r="336" spans="1:31" ht="12.75" customHeight="1" x14ac:dyDescent="0.25">
      <c r="A336" s="49"/>
      <c r="B336" s="47"/>
      <c r="C336" s="56" t="s">
        <v>204</v>
      </c>
      <c r="D336" s="35">
        <v>2448.81</v>
      </c>
      <c r="E336" s="35">
        <v>2478.67</v>
      </c>
      <c r="F336" s="35">
        <v>2483.25</v>
      </c>
      <c r="G336" s="35">
        <v>2450.15</v>
      </c>
      <c r="H336" s="35">
        <v>2337.84</v>
      </c>
      <c r="I336" s="35">
        <v>2387.94</v>
      </c>
      <c r="J336" s="35">
        <v>2467.9299999999998</v>
      </c>
      <c r="K336" s="35">
        <v>2487.27</v>
      </c>
      <c r="L336" s="35">
        <v>2425.69</v>
      </c>
      <c r="M336" s="55"/>
      <c r="N336" s="55"/>
      <c r="O336" s="55"/>
      <c r="P336" s="55"/>
      <c r="Q336" s="47"/>
      <c r="R336" s="47"/>
      <c r="S336" s="47"/>
      <c r="T336" s="47"/>
      <c r="U336" s="47"/>
      <c r="V336" s="274"/>
      <c r="W336" s="47"/>
      <c r="X336" s="102"/>
      <c r="Y336" s="102"/>
    </row>
    <row r="337" spans="1:31" ht="24.8" customHeight="1" thickBot="1" x14ac:dyDescent="0.3">
      <c r="A337" s="45"/>
      <c r="B337" s="42"/>
      <c r="C337" s="76" t="s">
        <v>203</v>
      </c>
      <c r="D337" s="84">
        <f t="shared" ref="D337:L337" si="108">IF(((D335="")*AND(D336="")),"",(D335-D336)*2)</f>
        <v>6970.04</v>
      </c>
      <c r="E337" s="84">
        <f t="shared" si="108"/>
        <v>7072.2199999999993</v>
      </c>
      <c r="F337" s="84">
        <f t="shared" si="108"/>
        <v>7105.66</v>
      </c>
      <c r="G337" s="84">
        <f t="shared" si="108"/>
        <v>7064.7599999999993</v>
      </c>
      <c r="H337" s="84">
        <f t="shared" si="108"/>
        <v>7109.52</v>
      </c>
      <c r="I337" s="84">
        <f t="shared" si="108"/>
        <v>7055.7400000000007</v>
      </c>
      <c r="J337" s="84">
        <f t="shared" si="108"/>
        <v>7062.5199999999995</v>
      </c>
      <c r="K337" s="84">
        <f t="shared" si="108"/>
        <v>7076.72</v>
      </c>
      <c r="L337" s="84">
        <f t="shared" si="108"/>
        <v>6862.8</v>
      </c>
      <c r="M337" s="84"/>
      <c r="N337" s="84"/>
      <c r="O337" s="84"/>
      <c r="P337" s="84" t="str">
        <f>IF(((P335="")*AND(P336="")),"",(P335-P336)*2)</f>
        <v/>
      </c>
      <c r="Q337" s="42"/>
      <c r="R337" s="42"/>
      <c r="S337" s="42"/>
      <c r="T337" s="42"/>
      <c r="U337" s="42"/>
      <c r="V337" s="275"/>
      <c r="W337" s="42"/>
      <c r="X337" s="101"/>
      <c r="Y337" s="101"/>
    </row>
    <row r="338" spans="1:31" ht="12.75" customHeight="1" x14ac:dyDescent="0.25">
      <c r="A338" s="96">
        <v>43025</v>
      </c>
      <c r="B338" s="57" t="s">
        <v>206</v>
      </c>
      <c r="C338" s="61" t="s">
        <v>205</v>
      </c>
      <c r="D338" s="35">
        <v>7021.6</v>
      </c>
      <c r="E338" s="35">
        <v>7128.66</v>
      </c>
      <c r="F338" s="35">
        <v>6936.07</v>
      </c>
      <c r="G338" s="35">
        <v>6999.65</v>
      </c>
      <c r="H338" s="35">
        <v>7036.57</v>
      </c>
      <c r="I338" s="35">
        <v>7051.14</v>
      </c>
      <c r="J338" s="35">
        <v>7025.59</v>
      </c>
      <c r="K338" s="35">
        <v>6935.51</v>
      </c>
      <c r="L338" s="35">
        <v>6954.67</v>
      </c>
      <c r="M338" s="35">
        <v>7022.06</v>
      </c>
      <c r="N338" s="35">
        <v>7111.12</v>
      </c>
      <c r="O338" s="35">
        <v>6996.19</v>
      </c>
      <c r="P338" s="35">
        <v>7037.89</v>
      </c>
      <c r="Q338" s="50">
        <f>IF((L339=""),"",MAX(D340:P340))</f>
        <v>5502.84</v>
      </c>
      <c r="R338" s="57">
        <f>IF(L339="","",MIN(D340:L340))</f>
        <v>5386.3499999999995</v>
      </c>
      <c r="S338" s="53">
        <f>IF((P340=""),"",AVERAGE(D340:P340))</f>
        <v>5450.873846153846</v>
      </c>
      <c r="T338" s="53">
        <f>IF((L339=""),"",(Q338-R338)/(Q338+R338)*100)</f>
        <v>1.0697765398528329</v>
      </c>
      <c r="U338" s="57">
        <f>STDEV(D340:P340)</f>
        <v>36.560268630135951</v>
      </c>
      <c r="V338" s="276" t="str">
        <f>IF(P339="","",IF(T338&lt;2.7,IF(S338&gt;5150,IF(S338&lt;5600,"Pass","Fail"),"Fail"),"Fail"))</f>
        <v>Pass</v>
      </c>
      <c r="W338" s="57" t="s">
        <v>239</v>
      </c>
      <c r="X338" s="99"/>
      <c r="Y338" s="99"/>
      <c r="Z338" s="71">
        <v>4470</v>
      </c>
      <c r="AA338" s="71">
        <v>6020</v>
      </c>
      <c r="AB338" s="71">
        <v>5150</v>
      </c>
      <c r="AC338" s="71">
        <v>5600</v>
      </c>
      <c r="AD338" s="70">
        <v>2.7</v>
      </c>
      <c r="AE338" s="69">
        <v>10</v>
      </c>
    </row>
    <row r="339" spans="1:31" ht="12.75" customHeight="1" x14ac:dyDescent="0.25">
      <c r="A339" s="96"/>
      <c r="B339" s="47"/>
      <c r="C339" s="56" t="s">
        <v>204</v>
      </c>
      <c r="D339" s="35">
        <v>1609.38</v>
      </c>
      <c r="E339" s="35">
        <v>1673.57</v>
      </c>
      <c r="F339" s="35">
        <v>1549.72</v>
      </c>
      <c r="G339" s="35">
        <v>1564.94</v>
      </c>
      <c r="H339" s="35">
        <v>1568.03</v>
      </c>
      <c r="I339" s="35">
        <v>1548.3</v>
      </c>
      <c r="J339" s="35">
        <v>1570.58</v>
      </c>
      <c r="K339" s="35">
        <v>1453.13</v>
      </c>
      <c r="L339" s="35">
        <v>1558.93</v>
      </c>
      <c r="M339" s="35">
        <v>1524.39</v>
      </c>
      <c r="N339" s="35">
        <v>1636.9</v>
      </c>
      <c r="O339" s="35">
        <v>1560</v>
      </c>
      <c r="P339" s="35">
        <v>1577.49</v>
      </c>
      <c r="Q339" s="47"/>
      <c r="R339" s="47"/>
      <c r="S339" s="47"/>
      <c r="T339" s="47"/>
      <c r="U339" s="47"/>
      <c r="V339" s="274"/>
      <c r="W339" s="47"/>
      <c r="X339" s="102"/>
      <c r="Y339" s="102"/>
    </row>
    <row r="340" spans="1:31" ht="24.8" customHeight="1" thickBot="1" x14ac:dyDescent="0.3">
      <c r="A340" s="96"/>
      <c r="B340" s="80"/>
      <c r="C340" s="56" t="s">
        <v>203</v>
      </c>
      <c r="D340" s="97">
        <f t="shared" ref="D340:P340" si="109">IF(((D338="")*AND(D339="")),"",(D338-D339))</f>
        <v>5412.22</v>
      </c>
      <c r="E340" s="97">
        <f t="shared" si="109"/>
        <v>5455.09</v>
      </c>
      <c r="F340" s="97">
        <f t="shared" si="109"/>
        <v>5386.3499999999995</v>
      </c>
      <c r="G340" s="97">
        <f t="shared" si="109"/>
        <v>5434.7099999999991</v>
      </c>
      <c r="H340" s="97">
        <f t="shared" si="109"/>
        <v>5468.54</v>
      </c>
      <c r="I340" s="97">
        <f t="shared" si="109"/>
        <v>5502.84</v>
      </c>
      <c r="J340" s="97">
        <f t="shared" si="109"/>
        <v>5455.01</v>
      </c>
      <c r="K340" s="97">
        <f t="shared" si="109"/>
        <v>5482.38</v>
      </c>
      <c r="L340" s="97">
        <f t="shared" si="109"/>
        <v>5395.74</v>
      </c>
      <c r="M340" s="97">
        <f t="shared" si="109"/>
        <v>5497.67</v>
      </c>
      <c r="N340" s="97">
        <f t="shared" si="109"/>
        <v>5474.2199999999993</v>
      </c>
      <c r="O340" s="97">
        <f t="shared" si="109"/>
        <v>5436.19</v>
      </c>
      <c r="P340" s="97">
        <f t="shared" si="109"/>
        <v>5460.4000000000005</v>
      </c>
      <c r="Q340" s="80"/>
      <c r="R340" s="80"/>
      <c r="S340" s="80"/>
      <c r="T340" s="47"/>
      <c r="U340" s="80"/>
      <c r="V340" s="277"/>
      <c r="W340" s="80"/>
      <c r="X340" s="102"/>
      <c r="Y340" s="102"/>
    </row>
    <row r="341" spans="1:31" x14ac:dyDescent="0.25">
      <c r="A341" s="96">
        <v>43025</v>
      </c>
      <c r="B341" s="50" t="s">
        <v>208</v>
      </c>
      <c r="C341" s="56" t="s">
        <v>205</v>
      </c>
      <c r="D341" s="35">
        <v>5929.41</v>
      </c>
      <c r="E341" s="35">
        <v>6011.64</v>
      </c>
      <c r="F341" s="35">
        <v>6035.27</v>
      </c>
      <c r="G341" s="35">
        <v>5982.57</v>
      </c>
      <c r="H341" s="35">
        <v>5887.22</v>
      </c>
      <c r="I341" s="35">
        <v>5926.51</v>
      </c>
      <c r="J341" s="35">
        <v>5995.35</v>
      </c>
      <c r="K341" s="35">
        <v>6023.14</v>
      </c>
      <c r="L341" s="35">
        <v>5857.78</v>
      </c>
      <c r="M341" s="55"/>
      <c r="N341" s="55"/>
      <c r="O341" s="55"/>
      <c r="P341" s="55"/>
      <c r="Q341" s="50">
        <f>IF((L342=""),"",MAX(D343:L343))</f>
        <v>7076.26</v>
      </c>
      <c r="R341" s="50">
        <f>IF(L342="","",MIN(D343:L343))</f>
        <v>6751.36</v>
      </c>
      <c r="S341" s="77">
        <f>IF((L343=""),"",AVERAGE(D343:L343))</f>
        <v>6982.9666666666672</v>
      </c>
      <c r="T341" s="52">
        <f>IF((L342=""),"",(Q341-R341)/(Q341+R341)*100)</f>
        <v>2.3496451305430766</v>
      </c>
      <c r="U341" s="50">
        <f>STDEV(D343:P343)</f>
        <v>110.99119784919903</v>
      </c>
      <c r="V341" s="273" t="str">
        <f>IF(L342="","",IF(T341&lt;9.8,IF(S341&gt;5100,IF(S341&lt;8300,"Pass","Fail"),"Fail"),"Fail"))</f>
        <v>Pass</v>
      </c>
      <c r="W341" s="57" t="s">
        <v>239</v>
      </c>
      <c r="X341" s="102"/>
      <c r="Y341" s="102"/>
      <c r="Z341" s="37">
        <v>4955</v>
      </c>
      <c r="AA341" s="37">
        <v>9645</v>
      </c>
      <c r="AB341" s="37">
        <v>5100</v>
      </c>
      <c r="AC341" s="37">
        <v>8300</v>
      </c>
      <c r="AD341" s="69">
        <v>9.8000000000000007</v>
      </c>
      <c r="AE341" s="69">
        <v>10</v>
      </c>
    </row>
    <row r="342" spans="1:31" ht="12.75" customHeight="1" x14ac:dyDescent="0.25">
      <c r="A342" s="49"/>
      <c r="B342" s="47"/>
      <c r="C342" s="56" t="s">
        <v>204</v>
      </c>
      <c r="D342" s="35">
        <v>2499.36</v>
      </c>
      <c r="E342" s="35">
        <v>2512.0700000000002</v>
      </c>
      <c r="F342" s="35">
        <v>2500.3200000000002</v>
      </c>
      <c r="G342" s="35">
        <v>2449.09</v>
      </c>
      <c r="H342" s="35">
        <v>2349.09</v>
      </c>
      <c r="I342" s="35">
        <v>2402.17</v>
      </c>
      <c r="J342" s="35">
        <v>2486.4299999999998</v>
      </c>
      <c r="K342" s="35">
        <v>2544.91</v>
      </c>
      <c r="L342" s="35">
        <v>2482.1</v>
      </c>
      <c r="M342" s="55"/>
      <c r="N342" s="55"/>
      <c r="O342" s="55"/>
      <c r="P342" s="55"/>
      <c r="Q342" s="47"/>
      <c r="R342" s="47"/>
      <c r="S342" s="47"/>
      <c r="T342" s="47"/>
      <c r="U342" s="47"/>
      <c r="V342" s="274"/>
      <c r="W342" s="47"/>
      <c r="X342" s="102"/>
      <c r="Y342" s="102"/>
    </row>
    <row r="343" spans="1:31" ht="24.8" customHeight="1" thickBot="1" x14ac:dyDescent="0.3">
      <c r="A343" s="45"/>
      <c r="B343" s="42"/>
      <c r="C343" s="76" t="s">
        <v>203</v>
      </c>
      <c r="D343" s="84">
        <f t="shared" ref="D343:L343" si="110">IF(((D341="")*AND(D342="")),"",(D341-D342)*2)</f>
        <v>6860.0999999999995</v>
      </c>
      <c r="E343" s="84">
        <f t="shared" si="110"/>
        <v>6999.14</v>
      </c>
      <c r="F343" s="84">
        <f t="shared" si="110"/>
        <v>7069.9000000000005</v>
      </c>
      <c r="G343" s="84">
        <f t="shared" si="110"/>
        <v>7066.9599999999991</v>
      </c>
      <c r="H343" s="84">
        <f t="shared" si="110"/>
        <v>7076.26</v>
      </c>
      <c r="I343" s="84">
        <f t="shared" si="110"/>
        <v>7048.68</v>
      </c>
      <c r="J343" s="84">
        <f t="shared" si="110"/>
        <v>7017.8400000000011</v>
      </c>
      <c r="K343" s="84">
        <f t="shared" si="110"/>
        <v>6956.4600000000009</v>
      </c>
      <c r="L343" s="84">
        <f t="shared" si="110"/>
        <v>6751.36</v>
      </c>
      <c r="M343" s="84"/>
      <c r="N343" s="84"/>
      <c r="O343" s="84"/>
      <c r="P343" s="84" t="str">
        <f>IF(((P341="")*AND(P342="")),"",(P341-P342)*2)</f>
        <v/>
      </c>
      <c r="Q343" s="42"/>
      <c r="R343" s="42"/>
      <c r="S343" s="42"/>
      <c r="T343" s="42"/>
      <c r="U343" s="42"/>
      <c r="V343" s="275"/>
      <c r="W343" s="42"/>
      <c r="X343" s="101"/>
      <c r="Y343" s="101"/>
    </row>
    <row r="344" spans="1:31" ht="12.75" customHeight="1" x14ac:dyDescent="0.25">
      <c r="A344" s="96">
        <v>43031</v>
      </c>
      <c r="B344" s="57" t="s">
        <v>206</v>
      </c>
      <c r="C344" s="61" t="s">
        <v>205</v>
      </c>
      <c r="D344" s="35">
        <v>6889.9</v>
      </c>
      <c r="E344" s="35">
        <v>6996.68</v>
      </c>
      <c r="F344" s="35">
        <v>6808.99</v>
      </c>
      <c r="G344" s="35">
        <v>6885.98</v>
      </c>
      <c r="H344" s="35">
        <v>6894.22</v>
      </c>
      <c r="I344" s="35">
        <v>6921.57</v>
      </c>
      <c r="J344" s="35">
        <v>6915.58</v>
      </c>
      <c r="K344" s="35">
        <v>6827.95</v>
      </c>
      <c r="L344" s="35">
        <v>6831.47</v>
      </c>
      <c r="M344" s="35">
        <v>6908.38</v>
      </c>
      <c r="N344" s="35">
        <v>6977.29</v>
      </c>
      <c r="O344" s="35">
        <v>6872.06</v>
      </c>
      <c r="P344" s="35">
        <v>6903.16</v>
      </c>
      <c r="Q344" s="50">
        <f>IF((L345=""),"",MAX(D346:P346))</f>
        <v>5444.18</v>
      </c>
      <c r="R344" s="57">
        <f>IF(L345="","",MIN(D346:L346))</f>
        <v>5354.0199999999995</v>
      </c>
      <c r="S344" s="53">
        <f>IF((P346=""),"",AVERAGE(D346:P346))</f>
        <v>5391.2699999999995</v>
      </c>
      <c r="T344" s="53">
        <f>IF((L345=""),"",(Q344-R344)/(Q344+R344)*100)</f>
        <v>0.83495397381045688</v>
      </c>
      <c r="U344" s="57">
        <f>STDEV(D346:P346)</f>
        <v>26.959612076833359</v>
      </c>
      <c r="V344" s="276" t="str">
        <f>IF(P345="","",IF(T344&lt;2.7,IF(S344&gt;5150,IF(S344&lt;5600,"Pass","Fail"),"Fail"),"Fail"))</f>
        <v>Pass</v>
      </c>
      <c r="W344" s="57">
        <v>1159</v>
      </c>
      <c r="X344" s="99" t="s">
        <v>238</v>
      </c>
      <c r="Y344" s="99"/>
      <c r="Z344" s="71">
        <v>4470</v>
      </c>
      <c r="AA344" s="71">
        <v>6020</v>
      </c>
      <c r="AB344" s="71">
        <v>5150</v>
      </c>
      <c r="AC344" s="71">
        <v>5600</v>
      </c>
      <c r="AD344" s="70">
        <v>2.7</v>
      </c>
      <c r="AE344" s="69">
        <v>10</v>
      </c>
    </row>
    <row r="345" spans="1:31" ht="12.75" customHeight="1" x14ac:dyDescent="0.25">
      <c r="A345" s="96"/>
      <c r="B345" s="47"/>
      <c r="C345" s="56" t="s">
        <v>204</v>
      </c>
      <c r="D345" s="35">
        <v>1525.28</v>
      </c>
      <c r="E345" s="35">
        <v>1619.57</v>
      </c>
      <c r="F345" s="35">
        <v>1454.97</v>
      </c>
      <c r="G345" s="35">
        <v>1497.26</v>
      </c>
      <c r="H345" s="35">
        <v>1510.26</v>
      </c>
      <c r="I345" s="35">
        <v>1501.73</v>
      </c>
      <c r="J345" s="35">
        <v>1510.5</v>
      </c>
      <c r="K345" s="35">
        <v>1383.77</v>
      </c>
      <c r="L345" s="35">
        <v>1465.75</v>
      </c>
      <c r="M345" s="35">
        <v>1475.62</v>
      </c>
      <c r="N345" s="35">
        <v>1594.72</v>
      </c>
      <c r="O345" s="35">
        <v>1487.57</v>
      </c>
      <c r="P345" s="35">
        <v>1519.72</v>
      </c>
      <c r="Q345" s="47"/>
      <c r="R345" s="47"/>
      <c r="S345" s="47"/>
      <c r="T345" s="47"/>
      <c r="U345" s="47"/>
      <c r="V345" s="274"/>
      <c r="W345" s="47"/>
      <c r="X345" s="102"/>
      <c r="Y345" s="102"/>
    </row>
    <row r="346" spans="1:31" ht="23.95" customHeight="1" x14ac:dyDescent="0.25">
      <c r="A346" s="96"/>
      <c r="B346" s="80"/>
      <c r="C346" s="56" t="s">
        <v>203</v>
      </c>
      <c r="D346" s="97">
        <f t="shared" ref="D346:P346" si="111">IF(((D344="")*AND(D345="")),"",(D344-D345))</f>
        <v>5364.62</v>
      </c>
      <c r="E346" s="97">
        <f t="shared" si="111"/>
        <v>5377.1100000000006</v>
      </c>
      <c r="F346" s="97">
        <f t="shared" si="111"/>
        <v>5354.0199999999995</v>
      </c>
      <c r="G346" s="97">
        <f t="shared" si="111"/>
        <v>5388.7199999999993</v>
      </c>
      <c r="H346" s="97">
        <f t="shared" si="111"/>
        <v>5383.96</v>
      </c>
      <c r="I346" s="97">
        <f t="shared" si="111"/>
        <v>5419.84</v>
      </c>
      <c r="J346" s="97">
        <f t="shared" si="111"/>
        <v>5405.08</v>
      </c>
      <c r="K346" s="97">
        <f t="shared" si="111"/>
        <v>5444.18</v>
      </c>
      <c r="L346" s="97">
        <f t="shared" si="111"/>
        <v>5365.72</v>
      </c>
      <c r="M346" s="97">
        <f t="shared" si="111"/>
        <v>5432.76</v>
      </c>
      <c r="N346" s="97">
        <f t="shared" si="111"/>
        <v>5382.57</v>
      </c>
      <c r="O346" s="97">
        <f t="shared" si="111"/>
        <v>5384.4900000000007</v>
      </c>
      <c r="P346" s="97">
        <f t="shared" si="111"/>
        <v>5383.44</v>
      </c>
      <c r="Q346" s="80"/>
      <c r="R346" s="80"/>
      <c r="S346" s="80"/>
      <c r="T346" s="47"/>
      <c r="U346" s="80"/>
      <c r="V346" s="277"/>
      <c r="W346" s="80"/>
      <c r="X346" s="102"/>
      <c r="Y346" s="102"/>
    </row>
    <row r="347" spans="1:31" x14ac:dyDescent="0.25">
      <c r="A347" s="96">
        <v>43031</v>
      </c>
      <c r="B347" s="50" t="s">
        <v>208</v>
      </c>
      <c r="C347" s="56" t="s">
        <v>205</v>
      </c>
      <c r="D347" s="35">
        <v>5939.51</v>
      </c>
      <c r="E347" s="35">
        <v>6017.77</v>
      </c>
      <c r="F347" s="35">
        <v>6035.83</v>
      </c>
      <c r="G347" s="35">
        <v>5986.4</v>
      </c>
      <c r="H347" s="35">
        <v>5896.54</v>
      </c>
      <c r="I347" s="35">
        <v>5922.08</v>
      </c>
      <c r="J347" s="35">
        <v>6004.28</v>
      </c>
      <c r="K347" s="35">
        <v>6034.03</v>
      </c>
      <c r="L347" s="35">
        <v>5861.33</v>
      </c>
      <c r="M347" s="55"/>
      <c r="N347" s="55"/>
      <c r="O347" s="55"/>
      <c r="P347" s="55"/>
      <c r="Q347" s="50">
        <f>IF((L348=""),"",MAX(D349:L349))</f>
        <v>7201.5999999999995</v>
      </c>
      <c r="R347" s="50">
        <f>IF(L348="","",MIN(D349:L349))</f>
        <v>6959.24</v>
      </c>
      <c r="S347" s="77">
        <f>IF((L349=""),"",AVERAGE(D349:L349))</f>
        <v>7119.5422222222214</v>
      </c>
      <c r="T347" s="52">
        <f>IF((L348=""),"",(Q347-R347)/(Q347+R347)*100)</f>
        <v>1.7114803924060977</v>
      </c>
      <c r="U347" s="50">
        <f>STDEV(D349:P349)</f>
        <v>76.430467383396504</v>
      </c>
      <c r="V347" s="273" t="str">
        <f>IF(L348="","",IF(T347&lt;9.8,IF(S347&gt;5100,IF(S347&lt;8300,"Pass","Fail"),"Fail"),"Fail"))</f>
        <v>Pass</v>
      </c>
      <c r="W347" s="47">
        <v>1159</v>
      </c>
      <c r="X347" s="99" t="s">
        <v>238</v>
      </c>
      <c r="Y347" s="99"/>
      <c r="Z347" s="37">
        <v>4955</v>
      </c>
      <c r="AA347" s="37">
        <v>9645</v>
      </c>
      <c r="AB347" s="37">
        <v>5100</v>
      </c>
      <c r="AC347" s="37">
        <v>8300</v>
      </c>
      <c r="AD347" s="69">
        <v>9.8000000000000007</v>
      </c>
      <c r="AE347" s="69">
        <v>10</v>
      </c>
    </row>
    <row r="348" spans="1:31" ht="12.75" customHeight="1" x14ac:dyDescent="0.25">
      <c r="A348" s="49"/>
      <c r="B348" s="47"/>
      <c r="C348" s="56" t="s">
        <v>204</v>
      </c>
      <c r="D348" s="35">
        <v>2407.7199999999998</v>
      </c>
      <c r="E348" s="35">
        <v>2442.75</v>
      </c>
      <c r="F348" s="35">
        <v>2445.69</v>
      </c>
      <c r="G348" s="35">
        <v>2455</v>
      </c>
      <c r="H348" s="35">
        <v>2320.52</v>
      </c>
      <c r="I348" s="35">
        <v>2321.2800000000002</v>
      </c>
      <c r="J348" s="35">
        <v>2429.16</v>
      </c>
      <c r="K348" s="35">
        <v>2456</v>
      </c>
      <c r="L348" s="35">
        <v>2381.71</v>
      </c>
      <c r="M348" s="55"/>
      <c r="N348" s="55"/>
      <c r="O348" s="55"/>
      <c r="P348" s="55"/>
      <c r="Q348" s="47"/>
      <c r="R348" s="47"/>
      <c r="S348" s="47"/>
      <c r="T348" s="47"/>
      <c r="U348" s="47"/>
      <c r="V348" s="274"/>
      <c r="W348" s="47"/>
      <c r="X348" s="102"/>
      <c r="Y348" s="102"/>
    </row>
    <row r="349" spans="1:31" ht="24.8" customHeight="1" thickBot="1" x14ac:dyDescent="0.3">
      <c r="A349" s="45"/>
      <c r="B349" s="42"/>
      <c r="C349" s="76" t="s">
        <v>203</v>
      </c>
      <c r="D349" s="84">
        <f t="shared" ref="D349:L349" si="112">IF(((D347="")*AND(D348="")),"",(D347-D348)*2)</f>
        <v>7063.5800000000008</v>
      </c>
      <c r="E349" s="84">
        <f t="shared" si="112"/>
        <v>7150.0400000000009</v>
      </c>
      <c r="F349" s="84">
        <f t="shared" si="112"/>
        <v>7180.28</v>
      </c>
      <c r="G349" s="84">
        <f t="shared" si="112"/>
        <v>7062.7999999999993</v>
      </c>
      <c r="H349" s="84">
        <f t="shared" si="112"/>
        <v>7152.04</v>
      </c>
      <c r="I349" s="84">
        <f t="shared" si="112"/>
        <v>7201.5999999999995</v>
      </c>
      <c r="J349" s="84">
        <f t="shared" si="112"/>
        <v>7150.24</v>
      </c>
      <c r="K349" s="84">
        <f t="shared" si="112"/>
        <v>7156.0599999999995</v>
      </c>
      <c r="L349" s="84">
        <f t="shared" si="112"/>
        <v>6959.24</v>
      </c>
      <c r="M349" s="84"/>
      <c r="N349" s="84"/>
      <c r="O349" s="84"/>
      <c r="P349" s="84" t="str">
        <f>IF(((P347="")*AND(P348="")),"",(P347-P348)*2)</f>
        <v/>
      </c>
      <c r="Q349" s="42"/>
      <c r="R349" s="42"/>
      <c r="S349" s="42"/>
      <c r="T349" s="42"/>
      <c r="U349" s="42"/>
      <c r="V349" s="275"/>
      <c r="W349" s="42"/>
      <c r="X349" s="101"/>
      <c r="Y349" s="101"/>
    </row>
    <row r="350" spans="1:31" ht="12.75" customHeight="1" x14ac:dyDescent="0.25">
      <c r="A350" s="96">
        <v>43038</v>
      </c>
      <c r="B350" s="57" t="s">
        <v>206</v>
      </c>
      <c r="C350" s="61" t="s">
        <v>205</v>
      </c>
      <c r="D350" s="35">
        <v>6906.9</v>
      </c>
      <c r="E350" s="35">
        <v>7018.61</v>
      </c>
      <c r="F350" s="35">
        <v>6820.52</v>
      </c>
      <c r="G350" s="35">
        <v>6886.29</v>
      </c>
      <c r="H350" s="35">
        <v>6926.47</v>
      </c>
      <c r="I350" s="35">
        <v>6940.61</v>
      </c>
      <c r="J350" s="35">
        <v>6913.47</v>
      </c>
      <c r="K350" s="35">
        <v>6823.77</v>
      </c>
      <c r="L350" s="35">
        <v>6840.7</v>
      </c>
      <c r="M350" s="35">
        <v>6910.33</v>
      </c>
      <c r="N350" s="35">
        <v>7008.47</v>
      </c>
      <c r="O350" s="35">
        <v>6882.76</v>
      </c>
      <c r="P350" s="35">
        <v>6929.99</v>
      </c>
      <c r="Q350" s="50">
        <f>IF((L351=""),"",MAX(D352:P352))</f>
        <v>5484.03</v>
      </c>
      <c r="R350" s="57">
        <f>IF(L351="","",MIN(D352:L352))</f>
        <v>5388.6500000000005</v>
      </c>
      <c r="S350" s="53">
        <f>IF((P352=""),"",AVERAGE(D352:P352))</f>
        <v>5428.1476923076925</v>
      </c>
      <c r="T350" s="53">
        <f>IF((L351=""),"",(Q350-R350)/(Q350+R350)*100)</f>
        <v>0.87724461678260734</v>
      </c>
      <c r="U350" s="57">
        <f>STDEV(D352:P352)</f>
        <v>26.879698086674434</v>
      </c>
      <c r="V350" s="276" t="str">
        <f>IF(P351="","",IF(T350&lt;2.7,IF(S350&gt;5150,IF(S350&lt;5600,"Pass","Fail"),"Fail"),"Fail"))</f>
        <v>Pass</v>
      </c>
      <c r="W350" s="57">
        <v>1428</v>
      </c>
      <c r="X350" s="257"/>
      <c r="Y350" s="99"/>
      <c r="Z350" s="71">
        <v>4470</v>
      </c>
      <c r="AA350" s="71">
        <v>6020</v>
      </c>
      <c r="AB350" s="71">
        <v>5150</v>
      </c>
      <c r="AC350" s="71">
        <v>5600</v>
      </c>
      <c r="AD350" s="70">
        <v>2.7</v>
      </c>
      <c r="AE350" s="69">
        <v>10</v>
      </c>
    </row>
    <row r="351" spans="1:31" ht="12.75" customHeight="1" x14ac:dyDescent="0.25">
      <c r="A351" s="96"/>
      <c r="B351" s="47"/>
      <c r="C351" s="56" t="s">
        <v>204</v>
      </c>
      <c r="D351" s="35">
        <v>1504.98</v>
      </c>
      <c r="E351" s="35">
        <v>1607.08</v>
      </c>
      <c r="F351" s="35">
        <v>1431.87</v>
      </c>
      <c r="G351" s="35">
        <v>1463.05</v>
      </c>
      <c r="H351" s="35">
        <v>1499.05</v>
      </c>
      <c r="I351" s="35">
        <v>1484.75</v>
      </c>
      <c r="J351" s="35">
        <v>1454.69</v>
      </c>
      <c r="K351" s="35">
        <v>1376.61</v>
      </c>
      <c r="L351" s="35">
        <v>1439.14</v>
      </c>
      <c r="M351" s="35">
        <v>1426.3</v>
      </c>
      <c r="N351" s="35">
        <v>1589.5</v>
      </c>
      <c r="O351" s="35">
        <v>1466.24</v>
      </c>
      <c r="P351" s="35">
        <v>1499.71</v>
      </c>
      <c r="Q351" s="47"/>
      <c r="R351" s="47"/>
      <c r="S351" s="47"/>
      <c r="T351" s="47"/>
      <c r="U351" s="47"/>
      <c r="V351" s="274"/>
      <c r="W351" s="47"/>
      <c r="X351" s="257"/>
      <c r="Y351" s="102"/>
    </row>
    <row r="352" spans="1:31" ht="23.95" customHeight="1" x14ac:dyDescent="0.25">
      <c r="A352" s="96"/>
      <c r="B352" s="80"/>
      <c r="C352" s="56" t="s">
        <v>203</v>
      </c>
      <c r="D352" s="97">
        <f t="shared" ref="D352:P352" si="113">IF(((D350="")*AND(D351="")),"",(D350-D351))</f>
        <v>5401.92</v>
      </c>
      <c r="E352" s="97">
        <f t="shared" si="113"/>
        <v>5411.53</v>
      </c>
      <c r="F352" s="97">
        <f t="shared" si="113"/>
        <v>5388.6500000000005</v>
      </c>
      <c r="G352" s="97">
        <f t="shared" si="113"/>
        <v>5423.24</v>
      </c>
      <c r="H352" s="97">
        <f t="shared" si="113"/>
        <v>5427.42</v>
      </c>
      <c r="I352" s="97">
        <f t="shared" si="113"/>
        <v>5455.86</v>
      </c>
      <c r="J352" s="97">
        <f t="shared" si="113"/>
        <v>5458.7800000000007</v>
      </c>
      <c r="K352" s="97">
        <f t="shared" si="113"/>
        <v>5447.1600000000008</v>
      </c>
      <c r="L352" s="97">
        <f t="shared" si="113"/>
        <v>5401.5599999999995</v>
      </c>
      <c r="M352" s="97">
        <f t="shared" si="113"/>
        <v>5484.03</v>
      </c>
      <c r="N352" s="97">
        <f t="shared" si="113"/>
        <v>5418.97</v>
      </c>
      <c r="O352" s="97">
        <f t="shared" si="113"/>
        <v>5416.52</v>
      </c>
      <c r="P352" s="97">
        <f t="shared" si="113"/>
        <v>5430.28</v>
      </c>
      <c r="Q352" s="80"/>
      <c r="R352" s="80"/>
      <c r="S352" s="80"/>
      <c r="T352" s="47"/>
      <c r="U352" s="80"/>
      <c r="V352" s="277"/>
      <c r="W352" s="80"/>
      <c r="X352" s="257"/>
      <c r="Y352" s="102"/>
    </row>
    <row r="353" spans="1:31" x14ac:dyDescent="0.25">
      <c r="A353" s="96">
        <v>43038</v>
      </c>
      <c r="B353" s="50" t="s">
        <v>208</v>
      </c>
      <c r="C353" s="56" t="s">
        <v>205</v>
      </c>
      <c r="D353" s="35">
        <v>5926.79</v>
      </c>
      <c r="E353" s="35">
        <v>6009.28</v>
      </c>
      <c r="F353" s="35">
        <v>6024.92</v>
      </c>
      <c r="G353" s="35">
        <v>5977.32</v>
      </c>
      <c r="H353" s="35">
        <v>5885.72</v>
      </c>
      <c r="I353" s="35">
        <v>5933.46</v>
      </c>
      <c r="J353" s="35">
        <v>5999.49</v>
      </c>
      <c r="K353" s="35">
        <v>6021.65</v>
      </c>
      <c r="L353" s="35">
        <v>5861.02</v>
      </c>
      <c r="M353" s="55"/>
      <c r="N353" s="55"/>
      <c r="O353" s="55"/>
      <c r="P353" s="55"/>
      <c r="Q353" s="50">
        <f>IF((L354=""),"",MAX(D355:L355))</f>
        <v>7223.3</v>
      </c>
      <c r="R353" s="50">
        <f>IF(L354="","",MIN(D355:L355))</f>
        <v>7112.34</v>
      </c>
      <c r="S353" s="77">
        <f>IF((L355=""),"",AVERAGE(D355:L355))</f>
        <v>7176.4066666666658</v>
      </c>
      <c r="T353" s="52">
        <f>IF((L354=""),"",(Q353-R353)/(Q353+R353)*100)</f>
        <v>0.77401497247419748</v>
      </c>
      <c r="U353" s="50">
        <f>STDEV(D355:P355)</f>
        <v>32.94248017378149</v>
      </c>
      <c r="V353" s="273" t="str">
        <f>IF(L354="","",IF(T353&lt;9.8,IF(S353&gt;5100,IF(S353&lt;8300,"Pass","Fail"),"Fail"),"Fail"))</f>
        <v>Pass</v>
      </c>
      <c r="W353" s="47">
        <v>1428</v>
      </c>
      <c r="X353" s="257"/>
      <c r="Y353" s="102"/>
      <c r="Z353" s="37">
        <v>4955</v>
      </c>
      <c r="AA353" s="37">
        <v>9645</v>
      </c>
      <c r="AB353" s="37">
        <v>5100</v>
      </c>
      <c r="AC353" s="37">
        <v>8300</v>
      </c>
      <c r="AD353" s="69">
        <v>9.8000000000000007</v>
      </c>
      <c r="AE353" s="69">
        <v>10</v>
      </c>
    </row>
    <row r="354" spans="1:31" ht="12.75" customHeight="1" x14ac:dyDescent="0.25">
      <c r="A354" s="49"/>
      <c r="B354" s="47"/>
      <c r="C354" s="56" t="s">
        <v>204</v>
      </c>
      <c r="D354" s="35">
        <v>2370.62</v>
      </c>
      <c r="E354" s="35">
        <v>2416.66</v>
      </c>
      <c r="F354" s="35">
        <v>2413.27</v>
      </c>
      <c r="G354" s="35">
        <v>2378.08</v>
      </c>
      <c r="H354" s="35">
        <v>2298.92</v>
      </c>
      <c r="I354" s="35">
        <v>2353.1999999999998</v>
      </c>
      <c r="J354" s="35">
        <v>2402.14</v>
      </c>
      <c r="K354" s="35">
        <v>2424.9</v>
      </c>
      <c r="L354" s="35">
        <v>2288.0300000000002</v>
      </c>
      <c r="M354" s="55"/>
      <c r="N354" s="55"/>
      <c r="O354" s="55"/>
      <c r="P354" s="55"/>
      <c r="Q354" s="47"/>
      <c r="R354" s="47"/>
      <c r="S354" s="47"/>
      <c r="T354" s="47"/>
      <c r="U354" s="47"/>
      <c r="V354" s="274"/>
      <c r="W354" s="47"/>
      <c r="X354" s="257"/>
      <c r="Y354" s="102"/>
    </row>
    <row r="355" spans="1:31" ht="24.8" customHeight="1" thickBot="1" x14ac:dyDescent="0.3">
      <c r="A355" s="45"/>
      <c r="B355" s="42"/>
      <c r="C355" s="76" t="s">
        <v>203</v>
      </c>
      <c r="D355" s="84">
        <f t="shared" ref="D355:L355" si="114">IF(((D353="")*AND(D354="")),"",(D353-D354)*2)</f>
        <v>7112.34</v>
      </c>
      <c r="E355" s="84">
        <f t="shared" si="114"/>
        <v>7185.24</v>
      </c>
      <c r="F355" s="84">
        <f t="shared" si="114"/>
        <v>7223.3</v>
      </c>
      <c r="G355" s="84">
        <f t="shared" si="114"/>
        <v>7198.48</v>
      </c>
      <c r="H355" s="84">
        <f t="shared" si="114"/>
        <v>7173.6</v>
      </c>
      <c r="I355" s="84">
        <f t="shared" si="114"/>
        <v>7160.52</v>
      </c>
      <c r="J355" s="84">
        <f t="shared" si="114"/>
        <v>7194.7</v>
      </c>
      <c r="K355" s="84">
        <f t="shared" si="114"/>
        <v>7193.4999999999991</v>
      </c>
      <c r="L355" s="84">
        <f t="shared" si="114"/>
        <v>7145.9800000000005</v>
      </c>
      <c r="M355" s="84"/>
      <c r="N355" s="84"/>
      <c r="O355" s="84"/>
      <c r="P355" s="84" t="str">
        <f>IF(((P353="")*AND(P354="")),"",(P353-P354)*2)</f>
        <v/>
      </c>
      <c r="Q355" s="42"/>
      <c r="R355" s="42"/>
      <c r="S355" s="42"/>
      <c r="T355" s="42"/>
      <c r="U355" s="42"/>
      <c r="V355" s="275"/>
      <c r="W355" s="42"/>
      <c r="X355" s="257"/>
      <c r="Y355" s="101"/>
    </row>
    <row r="356" spans="1:31" ht="12.75" customHeight="1" x14ac:dyDescent="0.25">
      <c r="A356" s="96">
        <v>43041</v>
      </c>
      <c r="B356" s="57" t="s">
        <v>206</v>
      </c>
      <c r="C356" s="61" t="s">
        <v>205</v>
      </c>
      <c r="D356" s="35">
        <v>6888.23</v>
      </c>
      <c r="E356" s="35">
        <v>7003.62</v>
      </c>
      <c r="F356" s="35">
        <v>6799.36</v>
      </c>
      <c r="G356" s="35">
        <v>6859.62</v>
      </c>
      <c r="H356" s="35">
        <v>6916.09</v>
      </c>
      <c r="I356" s="35">
        <v>6924.09</v>
      </c>
      <c r="J356" s="35">
        <v>6887.54</v>
      </c>
      <c r="K356" s="35">
        <v>6797.81</v>
      </c>
      <c r="L356" s="35">
        <v>6819.93</v>
      </c>
      <c r="M356" s="35">
        <v>6887.33</v>
      </c>
      <c r="N356" s="35">
        <v>6993.72</v>
      </c>
      <c r="O356" s="35">
        <v>6864.51</v>
      </c>
      <c r="P356" s="35">
        <v>6917.81</v>
      </c>
      <c r="Q356" s="50">
        <f>IF((L357=""),"",MAX(D358:P358))</f>
        <v>5533.88</v>
      </c>
      <c r="R356" s="57">
        <f>IF(L357="","",MIN(D358:L358))</f>
        <v>5396.24</v>
      </c>
      <c r="S356" s="53">
        <f>IF((P358=""),"",AVERAGE(D358:P358))</f>
        <v>5449.0076923076931</v>
      </c>
      <c r="T356" s="53">
        <f>IF((L357=""),"",(Q356-R356)/(Q356+R356)*100)</f>
        <v>1.2592725422959705</v>
      </c>
      <c r="U356" s="57">
        <f>STDEV(D358:P358)</f>
        <v>43.734048359344051</v>
      </c>
      <c r="V356" s="276" t="str">
        <f>IF(P357="","",IF(T356&lt;2.7,IF(S356&gt;5150,IF(S356&lt;5600,"Pass","Fail"),"Fail"),"Fail"))</f>
        <v>Pass</v>
      </c>
      <c r="W356" s="57">
        <v>1335</v>
      </c>
      <c r="X356" s="257"/>
      <c r="Y356" s="99"/>
      <c r="Z356" s="71">
        <v>4470</v>
      </c>
      <c r="AA356" s="71">
        <v>6020</v>
      </c>
      <c r="AB356" s="71">
        <v>5150</v>
      </c>
      <c r="AC356" s="71">
        <v>5600</v>
      </c>
      <c r="AD356" s="70">
        <v>2.7</v>
      </c>
      <c r="AE356" s="69">
        <v>10</v>
      </c>
    </row>
    <row r="357" spans="1:31" ht="12.75" customHeight="1" x14ac:dyDescent="0.25">
      <c r="A357" s="96"/>
      <c r="B357" s="47"/>
      <c r="C357" s="56" t="s">
        <v>204</v>
      </c>
      <c r="D357" s="35">
        <v>1489.42</v>
      </c>
      <c r="E357" s="35">
        <v>1607.38</v>
      </c>
      <c r="F357" s="35">
        <v>1380.65</v>
      </c>
      <c r="G357" s="35">
        <v>1394.62</v>
      </c>
      <c r="H357" s="35">
        <v>1513.71</v>
      </c>
      <c r="I357" s="35">
        <v>1458.19</v>
      </c>
      <c r="J357" s="35">
        <v>1405.24</v>
      </c>
      <c r="K357" s="35">
        <v>1263.93</v>
      </c>
      <c r="L357" s="35">
        <v>1381.94</v>
      </c>
      <c r="M357" s="35">
        <v>1370.8</v>
      </c>
      <c r="N357" s="35">
        <v>1573.55</v>
      </c>
      <c r="O357" s="35">
        <v>1405.17</v>
      </c>
      <c r="P357" s="35">
        <v>1477.96</v>
      </c>
      <c r="Q357" s="47"/>
      <c r="R357" s="47"/>
      <c r="S357" s="47"/>
      <c r="T357" s="47"/>
      <c r="U357" s="47"/>
      <c r="V357" s="274"/>
      <c r="W357" s="47"/>
      <c r="X357" s="257"/>
      <c r="Y357" s="102"/>
    </row>
    <row r="358" spans="1:31" ht="23.95" customHeight="1" x14ac:dyDescent="0.25">
      <c r="A358" s="96"/>
      <c r="B358" s="80"/>
      <c r="C358" s="56" t="s">
        <v>203</v>
      </c>
      <c r="D358" s="97">
        <f t="shared" ref="D358:P358" si="115">IF(((D356="")*AND(D357="")),"",(D356-D357))</f>
        <v>5398.8099999999995</v>
      </c>
      <c r="E358" s="97">
        <f t="shared" si="115"/>
        <v>5396.24</v>
      </c>
      <c r="F358" s="97">
        <f t="shared" si="115"/>
        <v>5418.7099999999991</v>
      </c>
      <c r="G358" s="97">
        <f t="shared" si="115"/>
        <v>5465</v>
      </c>
      <c r="H358" s="97">
        <f t="shared" si="115"/>
        <v>5402.38</v>
      </c>
      <c r="I358" s="97">
        <f t="shared" si="115"/>
        <v>5465.9</v>
      </c>
      <c r="J358" s="97">
        <f t="shared" si="115"/>
        <v>5482.3</v>
      </c>
      <c r="K358" s="97">
        <f t="shared" si="115"/>
        <v>5533.88</v>
      </c>
      <c r="L358" s="97">
        <f t="shared" si="115"/>
        <v>5437.99</v>
      </c>
      <c r="M358" s="97">
        <f t="shared" si="115"/>
        <v>5516.53</v>
      </c>
      <c r="N358" s="97">
        <f t="shared" si="115"/>
        <v>5420.17</v>
      </c>
      <c r="O358" s="97">
        <f t="shared" si="115"/>
        <v>5459.34</v>
      </c>
      <c r="P358" s="97">
        <f t="shared" si="115"/>
        <v>5439.85</v>
      </c>
      <c r="Q358" s="80"/>
      <c r="R358" s="80"/>
      <c r="S358" s="80"/>
      <c r="T358" s="47"/>
      <c r="U358" s="80"/>
      <c r="V358" s="277"/>
      <c r="W358" s="80"/>
      <c r="X358" s="257"/>
      <c r="Y358" s="102"/>
    </row>
    <row r="359" spans="1:31" x14ac:dyDescent="0.25">
      <c r="A359" s="96">
        <v>43041</v>
      </c>
      <c r="B359" s="50" t="s">
        <v>208</v>
      </c>
      <c r="C359" s="56" t="s">
        <v>205</v>
      </c>
      <c r="D359" s="35">
        <v>5933.73</v>
      </c>
      <c r="E359" s="35">
        <v>6012.46</v>
      </c>
      <c r="F359" s="35">
        <v>6030</v>
      </c>
      <c r="G359" s="35">
        <v>5978.04</v>
      </c>
      <c r="H359" s="35">
        <v>5896.71</v>
      </c>
      <c r="I359" s="35">
        <v>5921.95</v>
      </c>
      <c r="J359" s="35">
        <v>5993.3</v>
      </c>
      <c r="K359" s="35">
        <v>6027.48</v>
      </c>
      <c r="L359" s="35">
        <v>5862.21</v>
      </c>
      <c r="M359" s="55"/>
      <c r="N359" s="55"/>
      <c r="O359" s="55"/>
      <c r="P359" s="55"/>
      <c r="Q359" s="50">
        <f>IF((L360=""),"",MAX(D361:L361))</f>
        <v>7742.7</v>
      </c>
      <c r="R359" s="50">
        <f>IF(L360="","",MIN(D361:L361))</f>
        <v>7300.66</v>
      </c>
      <c r="S359" s="77">
        <f>IF((L361=""),"",AVERAGE(D361:L361))</f>
        <v>7544.9444444444425</v>
      </c>
      <c r="T359" s="52">
        <f>IF((L360=""),"",(Q359-R359)/(Q359+R359)*100)</f>
        <v>2.9384392848406207</v>
      </c>
      <c r="U359" s="50">
        <f>STDEV(D361:P361)</f>
        <v>126.38280372652687</v>
      </c>
      <c r="V359" s="273" t="str">
        <f>IF(L360="","",IF(T359&lt;9.8,IF(S359&gt;5100,IF(S359&lt;8300,"Pass","Fail"),"Fail"),"Fail"))</f>
        <v>Pass</v>
      </c>
      <c r="W359" s="47">
        <v>1335</v>
      </c>
      <c r="X359" s="257"/>
      <c r="Y359" s="102"/>
      <c r="Z359" s="37">
        <v>4955</v>
      </c>
      <c r="AA359" s="37">
        <v>9645</v>
      </c>
      <c r="AB359" s="37">
        <v>5100</v>
      </c>
      <c r="AC359" s="37">
        <v>8300</v>
      </c>
      <c r="AD359" s="69">
        <v>9.8000000000000007</v>
      </c>
      <c r="AE359" s="69">
        <v>10</v>
      </c>
    </row>
    <row r="360" spans="1:31" ht="12.75" customHeight="1" x14ac:dyDescent="0.25">
      <c r="A360" s="49"/>
      <c r="B360" s="47"/>
      <c r="C360" s="56" t="s">
        <v>204</v>
      </c>
      <c r="D360" s="35">
        <v>2220.63</v>
      </c>
      <c r="E360" s="35">
        <v>2246.1</v>
      </c>
      <c r="F360" s="35">
        <v>2237.29</v>
      </c>
      <c r="G360" s="35">
        <v>2192.33</v>
      </c>
      <c r="H360" s="35">
        <v>2069.02</v>
      </c>
      <c r="I360" s="35">
        <v>2050.6</v>
      </c>
      <c r="J360" s="35">
        <v>2215.63</v>
      </c>
      <c r="K360" s="35">
        <v>2260.15</v>
      </c>
      <c r="L360" s="35">
        <v>2211.88</v>
      </c>
      <c r="M360" s="55"/>
      <c r="N360" s="55"/>
      <c r="O360" s="55"/>
      <c r="P360" s="55"/>
      <c r="Q360" s="47"/>
      <c r="R360" s="47"/>
      <c r="S360" s="47"/>
      <c r="T360" s="47"/>
      <c r="U360" s="47"/>
      <c r="V360" s="274"/>
      <c r="W360" s="47"/>
      <c r="X360" s="257"/>
      <c r="Y360" s="102"/>
    </row>
    <row r="361" spans="1:31" ht="24.8" customHeight="1" thickBot="1" x14ac:dyDescent="0.3">
      <c r="A361" s="45"/>
      <c r="B361" s="42"/>
      <c r="C361" s="76" t="s">
        <v>203</v>
      </c>
      <c r="D361" s="84">
        <f t="shared" ref="D361:L361" si="116">IF(((D359="")*AND(D360="")),"",(D359-D360)*2)</f>
        <v>7426.1999999999989</v>
      </c>
      <c r="E361" s="84">
        <f t="shared" si="116"/>
        <v>7532.72</v>
      </c>
      <c r="F361" s="84">
        <f t="shared" si="116"/>
        <v>7585.42</v>
      </c>
      <c r="G361" s="84">
        <f t="shared" si="116"/>
        <v>7571.42</v>
      </c>
      <c r="H361" s="84">
        <f t="shared" si="116"/>
        <v>7655.38</v>
      </c>
      <c r="I361" s="84">
        <f t="shared" si="116"/>
        <v>7742.7</v>
      </c>
      <c r="J361" s="84">
        <f t="shared" si="116"/>
        <v>7555.34</v>
      </c>
      <c r="K361" s="84">
        <f t="shared" si="116"/>
        <v>7534.6599999999989</v>
      </c>
      <c r="L361" s="84">
        <f t="shared" si="116"/>
        <v>7300.66</v>
      </c>
      <c r="M361" s="84"/>
      <c r="N361" s="84"/>
      <c r="O361" s="84"/>
      <c r="P361" s="84" t="str">
        <f>IF(((P359="")*AND(P360="")),"",(P359-P360)*2)</f>
        <v/>
      </c>
      <c r="Q361" s="42"/>
      <c r="R361" s="42"/>
      <c r="S361" s="42"/>
      <c r="T361" s="42"/>
      <c r="U361" s="42"/>
      <c r="V361" s="275"/>
      <c r="W361" s="42"/>
      <c r="X361" s="257"/>
      <c r="Y361" s="101"/>
    </row>
    <row r="362" spans="1:31" ht="12.75" customHeight="1" x14ac:dyDescent="0.25">
      <c r="A362" s="96">
        <v>43045</v>
      </c>
      <c r="B362" s="57" t="s">
        <v>206</v>
      </c>
      <c r="C362" s="61" t="s">
        <v>205</v>
      </c>
      <c r="D362" s="35">
        <v>7011.84</v>
      </c>
      <c r="E362" s="35">
        <v>7115.4</v>
      </c>
      <c r="F362" s="35">
        <v>6931.72</v>
      </c>
      <c r="G362" s="35">
        <v>7006.17</v>
      </c>
      <c r="H362" s="35">
        <v>7015.29</v>
      </c>
      <c r="I362" s="35">
        <v>7041.09</v>
      </c>
      <c r="J362" s="35">
        <v>7034.17</v>
      </c>
      <c r="K362" s="35">
        <v>6943.99</v>
      </c>
      <c r="L362" s="35">
        <v>6952.35</v>
      </c>
      <c r="M362" s="35">
        <v>7027.58</v>
      </c>
      <c r="N362" s="35">
        <v>7095.38</v>
      </c>
      <c r="O362" s="35">
        <v>6991.14</v>
      </c>
      <c r="P362" s="35">
        <v>7022.03</v>
      </c>
      <c r="Q362" s="50">
        <f>IF((L363=""),"",MAX(D364:P364))</f>
        <v>5441.26</v>
      </c>
      <c r="R362" s="57">
        <f>IF(L363="","",MIN(D364:L364))</f>
        <v>5328.88</v>
      </c>
      <c r="S362" s="53">
        <f>IF((P364=""),"",AVERAGE(D364:P364))</f>
        <v>5392.0230769230775</v>
      </c>
      <c r="T362" s="53">
        <f>IF((L363=""),"",(Q362-R362)/(Q362+R362)*100)</f>
        <v>1.0434404752398774</v>
      </c>
      <c r="U362" s="57">
        <f>STDEV(D364:P364)</f>
        <v>37.388465998802133</v>
      </c>
      <c r="V362" s="276" t="str">
        <f>IF(P363="","",IF(T362&lt;2.7,IF(S362&gt;5150,IF(S362&lt;5600,"Pass","Fail"),"Fail"),"Fail"))</f>
        <v>Pass</v>
      </c>
      <c r="W362" s="57">
        <v>1159</v>
      </c>
      <c r="X362" s="257"/>
      <c r="Y362" s="99"/>
      <c r="Z362" s="71">
        <v>4470</v>
      </c>
      <c r="AA362" s="71">
        <v>6020</v>
      </c>
      <c r="AB362" s="71">
        <v>5150</v>
      </c>
      <c r="AC362" s="71">
        <v>5600</v>
      </c>
      <c r="AD362" s="70">
        <v>2.7</v>
      </c>
      <c r="AE362" s="69">
        <v>10</v>
      </c>
    </row>
    <row r="363" spans="1:31" ht="12.75" customHeight="1" x14ac:dyDescent="0.25">
      <c r="A363" s="96"/>
      <c r="B363" s="47"/>
      <c r="C363" s="56" t="s">
        <v>204</v>
      </c>
      <c r="D363" s="35">
        <v>1659.08</v>
      </c>
      <c r="E363" s="35">
        <v>1718.9</v>
      </c>
      <c r="F363" s="35">
        <v>1602.84</v>
      </c>
      <c r="G363" s="35">
        <v>1637.01</v>
      </c>
      <c r="H363" s="35">
        <v>1590.36</v>
      </c>
      <c r="I363" s="35">
        <v>1599.83</v>
      </c>
      <c r="J363" s="35">
        <v>1645.03</v>
      </c>
      <c r="K363" s="35">
        <v>1526.45</v>
      </c>
      <c r="L363" s="35">
        <v>1614.57</v>
      </c>
      <c r="M363" s="35">
        <v>1592.49</v>
      </c>
      <c r="N363" s="35">
        <v>1667.97</v>
      </c>
      <c r="O363" s="35">
        <v>1618.28</v>
      </c>
      <c r="P363" s="35">
        <v>1619.04</v>
      </c>
      <c r="Q363" s="47"/>
      <c r="R363" s="47"/>
      <c r="S363" s="47"/>
      <c r="T363" s="47"/>
      <c r="U363" s="47"/>
      <c r="V363" s="274"/>
      <c r="W363" s="47"/>
      <c r="X363" s="257"/>
      <c r="Y363" s="102"/>
    </row>
    <row r="364" spans="1:31" ht="23.95" customHeight="1" x14ac:dyDescent="0.25">
      <c r="A364" s="96"/>
      <c r="B364" s="80"/>
      <c r="C364" s="56" t="s">
        <v>203</v>
      </c>
      <c r="D364" s="97">
        <f t="shared" ref="D364:P364" si="117">IF(((D362="")*AND(D363="")),"",(D362-D363))</f>
        <v>5352.76</v>
      </c>
      <c r="E364" s="97">
        <f t="shared" si="117"/>
        <v>5396.5</v>
      </c>
      <c r="F364" s="97">
        <f t="shared" si="117"/>
        <v>5328.88</v>
      </c>
      <c r="G364" s="97">
        <f t="shared" si="117"/>
        <v>5369.16</v>
      </c>
      <c r="H364" s="97">
        <f t="shared" si="117"/>
        <v>5424.93</v>
      </c>
      <c r="I364" s="97">
        <f t="shared" si="117"/>
        <v>5441.26</v>
      </c>
      <c r="J364" s="97">
        <f t="shared" si="117"/>
        <v>5389.14</v>
      </c>
      <c r="K364" s="97">
        <f t="shared" si="117"/>
        <v>5417.54</v>
      </c>
      <c r="L364" s="97">
        <f t="shared" si="117"/>
        <v>5337.7800000000007</v>
      </c>
      <c r="M364" s="97">
        <f t="shared" si="117"/>
        <v>5435.09</v>
      </c>
      <c r="N364" s="97">
        <f t="shared" si="117"/>
        <v>5427.41</v>
      </c>
      <c r="O364" s="97">
        <f t="shared" si="117"/>
        <v>5372.8600000000006</v>
      </c>
      <c r="P364" s="97">
        <f t="shared" si="117"/>
        <v>5402.99</v>
      </c>
      <c r="Q364" s="80"/>
      <c r="R364" s="80"/>
      <c r="S364" s="80"/>
      <c r="T364" s="47"/>
      <c r="U364" s="80"/>
      <c r="V364" s="277"/>
      <c r="W364" s="80"/>
      <c r="X364" s="257"/>
      <c r="Y364" s="102"/>
    </row>
    <row r="365" spans="1:31" x14ac:dyDescent="0.25">
      <c r="A365" s="96">
        <v>43045</v>
      </c>
      <c r="B365" s="50" t="s">
        <v>208</v>
      </c>
      <c r="C365" s="56" t="s">
        <v>205</v>
      </c>
      <c r="D365" s="35">
        <v>5929.34</v>
      </c>
      <c r="E365" s="35">
        <v>6007.72</v>
      </c>
      <c r="F365" s="35">
        <v>6023.11</v>
      </c>
      <c r="G365" s="35">
        <v>5975.94</v>
      </c>
      <c r="H365" s="35">
        <v>5906.66</v>
      </c>
      <c r="I365" s="35">
        <v>5958.65</v>
      </c>
      <c r="J365" s="35">
        <v>5986.75</v>
      </c>
      <c r="K365" s="35">
        <v>6028.4</v>
      </c>
      <c r="L365" s="35">
        <v>5857.52</v>
      </c>
      <c r="M365" s="55"/>
      <c r="N365" s="55"/>
      <c r="O365" s="55"/>
      <c r="P365" s="55"/>
      <c r="Q365" s="50">
        <f>IF((L366=""),"",MAX(D367:L367))</f>
        <v>7610.579999999999</v>
      </c>
      <c r="R365" s="50">
        <f>IF(L366="","",MIN(D367:L367))</f>
        <v>7066.920000000001</v>
      </c>
      <c r="S365" s="77">
        <f>IF((L367=""),"",AVERAGE(D367:L367))</f>
        <v>7297.7777777777774</v>
      </c>
      <c r="T365" s="52">
        <f>IF((L366=""),"",(Q365-R365)/(Q365+R365)*100)</f>
        <v>3.7040367910066299</v>
      </c>
      <c r="U365" s="50">
        <f>STDEV(D367:P367)</f>
        <v>149.07642886936986</v>
      </c>
      <c r="V365" s="273" t="str">
        <f>IF(L366="","",IF(T365&lt;9.8,IF(S365&gt;5100,IF(S365&lt;8300,"Pass","Fail"),"Fail"),"Fail"))</f>
        <v>Pass</v>
      </c>
      <c r="W365" s="47">
        <v>1159</v>
      </c>
      <c r="X365" s="257"/>
      <c r="Y365" s="102"/>
      <c r="Z365" s="37">
        <v>4955</v>
      </c>
      <c r="AA365" s="37">
        <v>9645</v>
      </c>
      <c r="AB365" s="37">
        <v>5100</v>
      </c>
      <c r="AC365" s="37">
        <v>8300</v>
      </c>
      <c r="AD365" s="69">
        <v>9.8000000000000007</v>
      </c>
      <c r="AE365" s="69">
        <v>10</v>
      </c>
    </row>
    <row r="366" spans="1:31" ht="12.75" customHeight="1" x14ac:dyDescent="0.25">
      <c r="A366" s="49"/>
      <c r="B366" s="47"/>
      <c r="C366" s="56" t="s">
        <v>204</v>
      </c>
      <c r="D366" s="35">
        <v>2329.21</v>
      </c>
      <c r="E366" s="35">
        <v>2369.77</v>
      </c>
      <c r="F366" s="35">
        <v>2374.59</v>
      </c>
      <c r="G366" s="35">
        <v>2338.2399999999998</v>
      </c>
      <c r="H366" s="35">
        <v>2197.84</v>
      </c>
      <c r="I366" s="35">
        <v>2153.36</v>
      </c>
      <c r="J366" s="35">
        <v>2350.59</v>
      </c>
      <c r="K366" s="35">
        <v>2396.4299999999998</v>
      </c>
      <c r="L366" s="35">
        <v>2324.06</v>
      </c>
      <c r="M366" s="55"/>
      <c r="N366" s="55"/>
      <c r="O366" s="55"/>
      <c r="P366" s="55"/>
      <c r="Q366" s="47"/>
      <c r="R366" s="47"/>
      <c r="S366" s="47"/>
      <c r="T366" s="47"/>
      <c r="U366" s="47"/>
      <c r="V366" s="274"/>
      <c r="W366" s="47"/>
      <c r="X366" s="257"/>
      <c r="Y366" s="102"/>
    </row>
    <row r="367" spans="1:31" ht="24.8" customHeight="1" thickBot="1" x14ac:dyDescent="0.3">
      <c r="A367" s="45"/>
      <c r="B367" s="42"/>
      <c r="C367" s="76" t="s">
        <v>203</v>
      </c>
      <c r="D367" s="84">
        <f t="shared" ref="D367:L367" si="118">IF(((D365="")*AND(D366="")),"",(D365-D366)*2)</f>
        <v>7200.26</v>
      </c>
      <c r="E367" s="84">
        <f t="shared" si="118"/>
        <v>7275.9000000000005</v>
      </c>
      <c r="F367" s="84">
        <f t="shared" si="118"/>
        <v>7297.0399999999991</v>
      </c>
      <c r="G367" s="84">
        <f t="shared" si="118"/>
        <v>7275.4</v>
      </c>
      <c r="H367" s="84">
        <f t="shared" si="118"/>
        <v>7417.6399999999994</v>
      </c>
      <c r="I367" s="84">
        <f t="shared" si="118"/>
        <v>7610.579999999999</v>
      </c>
      <c r="J367" s="84">
        <f t="shared" si="118"/>
        <v>7272.32</v>
      </c>
      <c r="K367" s="84">
        <f t="shared" si="118"/>
        <v>7263.94</v>
      </c>
      <c r="L367" s="84">
        <f t="shared" si="118"/>
        <v>7066.920000000001</v>
      </c>
      <c r="M367" s="84"/>
      <c r="N367" s="84"/>
      <c r="O367" s="84"/>
      <c r="P367" s="84" t="str">
        <f>IF(((P365="")*AND(P366="")),"",(P365-P366)*2)</f>
        <v/>
      </c>
      <c r="Q367" s="42"/>
      <c r="R367" s="42"/>
      <c r="S367" s="42"/>
      <c r="T367" s="42"/>
      <c r="U367" s="42"/>
      <c r="V367" s="275"/>
      <c r="W367" s="42"/>
      <c r="X367" s="257"/>
      <c r="Y367" s="101"/>
    </row>
    <row r="368" spans="1:31" ht="12.75" customHeight="1" x14ac:dyDescent="0.25">
      <c r="A368" s="96">
        <v>43053</v>
      </c>
      <c r="B368" s="57" t="s">
        <v>206</v>
      </c>
      <c r="C368" s="61" t="s">
        <v>205</v>
      </c>
      <c r="D368" s="35">
        <v>6937.55</v>
      </c>
      <c r="E368" s="35">
        <v>7041.94</v>
      </c>
      <c r="F368" s="35">
        <v>6857.25</v>
      </c>
      <c r="G368" s="35">
        <v>6933.28</v>
      </c>
      <c r="H368" s="35">
        <v>6941.76</v>
      </c>
      <c r="I368" s="35">
        <v>6968.57</v>
      </c>
      <c r="J368" s="35">
        <v>6963.78</v>
      </c>
      <c r="K368" s="35">
        <v>6875.96</v>
      </c>
      <c r="L368" s="35">
        <v>6879.25</v>
      </c>
      <c r="M368" s="35">
        <v>6958.56</v>
      </c>
      <c r="N368" s="35">
        <v>7026.1</v>
      </c>
      <c r="O368" s="35">
        <v>6920.63</v>
      </c>
      <c r="P368" s="35">
        <v>6953.41</v>
      </c>
      <c r="Q368" s="50">
        <f>IF((L369=""),"",MAX(D370:P370))</f>
        <v>5437.22</v>
      </c>
      <c r="R368" s="57">
        <f>IF(L369="","",MIN(D370:L370))</f>
        <v>5347.3</v>
      </c>
      <c r="S368" s="53">
        <f>IF((P370=""),"",AVERAGE(D370:P370))</f>
        <v>5389.5276923076926</v>
      </c>
      <c r="T368" s="53">
        <f>IF((L369=""),"",(Q368-R368)/(Q368+R368)*100)</f>
        <v>0.83378768827912664</v>
      </c>
      <c r="U368" s="57">
        <f>STDEV(D370:P370)</f>
        <v>29.132322013485968</v>
      </c>
      <c r="V368" s="276" t="str">
        <f>IF(P369="","",IF(T368&lt;2.7,IF(S368&gt;5150,IF(S368&lt;5600,"Pass","Fail"),"Fail"),"Fail"))</f>
        <v>Pass</v>
      </c>
      <c r="W368" s="57">
        <v>1159</v>
      </c>
      <c r="X368" s="257"/>
      <c r="Y368" s="99"/>
      <c r="Z368" s="71">
        <v>4470</v>
      </c>
      <c r="AA368" s="71">
        <v>6020</v>
      </c>
      <c r="AB368" s="71">
        <v>5150</v>
      </c>
      <c r="AC368" s="71">
        <v>5600</v>
      </c>
      <c r="AD368" s="70">
        <v>2.7</v>
      </c>
      <c r="AE368" s="69">
        <v>10</v>
      </c>
    </row>
    <row r="369" spans="1:31" ht="12.75" customHeight="1" x14ac:dyDescent="0.25">
      <c r="A369" s="96"/>
      <c r="B369" s="47"/>
      <c r="C369" s="56" t="s">
        <v>204</v>
      </c>
      <c r="D369" s="35">
        <v>1582.82</v>
      </c>
      <c r="E369" s="35">
        <v>1669.15</v>
      </c>
      <c r="F369" s="35">
        <v>1509.95</v>
      </c>
      <c r="G369" s="35">
        <v>1549.83</v>
      </c>
      <c r="H369" s="35">
        <v>1560.98</v>
      </c>
      <c r="I369" s="35">
        <v>1545.4</v>
      </c>
      <c r="J369" s="35">
        <v>1562.78</v>
      </c>
      <c r="K369" s="35">
        <v>1438.74</v>
      </c>
      <c r="L369" s="35">
        <v>1521.19</v>
      </c>
      <c r="M369" s="35">
        <v>1522.14</v>
      </c>
      <c r="N369" s="35">
        <v>1631.67</v>
      </c>
      <c r="O369" s="35">
        <v>1537.57</v>
      </c>
      <c r="P369" s="35">
        <v>1561.96</v>
      </c>
      <c r="Q369" s="47"/>
      <c r="R369" s="47"/>
      <c r="S369" s="47"/>
      <c r="T369" s="47"/>
      <c r="U369" s="47"/>
      <c r="V369" s="274"/>
      <c r="W369" s="47"/>
      <c r="X369" s="257"/>
      <c r="Y369" s="102"/>
    </row>
    <row r="370" spans="1:31" ht="23.95" customHeight="1" x14ac:dyDescent="0.25">
      <c r="A370" s="96"/>
      <c r="B370" s="80"/>
      <c r="C370" s="56" t="s">
        <v>203</v>
      </c>
      <c r="D370" s="97">
        <f t="shared" ref="D370:P370" si="119">IF(((D368="")*AND(D369="")),"",(D368-D369))</f>
        <v>5354.7300000000005</v>
      </c>
      <c r="E370" s="97">
        <f t="shared" si="119"/>
        <v>5372.7899999999991</v>
      </c>
      <c r="F370" s="97">
        <f t="shared" si="119"/>
        <v>5347.3</v>
      </c>
      <c r="G370" s="97">
        <f t="shared" si="119"/>
        <v>5383.45</v>
      </c>
      <c r="H370" s="97">
        <f t="shared" si="119"/>
        <v>5380.7800000000007</v>
      </c>
      <c r="I370" s="97">
        <f t="shared" si="119"/>
        <v>5423.17</v>
      </c>
      <c r="J370" s="97">
        <f t="shared" si="119"/>
        <v>5401</v>
      </c>
      <c r="K370" s="97">
        <f t="shared" si="119"/>
        <v>5437.22</v>
      </c>
      <c r="L370" s="97">
        <f t="shared" si="119"/>
        <v>5358.0599999999995</v>
      </c>
      <c r="M370" s="97">
        <f t="shared" si="119"/>
        <v>5436.42</v>
      </c>
      <c r="N370" s="97">
        <f t="shared" si="119"/>
        <v>5394.43</v>
      </c>
      <c r="O370" s="97">
        <f t="shared" si="119"/>
        <v>5383.06</v>
      </c>
      <c r="P370" s="97">
        <f t="shared" si="119"/>
        <v>5391.45</v>
      </c>
      <c r="Q370" s="80"/>
      <c r="R370" s="80"/>
      <c r="S370" s="80"/>
      <c r="T370" s="47"/>
      <c r="U370" s="80"/>
      <c r="V370" s="277"/>
      <c r="W370" s="80"/>
      <c r="X370" s="257"/>
      <c r="Y370" s="102"/>
    </row>
    <row r="371" spans="1:31" x14ac:dyDescent="0.25">
      <c r="A371" s="96">
        <v>43053</v>
      </c>
      <c r="B371" s="50" t="s">
        <v>208</v>
      </c>
      <c r="C371" s="56" t="s">
        <v>205</v>
      </c>
      <c r="D371" s="35">
        <v>5936.06</v>
      </c>
      <c r="E371" s="35">
        <v>6014.95</v>
      </c>
      <c r="F371" s="35">
        <v>6029.35</v>
      </c>
      <c r="G371" s="35">
        <v>5990.67</v>
      </c>
      <c r="H371" s="35">
        <v>5894.22</v>
      </c>
      <c r="I371" s="35">
        <v>5938.54</v>
      </c>
      <c r="J371" s="35">
        <v>6000.38</v>
      </c>
      <c r="K371" s="35">
        <v>6024.34</v>
      </c>
      <c r="L371" s="35">
        <v>5861.24</v>
      </c>
      <c r="M371" s="55"/>
      <c r="N371" s="55"/>
      <c r="O371" s="55"/>
      <c r="P371" s="55"/>
      <c r="Q371" s="50">
        <f>IF((L372=""),"",MAX(D373:L373))</f>
        <v>7091.7200000000012</v>
      </c>
      <c r="R371" s="50">
        <f>IF(L372="","",MIN(D373:L373))</f>
        <v>6847.44</v>
      </c>
      <c r="S371" s="77">
        <f>IF((L373=""),"",AVERAGE(D373:L373))</f>
        <v>7029.1511111111122</v>
      </c>
      <c r="T371" s="52">
        <f>IF((L372=""),"",(Q371-R371)/(Q371+R371)*100)</f>
        <v>1.752472889327632</v>
      </c>
      <c r="U371" s="50">
        <f>STDEV(D373:P373)</f>
        <v>76.248868916929808</v>
      </c>
      <c r="V371" s="273" t="str">
        <f>IF(L372="","",IF(T371&lt;9.8,IF(S371&gt;5100,IF(S371&lt;8300,"Pass","Fail"),"Fail"),"Fail"))</f>
        <v>Pass</v>
      </c>
      <c r="W371" s="47">
        <v>1159</v>
      </c>
      <c r="X371" s="257"/>
      <c r="Y371" s="102"/>
      <c r="Z371" s="37">
        <v>4955</v>
      </c>
      <c r="AA371" s="37">
        <v>9645</v>
      </c>
      <c r="AB371" s="37">
        <v>5100</v>
      </c>
      <c r="AC371" s="37">
        <v>8300</v>
      </c>
      <c r="AD371" s="69">
        <v>9.8000000000000007</v>
      </c>
      <c r="AE371" s="69">
        <v>10</v>
      </c>
    </row>
    <row r="372" spans="1:31" ht="12.75" customHeight="1" x14ac:dyDescent="0.25">
      <c r="A372" s="49"/>
      <c r="B372" s="47"/>
      <c r="C372" s="56" t="s">
        <v>204</v>
      </c>
      <c r="D372" s="35">
        <v>2452.12</v>
      </c>
      <c r="E372" s="35">
        <v>2486.86</v>
      </c>
      <c r="F372" s="35">
        <v>2483.4899999999998</v>
      </c>
      <c r="G372" s="35">
        <v>2453.12</v>
      </c>
      <c r="H372" s="35">
        <v>2363.08</v>
      </c>
      <c r="I372" s="35">
        <v>2414</v>
      </c>
      <c r="J372" s="35">
        <v>2471.1999999999998</v>
      </c>
      <c r="K372" s="35">
        <v>2497.1799999999998</v>
      </c>
      <c r="L372" s="35">
        <v>2437.52</v>
      </c>
      <c r="M372" s="55"/>
      <c r="N372" s="55"/>
      <c r="O372" s="55"/>
      <c r="P372" s="55"/>
      <c r="Q372" s="47"/>
      <c r="R372" s="47"/>
      <c r="S372" s="47"/>
      <c r="T372" s="47"/>
      <c r="U372" s="47"/>
      <c r="V372" s="274"/>
      <c r="W372" s="47"/>
      <c r="X372" s="257"/>
      <c r="Y372" s="102"/>
    </row>
    <row r="373" spans="1:31" ht="24.8" customHeight="1" thickBot="1" x14ac:dyDescent="0.3">
      <c r="A373" s="45"/>
      <c r="B373" s="42"/>
      <c r="C373" s="76" t="s">
        <v>203</v>
      </c>
      <c r="D373" s="84">
        <f t="shared" ref="D373:L373" si="120">IF(((D371="")*AND(D372="")),"",(D371-D372)*2)</f>
        <v>6967.880000000001</v>
      </c>
      <c r="E373" s="84">
        <f t="shared" si="120"/>
        <v>7056.1799999999994</v>
      </c>
      <c r="F373" s="84">
        <f t="shared" si="120"/>
        <v>7091.7200000000012</v>
      </c>
      <c r="G373" s="84">
        <f t="shared" si="120"/>
        <v>7075.1</v>
      </c>
      <c r="H373" s="84">
        <f t="shared" si="120"/>
        <v>7062.2800000000007</v>
      </c>
      <c r="I373" s="84">
        <f t="shared" si="120"/>
        <v>7049.08</v>
      </c>
      <c r="J373" s="84">
        <f t="shared" si="120"/>
        <v>7058.3600000000006</v>
      </c>
      <c r="K373" s="84">
        <f t="shared" si="120"/>
        <v>7054.3200000000006</v>
      </c>
      <c r="L373" s="84">
        <f t="shared" si="120"/>
        <v>6847.44</v>
      </c>
      <c r="M373" s="84"/>
      <c r="N373" s="84"/>
      <c r="O373" s="84"/>
      <c r="P373" s="84" t="str">
        <f>IF(((P371="")*AND(P372="")),"",(P371-P372)*2)</f>
        <v/>
      </c>
      <c r="Q373" s="42"/>
      <c r="R373" s="42"/>
      <c r="S373" s="42"/>
      <c r="T373" s="42"/>
      <c r="U373" s="42"/>
      <c r="V373" s="275"/>
      <c r="W373" s="42"/>
      <c r="X373" s="257"/>
      <c r="Y373" s="101"/>
    </row>
    <row r="374" spans="1:31" ht="12.75" customHeight="1" x14ac:dyDescent="0.25">
      <c r="A374" s="96">
        <v>43055</v>
      </c>
      <c r="B374" s="57" t="s">
        <v>206</v>
      </c>
      <c r="C374" s="61" t="s">
        <v>205</v>
      </c>
      <c r="D374" s="35">
        <v>6912.9</v>
      </c>
      <c r="E374" s="35">
        <v>7025.43</v>
      </c>
      <c r="F374" s="35">
        <v>6822.98</v>
      </c>
      <c r="G374" s="35">
        <v>6882.26</v>
      </c>
      <c r="H374" s="35">
        <v>6936.15</v>
      </c>
      <c r="I374" s="35">
        <v>6944.6</v>
      </c>
      <c r="J374" s="35">
        <v>6907.66</v>
      </c>
      <c r="K374" s="35">
        <v>6817.11</v>
      </c>
      <c r="L374" s="35">
        <v>6839.27</v>
      </c>
      <c r="M374" s="35">
        <v>6905.51</v>
      </c>
      <c r="N374" s="35">
        <v>7011.74</v>
      </c>
      <c r="O374" s="35">
        <v>6882.92</v>
      </c>
      <c r="P374" s="35">
        <v>6933.87</v>
      </c>
      <c r="Q374" s="50">
        <f>IF((L375=""),"",MAX(D376:P376))</f>
        <v>5438.87</v>
      </c>
      <c r="R374" s="57">
        <f>IF(L375="","",MIN(D376:L376))</f>
        <v>5345.23</v>
      </c>
      <c r="S374" s="53">
        <f>IF((P376=""),"",AVERAGE(D376:P376))</f>
        <v>5389.1476923076925</v>
      </c>
      <c r="T374" s="53">
        <f>IF((L375=""),"",(Q374-R374)/(Q374+R374)*100)</f>
        <v>0.86831539025046445</v>
      </c>
      <c r="U374" s="57">
        <f>STDEV(D376:P376)</f>
        <v>32.425309598585208</v>
      </c>
      <c r="V374" s="276" t="str">
        <f>IF(P375="","",IF(T374&lt;2.7,IF(S374&gt;5150,IF(S374&lt;5600,"Pass","Fail"),"Fail"),"Fail"))</f>
        <v>Pass</v>
      </c>
      <c r="W374" s="57">
        <v>102</v>
      </c>
      <c r="X374" s="257"/>
      <c r="Y374" s="99"/>
      <c r="Z374" s="71">
        <v>4470</v>
      </c>
      <c r="AA374" s="71">
        <v>6020</v>
      </c>
      <c r="AB374" s="71">
        <v>5150</v>
      </c>
      <c r="AC374" s="71">
        <v>5600</v>
      </c>
      <c r="AD374" s="70">
        <v>2.7</v>
      </c>
      <c r="AE374" s="69">
        <v>10</v>
      </c>
    </row>
    <row r="375" spans="1:31" ht="12.75" customHeight="1" x14ac:dyDescent="0.25">
      <c r="A375" s="96"/>
      <c r="B375" s="47"/>
      <c r="C375" s="56" t="s">
        <v>204</v>
      </c>
      <c r="D375" s="35">
        <v>1561.82</v>
      </c>
      <c r="E375" s="35">
        <v>1658.64</v>
      </c>
      <c r="F375" s="35">
        <v>1477.75</v>
      </c>
      <c r="G375" s="35">
        <v>1464.88</v>
      </c>
      <c r="H375" s="35">
        <v>1567.06</v>
      </c>
      <c r="I375" s="35">
        <v>1528</v>
      </c>
      <c r="J375" s="35">
        <v>1480.35</v>
      </c>
      <c r="K375" s="35">
        <v>1378.24</v>
      </c>
      <c r="L375" s="35">
        <v>1483.14</v>
      </c>
      <c r="M375" s="35">
        <v>1477.18</v>
      </c>
      <c r="N375" s="35">
        <v>1629.56</v>
      </c>
      <c r="O375" s="35">
        <v>1505.67</v>
      </c>
      <c r="P375" s="35">
        <v>1551.19</v>
      </c>
      <c r="Q375" s="47"/>
      <c r="R375" s="47"/>
      <c r="S375" s="47"/>
      <c r="T375" s="47"/>
      <c r="U375" s="47"/>
      <c r="V375" s="274"/>
      <c r="W375" s="47"/>
      <c r="X375" s="257"/>
      <c r="Y375" s="102"/>
    </row>
    <row r="376" spans="1:31" ht="23.95" customHeight="1" x14ac:dyDescent="0.25">
      <c r="A376" s="96"/>
      <c r="B376" s="80"/>
      <c r="C376" s="56" t="s">
        <v>203</v>
      </c>
      <c r="D376" s="97">
        <f t="shared" ref="D376:P376" si="121">IF(((D374="")*AND(D375="")),"",(D374-D375))</f>
        <v>5351.08</v>
      </c>
      <c r="E376" s="97">
        <f t="shared" si="121"/>
        <v>5366.79</v>
      </c>
      <c r="F376" s="97">
        <f t="shared" si="121"/>
        <v>5345.23</v>
      </c>
      <c r="G376" s="97">
        <f t="shared" si="121"/>
        <v>5417.38</v>
      </c>
      <c r="H376" s="97">
        <f t="shared" si="121"/>
        <v>5369.09</v>
      </c>
      <c r="I376" s="97">
        <f t="shared" si="121"/>
        <v>5416.6</v>
      </c>
      <c r="J376" s="97">
        <f t="shared" si="121"/>
        <v>5427.3099999999995</v>
      </c>
      <c r="K376" s="97">
        <f t="shared" si="121"/>
        <v>5438.87</v>
      </c>
      <c r="L376" s="97">
        <f t="shared" si="121"/>
        <v>5356.13</v>
      </c>
      <c r="M376" s="97">
        <f t="shared" si="121"/>
        <v>5428.33</v>
      </c>
      <c r="N376" s="97">
        <f t="shared" si="121"/>
        <v>5382.18</v>
      </c>
      <c r="O376" s="97">
        <f t="shared" si="121"/>
        <v>5377.25</v>
      </c>
      <c r="P376" s="97">
        <f t="shared" si="121"/>
        <v>5382.68</v>
      </c>
      <c r="Q376" s="80"/>
      <c r="R376" s="80"/>
      <c r="S376" s="80"/>
      <c r="T376" s="47"/>
      <c r="U376" s="80"/>
      <c r="V376" s="277"/>
      <c r="W376" s="80"/>
      <c r="X376" s="257"/>
      <c r="Y376" s="102"/>
    </row>
    <row r="377" spans="1:31" x14ac:dyDescent="0.25">
      <c r="A377" s="96">
        <v>43055</v>
      </c>
      <c r="B377" s="50" t="s">
        <v>208</v>
      </c>
      <c r="C377" s="56" t="s">
        <v>205</v>
      </c>
      <c r="D377" s="35">
        <v>5945.55</v>
      </c>
      <c r="E377" s="35">
        <v>6014.1</v>
      </c>
      <c r="F377" s="35">
        <v>6031.67</v>
      </c>
      <c r="G377" s="35">
        <v>5977.49</v>
      </c>
      <c r="H377" s="35">
        <v>5905.9</v>
      </c>
      <c r="I377" s="35">
        <v>5939.6</v>
      </c>
      <c r="J377" s="35">
        <v>6000.84</v>
      </c>
      <c r="K377" s="35">
        <v>6032.23</v>
      </c>
      <c r="L377" s="35">
        <v>5868.84</v>
      </c>
      <c r="M377" s="55"/>
      <c r="N377" s="55"/>
      <c r="O377" s="55"/>
      <c r="P377" s="55"/>
      <c r="Q377" s="50">
        <f>IF((L378=""),"",MAX(D379:L379))</f>
        <v>7213.7400000000007</v>
      </c>
      <c r="R377" s="50">
        <f>IF(L378="","",MIN(D379:L379))</f>
        <v>6819.56</v>
      </c>
      <c r="S377" s="77">
        <f>IF((L379=""),"",AVERAGE(D379:L379))</f>
        <v>7054.7688888888888</v>
      </c>
      <c r="T377" s="52">
        <f>IF((L378=""),"",(Q377-R377)/(Q377+R377)*100)</f>
        <v>2.8088902823997222</v>
      </c>
      <c r="U377" s="50">
        <f>STDEV(D379:P379)</f>
        <v>115.32388222354943</v>
      </c>
      <c r="V377" s="273" t="str">
        <f>IF(L378="","",IF(T377&lt;9.8,IF(S377&gt;5100,IF(S377&lt;8300,"Pass","Fail"),"Fail"),"Fail"))</f>
        <v>Pass</v>
      </c>
      <c r="W377" s="47">
        <v>102</v>
      </c>
      <c r="X377" s="257"/>
      <c r="Y377" s="102"/>
      <c r="Z377" s="37">
        <v>4955</v>
      </c>
      <c r="AA377" s="37">
        <v>9645</v>
      </c>
      <c r="AB377" s="37">
        <v>5100</v>
      </c>
      <c r="AC377" s="37">
        <v>8300</v>
      </c>
      <c r="AD377" s="69">
        <v>9.8000000000000007</v>
      </c>
      <c r="AE377" s="69">
        <v>10</v>
      </c>
    </row>
    <row r="378" spans="1:31" ht="12.75" customHeight="1" x14ac:dyDescent="0.25">
      <c r="A378" s="49"/>
      <c r="B378" s="47"/>
      <c r="C378" s="56" t="s">
        <v>204</v>
      </c>
      <c r="D378" s="35">
        <v>2468.83</v>
      </c>
      <c r="E378" s="35">
        <v>2458.83</v>
      </c>
      <c r="F378" s="35">
        <v>2465.83</v>
      </c>
      <c r="G378" s="35">
        <v>2462.83</v>
      </c>
      <c r="H378" s="35">
        <v>2354.62</v>
      </c>
      <c r="I378" s="35">
        <v>2332.73</v>
      </c>
      <c r="J378" s="35">
        <v>2488.1999999999998</v>
      </c>
      <c r="K378" s="35">
        <v>2478.83</v>
      </c>
      <c r="L378" s="35">
        <v>2459.06</v>
      </c>
      <c r="M378" s="55"/>
      <c r="N378" s="55"/>
      <c r="O378" s="55"/>
      <c r="P378" s="55"/>
      <c r="Q378" s="47"/>
      <c r="R378" s="47"/>
      <c r="S378" s="47"/>
      <c r="T378" s="47"/>
      <c r="U378" s="47"/>
      <c r="V378" s="274"/>
      <c r="W378" s="47"/>
      <c r="X378" s="257"/>
      <c r="Y378" s="102"/>
    </row>
    <row r="379" spans="1:31" ht="24.8" customHeight="1" thickBot="1" x14ac:dyDescent="0.3">
      <c r="A379" s="45"/>
      <c r="B379" s="42"/>
      <c r="C379" s="76" t="s">
        <v>203</v>
      </c>
      <c r="D379" s="84">
        <f t="shared" ref="D379:L379" si="122">IF(((D377="")*AND(D378="")),"",(D377-D378)*2)</f>
        <v>6953.4400000000005</v>
      </c>
      <c r="E379" s="84">
        <f t="shared" si="122"/>
        <v>7110.5400000000009</v>
      </c>
      <c r="F379" s="84">
        <f t="shared" si="122"/>
        <v>7131.68</v>
      </c>
      <c r="G379" s="84">
        <f t="shared" si="122"/>
        <v>7029.32</v>
      </c>
      <c r="H379" s="84">
        <f t="shared" si="122"/>
        <v>7102.5599999999995</v>
      </c>
      <c r="I379" s="84">
        <f t="shared" si="122"/>
        <v>7213.7400000000007</v>
      </c>
      <c r="J379" s="84">
        <f t="shared" si="122"/>
        <v>7025.2800000000007</v>
      </c>
      <c r="K379" s="84">
        <f t="shared" si="122"/>
        <v>7106.7999999999993</v>
      </c>
      <c r="L379" s="84">
        <f t="shared" si="122"/>
        <v>6819.56</v>
      </c>
      <c r="M379" s="84"/>
      <c r="N379" s="84"/>
      <c r="O379" s="84"/>
      <c r="P379" s="84" t="str">
        <f>IF(((P377="")*AND(P378="")),"",(P377-P378)*2)</f>
        <v/>
      </c>
      <c r="Q379" s="42"/>
      <c r="R379" s="42"/>
      <c r="S379" s="42"/>
      <c r="T379" s="42"/>
      <c r="U379" s="42"/>
      <c r="V379" s="275"/>
      <c r="W379" s="42"/>
      <c r="X379" s="257"/>
      <c r="Y379" s="101"/>
    </row>
    <row r="380" spans="1:31" ht="12.75" customHeight="1" x14ac:dyDescent="0.25">
      <c r="A380" s="90">
        <v>43063</v>
      </c>
      <c r="B380" s="57" t="s">
        <v>206</v>
      </c>
      <c r="C380" s="61" t="s">
        <v>205</v>
      </c>
      <c r="D380" s="35">
        <v>6669.69</v>
      </c>
      <c r="E380" s="35">
        <v>6774.88</v>
      </c>
      <c r="F380" s="35">
        <v>6628.11</v>
      </c>
      <c r="G380" s="35">
        <v>6718.56</v>
      </c>
      <c r="H380" s="35">
        <v>6660.75</v>
      </c>
      <c r="I380" s="35">
        <v>6723.38</v>
      </c>
      <c r="J380" s="35">
        <v>6743.03</v>
      </c>
      <c r="K380" s="35">
        <v>6643.35</v>
      </c>
      <c r="L380" s="35">
        <v>6649.71</v>
      </c>
      <c r="M380" s="35">
        <v>6737.56</v>
      </c>
      <c r="N380" s="35">
        <v>6753.25</v>
      </c>
      <c r="O380" s="35">
        <v>6692.32</v>
      </c>
      <c r="P380" s="35">
        <v>6672.63</v>
      </c>
      <c r="Q380" s="50">
        <f>IF((L381=""),"",MAX(D382:P382))</f>
        <v>5407.0199999999995</v>
      </c>
      <c r="R380" s="57">
        <f>IF(L381="","",MIN(D382:L382))</f>
        <v>5262.44</v>
      </c>
      <c r="S380" s="53">
        <f>IF((P382=""),"",AVERAGE(D382:P382))</f>
        <v>5321.9446153846156</v>
      </c>
      <c r="T380" s="53">
        <f>IF((L381=""),"",(Q380-R380)/(Q380+R380)*100)</f>
        <v>1.3550826377342429</v>
      </c>
      <c r="U380" s="57">
        <f>STDEV(D382:P382)</f>
        <v>46.112344987610662</v>
      </c>
      <c r="V380" s="276" t="str">
        <f>IF(P381="","",IF(T380&lt;2.7,IF(S380&gt;5150,IF(S380&lt;5600,"Pass","Fail"),"Fail"),"Fail"))</f>
        <v>Pass</v>
      </c>
      <c r="W380" s="57">
        <v>121</v>
      </c>
      <c r="X380" s="257"/>
      <c r="Y380" s="99"/>
      <c r="Z380" s="71">
        <v>4470</v>
      </c>
      <c r="AA380" s="71">
        <v>6020</v>
      </c>
      <c r="AB380" s="71">
        <v>5150</v>
      </c>
      <c r="AC380" s="71">
        <v>5600</v>
      </c>
      <c r="AD380" s="70">
        <v>2.7</v>
      </c>
      <c r="AE380" s="69">
        <v>10</v>
      </c>
    </row>
    <row r="381" spans="1:31" ht="12.75" customHeight="1" x14ac:dyDescent="0.25">
      <c r="A381" s="96"/>
      <c r="B381" s="47"/>
      <c r="C381" s="56" t="s">
        <v>204</v>
      </c>
      <c r="D381" s="35">
        <v>1393.33</v>
      </c>
      <c r="E381" s="35">
        <v>1477.41</v>
      </c>
      <c r="F381" s="35">
        <v>1365.67</v>
      </c>
      <c r="G381" s="35">
        <v>1325.62</v>
      </c>
      <c r="H381" s="35">
        <v>1352.2</v>
      </c>
      <c r="I381" s="35">
        <v>1376.45</v>
      </c>
      <c r="J381" s="35">
        <v>1336.01</v>
      </c>
      <c r="K381" s="35">
        <v>1275.47</v>
      </c>
      <c r="L381" s="35">
        <v>1376.55</v>
      </c>
      <c r="M381" s="35">
        <v>1392.79</v>
      </c>
      <c r="N381" s="35">
        <v>1446.67</v>
      </c>
      <c r="O381" s="35">
        <v>1397.09</v>
      </c>
      <c r="P381" s="35">
        <v>1366.68</v>
      </c>
      <c r="Q381" s="47"/>
      <c r="R381" s="47"/>
      <c r="S381" s="47"/>
      <c r="T381" s="47"/>
      <c r="U381" s="47"/>
      <c r="V381" s="274"/>
      <c r="W381" s="47"/>
      <c r="X381" s="257"/>
      <c r="Y381" s="102"/>
    </row>
    <row r="382" spans="1:31" ht="23.95" customHeight="1" x14ac:dyDescent="0.25">
      <c r="A382" s="96"/>
      <c r="B382" s="80"/>
      <c r="C382" s="56" t="s">
        <v>203</v>
      </c>
      <c r="D382" s="97">
        <f t="shared" ref="D382:P382" si="123">IF(((D380="")*AND(D381="")),"",(D380-D381))</f>
        <v>5276.36</v>
      </c>
      <c r="E382" s="97">
        <f t="shared" si="123"/>
        <v>5297.47</v>
      </c>
      <c r="F382" s="97">
        <f t="shared" si="123"/>
        <v>5262.44</v>
      </c>
      <c r="G382" s="97">
        <f t="shared" si="123"/>
        <v>5392.9400000000005</v>
      </c>
      <c r="H382" s="97">
        <f t="shared" si="123"/>
        <v>5308.55</v>
      </c>
      <c r="I382" s="97">
        <f t="shared" si="123"/>
        <v>5346.93</v>
      </c>
      <c r="J382" s="97">
        <f t="shared" si="123"/>
        <v>5407.0199999999995</v>
      </c>
      <c r="K382" s="97">
        <f t="shared" si="123"/>
        <v>5367.88</v>
      </c>
      <c r="L382" s="97">
        <f t="shared" si="123"/>
        <v>5273.16</v>
      </c>
      <c r="M382" s="97">
        <f t="shared" si="123"/>
        <v>5344.77</v>
      </c>
      <c r="N382" s="97">
        <f t="shared" si="123"/>
        <v>5306.58</v>
      </c>
      <c r="O382" s="97">
        <f t="shared" si="123"/>
        <v>5295.23</v>
      </c>
      <c r="P382" s="97">
        <f t="shared" si="123"/>
        <v>5305.95</v>
      </c>
      <c r="Q382" s="80"/>
      <c r="R382" s="80"/>
      <c r="S382" s="80"/>
      <c r="T382" s="47"/>
      <c r="U382" s="80"/>
      <c r="V382" s="277"/>
      <c r="W382" s="80"/>
      <c r="X382" s="257"/>
      <c r="Y382" s="102"/>
    </row>
    <row r="383" spans="1:31" x14ac:dyDescent="0.25">
      <c r="A383" s="90">
        <v>43063</v>
      </c>
      <c r="B383" s="50" t="s">
        <v>208</v>
      </c>
      <c r="C383" s="56" t="s">
        <v>205</v>
      </c>
      <c r="D383" s="35">
        <v>5944.03</v>
      </c>
      <c r="E383" s="35">
        <v>6010.44</v>
      </c>
      <c r="F383" s="35">
        <v>6032.8</v>
      </c>
      <c r="G383" s="35">
        <v>5977.86</v>
      </c>
      <c r="H383" s="35">
        <v>5898.29</v>
      </c>
      <c r="I383" s="35">
        <v>5961.44</v>
      </c>
      <c r="J383" s="35">
        <v>5999.99</v>
      </c>
      <c r="K383" s="35">
        <v>6023.31</v>
      </c>
      <c r="L383" s="35">
        <v>5864.82</v>
      </c>
      <c r="M383" s="55"/>
      <c r="N383" s="55"/>
      <c r="O383" s="55"/>
      <c r="P383" s="55"/>
      <c r="Q383" s="50">
        <f>IF((L384=""),"",MAX(D385:L385))</f>
        <v>7323.2399999999989</v>
      </c>
      <c r="R383" s="50">
        <f>IF(L384="","",MIN(D385:L385))</f>
        <v>6972.5399999999991</v>
      </c>
      <c r="S383" s="77">
        <f>IF((L385=""),"",AVERAGE(D385:L385))</f>
        <v>7139.3088888888888</v>
      </c>
      <c r="T383" s="52">
        <f>IF((L384=""),"",(Q383-R383)/(Q383+R383)*100)</f>
        <v>2.4531714953643653</v>
      </c>
      <c r="U383" s="50">
        <f>STDEV(D385:P385)</f>
        <v>92.511677701310319</v>
      </c>
      <c r="V383" s="273" t="str">
        <f>IF(L384="","",IF(T383&lt;9.8,IF(S383&gt;5100,IF(S383&lt;8300,"Pass","Fail"),"Fail"),"Fail"))</f>
        <v>Pass</v>
      </c>
      <c r="W383" s="47">
        <v>121</v>
      </c>
      <c r="X383" s="257"/>
      <c r="Y383" s="102"/>
      <c r="Z383" s="37">
        <v>4955</v>
      </c>
      <c r="AA383" s="37">
        <v>9645</v>
      </c>
      <c r="AB383" s="37">
        <v>5100</v>
      </c>
      <c r="AC383" s="37">
        <v>8300</v>
      </c>
      <c r="AD383" s="69">
        <v>9.8000000000000007</v>
      </c>
      <c r="AE383" s="69">
        <v>10</v>
      </c>
    </row>
    <row r="384" spans="1:31" ht="12.75" customHeight="1" x14ac:dyDescent="0.25">
      <c r="A384" s="49"/>
      <c r="B384" s="47"/>
      <c r="C384" s="56" t="s">
        <v>204</v>
      </c>
      <c r="D384" s="35">
        <v>2409.15</v>
      </c>
      <c r="E384" s="35">
        <v>2442.86</v>
      </c>
      <c r="F384" s="35">
        <v>2444.16</v>
      </c>
      <c r="G384" s="35">
        <v>2410.48</v>
      </c>
      <c r="H384" s="35">
        <v>2319.87</v>
      </c>
      <c r="I384" s="35">
        <v>2299.8200000000002</v>
      </c>
      <c r="J384" s="35">
        <v>2424.13</v>
      </c>
      <c r="K384" s="35">
        <v>2457.0700000000002</v>
      </c>
      <c r="L384" s="35">
        <v>2378.5500000000002</v>
      </c>
      <c r="M384" s="55"/>
      <c r="N384" s="55"/>
      <c r="O384" s="55"/>
      <c r="P384" s="55"/>
      <c r="Q384" s="47"/>
      <c r="R384" s="47"/>
      <c r="S384" s="47"/>
      <c r="T384" s="47"/>
      <c r="U384" s="47"/>
      <c r="V384" s="274"/>
      <c r="W384" s="47"/>
      <c r="X384" s="257"/>
      <c r="Y384" s="102"/>
    </row>
    <row r="385" spans="1:31" ht="24.8" customHeight="1" thickBot="1" x14ac:dyDescent="0.3">
      <c r="A385" s="45"/>
      <c r="B385" s="42"/>
      <c r="C385" s="76" t="s">
        <v>203</v>
      </c>
      <c r="D385" s="84">
        <f t="shared" ref="D385:L385" si="124">IF(((D383="")*AND(D384="")),"",(D383-D384)*2)</f>
        <v>7069.7599999999993</v>
      </c>
      <c r="E385" s="84">
        <f t="shared" si="124"/>
        <v>7135.1599999999989</v>
      </c>
      <c r="F385" s="84">
        <f t="shared" si="124"/>
        <v>7177.2800000000007</v>
      </c>
      <c r="G385" s="84">
        <f t="shared" si="124"/>
        <v>7134.7599999999993</v>
      </c>
      <c r="H385" s="84">
        <f t="shared" si="124"/>
        <v>7156.84</v>
      </c>
      <c r="I385" s="84">
        <f t="shared" si="124"/>
        <v>7323.2399999999989</v>
      </c>
      <c r="J385" s="84">
        <f t="shared" si="124"/>
        <v>7151.7199999999993</v>
      </c>
      <c r="K385" s="84">
        <f t="shared" si="124"/>
        <v>7132.4800000000005</v>
      </c>
      <c r="L385" s="84">
        <f t="shared" si="124"/>
        <v>6972.5399999999991</v>
      </c>
      <c r="M385" s="84"/>
      <c r="N385" s="84"/>
      <c r="O385" s="84"/>
      <c r="P385" s="84" t="str">
        <f>IF(((P383="")*AND(P384="")),"",(P383-P384)*2)</f>
        <v/>
      </c>
      <c r="Q385" s="42"/>
      <c r="R385" s="42"/>
      <c r="S385" s="42"/>
      <c r="T385" s="42"/>
      <c r="U385" s="42"/>
      <c r="V385" s="275"/>
      <c r="W385" s="42"/>
      <c r="X385" s="257"/>
      <c r="Y385" s="101"/>
    </row>
    <row r="386" spans="1:31" ht="12.75" customHeight="1" x14ac:dyDescent="0.25">
      <c r="A386" s="90">
        <v>42898</v>
      </c>
      <c r="B386" s="57" t="s">
        <v>206</v>
      </c>
      <c r="C386" s="61" t="s">
        <v>205</v>
      </c>
      <c r="D386" s="35">
        <v>6836.03</v>
      </c>
      <c r="E386" s="35">
        <v>6934.16</v>
      </c>
      <c r="F386" s="35">
        <v>6780.4</v>
      </c>
      <c r="G386" s="35">
        <v>6866.61</v>
      </c>
      <c r="H386" s="35">
        <v>6827.02</v>
      </c>
      <c r="I386" s="35">
        <v>6872.19</v>
      </c>
      <c r="J386" s="35">
        <v>6903.17</v>
      </c>
      <c r="K386" s="35">
        <v>6795.39</v>
      </c>
      <c r="L386" s="35">
        <v>6805.27</v>
      </c>
      <c r="M386" s="35">
        <v>6890.24</v>
      </c>
      <c r="N386" s="35">
        <v>6918.03</v>
      </c>
      <c r="O386" s="35">
        <v>6834.5</v>
      </c>
      <c r="P386" s="35">
        <v>6843.4</v>
      </c>
      <c r="Q386" s="50">
        <f>IF((L387=""),"",MAX(D388:P388))</f>
        <v>5567.71</v>
      </c>
      <c r="R386" s="57">
        <f>IF(L387="","",MIN(D388:L388))</f>
        <v>5445.7199999999993</v>
      </c>
      <c r="S386" s="53">
        <f>IF((P388=""),"",AVERAGE(D388:P388))</f>
        <v>5496.086153846155</v>
      </c>
      <c r="T386" s="53">
        <f>IF((L387=""),"",(Q386-R386)/(Q386+R386)*100)</f>
        <v>1.1076476628988488</v>
      </c>
      <c r="U386" s="57">
        <f>STDEV(D388:P388)</f>
        <v>38.95909875293615</v>
      </c>
      <c r="V386" s="276" t="str">
        <f>IF(P387="","",IF(T386&lt;2.7,IF(S386&gt;5150,IF(S386&lt;5600,"Pass","Fail"),"Fail"),"Fail"))</f>
        <v>Pass</v>
      </c>
      <c r="W386" s="57">
        <v>102</v>
      </c>
      <c r="X386" s="257"/>
      <c r="Y386" s="99"/>
      <c r="Z386" s="71">
        <v>4470</v>
      </c>
      <c r="AA386" s="71">
        <v>6020</v>
      </c>
      <c r="AB386" s="71">
        <v>5150</v>
      </c>
      <c r="AC386" s="71">
        <v>5600</v>
      </c>
      <c r="AD386" s="70">
        <v>2.7</v>
      </c>
      <c r="AE386" s="69">
        <v>10</v>
      </c>
    </row>
    <row r="387" spans="1:31" ht="12.75" customHeight="1" x14ac:dyDescent="0.25">
      <c r="A387" s="96"/>
      <c r="B387" s="47"/>
      <c r="C387" s="56" t="s">
        <v>204</v>
      </c>
      <c r="D387" s="35">
        <v>1390.31</v>
      </c>
      <c r="E387" s="35">
        <v>1470.94</v>
      </c>
      <c r="F387" s="35">
        <v>1330.39</v>
      </c>
      <c r="G387" s="35">
        <v>1359.89</v>
      </c>
      <c r="H387" s="35">
        <v>1364.9</v>
      </c>
      <c r="I387" s="35">
        <v>1346.68</v>
      </c>
      <c r="J387" s="35">
        <v>1373.92</v>
      </c>
      <c r="K387" s="35">
        <v>1227.68</v>
      </c>
      <c r="L387" s="35">
        <v>1335.42</v>
      </c>
      <c r="M387" s="35">
        <v>1336.78</v>
      </c>
      <c r="N387" s="35">
        <v>1432.38</v>
      </c>
      <c r="O387" s="35">
        <v>1336.4</v>
      </c>
      <c r="P387" s="35">
        <v>1351.6</v>
      </c>
      <c r="Q387" s="47"/>
      <c r="R387" s="47"/>
      <c r="S387" s="47"/>
      <c r="T387" s="47"/>
      <c r="U387" s="47"/>
      <c r="V387" s="274"/>
      <c r="W387" s="47"/>
      <c r="X387" s="257"/>
      <c r="Y387" s="102"/>
    </row>
    <row r="388" spans="1:31" ht="23.95" customHeight="1" x14ac:dyDescent="0.25">
      <c r="A388" s="96"/>
      <c r="B388" s="80"/>
      <c r="C388" s="56" t="s">
        <v>203</v>
      </c>
      <c r="D388" s="97">
        <f t="shared" ref="D388:P388" si="125">IF(((D386="")*AND(D387="")),"",(D386-D387))</f>
        <v>5445.7199999999993</v>
      </c>
      <c r="E388" s="97">
        <f t="shared" si="125"/>
        <v>5463.2199999999993</v>
      </c>
      <c r="F388" s="97">
        <f t="shared" si="125"/>
        <v>5450.0099999999993</v>
      </c>
      <c r="G388" s="97">
        <f t="shared" si="125"/>
        <v>5506.7199999999993</v>
      </c>
      <c r="H388" s="97">
        <f t="shared" si="125"/>
        <v>5462.1200000000008</v>
      </c>
      <c r="I388" s="97">
        <f t="shared" si="125"/>
        <v>5525.5099999999993</v>
      </c>
      <c r="J388" s="97">
        <f t="shared" si="125"/>
        <v>5529.25</v>
      </c>
      <c r="K388" s="97">
        <f t="shared" si="125"/>
        <v>5567.71</v>
      </c>
      <c r="L388" s="97">
        <f t="shared" si="125"/>
        <v>5469.85</v>
      </c>
      <c r="M388" s="97">
        <f t="shared" si="125"/>
        <v>5553.46</v>
      </c>
      <c r="N388" s="97">
        <f t="shared" si="125"/>
        <v>5485.65</v>
      </c>
      <c r="O388" s="97">
        <f t="shared" si="125"/>
        <v>5498.1</v>
      </c>
      <c r="P388" s="97">
        <f t="shared" si="125"/>
        <v>5491.7999999999993</v>
      </c>
      <c r="Q388" s="80"/>
      <c r="R388" s="80"/>
      <c r="S388" s="80"/>
      <c r="T388" s="47"/>
      <c r="U388" s="80"/>
      <c r="V388" s="277"/>
      <c r="W388" s="80"/>
      <c r="X388" s="257"/>
      <c r="Y388" s="102"/>
    </row>
    <row r="389" spans="1:31" x14ac:dyDescent="0.25">
      <c r="A389" s="90">
        <v>42898</v>
      </c>
      <c r="B389" s="50" t="s">
        <v>208</v>
      </c>
      <c r="C389" s="56" t="s">
        <v>205</v>
      </c>
      <c r="D389" s="35">
        <v>5965.78</v>
      </c>
      <c r="E389" s="35">
        <v>6022.37</v>
      </c>
      <c r="F389" s="35">
        <v>6044.18</v>
      </c>
      <c r="G389" s="35">
        <v>5998.87</v>
      </c>
      <c r="H389" s="35">
        <v>5988.87</v>
      </c>
      <c r="I389" s="35">
        <v>5911.71</v>
      </c>
      <c r="J389" s="35">
        <v>5998.7</v>
      </c>
      <c r="K389" s="35">
        <v>6040.65</v>
      </c>
      <c r="L389" s="35">
        <v>5917.45</v>
      </c>
      <c r="M389" s="55"/>
      <c r="N389" s="55"/>
      <c r="O389" s="55"/>
      <c r="P389" s="55"/>
      <c r="Q389" s="50">
        <f>IF((L390=""),"",MAX(D391:L391))</f>
        <v>7416.9</v>
      </c>
      <c r="R389" s="50">
        <f>IF(L390="","",MIN(D391:L391))</f>
        <v>7215.16</v>
      </c>
      <c r="S389" s="77">
        <f>IF((L391=""),"",AVERAGE(D391:L391))</f>
        <v>7336.9266666666663</v>
      </c>
      <c r="T389" s="52">
        <f>IF((L390=""),"",(Q389-R389)/(Q389+R389)*100)</f>
        <v>1.3787532309189532</v>
      </c>
      <c r="U389" s="50">
        <f>STDEV(D391:P391)</f>
        <v>71.139643659495405</v>
      </c>
      <c r="V389" s="273" t="str">
        <f>IF(L390="","",IF(T389&lt;9.8,IF(S389&gt;5100,IF(S389&lt;8300,"Pass","Fail"),"Fail"),"Fail"))</f>
        <v>Pass</v>
      </c>
      <c r="W389" s="47">
        <v>102</v>
      </c>
      <c r="X389" s="257"/>
      <c r="Y389" s="102"/>
      <c r="Z389" s="37">
        <v>4955</v>
      </c>
      <c r="AA389" s="37">
        <v>9645</v>
      </c>
      <c r="AB389" s="37">
        <v>5100</v>
      </c>
      <c r="AC389" s="37">
        <v>8300</v>
      </c>
      <c r="AD389" s="69">
        <v>9.8000000000000007</v>
      </c>
      <c r="AE389" s="69">
        <v>10</v>
      </c>
    </row>
    <row r="390" spans="1:31" ht="12.75" customHeight="1" x14ac:dyDescent="0.25">
      <c r="A390" s="49"/>
      <c r="B390" s="47"/>
      <c r="C390" s="56" t="s">
        <v>204</v>
      </c>
      <c r="D390" s="35">
        <v>2358.1999999999998</v>
      </c>
      <c r="E390" s="35">
        <v>2346</v>
      </c>
      <c r="F390" s="35">
        <v>2340.3200000000002</v>
      </c>
      <c r="G390" s="35">
        <v>2313.0300000000002</v>
      </c>
      <c r="H390" s="35">
        <v>2280.42</v>
      </c>
      <c r="I390" s="35">
        <v>2254.75</v>
      </c>
      <c r="J390" s="35">
        <v>2321.42</v>
      </c>
      <c r="K390" s="35">
        <v>2356.8200000000002</v>
      </c>
      <c r="L390" s="35">
        <v>2301.4499999999998</v>
      </c>
      <c r="M390" s="55"/>
      <c r="N390" s="55"/>
      <c r="O390" s="55"/>
      <c r="P390" s="55"/>
      <c r="Q390" s="47"/>
      <c r="R390" s="47"/>
      <c r="S390" s="47"/>
      <c r="T390" s="47"/>
      <c r="U390" s="47"/>
      <c r="V390" s="274"/>
      <c r="W390" s="47"/>
      <c r="X390" s="257"/>
      <c r="Y390" s="102"/>
    </row>
    <row r="391" spans="1:31" ht="24.8" customHeight="1" thickBot="1" x14ac:dyDescent="0.3">
      <c r="A391" s="45"/>
      <c r="B391" s="42"/>
      <c r="C391" s="76" t="s">
        <v>203</v>
      </c>
      <c r="D391" s="84">
        <f t="shared" ref="D391:L391" si="126">IF(((D389="")*AND(D390="")),"",(D389-D390)*2)</f>
        <v>7215.16</v>
      </c>
      <c r="E391" s="84">
        <f t="shared" si="126"/>
        <v>7352.74</v>
      </c>
      <c r="F391" s="84">
        <f t="shared" si="126"/>
        <v>7407.72</v>
      </c>
      <c r="G391" s="84">
        <f t="shared" si="126"/>
        <v>7371.6799999999994</v>
      </c>
      <c r="H391" s="84">
        <f t="shared" si="126"/>
        <v>7416.9</v>
      </c>
      <c r="I391" s="84">
        <f t="shared" si="126"/>
        <v>7313.92</v>
      </c>
      <c r="J391" s="84">
        <f t="shared" si="126"/>
        <v>7354.5599999999995</v>
      </c>
      <c r="K391" s="84">
        <f t="shared" si="126"/>
        <v>7367.6599999999989</v>
      </c>
      <c r="L391" s="84">
        <f t="shared" si="126"/>
        <v>7232</v>
      </c>
      <c r="M391" s="84"/>
      <c r="N391" s="84"/>
      <c r="O391" s="84"/>
      <c r="P391" s="84" t="str">
        <f>IF(((P389="")*AND(P390="")),"",(P389-P390)*2)</f>
        <v/>
      </c>
      <c r="Q391" s="42"/>
      <c r="R391" s="42"/>
      <c r="S391" s="42"/>
      <c r="T391" s="42"/>
      <c r="U391" s="42"/>
      <c r="V391" s="275"/>
      <c r="W391" s="42"/>
      <c r="X391" s="257"/>
      <c r="Y391" s="101"/>
    </row>
    <row r="392" spans="1:31" ht="12.75" customHeight="1" x14ac:dyDescent="0.25">
      <c r="A392" s="90">
        <v>43080</v>
      </c>
      <c r="B392" s="57" t="s">
        <v>206</v>
      </c>
      <c r="C392" s="61" t="s">
        <v>205</v>
      </c>
      <c r="D392" s="35">
        <v>6886.58</v>
      </c>
      <c r="E392" s="35">
        <v>6980.63</v>
      </c>
      <c r="F392" s="35">
        <v>6807.5</v>
      </c>
      <c r="G392" s="35">
        <v>6878.04</v>
      </c>
      <c r="H392" s="35">
        <v>6889.87</v>
      </c>
      <c r="I392" s="35">
        <v>6914.42</v>
      </c>
      <c r="J392" s="35">
        <v>6912.69</v>
      </c>
      <c r="K392" s="35">
        <v>6804.32</v>
      </c>
      <c r="L392" s="35">
        <v>6827.69</v>
      </c>
      <c r="M392" s="35">
        <v>6906.08</v>
      </c>
      <c r="N392" s="35">
        <v>6965.86</v>
      </c>
      <c r="O392" s="35">
        <v>6865.85</v>
      </c>
      <c r="P392" s="35">
        <v>6901.77</v>
      </c>
      <c r="Q392" s="50">
        <f>IF((L393=""),"",MAX(D394:P394))</f>
        <v>5495.67</v>
      </c>
      <c r="R392" s="57">
        <f>IF(L393="","",MIN(D394:L394))</f>
        <v>5371.27</v>
      </c>
      <c r="S392" s="53">
        <f>IF((P394=""),"",AVERAGE(D394:P394))</f>
        <v>5421.51</v>
      </c>
      <c r="T392" s="53">
        <f>IF((L393=""),"",(Q392-R392)/(Q392+R392)*100)</f>
        <v>1.144756481585429</v>
      </c>
      <c r="U392" s="57">
        <f>STDEV(D394:P394)</f>
        <v>39.172312926351445</v>
      </c>
      <c r="V392" s="276" t="str">
        <f>IF(P393="","",IF(T392&lt;2.7,IF(S392&gt;5150,IF(S392&lt;5600,"Pass","Fail"),"Fail"),"Fail"))</f>
        <v>Pass</v>
      </c>
      <c r="W392" s="57"/>
      <c r="X392" s="257"/>
      <c r="Y392" s="99"/>
      <c r="Z392" s="71">
        <v>4470</v>
      </c>
      <c r="AA392" s="71">
        <v>6020</v>
      </c>
      <c r="AB392" s="71">
        <v>5150</v>
      </c>
      <c r="AC392" s="71">
        <v>5600</v>
      </c>
      <c r="AD392" s="70">
        <v>2.7</v>
      </c>
      <c r="AE392" s="69">
        <v>10</v>
      </c>
    </row>
    <row r="393" spans="1:31" ht="12.75" customHeight="1" x14ac:dyDescent="0.25">
      <c r="A393" s="96"/>
      <c r="B393" s="47"/>
      <c r="C393" s="56" t="s">
        <v>204</v>
      </c>
      <c r="D393" s="35">
        <v>1515.16</v>
      </c>
      <c r="E393" s="35">
        <v>1592.49</v>
      </c>
      <c r="F393" s="35">
        <v>1436.23</v>
      </c>
      <c r="G393" s="35">
        <v>1440.58</v>
      </c>
      <c r="H393" s="35">
        <v>1496.14</v>
      </c>
      <c r="I393" s="35">
        <v>1463.36</v>
      </c>
      <c r="J393" s="35">
        <v>1458.78</v>
      </c>
      <c r="K393" s="35">
        <v>1308.6500000000001</v>
      </c>
      <c r="L393" s="35">
        <v>1437.59</v>
      </c>
      <c r="M393" s="35">
        <v>1432.17</v>
      </c>
      <c r="N393" s="35">
        <v>1553.14</v>
      </c>
      <c r="O393" s="35">
        <v>1444.19</v>
      </c>
      <c r="P393" s="35">
        <v>1483.19</v>
      </c>
      <c r="Q393" s="47"/>
      <c r="R393" s="47"/>
      <c r="S393" s="47"/>
      <c r="T393" s="47"/>
      <c r="U393" s="47"/>
      <c r="V393" s="274"/>
      <c r="W393" s="47"/>
      <c r="X393" s="257"/>
      <c r="Y393" s="102"/>
    </row>
    <row r="394" spans="1:31" ht="23.95" customHeight="1" x14ac:dyDescent="0.25">
      <c r="A394" s="96"/>
      <c r="B394" s="80"/>
      <c r="C394" s="56" t="s">
        <v>203</v>
      </c>
      <c r="D394" s="97">
        <f t="shared" ref="D394:P394" si="127">IF(((D392="")*AND(D393="")),"",(D392-D393))</f>
        <v>5371.42</v>
      </c>
      <c r="E394" s="97">
        <f t="shared" si="127"/>
        <v>5388.14</v>
      </c>
      <c r="F394" s="97">
        <f t="shared" si="127"/>
        <v>5371.27</v>
      </c>
      <c r="G394" s="97">
        <f t="shared" si="127"/>
        <v>5437.46</v>
      </c>
      <c r="H394" s="97">
        <f t="shared" si="127"/>
        <v>5393.73</v>
      </c>
      <c r="I394" s="97">
        <f t="shared" si="127"/>
        <v>5451.06</v>
      </c>
      <c r="J394" s="97">
        <f t="shared" si="127"/>
        <v>5453.91</v>
      </c>
      <c r="K394" s="97">
        <f t="shared" si="127"/>
        <v>5495.67</v>
      </c>
      <c r="L394" s="97">
        <f t="shared" si="127"/>
        <v>5390.0999999999995</v>
      </c>
      <c r="M394" s="97">
        <f t="shared" si="127"/>
        <v>5473.91</v>
      </c>
      <c r="N394" s="97">
        <f t="shared" si="127"/>
        <v>5412.7199999999993</v>
      </c>
      <c r="O394" s="97">
        <f t="shared" si="127"/>
        <v>5421.66</v>
      </c>
      <c r="P394" s="97">
        <f t="shared" si="127"/>
        <v>5418.58</v>
      </c>
      <c r="Q394" s="80"/>
      <c r="R394" s="80"/>
      <c r="S394" s="80"/>
      <c r="T394" s="47"/>
      <c r="U394" s="80"/>
      <c r="V394" s="277"/>
      <c r="W394" s="80"/>
      <c r="X394" s="257"/>
      <c r="Y394" s="102"/>
    </row>
    <row r="395" spans="1:31" x14ac:dyDescent="0.25">
      <c r="A395" s="90">
        <v>43080</v>
      </c>
      <c r="B395" s="50" t="s">
        <v>208</v>
      </c>
      <c r="C395" s="56" t="s">
        <v>205</v>
      </c>
      <c r="D395" s="35">
        <v>5954.3</v>
      </c>
      <c r="E395" s="35">
        <v>6020.38</v>
      </c>
      <c r="F395" s="35">
        <v>6037.01</v>
      </c>
      <c r="G395" s="35">
        <v>5988.85</v>
      </c>
      <c r="H395" s="35">
        <v>5929.38</v>
      </c>
      <c r="I395" s="35">
        <v>5917</v>
      </c>
      <c r="J395" s="35">
        <v>5999.98</v>
      </c>
      <c r="K395" s="35">
        <v>6028.26</v>
      </c>
      <c r="L395" s="35">
        <v>5900.4</v>
      </c>
      <c r="M395" s="55"/>
      <c r="N395" s="55"/>
      <c r="O395" s="55"/>
      <c r="P395" s="55"/>
      <c r="Q395" s="50">
        <f>IF((L396=""),"",MAX(D397:L397))</f>
        <v>7287.5800000000008</v>
      </c>
      <c r="R395" s="50">
        <f>IF(L396="","",MIN(D397:L397))</f>
        <v>7081.7199999999993</v>
      </c>
      <c r="S395" s="77">
        <f>IF((L397=""),"",AVERAGE(D397:L397))</f>
        <v>7214.7711111111112</v>
      </c>
      <c r="T395" s="52">
        <f>IF((L396=""),"",(Q395-R395)/(Q395+R395)*100)</f>
        <v>1.4326376371848419</v>
      </c>
      <c r="U395" s="50">
        <f>STDEV(D397:P397)</f>
        <v>73.991047506513539</v>
      </c>
      <c r="V395" s="273" t="str">
        <f>IF(L396="","",IF(T395&lt;9.8,IF(S395&gt;5100,IF(S395&lt;8300,"Pass","Fail"),"Fail"),"Fail"))</f>
        <v>Pass</v>
      </c>
      <c r="W395" s="47"/>
      <c r="X395" s="257"/>
      <c r="Y395" s="102"/>
      <c r="Z395" s="37">
        <v>4955</v>
      </c>
      <c r="AA395" s="37">
        <v>9645</v>
      </c>
      <c r="AB395" s="37">
        <v>5100</v>
      </c>
      <c r="AC395" s="37">
        <v>8300</v>
      </c>
      <c r="AD395" s="69">
        <v>9.8000000000000007</v>
      </c>
      <c r="AE395" s="69">
        <v>10</v>
      </c>
    </row>
    <row r="396" spans="1:31" ht="12.75" customHeight="1" x14ac:dyDescent="0.25">
      <c r="A396" s="49"/>
      <c r="B396" s="47"/>
      <c r="C396" s="56" t="s">
        <v>204</v>
      </c>
      <c r="D396" s="35">
        <v>2407.81</v>
      </c>
      <c r="E396" s="35">
        <v>2401.06</v>
      </c>
      <c r="F396" s="35">
        <v>2393.2199999999998</v>
      </c>
      <c r="G396" s="35">
        <v>2363.08</v>
      </c>
      <c r="H396" s="35">
        <v>2300.17</v>
      </c>
      <c r="I396" s="35">
        <v>2295.41</v>
      </c>
      <c r="J396" s="35">
        <v>2376.56</v>
      </c>
      <c r="K396" s="35">
        <v>2412.2399999999998</v>
      </c>
      <c r="L396" s="35">
        <v>2359.54</v>
      </c>
      <c r="M396" s="55"/>
      <c r="N396" s="55"/>
      <c r="O396" s="55"/>
      <c r="P396" s="55"/>
      <c r="Q396" s="47"/>
      <c r="R396" s="47"/>
      <c r="S396" s="47"/>
      <c r="T396" s="47"/>
      <c r="U396" s="47"/>
      <c r="V396" s="274"/>
      <c r="W396" s="47"/>
      <c r="X396" s="257"/>
      <c r="Y396" s="102"/>
    </row>
    <row r="397" spans="1:31" ht="24.8" customHeight="1" thickBot="1" x14ac:dyDescent="0.3">
      <c r="A397" s="45"/>
      <c r="B397" s="42"/>
      <c r="C397" s="76" t="s">
        <v>203</v>
      </c>
      <c r="D397" s="84">
        <f t="shared" ref="D397:L397" si="128">IF(((D395="")*AND(D396="")),"",(D395-D396)*2)</f>
        <v>7092.9800000000005</v>
      </c>
      <c r="E397" s="84">
        <f t="shared" si="128"/>
        <v>7238.64</v>
      </c>
      <c r="F397" s="84">
        <f t="shared" si="128"/>
        <v>7287.5800000000008</v>
      </c>
      <c r="G397" s="84">
        <f t="shared" si="128"/>
        <v>7251.5400000000009</v>
      </c>
      <c r="H397" s="84">
        <f t="shared" si="128"/>
        <v>7258.42</v>
      </c>
      <c r="I397" s="84">
        <f t="shared" si="128"/>
        <v>7243.18</v>
      </c>
      <c r="J397" s="84">
        <f t="shared" si="128"/>
        <v>7246.8399999999992</v>
      </c>
      <c r="K397" s="84">
        <f t="shared" si="128"/>
        <v>7232.0400000000009</v>
      </c>
      <c r="L397" s="84">
        <f t="shared" si="128"/>
        <v>7081.7199999999993</v>
      </c>
      <c r="M397" s="84"/>
      <c r="N397" s="84"/>
      <c r="O397" s="84"/>
      <c r="P397" s="84" t="str">
        <f>IF(((P395="")*AND(P396="")),"",(P395-P396)*2)</f>
        <v/>
      </c>
      <c r="Q397" s="42"/>
      <c r="R397" s="42"/>
      <c r="S397" s="42"/>
      <c r="T397" s="42"/>
      <c r="U397" s="42"/>
      <c r="V397" s="275"/>
      <c r="W397" s="42"/>
      <c r="X397" s="257"/>
      <c r="Y397" s="101"/>
    </row>
    <row r="398" spans="1:31" ht="12.75" customHeight="1" x14ac:dyDescent="0.25">
      <c r="A398" s="90">
        <v>43091</v>
      </c>
      <c r="B398" s="57" t="s">
        <v>206</v>
      </c>
      <c r="C398" s="61" t="s">
        <v>205</v>
      </c>
      <c r="D398" s="35">
        <v>6912.97</v>
      </c>
      <c r="E398" s="35">
        <v>7018.09</v>
      </c>
      <c r="F398" s="35">
        <v>6825.27</v>
      </c>
      <c r="G398" s="35">
        <v>6885.37</v>
      </c>
      <c r="H398" s="35">
        <v>6930.33</v>
      </c>
      <c r="I398" s="35">
        <v>6941.93</v>
      </c>
      <c r="J398" s="35">
        <v>6914.03</v>
      </c>
      <c r="K398" s="35">
        <v>6812.57</v>
      </c>
      <c r="L398" s="35">
        <v>6843.5</v>
      </c>
      <c r="M398" s="35">
        <v>6911.66</v>
      </c>
      <c r="N398" s="35">
        <v>7002.72</v>
      </c>
      <c r="O398" s="35">
        <v>6886</v>
      </c>
      <c r="P398" s="35">
        <v>6935.66</v>
      </c>
      <c r="Q398" s="50">
        <f>IF((L399=""),"",MAX(D400:P400))</f>
        <v>5458.88</v>
      </c>
      <c r="R398" s="57">
        <f>IF(L399="","",MIN(D400:L400))</f>
        <v>5347.88</v>
      </c>
      <c r="S398" s="53">
        <f>IF((P400=""),"",AVERAGE(D400:P400))</f>
        <v>5416.3138461538465</v>
      </c>
      <c r="T398" s="53">
        <f>IF((L399=""),"",(Q398-R398)/(Q398+R398)*100)</f>
        <v>1.0271348674348277</v>
      </c>
      <c r="U398" s="57">
        <f>STDEV(D400:P400)</f>
        <v>38.018554798602715</v>
      </c>
      <c r="V398" s="276" t="str">
        <f>IF(P399="","",IF(T398&lt;2.7,IF(S398&gt;5150,IF(S398&lt;5600,"Pass","Fail"),"Fail"),"Fail"))</f>
        <v>Pass</v>
      </c>
      <c r="W398" s="57" t="s">
        <v>237</v>
      </c>
      <c r="X398" s="257"/>
      <c r="Y398" s="99"/>
      <c r="Z398" s="71">
        <v>4470</v>
      </c>
      <c r="AA398" s="71">
        <v>6020</v>
      </c>
      <c r="AB398" s="71">
        <v>5150</v>
      </c>
      <c r="AC398" s="71">
        <v>5600</v>
      </c>
      <c r="AD398" s="70">
        <v>2.7</v>
      </c>
      <c r="AE398" s="69">
        <v>10</v>
      </c>
    </row>
    <row r="399" spans="1:31" ht="12.75" customHeight="1" x14ac:dyDescent="0.25">
      <c r="A399" s="96"/>
      <c r="B399" s="47"/>
      <c r="C399" s="56" t="s">
        <v>204</v>
      </c>
      <c r="D399" s="35">
        <v>1547.74</v>
      </c>
      <c r="E399" s="35">
        <v>1610.83</v>
      </c>
      <c r="F399" s="35">
        <v>1477.39</v>
      </c>
      <c r="G399" s="35">
        <v>1492.45</v>
      </c>
      <c r="H399" s="35">
        <v>1489.98</v>
      </c>
      <c r="I399" s="35">
        <v>1491.28</v>
      </c>
      <c r="J399" s="35">
        <v>1497.77</v>
      </c>
      <c r="K399" s="35">
        <v>1355.21</v>
      </c>
      <c r="L399" s="35">
        <v>1476.09</v>
      </c>
      <c r="M399" s="35">
        <v>1452.78</v>
      </c>
      <c r="N399" s="35">
        <v>1556.81</v>
      </c>
      <c r="O399" s="35">
        <v>1470.37</v>
      </c>
      <c r="P399" s="35">
        <v>1489.32</v>
      </c>
      <c r="Q399" s="47"/>
      <c r="R399" s="47"/>
      <c r="S399" s="47"/>
      <c r="T399" s="47"/>
      <c r="U399" s="47"/>
      <c r="V399" s="274"/>
      <c r="W399" s="47"/>
      <c r="X399" s="257"/>
      <c r="Y399" s="102"/>
    </row>
    <row r="400" spans="1:31" ht="23.95" customHeight="1" x14ac:dyDescent="0.25">
      <c r="A400" s="96"/>
      <c r="B400" s="80"/>
      <c r="C400" s="56" t="s">
        <v>203</v>
      </c>
      <c r="D400" s="97">
        <f t="shared" ref="D400:P400" si="129">IF(((D398="")*AND(D399="")),"",(D398-D399))</f>
        <v>5365.2300000000005</v>
      </c>
      <c r="E400" s="97">
        <f t="shared" si="129"/>
        <v>5407.26</v>
      </c>
      <c r="F400" s="97">
        <f t="shared" si="129"/>
        <v>5347.88</v>
      </c>
      <c r="G400" s="97">
        <f t="shared" si="129"/>
        <v>5392.92</v>
      </c>
      <c r="H400" s="97">
        <f t="shared" si="129"/>
        <v>5440.35</v>
      </c>
      <c r="I400" s="97">
        <f t="shared" si="129"/>
        <v>5450.6500000000005</v>
      </c>
      <c r="J400" s="97">
        <f t="shared" si="129"/>
        <v>5416.26</v>
      </c>
      <c r="K400" s="97">
        <f t="shared" si="129"/>
        <v>5457.36</v>
      </c>
      <c r="L400" s="97">
        <f t="shared" si="129"/>
        <v>5367.41</v>
      </c>
      <c r="M400" s="97">
        <f t="shared" si="129"/>
        <v>5458.88</v>
      </c>
      <c r="N400" s="97">
        <f t="shared" si="129"/>
        <v>5445.91</v>
      </c>
      <c r="O400" s="97">
        <f t="shared" si="129"/>
        <v>5415.63</v>
      </c>
      <c r="P400" s="97">
        <f t="shared" si="129"/>
        <v>5446.34</v>
      </c>
      <c r="Q400" s="80"/>
      <c r="R400" s="80"/>
      <c r="S400" s="80"/>
      <c r="T400" s="47"/>
      <c r="U400" s="80"/>
      <c r="V400" s="277"/>
      <c r="W400" s="80"/>
      <c r="X400" s="257"/>
      <c r="Y400" s="102"/>
    </row>
    <row r="401" spans="1:31" x14ac:dyDescent="0.25">
      <c r="A401" s="90">
        <v>43091</v>
      </c>
      <c r="B401" s="50" t="s">
        <v>208</v>
      </c>
      <c r="C401" s="56" t="s">
        <v>205</v>
      </c>
      <c r="D401" s="35">
        <v>5959.53</v>
      </c>
      <c r="E401" s="35">
        <v>6015.94</v>
      </c>
      <c r="F401" s="35">
        <v>6035.38</v>
      </c>
      <c r="G401" s="35">
        <v>5989.73</v>
      </c>
      <c r="H401" s="35">
        <v>5917.91</v>
      </c>
      <c r="I401" s="35">
        <v>5925.54</v>
      </c>
      <c r="J401" s="35">
        <v>6008.77</v>
      </c>
      <c r="K401" s="35">
        <v>6035.88</v>
      </c>
      <c r="L401" s="35">
        <v>5875.09</v>
      </c>
      <c r="M401" s="55"/>
      <c r="N401" s="55"/>
      <c r="O401" s="55"/>
      <c r="P401" s="55"/>
      <c r="Q401" s="50">
        <f>IF((L402=""),"",MAX(D403:L403))</f>
        <v>7632.84</v>
      </c>
      <c r="R401" s="50">
        <f>IF(L402="","",MIN(D403:L403))</f>
        <v>7248.88</v>
      </c>
      <c r="S401" s="77">
        <f>IF((L403=""),"",AVERAGE(D403:L403))</f>
        <v>7427.7022222222231</v>
      </c>
      <c r="T401" s="52">
        <f>IF((L402=""),"",(Q401-R401)/(Q401+R401)*100)</f>
        <v>2.5800781092508123</v>
      </c>
      <c r="U401" s="50">
        <f>STDEV(D403:P403)</f>
        <v>110.13034252395859</v>
      </c>
      <c r="V401" s="273" t="str">
        <f>IF(L402="","",IF(T401&lt;9.8,IF(S401&gt;5100,IF(S401&lt;8300,"Pass","Fail"),"Fail"),"Fail"))</f>
        <v>Pass</v>
      </c>
      <c r="W401" s="47" t="s">
        <v>237</v>
      </c>
      <c r="X401" s="257"/>
      <c r="Y401" s="102"/>
      <c r="Z401" s="37">
        <v>4955</v>
      </c>
      <c r="AA401" s="37">
        <v>9645</v>
      </c>
      <c r="AB401" s="37">
        <v>5100</v>
      </c>
      <c r="AC401" s="37">
        <v>8300</v>
      </c>
      <c r="AD401" s="69">
        <v>9.8000000000000007</v>
      </c>
      <c r="AE401" s="69">
        <v>10</v>
      </c>
    </row>
    <row r="402" spans="1:31" ht="12.75" customHeight="1" x14ac:dyDescent="0.25">
      <c r="A402" s="49"/>
      <c r="B402" s="47"/>
      <c r="C402" s="56" t="s">
        <v>204</v>
      </c>
      <c r="D402" s="35">
        <v>2296.41</v>
      </c>
      <c r="E402" s="35">
        <v>2318.4899999999998</v>
      </c>
      <c r="F402" s="35">
        <v>2315.25</v>
      </c>
      <c r="G402" s="35">
        <v>2271.89</v>
      </c>
      <c r="H402" s="35">
        <v>2152.5100000000002</v>
      </c>
      <c r="I402" s="35">
        <v>2109.12</v>
      </c>
      <c r="J402" s="35">
        <v>2289.9899999999998</v>
      </c>
      <c r="K402" s="35">
        <v>2334.8000000000002</v>
      </c>
      <c r="L402" s="35">
        <v>2250.65</v>
      </c>
      <c r="M402" s="55"/>
      <c r="N402" s="55"/>
      <c r="O402" s="55"/>
      <c r="P402" s="55"/>
      <c r="Q402" s="47"/>
      <c r="R402" s="47"/>
      <c r="S402" s="47"/>
      <c r="T402" s="47"/>
      <c r="U402" s="47"/>
      <c r="V402" s="274"/>
      <c r="W402" s="47"/>
      <c r="X402" s="257"/>
      <c r="Y402" s="102"/>
    </row>
    <row r="403" spans="1:31" ht="24.8" customHeight="1" thickBot="1" x14ac:dyDescent="0.3">
      <c r="A403" s="45"/>
      <c r="B403" s="42"/>
      <c r="C403" s="76" t="s">
        <v>203</v>
      </c>
      <c r="D403" s="84">
        <f t="shared" ref="D403:L403" si="130">IF(((D401="")*AND(D402="")),"",(D401-D402)*2)</f>
        <v>7326.24</v>
      </c>
      <c r="E403" s="84">
        <f t="shared" si="130"/>
        <v>7394.9</v>
      </c>
      <c r="F403" s="84">
        <f t="shared" si="130"/>
        <v>7440.26</v>
      </c>
      <c r="G403" s="84">
        <f t="shared" si="130"/>
        <v>7435.6799999999994</v>
      </c>
      <c r="H403" s="84">
        <f t="shared" si="130"/>
        <v>7530.7999999999993</v>
      </c>
      <c r="I403" s="84">
        <f t="shared" si="130"/>
        <v>7632.84</v>
      </c>
      <c r="J403" s="84">
        <f t="shared" si="130"/>
        <v>7437.5600000000013</v>
      </c>
      <c r="K403" s="84">
        <f t="shared" si="130"/>
        <v>7402.16</v>
      </c>
      <c r="L403" s="84">
        <f t="shared" si="130"/>
        <v>7248.88</v>
      </c>
      <c r="M403" s="84"/>
      <c r="N403" s="84"/>
      <c r="O403" s="84"/>
      <c r="P403" s="84" t="str">
        <f>IF(((P401="")*AND(P402="")),"",(P401-P402)*2)</f>
        <v/>
      </c>
      <c r="Q403" s="42"/>
      <c r="R403" s="42"/>
      <c r="S403" s="42"/>
      <c r="T403" s="42"/>
      <c r="U403" s="42"/>
      <c r="V403" s="275"/>
      <c r="W403" s="42"/>
      <c r="X403" s="257"/>
      <c r="Y403" s="101"/>
    </row>
    <row r="404" spans="1:31" ht="12.75" customHeight="1" x14ac:dyDescent="0.25">
      <c r="A404" s="90">
        <v>43096</v>
      </c>
      <c r="B404" s="57" t="s">
        <v>206</v>
      </c>
      <c r="C404" s="61" t="s">
        <v>205</v>
      </c>
      <c r="D404" s="35">
        <v>7034.81</v>
      </c>
      <c r="E404" s="35">
        <v>7140.84</v>
      </c>
      <c r="F404" s="35">
        <v>6950.29</v>
      </c>
      <c r="G404" s="35">
        <v>7013.77</v>
      </c>
      <c r="H404" s="35">
        <v>7055.06</v>
      </c>
      <c r="I404" s="35">
        <v>7066.91</v>
      </c>
      <c r="J404" s="35">
        <v>7045.48</v>
      </c>
      <c r="K404" s="35">
        <v>6945.81</v>
      </c>
      <c r="L404" s="35">
        <v>6973.05</v>
      </c>
      <c r="M404" s="35">
        <v>7042.6</v>
      </c>
      <c r="N404" s="35">
        <v>7124.8</v>
      </c>
      <c r="O404" s="35">
        <v>7016.2</v>
      </c>
      <c r="P404" s="35">
        <v>7059.76</v>
      </c>
      <c r="Q404" s="50">
        <f>IF((L405=""),"",MAX(D406:P406))</f>
        <v>5388.0199999999995</v>
      </c>
      <c r="R404" s="57">
        <f>IF(L405="","",MIN(D406:L406))</f>
        <v>5281.62</v>
      </c>
      <c r="S404" s="53">
        <f>IF((P406=""),"",AVERAGE(D406:P406))</f>
        <v>5344.5523076923082</v>
      </c>
      <c r="T404" s="53">
        <f>IF((L405=""),"",(Q404-R404)/(Q404+R404)*100)</f>
        <v>0.99722202436070606</v>
      </c>
      <c r="U404" s="57">
        <f>STDEV(D406:P406)</f>
        <v>34.366793603187617</v>
      </c>
      <c r="V404" s="276" t="str">
        <f>IF(P405="","",IF(T404&lt;2.7,IF(S404&gt;5150,IF(S404&lt;5600,"Pass","Fail"),"Fail"),"Fail"))</f>
        <v>Pass</v>
      </c>
      <c r="W404" s="57"/>
      <c r="X404" s="257"/>
      <c r="Y404" s="99"/>
      <c r="Z404" s="71">
        <v>4470</v>
      </c>
      <c r="AA404" s="71">
        <v>6020</v>
      </c>
      <c r="AB404" s="71">
        <v>5150</v>
      </c>
      <c r="AC404" s="71">
        <v>5600</v>
      </c>
      <c r="AD404" s="70">
        <v>2.7</v>
      </c>
      <c r="AE404" s="69">
        <v>10</v>
      </c>
    </row>
    <row r="405" spans="1:31" ht="12.75" customHeight="1" x14ac:dyDescent="0.25">
      <c r="A405" s="96"/>
      <c r="B405" s="47"/>
      <c r="C405" s="56" t="s">
        <v>204</v>
      </c>
      <c r="D405" s="35">
        <v>1721.78</v>
      </c>
      <c r="E405" s="35">
        <v>1796.36</v>
      </c>
      <c r="F405" s="35">
        <v>1668.67</v>
      </c>
      <c r="G405" s="35">
        <v>1691.31</v>
      </c>
      <c r="H405" s="35">
        <v>1680.04</v>
      </c>
      <c r="I405" s="35">
        <v>1678.89</v>
      </c>
      <c r="J405" s="35">
        <v>1700.45</v>
      </c>
      <c r="K405" s="35">
        <v>1583.77</v>
      </c>
      <c r="L405" s="35">
        <v>1680.86</v>
      </c>
      <c r="M405" s="35">
        <v>1658.95</v>
      </c>
      <c r="N405" s="35">
        <v>1753.72</v>
      </c>
      <c r="O405" s="35">
        <v>1682.76</v>
      </c>
      <c r="P405" s="35">
        <v>1692.64</v>
      </c>
      <c r="Q405" s="47"/>
      <c r="R405" s="47"/>
      <c r="S405" s="47"/>
      <c r="T405" s="47"/>
      <c r="U405" s="47"/>
      <c r="V405" s="274"/>
      <c r="W405" s="47"/>
      <c r="X405" s="257"/>
      <c r="Y405" s="102"/>
    </row>
    <row r="406" spans="1:31" ht="23.95" customHeight="1" x14ac:dyDescent="0.25">
      <c r="A406" s="96"/>
      <c r="B406" s="80"/>
      <c r="C406" s="56" t="s">
        <v>203</v>
      </c>
      <c r="D406" s="97">
        <f t="shared" ref="D406:P406" si="131">IF(((D404="")*AND(D405="")),"",(D404-D405))</f>
        <v>5313.0300000000007</v>
      </c>
      <c r="E406" s="97">
        <f t="shared" si="131"/>
        <v>5344.4800000000005</v>
      </c>
      <c r="F406" s="97">
        <f t="shared" si="131"/>
        <v>5281.62</v>
      </c>
      <c r="G406" s="97">
        <f t="shared" si="131"/>
        <v>5322.4600000000009</v>
      </c>
      <c r="H406" s="97">
        <f t="shared" si="131"/>
        <v>5375.02</v>
      </c>
      <c r="I406" s="97">
        <f t="shared" si="131"/>
        <v>5388.0199999999995</v>
      </c>
      <c r="J406" s="97">
        <f t="shared" si="131"/>
        <v>5345.03</v>
      </c>
      <c r="K406" s="97">
        <f t="shared" si="131"/>
        <v>5362.0400000000009</v>
      </c>
      <c r="L406" s="97">
        <f t="shared" si="131"/>
        <v>5292.1900000000005</v>
      </c>
      <c r="M406" s="97">
        <f t="shared" si="131"/>
        <v>5383.6500000000005</v>
      </c>
      <c r="N406" s="97">
        <f t="shared" si="131"/>
        <v>5371.08</v>
      </c>
      <c r="O406" s="97">
        <f t="shared" si="131"/>
        <v>5333.44</v>
      </c>
      <c r="P406" s="97">
        <f t="shared" si="131"/>
        <v>5367.12</v>
      </c>
      <c r="Q406" s="80"/>
      <c r="R406" s="80"/>
      <c r="S406" s="80"/>
      <c r="T406" s="47"/>
      <c r="U406" s="80"/>
      <c r="V406" s="277"/>
      <c r="W406" s="80"/>
      <c r="X406" s="257"/>
      <c r="Y406" s="102"/>
    </row>
    <row r="407" spans="1:31" x14ac:dyDescent="0.25">
      <c r="A407" s="90">
        <v>43096</v>
      </c>
      <c r="B407" s="50" t="s">
        <v>208</v>
      </c>
      <c r="C407" s="56" t="s">
        <v>205</v>
      </c>
      <c r="D407" s="35">
        <v>5964.69</v>
      </c>
      <c r="E407" s="35">
        <v>6012.02</v>
      </c>
      <c r="F407" s="35">
        <v>6040.63</v>
      </c>
      <c r="G407" s="35">
        <v>5998.28</v>
      </c>
      <c r="H407" s="35">
        <v>5927.56</v>
      </c>
      <c r="I407" s="35">
        <v>5942.84</v>
      </c>
      <c r="J407" s="35">
        <v>6008.51</v>
      </c>
      <c r="K407" s="35">
        <v>6025.75</v>
      </c>
      <c r="L407" s="35">
        <v>5876.08</v>
      </c>
      <c r="M407" s="55"/>
      <c r="N407" s="55"/>
      <c r="O407" s="55"/>
      <c r="P407" s="55"/>
      <c r="Q407" s="50">
        <f>IF((L408=""),"",MAX(D409:L409))</f>
        <v>7191.72</v>
      </c>
      <c r="R407" s="50">
        <f>IF(L408="","",MIN(D409:L409))</f>
        <v>6789.84</v>
      </c>
      <c r="S407" s="77">
        <f>IF((L409=""),"",AVERAGE(D409:L409))</f>
        <v>6992.4155555555562</v>
      </c>
      <c r="T407" s="52">
        <f>IF((L408=""),"",(Q407-R407)/(Q407+R407)*100)</f>
        <v>2.8743573678473648</v>
      </c>
      <c r="U407" s="50">
        <f>STDEV(D409:P409)</f>
        <v>113.64723919998151</v>
      </c>
      <c r="V407" s="273" t="str">
        <f>IF(L408="","",IF(T407&lt;9.8,IF(S407&gt;5100,IF(S407&lt;8300,"Pass","Fail"),"Fail"),"Fail"))</f>
        <v>Pass</v>
      </c>
      <c r="W407" s="47"/>
      <c r="X407" s="257"/>
      <c r="Y407" s="102"/>
      <c r="Z407" s="37">
        <v>4955</v>
      </c>
      <c r="AA407" s="37">
        <v>9645</v>
      </c>
      <c r="AB407" s="37">
        <v>5100</v>
      </c>
      <c r="AC407" s="37">
        <v>8300</v>
      </c>
      <c r="AD407" s="69">
        <v>9.8000000000000007</v>
      </c>
      <c r="AE407" s="69">
        <v>10</v>
      </c>
    </row>
    <row r="408" spans="1:31" ht="12.75" customHeight="1" x14ac:dyDescent="0.25">
      <c r="A408" s="49"/>
      <c r="B408" s="47"/>
      <c r="C408" s="56" t="s">
        <v>204</v>
      </c>
      <c r="D408" s="35">
        <v>2493.64</v>
      </c>
      <c r="E408" s="35">
        <v>2528.4699999999998</v>
      </c>
      <c r="F408" s="35">
        <v>2512.85</v>
      </c>
      <c r="G408" s="35">
        <v>2501.8200000000002</v>
      </c>
      <c r="H408" s="35">
        <v>2389.91</v>
      </c>
      <c r="I408" s="35">
        <v>2346.98</v>
      </c>
      <c r="J408" s="35">
        <v>2501.2600000000002</v>
      </c>
      <c r="K408" s="35">
        <v>2574.4</v>
      </c>
      <c r="L408" s="35">
        <v>2481.16</v>
      </c>
      <c r="M408" s="55"/>
      <c r="N408" s="55"/>
      <c r="O408" s="55"/>
      <c r="P408" s="55"/>
      <c r="Q408" s="47"/>
      <c r="R408" s="47"/>
      <c r="S408" s="47"/>
      <c r="T408" s="47"/>
      <c r="U408" s="47"/>
      <c r="V408" s="274"/>
      <c r="W408" s="47"/>
      <c r="X408" s="257"/>
      <c r="Y408" s="102"/>
    </row>
    <row r="409" spans="1:31" ht="24.8" customHeight="1" thickBot="1" x14ac:dyDescent="0.3">
      <c r="A409" s="45"/>
      <c r="B409" s="42"/>
      <c r="C409" s="76" t="s">
        <v>203</v>
      </c>
      <c r="D409" s="84">
        <f t="shared" ref="D409:L409" si="132">IF(((D407="")*AND(D408="")),"",(D407-D408)*2)</f>
        <v>6942.0999999999995</v>
      </c>
      <c r="E409" s="84">
        <f t="shared" si="132"/>
        <v>6967.1000000000013</v>
      </c>
      <c r="F409" s="84">
        <f t="shared" si="132"/>
        <v>7055.56</v>
      </c>
      <c r="G409" s="84">
        <f t="shared" si="132"/>
        <v>6992.9199999999992</v>
      </c>
      <c r="H409" s="84">
        <f t="shared" si="132"/>
        <v>7075.3000000000011</v>
      </c>
      <c r="I409" s="84">
        <f t="shared" si="132"/>
        <v>7191.72</v>
      </c>
      <c r="J409" s="84">
        <f t="shared" si="132"/>
        <v>7014.5</v>
      </c>
      <c r="K409" s="84">
        <f t="shared" si="132"/>
        <v>6902.7</v>
      </c>
      <c r="L409" s="84">
        <f t="shared" si="132"/>
        <v>6789.84</v>
      </c>
      <c r="M409" s="84"/>
      <c r="N409" s="84"/>
      <c r="O409" s="84"/>
      <c r="P409" s="84" t="str">
        <f>IF(((P407="")*AND(P408="")),"",(P407-P408)*2)</f>
        <v/>
      </c>
      <c r="Q409" s="42"/>
      <c r="R409" s="42"/>
      <c r="S409" s="42"/>
      <c r="T409" s="42"/>
      <c r="U409" s="42"/>
      <c r="V409" s="275"/>
      <c r="W409" s="42"/>
      <c r="X409" s="257"/>
      <c r="Y409" s="101"/>
    </row>
    <row r="410" spans="1:31" ht="12.75" customHeight="1" x14ac:dyDescent="0.25">
      <c r="A410" s="90">
        <v>43100</v>
      </c>
      <c r="B410" s="57" t="s">
        <v>206</v>
      </c>
      <c r="C410" s="61" t="s">
        <v>205</v>
      </c>
      <c r="D410" s="35">
        <v>6937.37</v>
      </c>
      <c r="E410" s="35">
        <v>7049.06</v>
      </c>
      <c r="F410" s="35">
        <v>6864.38</v>
      </c>
      <c r="G410" s="35">
        <v>6940.13</v>
      </c>
      <c r="H410" s="35">
        <v>6942.95</v>
      </c>
      <c r="I410" s="35">
        <v>6972.49</v>
      </c>
      <c r="J410" s="35">
        <v>6971.31</v>
      </c>
      <c r="K410" s="35">
        <v>6883.56</v>
      </c>
      <c r="L410" s="35">
        <v>6888.48</v>
      </c>
      <c r="M410" s="35">
        <v>6965.26</v>
      </c>
      <c r="N410" s="35">
        <v>7030.09</v>
      </c>
      <c r="O410" s="35">
        <v>6929.51</v>
      </c>
      <c r="P410" s="35">
        <v>6951.18</v>
      </c>
      <c r="Q410" s="50">
        <f>IF((L411=""),"",MAX(D412:P412))</f>
        <v>5351.89</v>
      </c>
      <c r="R410" s="57">
        <f>IF(L411="","",MIN(D412:L412))</f>
        <v>5254.58</v>
      </c>
      <c r="S410" s="53">
        <f>IF((P412=""),"",AVERAGE(D412:P412))</f>
        <v>5314.457692307692</v>
      </c>
      <c r="T410" s="53">
        <f>IF((L411=""),"",(Q410-R410)/(Q410+R410)*100)</f>
        <v>0.91745887180183783</v>
      </c>
      <c r="U410" s="57">
        <f>STDEV(D412:P412)</f>
        <v>33.32800552934598</v>
      </c>
      <c r="V410" s="276" t="str">
        <f>IF(P411="","",IF(T410&lt;2.7,IF(S410&gt;5150,IF(S410&lt;5600,"Pass","Fail"),"Fail"),"Fail"))</f>
        <v>Pass</v>
      </c>
      <c r="W410" s="57"/>
      <c r="X410" s="257"/>
      <c r="Y410" s="99"/>
      <c r="Z410" s="71">
        <v>4470</v>
      </c>
      <c r="AA410" s="71">
        <v>6020</v>
      </c>
      <c r="AB410" s="71">
        <v>5150</v>
      </c>
      <c r="AC410" s="71">
        <v>5600</v>
      </c>
      <c r="AD410" s="70">
        <v>2.7</v>
      </c>
      <c r="AE410" s="69">
        <v>10</v>
      </c>
    </row>
    <row r="411" spans="1:31" ht="12.75" customHeight="1" x14ac:dyDescent="0.25">
      <c r="A411" s="96"/>
      <c r="B411" s="47"/>
      <c r="C411" s="56" t="s">
        <v>204</v>
      </c>
      <c r="D411" s="35">
        <v>1656.76</v>
      </c>
      <c r="E411" s="35">
        <v>1733.4</v>
      </c>
      <c r="F411" s="35">
        <v>1609.8</v>
      </c>
      <c r="G411" s="35">
        <v>1648.64</v>
      </c>
      <c r="H411" s="35">
        <v>1601.59</v>
      </c>
      <c r="I411" s="35">
        <v>1621.65</v>
      </c>
      <c r="J411" s="35">
        <v>1664.94</v>
      </c>
      <c r="K411" s="35">
        <v>1531.67</v>
      </c>
      <c r="L411" s="35">
        <v>1621.89</v>
      </c>
      <c r="M411" s="35">
        <v>1620.09</v>
      </c>
      <c r="N411" s="35">
        <v>1683.4</v>
      </c>
      <c r="O411" s="35">
        <v>1622.37</v>
      </c>
      <c r="P411" s="35">
        <v>1621.62</v>
      </c>
      <c r="Q411" s="47"/>
      <c r="R411" s="47"/>
      <c r="S411" s="47"/>
      <c r="T411" s="47"/>
      <c r="U411" s="47"/>
      <c r="V411" s="274"/>
      <c r="W411" s="47"/>
      <c r="X411" s="257"/>
      <c r="Y411" s="102"/>
    </row>
    <row r="412" spans="1:31" ht="23.95" customHeight="1" x14ac:dyDescent="0.25">
      <c r="A412" s="96"/>
      <c r="B412" s="80"/>
      <c r="C412" s="56" t="s">
        <v>203</v>
      </c>
      <c r="D412" s="97">
        <f t="shared" ref="D412:P412" si="133">IF(((D410="")*AND(D411="")),"",(D410-D411))</f>
        <v>5280.61</v>
      </c>
      <c r="E412" s="97">
        <f t="shared" si="133"/>
        <v>5315.66</v>
      </c>
      <c r="F412" s="97">
        <f t="shared" si="133"/>
        <v>5254.58</v>
      </c>
      <c r="G412" s="97">
        <f t="shared" si="133"/>
        <v>5291.49</v>
      </c>
      <c r="H412" s="97">
        <f t="shared" si="133"/>
        <v>5341.36</v>
      </c>
      <c r="I412" s="97">
        <f t="shared" si="133"/>
        <v>5350.84</v>
      </c>
      <c r="J412" s="97">
        <f t="shared" si="133"/>
        <v>5306.3700000000008</v>
      </c>
      <c r="K412" s="97">
        <f t="shared" si="133"/>
        <v>5351.89</v>
      </c>
      <c r="L412" s="97">
        <f t="shared" si="133"/>
        <v>5266.5899999999992</v>
      </c>
      <c r="M412" s="97">
        <f t="shared" si="133"/>
        <v>5345.17</v>
      </c>
      <c r="N412" s="97">
        <f t="shared" si="133"/>
        <v>5346.6900000000005</v>
      </c>
      <c r="O412" s="97">
        <f t="shared" si="133"/>
        <v>5307.14</v>
      </c>
      <c r="P412" s="97">
        <f t="shared" si="133"/>
        <v>5329.56</v>
      </c>
      <c r="Q412" s="80"/>
      <c r="R412" s="80"/>
      <c r="S412" s="80"/>
      <c r="T412" s="47"/>
      <c r="U412" s="80"/>
      <c r="V412" s="277"/>
      <c r="W412" s="80"/>
      <c r="X412" s="257"/>
      <c r="Y412" s="102"/>
    </row>
    <row r="413" spans="1:31" x14ac:dyDescent="0.25">
      <c r="A413" s="90">
        <v>43100</v>
      </c>
      <c r="B413" s="50" t="s">
        <v>208</v>
      </c>
      <c r="C413" s="56" t="s">
        <v>205</v>
      </c>
      <c r="D413" s="35">
        <v>5964.69</v>
      </c>
      <c r="E413" s="35">
        <v>6018.39</v>
      </c>
      <c r="F413" s="35">
        <v>6041.73</v>
      </c>
      <c r="G413" s="35">
        <v>5995.82</v>
      </c>
      <c r="H413" s="35">
        <v>5930.28</v>
      </c>
      <c r="I413" s="35">
        <v>5980.29</v>
      </c>
      <c r="J413" s="35">
        <v>6009.31</v>
      </c>
      <c r="K413" s="35">
        <v>6038.14</v>
      </c>
      <c r="L413" s="35">
        <v>5887.56</v>
      </c>
      <c r="M413" s="55"/>
      <c r="N413" s="55"/>
      <c r="O413" s="55"/>
      <c r="P413" s="55"/>
      <c r="Q413" s="50">
        <f>IF((L414=""),"",MAX(D415:L415))</f>
        <v>7499.58</v>
      </c>
      <c r="R413" s="50">
        <f>IF(L414="","",MIN(D415:L415))</f>
        <v>7055.4800000000005</v>
      </c>
      <c r="S413" s="77">
        <f>IF((L415=""),"",AVERAGE(D415:L415))</f>
        <v>7226.2488888888893</v>
      </c>
      <c r="T413" s="52">
        <f>IF((L414=""),"",(Q413-R413)/(Q413+R413)*100)</f>
        <v>3.0511725819062194</v>
      </c>
      <c r="U413" s="50">
        <f>STDEV(D415:P415)</f>
        <v>125.53074169744664</v>
      </c>
      <c r="V413" s="273" t="str">
        <f>IF(L414="","",IF(T413&lt;9.8,IF(S413&gt;5100,IF(S413&lt;8300,"Pass","Fail"),"Fail"),"Fail"))</f>
        <v>Pass</v>
      </c>
      <c r="W413" s="47"/>
      <c r="X413" s="257"/>
      <c r="Y413" s="102"/>
      <c r="Z413" s="37">
        <v>4955</v>
      </c>
      <c r="AA413" s="37">
        <v>9645</v>
      </c>
      <c r="AB413" s="37">
        <v>5100</v>
      </c>
      <c r="AC413" s="37">
        <v>8300</v>
      </c>
      <c r="AD413" s="69">
        <v>9.8000000000000007</v>
      </c>
      <c r="AE413" s="69">
        <v>10</v>
      </c>
    </row>
    <row r="414" spans="1:31" ht="12.75" customHeight="1" x14ac:dyDescent="0.25">
      <c r="A414" s="49"/>
      <c r="B414" s="47"/>
      <c r="C414" s="56" t="s">
        <v>204</v>
      </c>
      <c r="D414" s="35">
        <v>2392.65</v>
      </c>
      <c r="E414" s="35">
        <v>2426.52</v>
      </c>
      <c r="F414" s="35">
        <v>2431.7600000000002</v>
      </c>
      <c r="G414" s="35">
        <v>2389.52</v>
      </c>
      <c r="H414" s="35">
        <v>2265.38</v>
      </c>
      <c r="I414" s="35">
        <v>2230.5</v>
      </c>
      <c r="J414" s="35">
        <v>2401.59</v>
      </c>
      <c r="K414" s="35">
        <v>2450.35</v>
      </c>
      <c r="L414" s="35">
        <v>2359.8200000000002</v>
      </c>
      <c r="M414" s="55"/>
      <c r="N414" s="55"/>
      <c r="O414" s="55"/>
      <c r="P414" s="55"/>
      <c r="Q414" s="47"/>
      <c r="R414" s="47"/>
      <c r="S414" s="47"/>
      <c r="T414" s="47"/>
      <c r="U414" s="47"/>
      <c r="V414" s="274"/>
      <c r="W414" s="47"/>
      <c r="X414" s="257"/>
      <c r="Y414" s="102"/>
    </row>
    <row r="415" spans="1:31" ht="24.8" customHeight="1" thickBot="1" x14ac:dyDescent="0.3">
      <c r="A415" s="45"/>
      <c r="B415" s="42"/>
      <c r="C415" s="76" t="s">
        <v>203</v>
      </c>
      <c r="D415" s="84">
        <f t="shared" ref="D415:L415" si="134">IF(((D413="")*AND(D414="")),"",(D413-D414)*2)</f>
        <v>7144.079999999999</v>
      </c>
      <c r="E415" s="84">
        <f t="shared" si="134"/>
        <v>7183.7400000000007</v>
      </c>
      <c r="F415" s="84">
        <f t="shared" si="134"/>
        <v>7219.9399999999987</v>
      </c>
      <c r="G415" s="84">
        <f t="shared" si="134"/>
        <v>7212.5999999999995</v>
      </c>
      <c r="H415" s="84">
        <f t="shared" si="134"/>
        <v>7329.7999999999993</v>
      </c>
      <c r="I415" s="84">
        <f t="shared" si="134"/>
        <v>7499.58</v>
      </c>
      <c r="J415" s="84">
        <f t="shared" si="134"/>
        <v>7215.4400000000005</v>
      </c>
      <c r="K415" s="84">
        <f t="shared" si="134"/>
        <v>7175.5800000000008</v>
      </c>
      <c r="L415" s="84">
        <f t="shared" si="134"/>
        <v>7055.4800000000005</v>
      </c>
      <c r="M415" s="84"/>
      <c r="N415" s="84"/>
      <c r="O415" s="84"/>
      <c r="P415" s="84" t="str">
        <f>IF(((P413="")*AND(P414="")),"",(P413-P414)*2)</f>
        <v/>
      </c>
      <c r="Q415" s="42"/>
      <c r="R415" s="42"/>
      <c r="S415" s="42"/>
      <c r="T415" s="42"/>
      <c r="U415" s="42"/>
      <c r="V415" s="275"/>
      <c r="W415" s="42"/>
      <c r="X415" s="257"/>
      <c r="Y415" s="101"/>
    </row>
    <row r="416" spans="1:31" ht="12.75" customHeight="1" x14ac:dyDescent="0.25">
      <c r="A416" s="96">
        <v>43105</v>
      </c>
      <c r="B416" s="57" t="s">
        <v>206</v>
      </c>
      <c r="C416" s="61" t="s">
        <v>205</v>
      </c>
      <c r="D416" s="35">
        <v>6904.68</v>
      </c>
      <c r="E416" s="35">
        <v>7018.6</v>
      </c>
      <c r="F416" s="35">
        <v>6817.37</v>
      </c>
      <c r="G416" s="35">
        <v>6882.13</v>
      </c>
      <c r="H416" s="35">
        <v>6927.97</v>
      </c>
      <c r="I416" s="35">
        <v>6939.23</v>
      </c>
      <c r="J416" s="35">
        <v>6909.38</v>
      </c>
      <c r="K416" s="35">
        <v>6819.54</v>
      </c>
      <c r="L416" s="35">
        <v>6836.31</v>
      </c>
      <c r="M416" s="35">
        <v>6907.36</v>
      </c>
      <c r="N416" s="35">
        <v>7006.3</v>
      </c>
      <c r="O416" s="35">
        <v>6883.16</v>
      </c>
      <c r="P416" s="35">
        <v>6929.43</v>
      </c>
      <c r="Q416" s="50">
        <f>IF((L417=""),"",MAX(D418:P418))</f>
        <v>5391.57</v>
      </c>
      <c r="R416" s="57">
        <f>IF(L417="","",MIN(D418:L418))</f>
        <v>5287.33</v>
      </c>
      <c r="S416" s="53">
        <f>IF((P418=""),"",AVERAGE(D418:P418))</f>
        <v>5346.7238461538454</v>
      </c>
      <c r="T416" s="53">
        <f>IF((L417=""),"",(Q416-R416)/(Q416+R416)*100)</f>
        <v>0.97613050033242921</v>
      </c>
      <c r="U416" s="57">
        <f>STDEV(D418:P418)</f>
        <v>33.455323826077048</v>
      </c>
      <c r="V416" s="276" t="str">
        <f>IF(P417="","",IF(T416&lt;2.7,IF(S416&gt;5150,IF(S416&lt;5600,"Pass","Fail"),"Fail"),"Fail"))</f>
        <v>Pass</v>
      </c>
      <c r="W416" s="57">
        <v>1335</v>
      </c>
      <c r="X416" s="257"/>
      <c r="Y416" s="99"/>
      <c r="Z416" s="71">
        <v>4470</v>
      </c>
      <c r="AA416" s="71">
        <v>6020</v>
      </c>
      <c r="AB416" s="71">
        <v>5150</v>
      </c>
      <c r="AC416" s="71">
        <v>5600</v>
      </c>
      <c r="AD416" s="70">
        <v>2.7</v>
      </c>
      <c r="AE416" s="69">
        <v>10</v>
      </c>
    </row>
    <row r="417" spans="1:31" ht="12.75" customHeight="1" x14ac:dyDescent="0.25">
      <c r="A417" s="90"/>
      <c r="B417" s="47"/>
      <c r="C417" s="56" t="s">
        <v>204</v>
      </c>
      <c r="D417" s="35">
        <v>1598.25</v>
      </c>
      <c r="E417" s="35">
        <v>1677.51</v>
      </c>
      <c r="F417" s="35">
        <v>1530.04</v>
      </c>
      <c r="G417" s="35">
        <v>1552.66</v>
      </c>
      <c r="H417" s="35">
        <v>1567.22</v>
      </c>
      <c r="I417" s="35">
        <v>1557.18</v>
      </c>
      <c r="J417" s="35">
        <v>1565</v>
      </c>
      <c r="K417" s="35">
        <v>1427.97</v>
      </c>
      <c r="L417" s="35">
        <v>1536</v>
      </c>
      <c r="M417" s="35">
        <v>1527.41</v>
      </c>
      <c r="N417" s="35">
        <v>1629.4</v>
      </c>
      <c r="O417" s="35">
        <v>1540.2</v>
      </c>
      <c r="P417" s="35">
        <v>1565.21</v>
      </c>
      <c r="Q417" s="47"/>
      <c r="R417" s="47"/>
      <c r="S417" s="47"/>
      <c r="T417" s="47"/>
      <c r="U417" s="47"/>
      <c r="V417" s="274"/>
      <c r="W417" s="47"/>
      <c r="X417" s="257"/>
      <c r="Y417" s="102"/>
    </row>
    <row r="418" spans="1:31" ht="23.95" customHeight="1" x14ac:dyDescent="0.25">
      <c r="A418" s="96"/>
      <c r="B418" s="80"/>
      <c r="C418" s="56" t="s">
        <v>203</v>
      </c>
      <c r="D418" s="97">
        <f t="shared" ref="D418:P418" si="135">IF(((D416="")*AND(D417="")),"",(D416-D417))</f>
        <v>5306.43</v>
      </c>
      <c r="E418" s="97">
        <f t="shared" si="135"/>
        <v>5341.09</v>
      </c>
      <c r="F418" s="97">
        <f t="shared" si="135"/>
        <v>5287.33</v>
      </c>
      <c r="G418" s="97">
        <f t="shared" si="135"/>
        <v>5329.47</v>
      </c>
      <c r="H418" s="97">
        <f t="shared" si="135"/>
        <v>5360.75</v>
      </c>
      <c r="I418" s="97">
        <f t="shared" si="135"/>
        <v>5382.0499999999993</v>
      </c>
      <c r="J418" s="97">
        <f t="shared" si="135"/>
        <v>5344.38</v>
      </c>
      <c r="K418" s="97">
        <f t="shared" si="135"/>
        <v>5391.57</v>
      </c>
      <c r="L418" s="97">
        <f t="shared" si="135"/>
        <v>5300.31</v>
      </c>
      <c r="M418" s="97">
        <f t="shared" si="135"/>
        <v>5379.95</v>
      </c>
      <c r="N418" s="97">
        <f t="shared" si="135"/>
        <v>5376.9</v>
      </c>
      <c r="O418" s="97">
        <f t="shared" si="135"/>
        <v>5342.96</v>
      </c>
      <c r="P418" s="97">
        <f t="shared" si="135"/>
        <v>5364.22</v>
      </c>
      <c r="Q418" s="80"/>
      <c r="R418" s="80"/>
      <c r="S418" s="80"/>
      <c r="T418" s="47"/>
      <c r="U418" s="80"/>
      <c r="V418" s="277"/>
      <c r="W418" s="80"/>
      <c r="X418" s="257"/>
      <c r="Y418" s="102"/>
    </row>
    <row r="419" spans="1:31" x14ac:dyDescent="0.25">
      <c r="A419" s="96">
        <v>43105</v>
      </c>
      <c r="B419" s="50" t="s">
        <v>208</v>
      </c>
      <c r="C419" s="56" t="s">
        <v>205</v>
      </c>
      <c r="D419" s="35">
        <v>5871.28</v>
      </c>
      <c r="E419" s="35">
        <v>5986.31</v>
      </c>
      <c r="F419" s="35">
        <v>6027.43</v>
      </c>
      <c r="G419" s="35">
        <v>5975.47</v>
      </c>
      <c r="H419" s="35">
        <v>5800.84</v>
      </c>
      <c r="I419" s="35">
        <v>5826.36</v>
      </c>
      <c r="J419" s="35">
        <v>6000.38</v>
      </c>
      <c r="K419" s="35">
        <v>6017.32</v>
      </c>
      <c r="L419" s="35">
        <v>5902.69</v>
      </c>
      <c r="M419" s="55"/>
      <c r="N419" s="55"/>
      <c r="O419" s="55"/>
      <c r="P419" s="55"/>
      <c r="Q419" s="50">
        <f>IF((L420=""),"",MAX(D421:L421))</f>
        <v>6902.38</v>
      </c>
      <c r="R419" s="50">
        <f>IF(L420="","",MIN(D421:L421))</f>
        <v>6760.619999999999</v>
      </c>
      <c r="S419" s="77">
        <f>IF((L421=""),"",AVERAGE(D421:L421))</f>
        <v>6842.2133333333322</v>
      </c>
      <c r="T419" s="52">
        <f>IF((L420=""),"",(Q419-R419)/(Q419+R419)*100)</f>
        <v>1.0375466588597024</v>
      </c>
      <c r="U419" s="50">
        <f>STDEV(D421:P421)</f>
        <v>50.106346903361818</v>
      </c>
      <c r="V419" s="273" t="str">
        <f>IF(L420="","",IF(T419&lt;9.8,IF(S419&gt;5100,IF(S419&lt;8300,"Pass","Fail"),"Fail"),"Fail"))</f>
        <v>Pass</v>
      </c>
      <c r="W419" s="47">
        <v>1335</v>
      </c>
      <c r="X419" s="257"/>
      <c r="Y419" s="102"/>
      <c r="Z419" s="37">
        <v>4955</v>
      </c>
      <c r="AA419" s="37">
        <v>9645</v>
      </c>
      <c r="AB419" s="37">
        <v>5100</v>
      </c>
      <c r="AC419" s="37">
        <v>8300</v>
      </c>
      <c r="AD419" s="69">
        <v>9.8000000000000007</v>
      </c>
      <c r="AE419" s="69">
        <v>10</v>
      </c>
    </row>
    <row r="420" spans="1:31" ht="12.75" customHeight="1" x14ac:dyDescent="0.25">
      <c r="A420" s="90"/>
      <c r="B420" s="47"/>
      <c r="C420" s="56" t="s">
        <v>204</v>
      </c>
      <c r="D420" s="35">
        <v>2448.67</v>
      </c>
      <c r="E420" s="35">
        <v>2560.9899999999998</v>
      </c>
      <c r="F420" s="35">
        <v>2622.84</v>
      </c>
      <c r="G420" s="35">
        <v>2524.2800000000002</v>
      </c>
      <c r="H420" s="35">
        <v>2367.08</v>
      </c>
      <c r="I420" s="35">
        <v>2384.7399999999998</v>
      </c>
      <c r="J420" s="35">
        <v>2557.62</v>
      </c>
      <c r="K420" s="35">
        <v>2637.01</v>
      </c>
      <c r="L420" s="35">
        <v>2514.89</v>
      </c>
      <c r="M420" s="55"/>
      <c r="N420" s="55"/>
      <c r="O420" s="55"/>
      <c r="P420" s="55"/>
      <c r="Q420" s="47"/>
      <c r="R420" s="47"/>
      <c r="S420" s="47"/>
      <c r="T420" s="47"/>
      <c r="U420" s="47"/>
      <c r="V420" s="274"/>
      <c r="W420" s="47"/>
      <c r="X420" s="257"/>
      <c r="Y420" s="102"/>
    </row>
    <row r="421" spans="1:31" ht="24.8" customHeight="1" thickBot="1" x14ac:dyDescent="0.3">
      <c r="A421" s="45"/>
      <c r="B421" s="42"/>
      <c r="C421" s="76" t="s">
        <v>203</v>
      </c>
      <c r="D421" s="84">
        <f t="shared" ref="D421:L421" si="136">IF(((D419="")*AND(D420="")),"",(D419-D420)*2)</f>
        <v>6845.2199999999993</v>
      </c>
      <c r="E421" s="84">
        <f t="shared" si="136"/>
        <v>6850.6400000000012</v>
      </c>
      <c r="F421" s="84">
        <f t="shared" si="136"/>
        <v>6809.18</v>
      </c>
      <c r="G421" s="84">
        <f t="shared" si="136"/>
        <v>6902.38</v>
      </c>
      <c r="H421" s="84">
        <f t="shared" si="136"/>
        <v>6867.52</v>
      </c>
      <c r="I421" s="84">
        <f t="shared" si="136"/>
        <v>6883.24</v>
      </c>
      <c r="J421" s="84">
        <f t="shared" si="136"/>
        <v>6885.52</v>
      </c>
      <c r="K421" s="84">
        <f t="shared" si="136"/>
        <v>6760.619999999999</v>
      </c>
      <c r="L421" s="84">
        <f t="shared" si="136"/>
        <v>6775.5999999999995</v>
      </c>
      <c r="M421" s="84"/>
      <c r="N421" s="84"/>
      <c r="O421" s="84"/>
      <c r="P421" s="84" t="str">
        <f>IF(((P419="")*AND(P420="")),"",(P419-P420)*2)</f>
        <v/>
      </c>
      <c r="Q421" s="42"/>
      <c r="R421" s="42"/>
      <c r="S421" s="42"/>
      <c r="T421" s="42"/>
      <c r="U421" s="42"/>
      <c r="V421" s="275"/>
      <c r="W421" s="42"/>
      <c r="X421" s="257"/>
      <c r="Y421" s="101"/>
    </row>
    <row r="422" spans="1:31" ht="12.75" customHeight="1" x14ac:dyDescent="0.25">
      <c r="A422" s="96">
        <v>43108</v>
      </c>
      <c r="B422" s="57" t="s">
        <v>206</v>
      </c>
      <c r="C422" s="61" t="s">
        <v>205</v>
      </c>
      <c r="D422" s="35">
        <v>6714.42</v>
      </c>
      <c r="E422" s="35">
        <v>6855.19</v>
      </c>
      <c r="F422" s="35">
        <v>6642.44</v>
      </c>
      <c r="G422" s="35">
        <v>6705.39</v>
      </c>
      <c r="H422" s="35">
        <v>6765.05</v>
      </c>
      <c r="I422" s="35">
        <v>6752.76</v>
      </c>
      <c r="J422" s="35">
        <v>6764.4</v>
      </c>
      <c r="K422" s="35">
        <v>6696.2</v>
      </c>
      <c r="L422" s="35">
        <v>6733.53</v>
      </c>
      <c r="M422" s="35">
        <v>6818</v>
      </c>
      <c r="N422" s="35">
        <v>6893.43</v>
      </c>
      <c r="O422" s="35">
        <v>6813.8</v>
      </c>
      <c r="P422" s="35">
        <v>6874.98</v>
      </c>
      <c r="Q422" s="50">
        <f>IF((L423=""),"",MAX(D424:P424))</f>
        <v>5344.74</v>
      </c>
      <c r="R422" s="57">
        <f>IF(L423="","",MIN(D424:L424))</f>
        <v>5220.58</v>
      </c>
      <c r="S422" s="53">
        <f>IF((P424=""),"",AVERAGE(D424:P424))</f>
        <v>5283.3376923076921</v>
      </c>
      <c r="T422" s="53">
        <f>IF((L423=""),"",(Q422-R422)/(Q422+R422)*100)</f>
        <v>1.175165541602146</v>
      </c>
      <c r="U422" s="57">
        <f>STDEV(D424:P424)</f>
        <v>44.846800732019041</v>
      </c>
      <c r="V422" s="276" t="str">
        <f>IF(P423="","",IF(T422&lt;2.7,IF(S422&gt;5150,IF(S422&lt;5600,"Pass","Fail"),"Fail"),"Fail"))</f>
        <v>Pass</v>
      </c>
      <c r="W422" s="57">
        <v>1335</v>
      </c>
      <c r="X422" s="257"/>
      <c r="Y422" s="99"/>
      <c r="Z422" s="71">
        <v>4470</v>
      </c>
      <c r="AA422" s="71">
        <v>6020</v>
      </c>
      <c r="AB422" s="71">
        <v>5150</v>
      </c>
      <c r="AC422" s="71">
        <v>5600</v>
      </c>
      <c r="AD422" s="70">
        <v>2.7</v>
      </c>
      <c r="AE422" s="69">
        <v>10</v>
      </c>
    </row>
    <row r="423" spans="1:31" ht="12.75" customHeight="1" x14ac:dyDescent="0.25">
      <c r="A423" s="96"/>
      <c r="B423" s="47"/>
      <c r="C423" s="56" t="s">
        <v>204</v>
      </c>
      <c r="D423" s="35">
        <v>1492.61</v>
      </c>
      <c r="E423" s="35">
        <v>1608.24</v>
      </c>
      <c r="F423" s="35">
        <v>1421.86</v>
      </c>
      <c r="G423" s="35">
        <v>1360.65</v>
      </c>
      <c r="H423" s="35">
        <v>1493.44</v>
      </c>
      <c r="I423" s="35">
        <v>1436.44</v>
      </c>
      <c r="J423" s="35">
        <v>1429.31</v>
      </c>
      <c r="K423" s="35">
        <v>1357.93</v>
      </c>
      <c r="L423" s="35">
        <v>1503.49</v>
      </c>
      <c r="M423" s="35">
        <v>1496.89</v>
      </c>
      <c r="N423" s="35">
        <v>1612.54</v>
      </c>
      <c r="O423" s="35">
        <v>1541.49</v>
      </c>
      <c r="P423" s="35">
        <v>1591.31</v>
      </c>
      <c r="Q423" s="47"/>
      <c r="R423" s="47"/>
      <c r="S423" s="47"/>
      <c r="T423" s="47"/>
      <c r="U423" s="47"/>
      <c r="V423" s="274"/>
      <c r="W423" s="47"/>
      <c r="X423" s="257"/>
      <c r="Y423" s="102"/>
    </row>
    <row r="424" spans="1:31" ht="23.95" customHeight="1" x14ac:dyDescent="0.25">
      <c r="A424" s="96"/>
      <c r="B424" s="80"/>
      <c r="C424" s="56" t="s">
        <v>203</v>
      </c>
      <c r="D424" s="97">
        <f t="shared" ref="D424:P424" si="137">IF(((D422="")*AND(D423="")),"",(D422-D423))</f>
        <v>5221.8100000000004</v>
      </c>
      <c r="E424" s="97">
        <f t="shared" si="137"/>
        <v>5246.95</v>
      </c>
      <c r="F424" s="97">
        <f t="shared" si="137"/>
        <v>5220.58</v>
      </c>
      <c r="G424" s="97">
        <f t="shared" si="137"/>
        <v>5344.74</v>
      </c>
      <c r="H424" s="97">
        <f t="shared" si="137"/>
        <v>5271.6100000000006</v>
      </c>
      <c r="I424" s="97">
        <f t="shared" si="137"/>
        <v>5316.32</v>
      </c>
      <c r="J424" s="97">
        <f t="shared" si="137"/>
        <v>5335.09</v>
      </c>
      <c r="K424" s="97">
        <f t="shared" si="137"/>
        <v>5338.2699999999995</v>
      </c>
      <c r="L424" s="97">
        <f t="shared" si="137"/>
        <v>5230.04</v>
      </c>
      <c r="M424" s="97">
        <f t="shared" si="137"/>
        <v>5321.11</v>
      </c>
      <c r="N424" s="97">
        <f t="shared" si="137"/>
        <v>5280.89</v>
      </c>
      <c r="O424" s="97">
        <f t="shared" si="137"/>
        <v>5272.31</v>
      </c>
      <c r="P424" s="97">
        <f t="shared" si="137"/>
        <v>5283.67</v>
      </c>
      <c r="Q424" s="80"/>
      <c r="R424" s="80"/>
      <c r="S424" s="80"/>
      <c r="T424" s="47"/>
      <c r="U424" s="80"/>
      <c r="V424" s="277"/>
      <c r="W424" s="80"/>
      <c r="X424" s="257"/>
      <c r="Y424" s="102"/>
    </row>
    <row r="425" spans="1:31" x14ac:dyDescent="0.25">
      <c r="A425" s="96">
        <v>43108</v>
      </c>
      <c r="B425" s="50" t="s">
        <v>208</v>
      </c>
      <c r="C425" s="56" t="s">
        <v>205</v>
      </c>
      <c r="D425" s="35">
        <v>5805.2</v>
      </c>
      <c r="E425" s="35">
        <v>5989.59</v>
      </c>
      <c r="F425" s="35">
        <v>6019.04</v>
      </c>
      <c r="G425" s="35">
        <v>5976.25</v>
      </c>
      <c r="H425" s="35">
        <v>5710.36</v>
      </c>
      <c r="I425" s="35">
        <v>5771.39</v>
      </c>
      <c r="J425" s="35">
        <v>5993.43</v>
      </c>
      <c r="K425" s="35">
        <v>6011.63</v>
      </c>
      <c r="L425" s="35">
        <v>5880.21</v>
      </c>
      <c r="M425" s="55"/>
      <c r="N425" s="55"/>
      <c r="O425" s="55"/>
      <c r="P425" s="55"/>
      <c r="Q425" s="50">
        <f>IF((L426=""),"",MAX(D427:L427))</f>
        <v>6896.1</v>
      </c>
      <c r="R425" s="50">
        <f>IF(L426="","",MIN(D427:L427))</f>
        <v>6761.64</v>
      </c>
      <c r="S425" s="77">
        <f>IF((L427=""),"",AVERAGE(D427:L427))</f>
        <v>6840.5777777777776</v>
      </c>
      <c r="T425" s="52">
        <f>IF((L426=""),"",(Q425-R425)/(Q425+R425)*100)</f>
        <v>0.98449670296842684</v>
      </c>
      <c r="U425" s="50">
        <f>STDEV(D427:P427)</f>
        <v>52.25485952946817</v>
      </c>
      <c r="V425" s="273" t="str">
        <f>IF(L426="","",IF(T425&lt;9.8,IF(S425&gt;5100,IF(S425&lt;8300,"Pass","Fail"),"Fail"),"Fail"))</f>
        <v>Pass</v>
      </c>
      <c r="W425" s="47">
        <v>1335</v>
      </c>
      <c r="X425" s="257"/>
      <c r="Y425" s="102"/>
      <c r="Z425" s="37">
        <v>4955</v>
      </c>
      <c r="AA425" s="37">
        <v>9645</v>
      </c>
      <c r="AB425" s="37">
        <v>5100</v>
      </c>
      <c r="AC425" s="37">
        <v>8300</v>
      </c>
      <c r="AD425" s="69">
        <v>9.8000000000000007</v>
      </c>
      <c r="AE425" s="69">
        <v>10</v>
      </c>
    </row>
    <row r="426" spans="1:31" ht="12.75" customHeight="1" x14ac:dyDescent="0.25">
      <c r="A426" s="49"/>
      <c r="B426" s="47"/>
      <c r="C426" s="56" t="s">
        <v>204</v>
      </c>
      <c r="D426" s="35">
        <v>2385.83</v>
      </c>
      <c r="E426" s="35">
        <v>2541.54</v>
      </c>
      <c r="F426" s="35">
        <v>2622.71</v>
      </c>
      <c r="G426" s="35">
        <v>2528.7600000000002</v>
      </c>
      <c r="H426" s="35">
        <v>2280.3200000000002</v>
      </c>
      <c r="I426" s="35">
        <v>2341.46</v>
      </c>
      <c r="J426" s="35">
        <v>2550.04</v>
      </c>
      <c r="K426" s="35">
        <v>2630.81</v>
      </c>
      <c r="L426" s="35">
        <v>2493.0300000000002</v>
      </c>
      <c r="M426" s="55"/>
      <c r="N426" s="55"/>
      <c r="O426" s="55"/>
      <c r="P426" s="55"/>
      <c r="Q426" s="47"/>
      <c r="R426" s="47"/>
      <c r="S426" s="47"/>
      <c r="T426" s="47"/>
      <c r="U426" s="47"/>
      <c r="V426" s="274"/>
      <c r="W426" s="47"/>
      <c r="X426" s="257"/>
      <c r="Y426" s="102"/>
    </row>
    <row r="427" spans="1:31" ht="24.8" customHeight="1" thickBot="1" x14ac:dyDescent="0.3">
      <c r="A427" s="45"/>
      <c r="B427" s="42"/>
      <c r="C427" s="76" t="s">
        <v>203</v>
      </c>
      <c r="D427" s="84">
        <f t="shared" ref="D427:L427" si="138">IF(((D425="")*AND(D426="")),"",(D425-D426)*2)</f>
        <v>6838.74</v>
      </c>
      <c r="E427" s="84">
        <f t="shared" si="138"/>
        <v>6896.1</v>
      </c>
      <c r="F427" s="84">
        <f t="shared" si="138"/>
        <v>6792.66</v>
      </c>
      <c r="G427" s="84">
        <f t="shared" si="138"/>
        <v>6894.98</v>
      </c>
      <c r="H427" s="84">
        <f t="shared" si="138"/>
        <v>6860.079999999999</v>
      </c>
      <c r="I427" s="84">
        <f t="shared" si="138"/>
        <v>6859.8600000000006</v>
      </c>
      <c r="J427" s="84">
        <f t="shared" si="138"/>
        <v>6886.7800000000007</v>
      </c>
      <c r="K427" s="84">
        <f t="shared" si="138"/>
        <v>6761.64</v>
      </c>
      <c r="L427" s="84">
        <f t="shared" si="138"/>
        <v>6774.36</v>
      </c>
      <c r="M427" s="84"/>
      <c r="N427" s="84"/>
      <c r="O427" s="84"/>
      <c r="P427" s="84" t="str">
        <f>IF(((P425="")*AND(P426="")),"",(P425-P426)*2)</f>
        <v/>
      </c>
      <c r="Q427" s="42"/>
      <c r="R427" s="42"/>
      <c r="S427" s="42"/>
      <c r="T427" s="42"/>
      <c r="U427" s="42"/>
      <c r="V427" s="275"/>
      <c r="W427" s="42"/>
      <c r="X427" s="257"/>
      <c r="Y427" s="101"/>
    </row>
    <row r="428" spans="1:31" ht="12.75" customHeight="1" x14ac:dyDescent="0.25">
      <c r="A428" s="96">
        <v>43114</v>
      </c>
      <c r="B428" s="57" t="s">
        <v>206</v>
      </c>
      <c r="C428" s="61" t="s">
        <v>205</v>
      </c>
      <c r="D428" s="35">
        <v>6781.67</v>
      </c>
      <c r="E428" s="35">
        <v>6922.14</v>
      </c>
      <c r="F428" s="35">
        <v>6697.75</v>
      </c>
      <c r="G428" s="35">
        <v>6754.09</v>
      </c>
      <c r="H428" s="35">
        <v>6846.12</v>
      </c>
      <c r="I428" s="35">
        <v>6819.65</v>
      </c>
      <c r="J428" s="35">
        <v>6812.74</v>
      </c>
      <c r="K428" s="35">
        <v>6734.32</v>
      </c>
      <c r="L428" s="35">
        <v>6789.69</v>
      </c>
      <c r="M428" s="35">
        <v>6863.36</v>
      </c>
      <c r="N428" s="35">
        <v>6966.22</v>
      </c>
      <c r="O428" s="35">
        <v>6864.1</v>
      </c>
      <c r="P428" s="35">
        <v>6945.87</v>
      </c>
      <c r="Q428" s="50">
        <f>IF((L429=""),"",MAX(D430:P430))</f>
        <v>5354.84</v>
      </c>
      <c r="R428" s="57">
        <f>IF(L429="","",MIN(D430:L430))</f>
        <v>5238.8099999999995</v>
      </c>
      <c r="S428" s="53">
        <f>IF((P430=""),"",AVERAGE(D430:P430))</f>
        <v>5299.2784615384608</v>
      </c>
      <c r="T428" s="53">
        <f>IF((L429=""),"",(Q428-R428)/(Q428+R428)*100)</f>
        <v>1.0952787754928721</v>
      </c>
      <c r="U428" s="57">
        <f>STDEV(D430:P430)</f>
        <v>39.378185764488471</v>
      </c>
      <c r="V428" s="276" t="str">
        <f>IF(P429="","",IF(T428&lt;2.7,IF(S428&gt;5150,IF(S428&lt;5600,"Pass","Fail"),"Fail"),"Fail"))</f>
        <v>Pass</v>
      </c>
      <c r="W428" s="57">
        <v>1335</v>
      </c>
      <c r="X428" s="257"/>
      <c r="Y428" s="99"/>
      <c r="Z428" s="71">
        <v>4470</v>
      </c>
      <c r="AA428" s="71">
        <v>6020</v>
      </c>
      <c r="AB428" s="71">
        <v>5150</v>
      </c>
      <c r="AC428" s="71">
        <v>5600</v>
      </c>
      <c r="AD428" s="70">
        <v>2.7</v>
      </c>
      <c r="AE428" s="69">
        <v>10</v>
      </c>
    </row>
    <row r="429" spans="1:31" ht="12.75" customHeight="1" x14ac:dyDescent="0.25">
      <c r="A429" s="96"/>
      <c r="B429" s="47"/>
      <c r="C429" s="56" t="s">
        <v>204</v>
      </c>
      <c r="D429" s="35">
        <v>1539.46</v>
      </c>
      <c r="E429" s="35">
        <v>1657.4</v>
      </c>
      <c r="F429" s="35">
        <v>1458.94</v>
      </c>
      <c r="G429" s="35">
        <v>1421.79</v>
      </c>
      <c r="H429" s="35">
        <v>1556.91</v>
      </c>
      <c r="I429" s="35">
        <v>1481.69</v>
      </c>
      <c r="J429" s="35">
        <v>1489.06</v>
      </c>
      <c r="K429" s="35">
        <v>1379.48</v>
      </c>
      <c r="L429" s="35">
        <v>1536.66</v>
      </c>
      <c r="M429" s="35">
        <v>1520.9</v>
      </c>
      <c r="N429" s="35">
        <v>1662.72</v>
      </c>
      <c r="O429" s="35">
        <v>1565.91</v>
      </c>
      <c r="P429" s="35">
        <v>1636.18</v>
      </c>
      <c r="Q429" s="47"/>
      <c r="R429" s="47"/>
      <c r="S429" s="47"/>
      <c r="T429" s="47"/>
      <c r="U429" s="47"/>
      <c r="V429" s="274"/>
      <c r="W429" s="47"/>
      <c r="X429" s="257"/>
      <c r="Y429" s="102"/>
    </row>
    <row r="430" spans="1:31" ht="23.95" customHeight="1" x14ac:dyDescent="0.25">
      <c r="A430" s="96"/>
      <c r="B430" s="80"/>
      <c r="C430" s="56" t="s">
        <v>203</v>
      </c>
      <c r="D430" s="97">
        <f t="shared" ref="D430:P430" si="139">IF(((D428="")*AND(D429="")),"",(D428-D429))</f>
        <v>5242.21</v>
      </c>
      <c r="E430" s="97">
        <f t="shared" si="139"/>
        <v>5264.74</v>
      </c>
      <c r="F430" s="97">
        <f t="shared" si="139"/>
        <v>5238.8099999999995</v>
      </c>
      <c r="G430" s="97">
        <f t="shared" si="139"/>
        <v>5332.3</v>
      </c>
      <c r="H430" s="97">
        <f t="shared" si="139"/>
        <v>5289.21</v>
      </c>
      <c r="I430" s="97">
        <f t="shared" si="139"/>
        <v>5337.9599999999991</v>
      </c>
      <c r="J430" s="97">
        <f t="shared" si="139"/>
        <v>5323.68</v>
      </c>
      <c r="K430" s="97">
        <f t="shared" si="139"/>
        <v>5354.84</v>
      </c>
      <c r="L430" s="97">
        <f t="shared" si="139"/>
        <v>5253.03</v>
      </c>
      <c r="M430" s="97">
        <f t="shared" si="139"/>
        <v>5342.4599999999991</v>
      </c>
      <c r="N430" s="97">
        <f t="shared" si="139"/>
        <v>5303.5</v>
      </c>
      <c r="O430" s="97">
        <f t="shared" si="139"/>
        <v>5298.1900000000005</v>
      </c>
      <c r="P430" s="97">
        <f t="shared" si="139"/>
        <v>5309.69</v>
      </c>
      <c r="Q430" s="80"/>
      <c r="R430" s="80"/>
      <c r="S430" s="80"/>
      <c r="T430" s="47"/>
      <c r="U430" s="80"/>
      <c r="V430" s="277"/>
      <c r="W430" s="80"/>
      <c r="X430" s="257"/>
      <c r="Y430" s="102"/>
    </row>
    <row r="431" spans="1:31" x14ac:dyDescent="0.25">
      <c r="A431" s="96">
        <v>43114</v>
      </c>
      <c r="B431" s="50" t="s">
        <v>208</v>
      </c>
      <c r="C431" s="56" t="s">
        <v>205</v>
      </c>
      <c r="D431" s="35">
        <v>5834.11</v>
      </c>
      <c r="E431" s="35">
        <v>6004.2</v>
      </c>
      <c r="F431" s="35">
        <v>6033.5</v>
      </c>
      <c r="G431" s="35">
        <v>5992.31</v>
      </c>
      <c r="H431" s="35">
        <v>5739.43</v>
      </c>
      <c r="I431" s="35">
        <v>5757.98</v>
      </c>
      <c r="J431" s="35">
        <v>6008.73</v>
      </c>
      <c r="K431" s="35">
        <v>6024.58</v>
      </c>
      <c r="L431" s="35">
        <v>5893.13</v>
      </c>
      <c r="M431" s="55"/>
      <c r="N431" s="55"/>
      <c r="O431" s="55"/>
      <c r="P431" s="55"/>
      <c r="Q431" s="50">
        <f>IF((L432=""),"",MAX(D433:L433))</f>
        <v>7155.0399999999991</v>
      </c>
      <c r="R431" s="50">
        <f>IF(L432="","",MIN(D433:L433))</f>
        <v>6925.84</v>
      </c>
      <c r="S431" s="77">
        <f>IF((L433=""),"",AVERAGE(D433:L433))</f>
        <v>7007.0844444444438</v>
      </c>
      <c r="T431" s="52">
        <f>IF((L432=""),"",(Q431-R431)/(Q431+R431)*100)</f>
        <v>1.6277391753924393</v>
      </c>
      <c r="U431" s="50">
        <f>STDEV(D433:P433)</f>
        <v>62.249477730963669</v>
      </c>
      <c r="V431" s="273" t="str">
        <f>IF(L432="","",IF(T431&lt;9.8,IF(S431&gt;5100,IF(S431&lt;8300,"Pass","Fail"),"Fail"),"Fail"))</f>
        <v>Pass</v>
      </c>
      <c r="W431" s="47">
        <v>1335</v>
      </c>
      <c r="X431" s="257"/>
      <c r="Y431" s="102"/>
      <c r="Z431" s="37">
        <v>4955</v>
      </c>
      <c r="AA431" s="37">
        <v>9645</v>
      </c>
      <c r="AB431" s="37">
        <v>5100</v>
      </c>
      <c r="AC431" s="37">
        <v>8300</v>
      </c>
      <c r="AD431" s="69">
        <v>9.8000000000000007</v>
      </c>
      <c r="AE431" s="69">
        <v>10</v>
      </c>
    </row>
    <row r="432" spans="1:31" ht="12.75" customHeight="1" x14ac:dyDescent="0.25">
      <c r="A432" s="49"/>
      <c r="B432" s="47"/>
      <c r="C432" s="56" t="s">
        <v>204</v>
      </c>
      <c r="D432" s="35">
        <v>2347.27</v>
      </c>
      <c r="E432" s="35">
        <v>2493.8000000000002</v>
      </c>
      <c r="F432" s="35">
        <v>2531.94</v>
      </c>
      <c r="G432" s="35">
        <v>2493.1799999999998</v>
      </c>
      <c r="H432" s="35">
        <v>2236.83</v>
      </c>
      <c r="I432" s="35">
        <v>2253.98</v>
      </c>
      <c r="J432" s="35">
        <v>2431.21</v>
      </c>
      <c r="K432" s="35">
        <v>2537.67</v>
      </c>
      <c r="L432" s="35">
        <v>2430.21</v>
      </c>
      <c r="M432" s="55"/>
      <c r="N432" s="55"/>
      <c r="O432" s="55"/>
      <c r="P432" s="55"/>
      <c r="Q432" s="47"/>
      <c r="R432" s="47"/>
      <c r="S432" s="47"/>
      <c r="T432" s="47"/>
      <c r="U432" s="47"/>
      <c r="V432" s="274"/>
      <c r="W432" s="47"/>
      <c r="X432" s="257"/>
      <c r="Y432" s="102"/>
    </row>
    <row r="433" spans="1:31" ht="24.8" customHeight="1" thickBot="1" x14ac:dyDescent="0.3">
      <c r="A433" s="45"/>
      <c r="B433" s="42"/>
      <c r="C433" s="76" t="s">
        <v>203</v>
      </c>
      <c r="D433" s="84">
        <f t="shared" ref="D433:L433" si="140">IF(((D431="")*AND(D432="")),"",(D431-D432)*2)</f>
        <v>6973.6799999999994</v>
      </c>
      <c r="E433" s="84">
        <f t="shared" si="140"/>
        <v>7020.7999999999993</v>
      </c>
      <c r="F433" s="84">
        <f t="shared" si="140"/>
        <v>7003.12</v>
      </c>
      <c r="G433" s="84">
        <f t="shared" si="140"/>
        <v>6998.2600000000011</v>
      </c>
      <c r="H433" s="84">
        <f t="shared" si="140"/>
        <v>7005.2000000000007</v>
      </c>
      <c r="I433" s="84">
        <f t="shared" si="140"/>
        <v>7007.9999999999991</v>
      </c>
      <c r="J433" s="84">
        <f t="shared" si="140"/>
        <v>7155.0399999999991</v>
      </c>
      <c r="K433" s="84">
        <f t="shared" si="140"/>
        <v>6973.82</v>
      </c>
      <c r="L433" s="84">
        <f t="shared" si="140"/>
        <v>6925.84</v>
      </c>
      <c r="M433" s="84"/>
      <c r="N433" s="84"/>
      <c r="O433" s="84"/>
      <c r="P433" s="84" t="str">
        <f>IF(((P431="")*AND(P432="")),"",(P431-P432)*2)</f>
        <v/>
      </c>
      <c r="Q433" s="42"/>
      <c r="R433" s="42"/>
      <c r="S433" s="42"/>
      <c r="T433" s="42"/>
      <c r="U433" s="42"/>
      <c r="V433" s="275"/>
      <c r="W433" s="42"/>
      <c r="X433" s="257"/>
      <c r="Y433" s="101"/>
    </row>
    <row r="434" spans="1:31" ht="12.75" customHeight="1" x14ac:dyDescent="0.25">
      <c r="A434" s="96">
        <v>43119</v>
      </c>
      <c r="B434" s="57" t="s">
        <v>206</v>
      </c>
      <c r="C434" s="61" t="s">
        <v>205</v>
      </c>
      <c r="D434" s="35">
        <v>6790.5</v>
      </c>
      <c r="E434" s="35">
        <v>6926.55</v>
      </c>
      <c r="F434" s="35">
        <v>6695.27</v>
      </c>
      <c r="G434" s="35">
        <v>6764.76</v>
      </c>
      <c r="H434" s="35">
        <v>6848.91</v>
      </c>
      <c r="I434" s="35">
        <v>6822.83</v>
      </c>
      <c r="J434" s="35">
        <v>6827.48</v>
      </c>
      <c r="K434" s="35">
        <v>6747.15</v>
      </c>
      <c r="L434" s="35">
        <v>6789.34</v>
      </c>
      <c r="M434" s="35">
        <v>6872.06</v>
      </c>
      <c r="N434" s="35">
        <v>6964.71</v>
      </c>
      <c r="O434" s="35">
        <v>6859.94</v>
      </c>
      <c r="P434" s="35">
        <v>6944.44</v>
      </c>
      <c r="Q434" s="50">
        <f>IF((L435=""),"",MAX(D436:P436))</f>
        <v>5376.23</v>
      </c>
      <c r="R434" s="57">
        <f>IF(L435="","",MIN(D436:L436))</f>
        <v>5251.9900000000007</v>
      </c>
      <c r="S434" s="53">
        <f>IF((P436=""),"",AVERAGE(D436:P436))</f>
        <v>5308.4623076923071</v>
      </c>
      <c r="T434" s="53">
        <f>IF((L435=""),"",(Q434-R434)/(Q434+R434)*100)</f>
        <v>1.1689633823913963</v>
      </c>
      <c r="U434" s="57">
        <f>STDEV(D436:P436)</f>
        <v>41.125298409017802</v>
      </c>
      <c r="V434" s="276" t="str">
        <f>IF(P435="","",IF(T434&lt;2.7,IF(S434&gt;5150,IF(S434&lt;5600,"Pass","Fail"),"Fail"),"Fail"))</f>
        <v>Pass</v>
      </c>
      <c r="W434" s="57"/>
      <c r="X434" s="257"/>
      <c r="Y434" s="99"/>
      <c r="Z434" s="71">
        <v>4470</v>
      </c>
      <c r="AA434" s="71">
        <v>6020</v>
      </c>
      <c r="AB434" s="71">
        <v>5150</v>
      </c>
      <c r="AC434" s="71">
        <v>5600</v>
      </c>
      <c r="AD434" s="70">
        <v>2.7</v>
      </c>
      <c r="AE434" s="69">
        <v>10</v>
      </c>
    </row>
    <row r="435" spans="1:31" ht="12.75" customHeight="1" x14ac:dyDescent="0.25">
      <c r="A435" s="96"/>
      <c r="B435" s="47"/>
      <c r="C435" s="56" t="s">
        <v>204</v>
      </c>
      <c r="D435" s="35">
        <v>1537.93</v>
      </c>
      <c r="E435" s="35">
        <v>1656.42</v>
      </c>
      <c r="F435" s="35">
        <v>1443.28</v>
      </c>
      <c r="G435" s="35">
        <v>1423.25</v>
      </c>
      <c r="H435" s="35">
        <v>1563.37</v>
      </c>
      <c r="I435" s="35">
        <v>1473.87</v>
      </c>
      <c r="J435" s="35">
        <v>1488.46</v>
      </c>
      <c r="K435" s="35">
        <v>1370.92</v>
      </c>
      <c r="L435" s="35">
        <v>1520.91</v>
      </c>
      <c r="M435" s="35">
        <v>1518.32</v>
      </c>
      <c r="N435" s="35">
        <v>1664.18</v>
      </c>
      <c r="O435" s="35">
        <v>1550.63</v>
      </c>
      <c r="P435" s="35">
        <v>1632.39</v>
      </c>
      <c r="Q435" s="47"/>
      <c r="R435" s="47"/>
      <c r="S435" s="47"/>
      <c r="T435" s="47"/>
      <c r="U435" s="47"/>
      <c r="V435" s="274"/>
      <c r="W435" s="47"/>
      <c r="X435" s="257"/>
      <c r="Y435" s="102"/>
    </row>
    <row r="436" spans="1:31" ht="23.95" customHeight="1" x14ac:dyDescent="0.25">
      <c r="A436" s="96"/>
      <c r="B436" s="80"/>
      <c r="C436" s="56" t="s">
        <v>203</v>
      </c>
      <c r="D436" s="97">
        <f t="shared" ref="D436:P436" si="141">IF(((D434="")*AND(D435="")),"",(D434-D435))</f>
        <v>5252.57</v>
      </c>
      <c r="E436" s="97">
        <f t="shared" si="141"/>
        <v>5270.13</v>
      </c>
      <c r="F436" s="97">
        <f t="shared" si="141"/>
        <v>5251.9900000000007</v>
      </c>
      <c r="G436" s="97">
        <f t="shared" si="141"/>
        <v>5341.51</v>
      </c>
      <c r="H436" s="97">
        <f t="shared" si="141"/>
        <v>5285.54</v>
      </c>
      <c r="I436" s="97">
        <f t="shared" si="141"/>
        <v>5348.96</v>
      </c>
      <c r="J436" s="97">
        <f t="shared" si="141"/>
        <v>5339.0199999999995</v>
      </c>
      <c r="K436" s="97">
        <f t="shared" si="141"/>
        <v>5376.23</v>
      </c>
      <c r="L436" s="97">
        <f t="shared" si="141"/>
        <v>5268.43</v>
      </c>
      <c r="M436" s="97">
        <f t="shared" si="141"/>
        <v>5353.7400000000007</v>
      </c>
      <c r="N436" s="97">
        <f t="shared" si="141"/>
        <v>5300.53</v>
      </c>
      <c r="O436" s="97">
        <f t="shared" si="141"/>
        <v>5309.3099999999995</v>
      </c>
      <c r="P436" s="97">
        <f t="shared" si="141"/>
        <v>5312.0499999999993</v>
      </c>
      <c r="Q436" s="80"/>
      <c r="R436" s="80"/>
      <c r="S436" s="80"/>
      <c r="T436" s="47"/>
      <c r="U436" s="80"/>
      <c r="V436" s="277"/>
      <c r="W436" s="80"/>
      <c r="X436" s="257"/>
      <c r="Y436" s="102"/>
    </row>
    <row r="437" spans="1:31" x14ac:dyDescent="0.25">
      <c r="A437" s="96">
        <v>43119</v>
      </c>
      <c r="B437" s="50" t="s">
        <v>208</v>
      </c>
      <c r="C437" s="56" t="s">
        <v>205</v>
      </c>
      <c r="D437" s="35">
        <v>5850.92</v>
      </c>
      <c r="E437" s="35">
        <v>6001.5</v>
      </c>
      <c r="F437" s="35">
        <v>6032.08</v>
      </c>
      <c r="G437" s="35">
        <v>5985.25</v>
      </c>
      <c r="H437" s="35">
        <v>5759.19</v>
      </c>
      <c r="I437" s="35">
        <v>5765.88</v>
      </c>
      <c r="J437" s="35">
        <v>6010.64</v>
      </c>
      <c r="K437" s="35">
        <v>6013.25</v>
      </c>
      <c r="L437" s="35">
        <v>5869.34</v>
      </c>
      <c r="M437" s="55"/>
      <c r="N437" s="55"/>
      <c r="O437" s="55"/>
      <c r="P437" s="55"/>
      <c r="Q437" s="50">
        <f>IF((L438=""),"",MAX(D439:L439))</f>
        <v>6695.1999999999989</v>
      </c>
      <c r="R437" s="50">
        <f>IF(L438="","",MIN(D439:L439))</f>
        <v>6164.52</v>
      </c>
      <c r="S437" s="77">
        <f>IF((L439=""),"",AVERAGE(D439:L439))</f>
        <v>6474.5399999999991</v>
      </c>
      <c r="T437" s="52">
        <f>IF((L438=""),"",(Q437-R437)/(Q437+R437)*100)</f>
        <v>4.1266839402412998</v>
      </c>
      <c r="U437" s="50">
        <f>STDEV(D439:P439)</f>
        <v>155.65713828796902</v>
      </c>
      <c r="V437" s="273" t="str">
        <f>IF(L438="","",IF(T437&lt;9.8,IF(S437&gt;5100,IF(S437&lt;8300,"Pass","Fail"),"Fail"),"Fail"))</f>
        <v>Pass</v>
      </c>
      <c r="W437" s="47"/>
      <c r="X437" s="257"/>
      <c r="Y437" s="102"/>
      <c r="Z437" s="37">
        <v>4955</v>
      </c>
      <c r="AA437" s="37">
        <v>9645</v>
      </c>
      <c r="AB437" s="37">
        <v>5100</v>
      </c>
      <c r="AC437" s="37">
        <v>8300</v>
      </c>
      <c r="AD437" s="69">
        <v>9.8000000000000007</v>
      </c>
      <c r="AE437" s="69">
        <v>10</v>
      </c>
    </row>
    <row r="438" spans="1:31" ht="12.75" customHeight="1" x14ac:dyDescent="0.25">
      <c r="A438" s="49"/>
      <c r="B438" s="47"/>
      <c r="C438" s="56" t="s">
        <v>204</v>
      </c>
      <c r="D438" s="35">
        <v>2683.62</v>
      </c>
      <c r="E438" s="35">
        <v>2733.56</v>
      </c>
      <c r="F438" s="35">
        <v>2805.74</v>
      </c>
      <c r="G438" s="35">
        <v>2713.02</v>
      </c>
      <c r="H438" s="35">
        <v>2411.59</v>
      </c>
      <c r="I438" s="35">
        <v>2683.62</v>
      </c>
      <c r="J438" s="35">
        <v>2757.11</v>
      </c>
      <c r="K438" s="35">
        <v>2798.07</v>
      </c>
      <c r="L438" s="35">
        <v>2566.29</v>
      </c>
      <c r="M438" s="55"/>
      <c r="N438" s="55"/>
      <c r="O438" s="55"/>
      <c r="P438" s="55"/>
      <c r="Q438" s="47"/>
      <c r="R438" s="47"/>
      <c r="S438" s="47"/>
      <c r="T438" s="47"/>
      <c r="U438" s="47"/>
      <c r="V438" s="274"/>
      <c r="W438" s="47"/>
      <c r="X438" s="257"/>
      <c r="Y438" s="102"/>
    </row>
    <row r="439" spans="1:31" ht="24.8" customHeight="1" thickBot="1" x14ac:dyDescent="0.3">
      <c r="A439" s="45"/>
      <c r="B439" s="42"/>
      <c r="C439" s="76" t="s">
        <v>203</v>
      </c>
      <c r="D439" s="84">
        <f t="shared" ref="D439:L439" si="142">IF(((D437="")*AND(D438="")),"",(D437-D438)*2)</f>
        <v>6334.6</v>
      </c>
      <c r="E439" s="84">
        <f t="shared" si="142"/>
        <v>6535.88</v>
      </c>
      <c r="F439" s="84">
        <f t="shared" si="142"/>
        <v>6452.68</v>
      </c>
      <c r="G439" s="84">
        <f t="shared" si="142"/>
        <v>6544.46</v>
      </c>
      <c r="H439" s="84">
        <f t="shared" si="142"/>
        <v>6695.1999999999989</v>
      </c>
      <c r="I439" s="84">
        <f t="shared" si="142"/>
        <v>6164.52</v>
      </c>
      <c r="J439" s="84">
        <f t="shared" si="142"/>
        <v>6507.06</v>
      </c>
      <c r="K439" s="84">
        <f t="shared" si="142"/>
        <v>6430.36</v>
      </c>
      <c r="L439" s="84">
        <f t="shared" si="142"/>
        <v>6606.1</v>
      </c>
      <c r="M439" s="84"/>
      <c r="N439" s="84"/>
      <c r="O439" s="84"/>
      <c r="P439" s="84" t="str">
        <f>IF(((P437="")*AND(P438="")),"",(P437-P438)*2)</f>
        <v/>
      </c>
      <c r="Q439" s="42"/>
      <c r="R439" s="42"/>
      <c r="S439" s="42"/>
      <c r="T439" s="42"/>
      <c r="U439" s="42"/>
      <c r="V439" s="275"/>
      <c r="W439" s="42"/>
      <c r="X439" s="257"/>
      <c r="Y439" s="101"/>
    </row>
    <row r="440" spans="1:31" ht="12.75" customHeight="1" x14ac:dyDescent="0.25">
      <c r="A440" s="96">
        <v>43125</v>
      </c>
      <c r="B440" s="57" t="s">
        <v>206</v>
      </c>
      <c r="C440" s="61" t="s">
        <v>205</v>
      </c>
      <c r="D440" s="35">
        <v>6910.99</v>
      </c>
      <c r="E440" s="35">
        <v>7047.67</v>
      </c>
      <c r="F440" s="35">
        <v>6816</v>
      </c>
      <c r="G440" s="35">
        <v>6873.64</v>
      </c>
      <c r="H440" s="35">
        <v>6980.33</v>
      </c>
      <c r="I440" s="35">
        <v>6947.42</v>
      </c>
      <c r="J440" s="35">
        <v>6934.41</v>
      </c>
      <c r="K440" s="35">
        <v>6847.22</v>
      </c>
      <c r="L440" s="35">
        <v>6909.65</v>
      </c>
      <c r="M440" s="35">
        <v>6983.66</v>
      </c>
      <c r="N440" s="35">
        <v>7091.68</v>
      </c>
      <c r="O440" s="35">
        <v>6982.56</v>
      </c>
      <c r="P440" s="35">
        <v>7074.32</v>
      </c>
      <c r="Q440" s="50">
        <f>IF((L441=""),"",MAX(D442:P442))</f>
        <v>5375.85</v>
      </c>
      <c r="R440" s="57">
        <f>IF(L441="","",MIN(D442:L442))</f>
        <v>5261.74</v>
      </c>
      <c r="S440" s="53">
        <f>IF((P442=""),"",AVERAGE(D442:P442))</f>
        <v>5313.9861538461537</v>
      </c>
      <c r="T440" s="53">
        <f>IF((L441=""),"",(Q440-R440)/(Q440+R440)*100)</f>
        <v>1.0727053778158453</v>
      </c>
      <c r="U440" s="57">
        <f>STDEV(D442:P442)</f>
        <v>36.826451892279401</v>
      </c>
      <c r="V440" s="276" t="str">
        <f>IF(P441="","",IF(T440&lt;2.7,IF(S440&gt;5150,IF(S440&lt;5600,"Pass","Fail"),"Fail"),"Fail"))</f>
        <v>Pass</v>
      </c>
      <c r="W440" s="57">
        <v>1428</v>
      </c>
      <c r="X440" s="257"/>
      <c r="Y440" s="99"/>
      <c r="Z440" s="71">
        <v>4470</v>
      </c>
      <c r="AA440" s="71">
        <v>6020</v>
      </c>
      <c r="AB440" s="71">
        <v>5150</v>
      </c>
      <c r="AC440" s="71">
        <v>5600</v>
      </c>
      <c r="AD440" s="70">
        <v>2.7</v>
      </c>
      <c r="AE440" s="69">
        <v>10</v>
      </c>
    </row>
    <row r="441" spans="1:31" ht="12.75" customHeight="1" x14ac:dyDescent="0.25">
      <c r="A441" s="96"/>
      <c r="B441" s="47"/>
      <c r="C441" s="56" t="s">
        <v>204</v>
      </c>
      <c r="D441" s="35">
        <v>1645.76</v>
      </c>
      <c r="E441" s="35">
        <v>1764.65</v>
      </c>
      <c r="F441" s="35">
        <v>1554.26</v>
      </c>
      <c r="G441" s="35">
        <v>1551.44</v>
      </c>
      <c r="H441" s="35">
        <v>1682.14</v>
      </c>
      <c r="I441" s="35">
        <v>1595.44</v>
      </c>
      <c r="J441" s="35">
        <v>1595.96</v>
      </c>
      <c r="K441" s="35">
        <v>1471.37</v>
      </c>
      <c r="L441" s="35">
        <v>1636.94</v>
      </c>
      <c r="M441" s="35">
        <v>1622.21</v>
      </c>
      <c r="N441" s="35">
        <v>1779.17</v>
      </c>
      <c r="O441" s="35">
        <v>1665.36</v>
      </c>
      <c r="P441" s="35">
        <v>1753.03</v>
      </c>
      <c r="Q441" s="47"/>
      <c r="R441" s="47"/>
      <c r="S441" s="47"/>
      <c r="T441" s="47"/>
      <c r="U441" s="47"/>
      <c r="V441" s="274"/>
      <c r="W441" s="47"/>
      <c r="X441" s="257"/>
      <c r="Y441" s="102"/>
    </row>
    <row r="442" spans="1:31" ht="23.95" customHeight="1" x14ac:dyDescent="0.25">
      <c r="A442" s="96"/>
      <c r="B442" s="80"/>
      <c r="C442" s="56" t="s">
        <v>203</v>
      </c>
      <c r="D442" s="97">
        <f t="shared" ref="D442:P442" si="143">IF(((D440="")*AND(D441="")),"",(D440-D441))</f>
        <v>5265.23</v>
      </c>
      <c r="E442" s="97">
        <f t="shared" si="143"/>
        <v>5283.02</v>
      </c>
      <c r="F442" s="97">
        <f t="shared" si="143"/>
        <v>5261.74</v>
      </c>
      <c r="G442" s="97">
        <f t="shared" si="143"/>
        <v>5322.2000000000007</v>
      </c>
      <c r="H442" s="97">
        <f t="shared" si="143"/>
        <v>5298.19</v>
      </c>
      <c r="I442" s="97">
        <f t="shared" si="143"/>
        <v>5351.98</v>
      </c>
      <c r="J442" s="97">
        <f t="shared" si="143"/>
        <v>5338.45</v>
      </c>
      <c r="K442" s="97">
        <f t="shared" si="143"/>
        <v>5375.85</v>
      </c>
      <c r="L442" s="97">
        <f t="shared" si="143"/>
        <v>5272.7099999999991</v>
      </c>
      <c r="M442" s="97">
        <f t="shared" si="143"/>
        <v>5361.45</v>
      </c>
      <c r="N442" s="97">
        <f t="shared" si="143"/>
        <v>5312.51</v>
      </c>
      <c r="O442" s="97">
        <f t="shared" si="143"/>
        <v>5317.2000000000007</v>
      </c>
      <c r="P442" s="97">
        <f t="shared" si="143"/>
        <v>5321.29</v>
      </c>
      <c r="Q442" s="80"/>
      <c r="R442" s="80"/>
      <c r="S442" s="80"/>
      <c r="T442" s="47"/>
      <c r="U442" s="80"/>
      <c r="V442" s="277"/>
      <c r="W442" s="80"/>
      <c r="X442" s="257"/>
      <c r="Y442" s="102"/>
    </row>
    <row r="443" spans="1:31" x14ac:dyDescent="0.25">
      <c r="A443" s="96">
        <v>43125</v>
      </c>
      <c r="B443" s="50" t="s">
        <v>208</v>
      </c>
      <c r="C443" s="56" t="s">
        <v>205</v>
      </c>
      <c r="D443" s="35">
        <v>5855.72</v>
      </c>
      <c r="E443" s="35">
        <v>5998.62</v>
      </c>
      <c r="F443" s="35">
        <v>6026.63</v>
      </c>
      <c r="G443" s="35">
        <v>5985.81</v>
      </c>
      <c r="H443" s="35">
        <v>5784.64</v>
      </c>
      <c r="I443" s="35">
        <v>5789.45</v>
      </c>
      <c r="J443" s="35">
        <v>6014.16</v>
      </c>
      <c r="K443" s="35">
        <v>6006.14</v>
      </c>
      <c r="L443" s="35">
        <v>5939.15</v>
      </c>
      <c r="M443" s="55"/>
      <c r="N443" s="55"/>
      <c r="O443" s="55"/>
      <c r="P443" s="55"/>
      <c r="Q443" s="50">
        <f>IF((L444=""),"",MAX(D445:L445))</f>
        <v>6751.1799999999994</v>
      </c>
      <c r="R443" s="50">
        <f>IF(L444="","",MIN(D445:L445))</f>
        <v>6417.4400000000005</v>
      </c>
      <c r="S443" s="77">
        <f>IF((L445=""),"",AVERAGE(D445:L445))</f>
        <v>6572.6444444444451</v>
      </c>
      <c r="T443" s="52">
        <f>IF((L444=""),"",(Q443-R443)/(Q443+R443)*100)</f>
        <v>2.5343581939489401</v>
      </c>
      <c r="U443" s="50">
        <f>STDEV(D445:P445)</f>
        <v>118.31681950499556</v>
      </c>
      <c r="V443" s="273" t="str">
        <f>IF(L444="","",IF(T443&lt;9.8,IF(S443&gt;5100,IF(S443&lt;8300,"Pass","Fail"),"Fail"),"Fail"))</f>
        <v>Pass</v>
      </c>
      <c r="W443" s="47">
        <v>1428</v>
      </c>
      <c r="X443" s="257"/>
      <c r="Y443" s="102"/>
      <c r="Z443" s="37">
        <v>4955</v>
      </c>
      <c r="AA443" s="37">
        <v>9645</v>
      </c>
      <c r="AB443" s="37">
        <v>5100</v>
      </c>
      <c r="AC443" s="37">
        <v>8300</v>
      </c>
      <c r="AD443" s="69">
        <v>9.8000000000000007</v>
      </c>
      <c r="AE443" s="69">
        <v>10</v>
      </c>
    </row>
    <row r="444" spans="1:31" ht="12.75" customHeight="1" x14ac:dyDescent="0.25">
      <c r="A444" s="49"/>
      <c r="B444" s="47"/>
      <c r="C444" s="56" t="s">
        <v>204</v>
      </c>
      <c r="D444" s="35">
        <v>2647</v>
      </c>
      <c r="E444" s="35">
        <v>2713.33</v>
      </c>
      <c r="F444" s="35">
        <v>2789.68</v>
      </c>
      <c r="G444" s="35">
        <v>2695.27</v>
      </c>
      <c r="H444" s="35">
        <v>2419.88</v>
      </c>
      <c r="I444" s="35">
        <v>2471.19</v>
      </c>
      <c r="J444" s="35">
        <v>2738.37</v>
      </c>
      <c r="K444" s="35">
        <v>2785.14</v>
      </c>
      <c r="L444" s="35">
        <v>2563.56</v>
      </c>
      <c r="M444" s="55"/>
      <c r="N444" s="55"/>
      <c r="O444" s="55"/>
      <c r="P444" s="55"/>
      <c r="Q444" s="47"/>
      <c r="R444" s="47"/>
      <c r="S444" s="47"/>
      <c r="T444" s="47"/>
      <c r="U444" s="47"/>
      <c r="V444" s="274"/>
      <c r="W444" s="47"/>
      <c r="X444" s="257"/>
      <c r="Y444" s="102"/>
    </row>
    <row r="445" spans="1:31" ht="24.8" customHeight="1" thickBot="1" x14ac:dyDescent="0.3">
      <c r="A445" s="45"/>
      <c r="B445" s="42"/>
      <c r="C445" s="76" t="s">
        <v>203</v>
      </c>
      <c r="D445" s="84">
        <f t="shared" ref="D445:L445" si="144">IF(((D443="")*AND(D444="")),"",(D443-D444)*2)</f>
        <v>6417.4400000000005</v>
      </c>
      <c r="E445" s="84">
        <f t="shared" si="144"/>
        <v>6570.58</v>
      </c>
      <c r="F445" s="84">
        <f t="shared" si="144"/>
        <v>6473.9000000000005</v>
      </c>
      <c r="G445" s="84">
        <f t="shared" si="144"/>
        <v>6581.0800000000008</v>
      </c>
      <c r="H445" s="84">
        <f t="shared" si="144"/>
        <v>6729.52</v>
      </c>
      <c r="I445" s="84">
        <f t="shared" si="144"/>
        <v>6636.5199999999995</v>
      </c>
      <c r="J445" s="84">
        <f t="shared" si="144"/>
        <v>6551.58</v>
      </c>
      <c r="K445" s="84">
        <f t="shared" si="144"/>
        <v>6442.0000000000009</v>
      </c>
      <c r="L445" s="84">
        <f t="shared" si="144"/>
        <v>6751.1799999999994</v>
      </c>
      <c r="M445" s="84"/>
      <c r="N445" s="84"/>
      <c r="O445" s="84"/>
      <c r="P445" s="84" t="str">
        <f>IF(((P443="")*AND(P444="")),"",(P443-P444)*2)</f>
        <v/>
      </c>
      <c r="Q445" s="42"/>
      <c r="R445" s="42"/>
      <c r="S445" s="42"/>
      <c r="T445" s="42"/>
      <c r="U445" s="42"/>
      <c r="V445" s="275"/>
      <c r="W445" s="42"/>
      <c r="X445" s="257"/>
      <c r="Y445" s="101"/>
    </row>
    <row r="446" spans="1:31" ht="12.75" customHeight="1" x14ac:dyDescent="0.25">
      <c r="A446" s="90">
        <v>43129</v>
      </c>
      <c r="B446" s="57" t="s">
        <v>206</v>
      </c>
      <c r="C446" s="61" t="s">
        <v>205</v>
      </c>
      <c r="D446" s="35">
        <v>6406.11</v>
      </c>
      <c r="E446" s="35">
        <v>6525.42</v>
      </c>
      <c r="F446" s="35">
        <v>6360.67</v>
      </c>
      <c r="G446" s="35">
        <v>6435.5</v>
      </c>
      <c r="H446" s="35">
        <v>6399.72</v>
      </c>
      <c r="I446" s="35">
        <v>6448.16</v>
      </c>
      <c r="J446" s="35">
        <v>6485.09</v>
      </c>
      <c r="K446" s="35">
        <v>6375.15</v>
      </c>
      <c r="L446" s="35">
        <v>6436.74</v>
      </c>
      <c r="M446" s="35">
        <v>6527.33</v>
      </c>
      <c r="N446" s="35">
        <v>6545.81</v>
      </c>
      <c r="O446" s="35">
        <v>6506.51</v>
      </c>
      <c r="P446" s="35">
        <v>6513.81</v>
      </c>
      <c r="Q446" s="50">
        <f>IF((L447=""),"",MAX(D448:P448))</f>
        <v>5338.79</v>
      </c>
      <c r="R446" s="57">
        <f>IF(L447="","",MIN(D448:L448))</f>
        <v>5208.38</v>
      </c>
      <c r="S446" s="53">
        <f>IF((P448=""),"",AVERAGE(D448:P448))</f>
        <v>5271.0723076923077</v>
      </c>
      <c r="T446" s="53">
        <f>IF((L447=""),"",(Q446-R446)/(Q446+R446)*100)</f>
        <v>1.2364454161637657</v>
      </c>
      <c r="U446" s="57">
        <f>STDEV(D448:P448)</f>
        <v>45.677978858133521</v>
      </c>
      <c r="V446" s="276" t="str">
        <f>IF(P447="","",IF(T446&lt;2.7,IF(S446&gt;5150,IF(S446&lt;5600,"Pass","Fail"),"Fail"),"Fail"))</f>
        <v>Pass</v>
      </c>
      <c r="W446" s="57">
        <v>121</v>
      </c>
      <c r="X446" s="257"/>
      <c r="Y446" s="99"/>
      <c r="Z446" s="71">
        <v>4470</v>
      </c>
      <c r="AA446" s="71">
        <v>6020</v>
      </c>
      <c r="AB446" s="71">
        <v>5150</v>
      </c>
      <c r="AC446" s="71">
        <v>5600</v>
      </c>
      <c r="AD446" s="70">
        <v>2.7</v>
      </c>
      <c r="AE446" s="69">
        <v>10</v>
      </c>
    </row>
    <row r="447" spans="1:31" ht="12.75" customHeight="1" x14ac:dyDescent="0.25">
      <c r="A447" s="96"/>
      <c r="B447" s="47"/>
      <c r="C447" s="56" t="s">
        <v>204</v>
      </c>
      <c r="D447" s="35">
        <v>1194.1300000000001</v>
      </c>
      <c r="E447" s="35">
        <v>1290.51</v>
      </c>
      <c r="F447" s="35">
        <v>1152.29</v>
      </c>
      <c r="G447" s="35">
        <v>1139.3399999999999</v>
      </c>
      <c r="H447" s="35">
        <v>1156.67</v>
      </c>
      <c r="I447" s="35">
        <v>1133.8499999999999</v>
      </c>
      <c r="J447" s="35">
        <v>1146.3</v>
      </c>
      <c r="K447" s="35">
        <v>1039</v>
      </c>
      <c r="L447" s="35">
        <v>1213.82</v>
      </c>
      <c r="M447" s="35">
        <v>1213.43</v>
      </c>
      <c r="N447" s="35">
        <v>1281.3399999999999</v>
      </c>
      <c r="O447" s="35">
        <v>1237.83</v>
      </c>
      <c r="P447" s="35">
        <v>1243.57</v>
      </c>
      <c r="Q447" s="47"/>
      <c r="R447" s="47"/>
      <c r="S447" s="47"/>
      <c r="T447" s="47"/>
      <c r="U447" s="47"/>
      <c r="V447" s="274"/>
      <c r="W447" s="47"/>
      <c r="X447" s="257"/>
      <c r="Y447" s="102"/>
    </row>
    <row r="448" spans="1:31" ht="23.95" customHeight="1" x14ac:dyDescent="0.25">
      <c r="A448" s="96"/>
      <c r="B448" s="80"/>
      <c r="C448" s="56" t="s">
        <v>203</v>
      </c>
      <c r="D448" s="97">
        <f t="shared" ref="D448:P448" si="145">IF(((D446="")*AND(D447="")),"",(D446-D447))</f>
        <v>5211.9799999999996</v>
      </c>
      <c r="E448" s="97">
        <f t="shared" si="145"/>
        <v>5234.91</v>
      </c>
      <c r="F448" s="97">
        <f t="shared" si="145"/>
        <v>5208.38</v>
      </c>
      <c r="G448" s="97">
        <f t="shared" si="145"/>
        <v>5296.16</v>
      </c>
      <c r="H448" s="97">
        <f t="shared" si="145"/>
        <v>5243.05</v>
      </c>
      <c r="I448" s="97">
        <f t="shared" si="145"/>
        <v>5314.3099999999995</v>
      </c>
      <c r="J448" s="97">
        <f t="shared" si="145"/>
        <v>5338.79</v>
      </c>
      <c r="K448" s="97">
        <f t="shared" si="145"/>
        <v>5336.15</v>
      </c>
      <c r="L448" s="97">
        <f t="shared" si="145"/>
        <v>5222.92</v>
      </c>
      <c r="M448" s="97">
        <f t="shared" si="145"/>
        <v>5313.9</v>
      </c>
      <c r="N448" s="97">
        <f t="shared" si="145"/>
        <v>5264.47</v>
      </c>
      <c r="O448" s="97">
        <f t="shared" si="145"/>
        <v>5268.68</v>
      </c>
      <c r="P448" s="97">
        <f t="shared" si="145"/>
        <v>5270.2400000000007</v>
      </c>
      <c r="Q448" s="80"/>
      <c r="R448" s="80"/>
      <c r="S448" s="80"/>
      <c r="T448" s="47"/>
      <c r="U448" s="80"/>
      <c r="V448" s="277"/>
      <c r="W448" s="80"/>
      <c r="X448" s="257"/>
      <c r="Y448" s="102"/>
    </row>
    <row r="449" spans="1:31" x14ac:dyDescent="0.25">
      <c r="A449" s="90">
        <v>43129</v>
      </c>
      <c r="B449" s="50" t="s">
        <v>208</v>
      </c>
      <c r="C449" s="56" t="s">
        <v>205</v>
      </c>
      <c r="D449" s="35">
        <v>5860.24</v>
      </c>
      <c r="E449" s="35">
        <v>5983.45</v>
      </c>
      <c r="F449" s="35">
        <v>6019.94</v>
      </c>
      <c r="G449" s="35">
        <v>5973.79</v>
      </c>
      <c r="H449" s="35">
        <v>5793.91</v>
      </c>
      <c r="I449" s="35">
        <v>5782.59</v>
      </c>
      <c r="J449" s="35">
        <v>5994.33</v>
      </c>
      <c r="K449" s="35">
        <v>6015.84</v>
      </c>
      <c r="L449" s="35">
        <v>5953.88</v>
      </c>
      <c r="M449" s="55"/>
      <c r="N449" s="55"/>
      <c r="O449" s="55"/>
      <c r="P449" s="55"/>
      <c r="Q449" s="50">
        <f>IF((L450=""),"",MAX(D451:L451))</f>
        <v>6582.54</v>
      </c>
      <c r="R449" s="50">
        <f>IF(L450="","",MIN(D451:L451))</f>
        <v>6025.18</v>
      </c>
      <c r="S449" s="77">
        <f>IF((L451=""),"",AVERAGE(D451:L451))</f>
        <v>6321.04</v>
      </c>
      <c r="T449" s="52">
        <f>IF((L450=""),"",(Q449-R449)/(Q449+R449)*100)</f>
        <v>4.4207834564853883</v>
      </c>
      <c r="U449" s="50">
        <f>STDEV(D451:P451)</f>
        <v>195.38973821570042</v>
      </c>
      <c r="V449" s="273" t="str">
        <f>IF(L450="","",IF(T449&lt;9.8,IF(S449&gt;5100,IF(S449&lt;8300,"Pass","Fail"),"Fail"),"Fail"))</f>
        <v>Pass</v>
      </c>
      <c r="W449" s="47">
        <v>121</v>
      </c>
      <c r="X449" s="257"/>
      <c r="Y449" s="102"/>
      <c r="Z449" s="37">
        <v>4955</v>
      </c>
      <c r="AA449" s="37">
        <v>9645</v>
      </c>
      <c r="AB449" s="37">
        <v>5100</v>
      </c>
      <c r="AC449" s="37">
        <v>8300</v>
      </c>
      <c r="AD449" s="69">
        <v>9.8000000000000007</v>
      </c>
      <c r="AE449" s="69">
        <v>10</v>
      </c>
    </row>
    <row r="450" spans="1:31" ht="12.75" customHeight="1" x14ac:dyDescent="0.25">
      <c r="A450" s="49"/>
      <c r="B450" s="47"/>
      <c r="C450" s="56" t="s">
        <v>204</v>
      </c>
      <c r="D450" s="35">
        <v>2571.3200000000002</v>
      </c>
      <c r="E450" s="35">
        <v>2801.89</v>
      </c>
      <c r="F450" s="35">
        <v>2881.18</v>
      </c>
      <c r="G450" s="35">
        <v>2783.01</v>
      </c>
      <c r="H450" s="35">
        <v>2770</v>
      </c>
      <c r="I450" s="35">
        <v>2770</v>
      </c>
      <c r="J450" s="35">
        <v>2821.99</v>
      </c>
      <c r="K450" s="35">
        <v>2871.29</v>
      </c>
      <c r="L450" s="35">
        <v>2662.61</v>
      </c>
      <c r="M450" s="55"/>
      <c r="N450" s="55"/>
      <c r="O450" s="55"/>
      <c r="P450" s="55"/>
      <c r="Q450" s="47"/>
      <c r="R450" s="47"/>
      <c r="S450" s="47"/>
      <c r="T450" s="47"/>
      <c r="U450" s="47"/>
      <c r="V450" s="274"/>
      <c r="W450" s="47"/>
      <c r="X450" s="257"/>
      <c r="Y450" s="102"/>
    </row>
    <row r="451" spans="1:31" ht="24.8" customHeight="1" thickBot="1" x14ac:dyDescent="0.3">
      <c r="A451" s="45"/>
      <c r="B451" s="42"/>
      <c r="C451" s="76" t="s">
        <v>203</v>
      </c>
      <c r="D451" s="84">
        <f t="shared" ref="D451:L451" si="146">IF(((D449="")*AND(D450="")),"",(D449-D450)*2)</f>
        <v>6577.8399999999992</v>
      </c>
      <c r="E451" s="84">
        <f t="shared" si="146"/>
        <v>6363.12</v>
      </c>
      <c r="F451" s="84">
        <f t="shared" si="146"/>
        <v>6277.5199999999995</v>
      </c>
      <c r="G451" s="84">
        <f t="shared" si="146"/>
        <v>6381.5599999999995</v>
      </c>
      <c r="H451" s="84">
        <f t="shared" si="146"/>
        <v>6047.82</v>
      </c>
      <c r="I451" s="84">
        <f t="shared" si="146"/>
        <v>6025.18</v>
      </c>
      <c r="J451" s="84">
        <f t="shared" si="146"/>
        <v>6344.68</v>
      </c>
      <c r="K451" s="84">
        <f t="shared" si="146"/>
        <v>6289.1</v>
      </c>
      <c r="L451" s="84">
        <f t="shared" si="146"/>
        <v>6582.54</v>
      </c>
      <c r="M451" s="84"/>
      <c r="N451" s="84"/>
      <c r="O451" s="84"/>
      <c r="P451" s="84" t="str">
        <f>IF(((P449="")*AND(P450="")),"",(P449-P450)*2)</f>
        <v/>
      </c>
      <c r="Q451" s="42"/>
      <c r="R451" s="42"/>
      <c r="S451" s="42"/>
      <c r="T451" s="42"/>
      <c r="U451" s="42"/>
      <c r="V451" s="275"/>
      <c r="W451" s="42"/>
      <c r="X451" s="257"/>
      <c r="Y451" s="101"/>
    </row>
    <row r="452" spans="1:31" ht="12.75" customHeight="1" x14ac:dyDescent="0.25">
      <c r="A452" s="90">
        <v>43135</v>
      </c>
      <c r="B452" s="57" t="s">
        <v>206</v>
      </c>
      <c r="C452" s="61" t="s">
        <v>205</v>
      </c>
      <c r="D452" s="35">
        <v>6550.52</v>
      </c>
      <c r="E452" s="35">
        <v>6716.2</v>
      </c>
      <c r="F452" s="35">
        <v>6470.8</v>
      </c>
      <c r="G452" s="35">
        <v>6528.15</v>
      </c>
      <c r="H452" s="35">
        <v>6608.89</v>
      </c>
      <c r="I452" s="35">
        <v>6579.57</v>
      </c>
      <c r="J452" s="35">
        <v>6572.17</v>
      </c>
      <c r="K452" s="35">
        <v>6506.12</v>
      </c>
      <c r="L452" s="35">
        <v>6543.77</v>
      </c>
      <c r="M452" s="35">
        <v>6630.4</v>
      </c>
      <c r="N452" s="35">
        <v>6771.51</v>
      </c>
      <c r="O452" s="35">
        <v>6621.39</v>
      </c>
      <c r="P452" s="35">
        <v>6673.15</v>
      </c>
      <c r="Q452" s="50">
        <f>IF((L453=""),"",MAX(D454:P454))</f>
        <v>5381.57</v>
      </c>
      <c r="R452" s="57">
        <f>IF(L453="","",MIN(D454:L454))</f>
        <v>5227.8500000000004</v>
      </c>
      <c r="S452" s="53">
        <f>IF((P454=""),"",AVERAGE(D454:P454))</f>
        <v>5296.5561538461534</v>
      </c>
      <c r="T452" s="53">
        <f>IF((L453=""),"",(Q452-R452)/(Q452+R452)*100)</f>
        <v>1.4489010709350685</v>
      </c>
      <c r="U452" s="57">
        <f>STDEV(D454:P454)</f>
        <v>54.793239476304606</v>
      </c>
      <c r="V452" s="276" t="str">
        <f>IF(P453="","",IF(T452&lt;2.7,IF(S452&gt;5150,IF(S452&lt;5600,"Pass","Fail"),"Fail"),"Fail"))</f>
        <v>Pass</v>
      </c>
      <c r="W452" s="57">
        <v>121</v>
      </c>
      <c r="X452" s="257"/>
      <c r="Y452" s="99"/>
      <c r="Z452" s="71">
        <v>4470</v>
      </c>
      <c r="AA452" s="71">
        <v>6020</v>
      </c>
      <c r="AB452" s="71">
        <v>5150</v>
      </c>
      <c r="AC452" s="71">
        <v>5600</v>
      </c>
      <c r="AD452" s="70">
        <v>2.7</v>
      </c>
      <c r="AE452" s="69">
        <v>10</v>
      </c>
    </row>
    <row r="453" spans="1:31" ht="12.75" customHeight="1" x14ac:dyDescent="0.25">
      <c r="A453" s="96"/>
      <c r="B453" s="47"/>
      <c r="C453" s="56" t="s">
        <v>204</v>
      </c>
      <c r="D453" s="35">
        <v>1322.67</v>
      </c>
      <c r="E453" s="35">
        <v>1466.51</v>
      </c>
      <c r="F453" s="35">
        <v>1240.6199999999999</v>
      </c>
      <c r="G453" s="35">
        <v>1181.07</v>
      </c>
      <c r="H453" s="35">
        <v>1344.28</v>
      </c>
      <c r="I453" s="35">
        <v>1238.76</v>
      </c>
      <c r="J453" s="35">
        <v>1190.5999999999999</v>
      </c>
      <c r="K453" s="35">
        <v>1125.17</v>
      </c>
      <c r="L453" s="35">
        <v>1305.6300000000001</v>
      </c>
      <c r="M453" s="35">
        <v>1300.25</v>
      </c>
      <c r="N453" s="35">
        <v>1488.81</v>
      </c>
      <c r="O453" s="35">
        <v>1334.04</v>
      </c>
      <c r="P453" s="35">
        <v>1379</v>
      </c>
      <c r="Q453" s="47"/>
      <c r="R453" s="47"/>
      <c r="S453" s="47"/>
      <c r="T453" s="47"/>
      <c r="U453" s="47"/>
      <c r="V453" s="274"/>
      <c r="W453" s="47"/>
      <c r="X453" s="257"/>
      <c r="Y453" s="102"/>
    </row>
    <row r="454" spans="1:31" ht="23.95" customHeight="1" x14ac:dyDescent="0.25">
      <c r="A454" s="96"/>
      <c r="B454" s="80"/>
      <c r="C454" s="56" t="s">
        <v>203</v>
      </c>
      <c r="D454" s="97">
        <f t="shared" ref="D454:P454" si="147">IF(((D452="")*AND(D453="")),"",(D452-D453))</f>
        <v>5227.8500000000004</v>
      </c>
      <c r="E454" s="97">
        <f t="shared" si="147"/>
        <v>5249.69</v>
      </c>
      <c r="F454" s="97">
        <f t="shared" si="147"/>
        <v>5230.18</v>
      </c>
      <c r="G454" s="97">
        <f t="shared" si="147"/>
        <v>5347.08</v>
      </c>
      <c r="H454" s="97">
        <f t="shared" si="147"/>
        <v>5264.6100000000006</v>
      </c>
      <c r="I454" s="97">
        <f t="shared" si="147"/>
        <v>5340.8099999999995</v>
      </c>
      <c r="J454" s="97">
        <f t="shared" si="147"/>
        <v>5381.57</v>
      </c>
      <c r="K454" s="97">
        <f t="shared" si="147"/>
        <v>5380.95</v>
      </c>
      <c r="L454" s="97">
        <f t="shared" si="147"/>
        <v>5238.1400000000003</v>
      </c>
      <c r="M454" s="97">
        <f t="shared" si="147"/>
        <v>5330.15</v>
      </c>
      <c r="N454" s="97">
        <f t="shared" si="147"/>
        <v>5282.7000000000007</v>
      </c>
      <c r="O454" s="97">
        <f t="shared" si="147"/>
        <v>5287.35</v>
      </c>
      <c r="P454" s="97">
        <f t="shared" si="147"/>
        <v>5294.15</v>
      </c>
      <c r="Q454" s="80"/>
      <c r="R454" s="80"/>
      <c r="S454" s="80"/>
      <c r="T454" s="47"/>
      <c r="U454" s="80"/>
      <c r="V454" s="277"/>
      <c r="W454" s="80"/>
      <c r="X454" s="257"/>
      <c r="Y454" s="102"/>
    </row>
    <row r="455" spans="1:31" x14ac:dyDescent="0.25">
      <c r="A455" s="90">
        <v>43135</v>
      </c>
      <c r="B455" s="50" t="s">
        <v>208</v>
      </c>
      <c r="C455" s="56" t="s">
        <v>205</v>
      </c>
      <c r="D455" s="35">
        <v>5857.47</v>
      </c>
      <c r="E455" s="35">
        <v>5999.6</v>
      </c>
      <c r="F455" s="35">
        <v>6025.68</v>
      </c>
      <c r="G455" s="35">
        <v>5982.68</v>
      </c>
      <c r="H455" s="35">
        <v>5800.65</v>
      </c>
      <c r="I455" s="35">
        <v>5819.01</v>
      </c>
      <c r="J455" s="35">
        <v>6000.35</v>
      </c>
      <c r="K455" s="35">
        <v>6014.38</v>
      </c>
      <c r="L455" s="35">
        <v>5904.86</v>
      </c>
      <c r="M455" s="55"/>
      <c r="N455" s="55"/>
      <c r="O455" s="55"/>
      <c r="P455" s="55"/>
      <c r="Q455" s="50">
        <f>IF((L456=""),"",MAX(D457:L457))</f>
        <v>6602.5599999999995</v>
      </c>
      <c r="R455" s="50">
        <f>IF(L456="","",MIN(D457:L457))</f>
        <v>6090.02</v>
      </c>
      <c r="S455" s="77">
        <f>IF((L457=""),"",AVERAGE(D457:L457))</f>
        <v>6318.5666666666666</v>
      </c>
      <c r="T455" s="52">
        <f>IF((L456=""),"",(Q455-R455)/(Q455+R455)*100)</f>
        <v>4.0381073036372364</v>
      </c>
      <c r="U455" s="50">
        <f>STDEV(D457:P457)</f>
        <v>144.5579523928032</v>
      </c>
      <c r="V455" s="273" t="str">
        <f>IF(L456="","",IF(T455&lt;9.8,IF(S455&gt;5100,IF(S455&lt;8300,"Pass","Fail"),"Fail"),"Fail"))</f>
        <v>Pass</v>
      </c>
      <c r="W455" s="47">
        <v>121</v>
      </c>
      <c r="X455" s="257"/>
      <c r="Y455" s="102"/>
      <c r="Z455" s="37">
        <v>4955</v>
      </c>
      <c r="AA455" s="37">
        <v>9645</v>
      </c>
      <c r="AB455" s="37">
        <v>5100</v>
      </c>
      <c r="AC455" s="37">
        <v>8300</v>
      </c>
      <c r="AD455" s="69">
        <v>9.8000000000000007</v>
      </c>
      <c r="AE455" s="69">
        <v>10</v>
      </c>
    </row>
    <row r="456" spans="1:31" ht="12.75" customHeight="1" x14ac:dyDescent="0.25">
      <c r="A456" s="49"/>
      <c r="B456" s="47"/>
      <c r="C456" s="56" t="s">
        <v>204</v>
      </c>
      <c r="D456" s="35">
        <v>2630.79</v>
      </c>
      <c r="E456" s="35">
        <v>2834.29</v>
      </c>
      <c r="F456" s="35">
        <v>2902.07</v>
      </c>
      <c r="G456" s="35">
        <v>2809.03</v>
      </c>
      <c r="H456" s="35">
        <v>2499.37</v>
      </c>
      <c r="I456" s="35">
        <v>2774</v>
      </c>
      <c r="J456" s="35">
        <v>2854.6</v>
      </c>
      <c r="K456" s="35">
        <v>2896.42</v>
      </c>
      <c r="L456" s="35">
        <v>2770.56</v>
      </c>
      <c r="M456" s="55"/>
      <c r="N456" s="55"/>
      <c r="O456" s="55"/>
      <c r="P456" s="55"/>
      <c r="Q456" s="47"/>
      <c r="R456" s="47"/>
      <c r="S456" s="47"/>
      <c r="T456" s="47"/>
      <c r="U456" s="47"/>
      <c r="V456" s="274"/>
      <c r="W456" s="47"/>
      <c r="X456" s="257"/>
      <c r="Y456" s="102"/>
    </row>
    <row r="457" spans="1:31" ht="24.8" customHeight="1" thickBot="1" x14ac:dyDescent="0.3">
      <c r="A457" s="45"/>
      <c r="B457" s="42"/>
      <c r="C457" s="76" t="s">
        <v>203</v>
      </c>
      <c r="D457" s="84">
        <f t="shared" ref="D457:L457" si="148">IF(((D455="")*AND(D456="")),"",(D455-D456)*2)</f>
        <v>6453.3600000000006</v>
      </c>
      <c r="E457" s="84">
        <f t="shared" si="148"/>
        <v>6330.6200000000008</v>
      </c>
      <c r="F457" s="84">
        <f t="shared" si="148"/>
        <v>6247.22</v>
      </c>
      <c r="G457" s="84">
        <f t="shared" si="148"/>
        <v>6347.3</v>
      </c>
      <c r="H457" s="84">
        <f t="shared" si="148"/>
        <v>6602.5599999999995</v>
      </c>
      <c r="I457" s="84">
        <f t="shared" si="148"/>
        <v>6090.02</v>
      </c>
      <c r="J457" s="84">
        <f t="shared" si="148"/>
        <v>6291.5000000000009</v>
      </c>
      <c r="K457" s="84">
        <f t="shared" si="148"/>
        <v>6235.92</v>
      </c>
      <c r="L457" s="84">
        <f t="shared" si="148"/>
        <v>6268.5999999999995</v>
      </c>
      <c r="M457" s="84"/>
      <c r="N457" s="84"/>
      <c r="O457" s="84"/>
      <c r="P457" s="84" t="str">
        <f>IF(((P455="")*AND(P456="")),"",(P455-P456)*2)</f>
        <v/>
      </c>
      <c r="Q457" s="42"/>
      <c r="R457" s="42"/>
      <c r="S457" s="42"/>
      <c r="T457" s="42"/>
      <c r="U457" s="42"/>
      <c r="V457" s="275"/>
      <c r="W457" s="42"/>
      <c r="X457" s="257"/>
      <c r="Y457" s="101"/>
    </row>
    <row r="458" spans="1:31" ht="12.75" customHeight="1" x14ac:dyDescent="0.25">
      <c r="A458" s="96">
        <v>43140</v>
      </c>
      <c r="B458" s="57" t="s">
        <v>206</v>
      </c>
      <c r="C458" s="61" t="s">
        <v>205</v>
      </c>
      <c r="D458" s="35">
        <v>6703.28</v>
      </c>
      <c r="E458" s="35">
        <v>6906.4</v>
      </c>
      <c r="F458" s="35">
        <v>6623.56</v>
      </c>
      <c r="G458" s="35">
        <v>6685.79</v>
      </c>
      <c r="H458" s="35">
        <v>6816.91</v>
      </c>
      <c r="I458" s="35">
        <v>6754.22</v>
      </c>
      <c r="J458" s="35">
        <v>6745.04</v>
      </c>
      <c r="K458" s="35">
        <v>6672.25</v>
      </c>
      <c r="L458" s="35">
        <v>6704.65</v>
      </c>
      <c r="M458" s="35">
        <v>6799.54</v>
      </c>
      <c r="N458" s="35">
        <v>6989.31</v>
      </c>
      <c r="O458" s="35">
        <v>6780.5</v>
      </c>
      <c r="P458" s="35">
        <v>6881.57</v>
      </c>
      <c r="Q458" s="50">
        <f>IF((L459=""),"",MAX(D460:P460))</f>
        <v>5413.76</v>
      </c>
      <c r="R458" s="57">
        <f>IF(L459="","",MIN(D460:L460))</f>
        <v>5265.7600000000011</v>
      </c>
      <c r="S458" s="53">
        <f>IF((P460=""),"",AVERAGE(D460:P460))</f>
        <v>5330.4430769230767</v>
      </c>
      <c r="T458" s="53">
        <f>IF((L459=""),"",(Q458-R458)/(Q458+R458)*100)</f>
        <v>1.3858300747599057</v>
      </c>
      <c r="U458" s="57">
        <f>STDEV(D460:P460)</f>
        <v>51.499497632600807</v>
      </c>
      <c r="V458" s="276" t="str">
        <f>IF(P459="","",IF(T458&lt;2.7,IF(S458&gt;5150,IF(S458&lt;5600,"Pass","Fail"),"Fail"),"Fail"))</f>
        <v>Pass</v>
      </c>
      <c r="W458" s="57">
        <v>1159</v>
      </c>
      <c r="X458" s="257"/>
      <c r="Y458" s="98" t="s">
        <v>314</v>
      </c>
      <c r="Z458" s="71">
        <v>4470</v>
      </c>
      <c r="AA458" s="71">
        <v>6020</v>
      </c>
      <c r="AB458" s="71">
        <v>5150</v>
      </c>
      <c r="AC458" s="71">
        <v>5600</v>
      </c>
      <c r="AD458" s="70">
        <v>2.7</v>
      </c>
      <c r="AE458" s="69">
        <v>10</v>
      </c>
    </row>
    <row r="459" spans="1:31" ht="12.75" customHeight="1" x14ac:dyDescent="0.25">
      <c r="A459" s="96"/>
      <c r="B459" s="47"/>
      <c r="C459" s="56" t="s">
        <v>204</v>
      </c>
      <c r="D459" s="35">
        <v>4067.66</v>
      </c>
      <c r="E459" s="35">
        <v>4270.75</v>
      </c>
      <c r="F459" s="35">
        <v>3990.68</v>
      </c>
      <c r="G459" s="35">
        <v>3987.78</v>
      </c>
      <c r="H459" s="35">
        <v>4170.1899999999996</v>
      </c>
      <c r="I459" s="35">
        <v>4070.6</v>
      </c>
      <c r="J459" s="35">
        <v>4038.16</v>
      </c>
      <c r="K459" s="35">
        <v>3983.73</v>
      </c>
      <c r="L459" s="35">
        <v>4062.16</v>
      </c>
      <c r="M459" s="35">
        <v>4110.74</v>
      </c>
      <c r="N459" s="35">
        <v>4331.08</v>
      </c>
      <c r="O459" s="35">
        <v>4116.72</v>
      </c>
      <c r="P459" s="35">
        <v>4214.8900000000003</v>
      </c>
      <c r="Q459" s="47"/>
      <c r="R459" s="47"/>
      <c r="S459" s="47"/>
      <c r="T459" s="47"/>
      <c r="U459" s="47"/>
      <c r="V459" s="274"/>
      <c r="W459" s="47"/>
      <c r="X459" s="257"/>
      <c r="Y459" s="102"/>
    </row>
    <row r="460" spans="1:31" ht="23.95" customHeight="1" x14ac:dyDescent="0.25">
      <c r="A460" s="96"/>
      <c r="B460" s="80"/>
      <c r="C460" s="56" t="s">
        <v>203</v>
      </c>
      <c r="D460" s="97">
        <f t="shared" ref="D460:P460" si="149">IF(((D458="")*AND(D459="")),"",(D458-D459)*2)</f>
        <v>5271.24</v>
      </c>
      <c r="E460" s="97">
        <f t="shared" si="149"/>
        <v>5271.2999999999993</v>
      </c>
      <c r="F460" s="97">
        <f t="shared" si="149"/>
        <v>5265.7600000000011</v>
      </c>
      <c r="G460" s="97">
        <f t="shared" si="149"/>
        <v>5396.0199999999995</v>
      </c>
      <c r="H460" s="97">
        <f t="shared" si="149"/>
        <v>5293.4400000000005</v>
      </c>
      <c r="I460" s="97">
        <f t="shared" si="149"/>
        <v>5367.2400000000007</v>
      </c>
      <c r="J460" s="97">
        <f t="shared" si="149"/>
        <v>5413.76</v>
      </c>
      <c r="K460" s="97">
        <f t="shared" si="149"/>
        <v>5377.04</v>
      </c>
      <c r="L460" s="97">
        <f t="shared" si="149"/>
        <v>5284.98</v>
      </c>
      <c r="M460" s="97">
        <f t="shared" si="149"/>
        <v>5377.6</v>
      </c>
      <c r="N460" s="97">
        <f t="shared" si="149"/>
        <v>5316.4600000000009</v>
      </c>
      <c r="O460" s="97">
        <f t="shared" si="149"/>
        <v>5327.5599999999995</v>
      </c>
      <c r="P460" s="97">
        <f t="shared" si="149"/>
        <v>5333.3599999999988</v>
      </c>
      <c r="Q460" s="80"/>
      <c r="R460" s="80"/>
      <c r="S460" s="80"/>
      <c r="T460" s="47"/>
      <c r="U460" s="80"/>
      <c r="V460" s="277"/>
      <c r="W460" s="80"/>
      <c r="X460" s="257"/>
      <c r="Y460" s="102"/>
    </row>
    <row r="461" spans="1:31" x14ac:dyDescent="0.25">
      <c r="A461" s="96">
        <v>43140</v>
      </c>
      <c r="B461" s="50" t="s">
        <v>208</v>
      </c>
      <c r="C461" s="56" t="s">
        <v>205</v>
      </c>
      <c r="D461" s="35">
        <v>5847.05</v>
      </c>
      <c r="E461" s="35">
        <v>6006.85</v>
      </c>
      <c r="F461" s="35">
        <v>6037.39</v>
      </c>
      <c r="G461" s="35">
        <v>5997.15</v>
      </c>
      <c r="H461" s="35">
        <v>5765.99</v>
      </c>
      <c r="I461" s="35">
        <v>5776.23</v>
      </c>
      <c r="J461" s="35">
        <v>6008.07</v>
      </c>
      <c r="K461" s="35">
        <v>6033.05</v>
      </c>
      <c r="L461" s="35">
        <v>5897.19</v>
      </c>
      <c r="M461" s="55"/>
      <c r="N461" s="55"/>
      <c r="O461" s="55"/>
      <c r="P461" s="55"/>
      <c r="Q461" s="50">
        <f>IF((L462=""),"",MAX(D463:L463))</f>
        <v>6471.5400000000009</v>
      </c>
      <c r="R461" s="50">
        <f>IF(L462="","",MIN(D463:L463))</f>
        <v>6313.4399999999987</v>
      </c>
      <c r="S461" s="77">
        <f>IF((L463=""),"",AVERAGE(D463:L463))</f>
        <v>6418.2599999999993</v>
      </c>
      <c r="T461" s="52">
        <f>IF((L462=""),"",(Q461-R461)/(Q461+R461)*100)</f>
        <v>1.2366073314154749</v>
      </c>
      <c r="U461" s="50">
        <f>STDEV(D463:P463)</f>
        <v>51.220069308817443</v>
      </c>
      <c r="V461" s="273" t="str">
        <f>IF(L462="","",IF(T461&lt;9.8,IF(S461&gt;5100,IF(S461&lt;8300,"Pass","Fail"),"Fail"),"Fail"))</f>
        <v>Pass</v>
      </c>
      <c r="W461" s="47">
        <v>1159</v>
      </c>
      <c r="X461" s="257"/>
      <c r="Y461" s="102" t="s">
        <v>315</v>
      </c>
      <c r="Z461" s="37">
        <v>4955</v>
      </c>
      <c r="AA461" s="37">
        <v>9645</v>
      </c>
      <c r="AB461" s="37">
        <v>5100</v>
      </c>
      <c r="AC461" s="37">
        <v>8300</v>
      </c>
      <c r="AD461" s="69">
        <v>9.8000000000000007</v>
      </c>
      <c r="AE461" s="69">
        <v>10</v>
      </c>
    </row>
    <row r="462" spans="1:31" ht="12.75" customHeight="1" x14ac:dyDescent="0.25">
      <c r="A462" s="49"/>
      <c r="B462" s="47"/>
      <c r="C462" s="56" t="s">
        <v>204</v>
      </c>
      <c r="D462" s="35">
        <v>3718.25</v>
      </c>
      <c r="E462" s="35">
        <v>3849.67</v>
      </c>
      <c r="F462" s="35">
        <v>3886.91</v>
      </c>
      <c r="G462" s="35">
        <v>3843.87</v>
      </c>
      <c r="H462" s="35">
        <v>3628.47</v>
      </c>
      <c r="I462" s="35">
        <v>3650.57</v>
      </c>
      <c r="J462" s="35">
        <v>3858.01</v>
      </c>
      <c r="K462" s="35">
        <v>3885.73</v>
      </c>
      <c r="L462" s="35">
        <v>3792.71</v>
      </c>
      <c r="M462" s="55"/>
      <c r="N462" s="55"/>
      <c r="O462" s="55"/>
      <c r="P462" s="55"/>
      <c r="Q462" s="47"/>
      <c r="R462" s="47"/>
      <c r="S462" s="47"/>
      <c r="T462" s="47"/>
      <c r="U462" s="47"/>
      <c r="V462" s="274"/>
      <c r="W462" s="47"/>
      <c r="X462" s="257"/>
      <c r="Y462" s="102"/>
    </row>
    <row r="463" spans="1:31" ht="24.8" customHeight="1" thickBot="1" x14ac:dyDescent="0.3">
      <c r="A463" s="45"/>
      <c r="B463" s="42"/>
      <c r="C463" s="76" t="s">
        <v>203</v>
      </c>
      <c r="D463" s="84">
        <f t="shared" ref="D463:L463" si="150">IF(((D461="")*AND(D462="")),"",(D461-D462)*3)</f>
        <v>6386.4000000000005</v>
      </c>
      <c r="E463" s="84">
        <f t="shared" si="150"/>
        <v>6471.5400000000009</v>
      </c>
      <c r="F463" s="84">
        <f t="shared" si="150"/>
        <v>6451.4400000000014</v>
      </c>
      <c r="G463" s="84">
        <f t="shared" si="150"/>
        <v>6459.8399999999992</v>
      </c>
      <c r="H463" s="84">
        <f t="shared" si="150"/>
        <v>6412.5599999999995</v>
      </c>
      <c r="I463" s="84">
        <f t="shared" si="150"/>
        <v>6376.9799999999977</v>
      </c>
      <c r="J463" s="84">
        <f t="shared" si="150"/>
        <v>6450.1799999999985</v>
      </c>
      <c r="K463" s="84">
        <f t="shared" si="150"/>
        <v>6441.9600000000009</v>
      </c>
      <c r="L463" s="84">
        <f t="shared" si="150"/>
        <v>6313.4399999999987</v>
      </c>
      <c r="M463" s="84"/>
      <c r="N463" s="84"/>
      <c r="O463" s="84"/>
      <c r="P463" s="84" t="str">
        <f>IF(((P461="")*AND(P462="")),"",(P461-P462)*2)</f>
        <v/>
      </c>
      <c r="Q463" s="42"/>
      <c r="R463" s="42"/>
      <c r="S463" s="42"/>
      <c r="T463" s="42"/>
      <c r="U463" s="42"/>
      <c r="V463" s="275"/>
      <c r="W463" s="42"/>
      <c r="X463" s="257"/>
      <c r="Y463" s="101"/>
    </row>
    <row r="464" spans="1:31" ht="12.75" customHeight="1" x14ac:dyDescent="0.25">
      <c r="A464" s="96">
        <v>43144</v>
      </c>
      <c r="B464" s="57" t="s">
        <v>206</v>
      </c>
      <c r="C464" s="61" t="s">
        <v>205</v>
      </c>
      <c r="D464" s="35">
        <v>4067.66</v>
      </c>
      <c r="E464" s="35">
        <v>4270.75</v>
      </c>
      <c r="F464" s="35">
        <v>3990.68</v>
      </c>
      <c r="G464" s="35">
        <v>3987.78</v>
      </c>
      <c r="H464" s="35">
        <v>4170.1899999999996</v>
      </c>
      <c r="I464" s="35">
        <v>4070.6</v>
      </c>
      <c r="J464" s="35">
        <v>4038.16</v>
      </c>
      <c r="K464" s="35">
        <v>3983.73</v>
      </c>
      <c r="L464" s="35">
        <v>4062.16</v>
      </c>
      <c r="M464" s="35">
        <v>4110.74</v>
      </c>
      <c r="N464" s="35">
        <v>4331.08</v>
      </c>
      <c r="O464" s="35">
        <v>4116.72</v>
      </c>
      <c r="P464" s="35">
        <v>4214.8900000000003</v>
      </c>
      <c r="Q464" s="50">
        <f>IF((L465=""),"",MAX(D466:P466))</f>
        <v>5380.72</v>
      </c>
      <c r="R464" s="57">
        <f>IF(L465="","",MIN(D466:L466))</f>
        <v>5195.66</v>
      </c>
      <c r="S464" s="53">
        <f>IF((P466=""),"",AVERAGE(D466:P466))</f>
        <v>5273.1</v>
      </c>
      <c r="T464" s="53">
        <f>IF((L465=""),"",(Q464-R464)/(Q464+R464)*100)</f>
        <v>1.7497480234257883</v>
      </c>
      <c r="U464" s="57">
        <f>STDEV(D466:P466)</f>
        <v>54.483934023404395</v>
      </c>
      <c r="V464" s="276" t="str">
        <f>IF(P465="","",IF(T464&lt;2.7,IF(S464&gt;5150,IF(S464&lt;5600,"Pass","Fail"),"Fail"),"Fail"))</f>
        <v>Pass</v>
      </c>
      <c r="W464" s="57">
        <v>1428</v>
      </c>
      <c r="X464" s="257"/>
      <c r="Y464" s="98" t="s">
        <v>314</v>
      </c>
      <c r="Z464" s="71">
        <v>4470</v>
      </c>
      <c r="AA464" s="71">
        <v>6020</v>
      </c>
      <c r="AB464" s="71">
        <v>5150</v>
      </c>
      <c r="AC464" s="71">
        <v>5600</v>
      </c>
      <c r="AD464" s="70">
        <v>2.7</v>
      </c>
      <c r="AE464" s="69">
        <v>10</v>
      </c>
    </row>
    <row r="465" spans="1:31" ht="12.75" customHeight="1" x14ac:dyDescent="0.25">
      <c r="A465" s="96"/>
      <c r="B465" s="47"/>
      <c r="C465" s="56" t="s">
        <v>204</v>
      </c>
      <c r="D465" s="35">
        <v>1469.83</v>
      </c>
      <c r="E465" s="35">
        <v>1654.63</v>
      </c>
      <c r="F465" s="35">
        <v>1387.6</v>
      </c>
      <c r="G465" s="35">
        <v>1330.98</v>
      </c>
      <c r="H465" s="35">
        <v>1547.07</v>
      </c>
      <c r="I465" s="35">
        <v>1414.8</v>
      </c>
      <c r="J465" s="35">
        <v>1371.49</v>
      </c>
      <c r="K465" s="35">
        <v>1293.3699999999999</v>
      </c>
      <c r="L465" s="35">
        <v>1452.62</v>
      </c>
      <c r="M465" s="35">
        <v>1456.73</v>
      </c>
      <c r="N465" s="35">
        <v>1702.72</v>
      </c>
      <c r="O465" s="35">
        <v>1481.29</v>
      </c>
      <c r="P465" s="35">
        <v>1576.86</v>
      </c>
      <c r="Q465" s="47"/>
      <c r="R465" s="47"/>
      <c r="S465" s="47"/>
      <c r="T465" s="47"/>
      <c r="U465" s="47"/>
      <c r="V465" s="274"/>
      <c r="W465" s="47"/>
      <c r="X465" s="257"/>
      <c r="Y465" s="102"/>
    </row>
    <row r="466" spans="1:31" ht="23.95" customHeight="1" x14ac:dyDescent="0.25">
      <c r="A466" s="96"/>
      <c r="B466" s="80"/>
      <c r="C466" s="56" t="s">
        <v>203</v>
      </c>
      <c r="D466" s="97">
        <f t="shared" ref="D466:P466" si="151">IF(((D464="")*AND(D465="")),"",(D464-D465)*2)</f>
        <v>5195.66</v>
      </c>
      <c r="E466" s="97">
        <f t="shared" si="151"/>
        <v>5232.24</v>
      </c>
      <c r="F466" s="97">
        <f t="shared" si="151"/>
        <v>5206.16</v>
      </c>
      <c r="G466" s="97">
        <f t="shared" si="151"/>
        <v>5313.6</v>
      </c>
      <c r="H466" s="97">
        <f t="shared" si="151"/>
        <v>5246.24</v>
      </c>
      <c r="I466" s="97">
        <f t="shared" si="151"/>
        <v>5311.6</v>
      </c>
      <c r="J466" s="97">
        <f t="shared" si="151"/>
        <v>5333.34</v>
      </c>
      <c r="K466" s="97">
        <f t="shared" si="151"/>
        <v>5380.72</v>
      </c>
      <c r="L466" s="97">
        <f t="shared" si="151"/>
        <v>5219.08</v>
      </c>
      <c r="M466" s="97">
        <f t="shared" si="151"/>
        <v>5308.0199999999995</v>
      </c>
      <c r="N466" s="97">
        <f t="shared" si="151"/>
        <v>5256.7199999999993</v>
      </c>
      <c r="O466" s="97">
        <f t="shared" si="151"/>
        <v>5270.8600000000006</v>
      </c>
      <c r="P466" s="97">
        <f t="shared" si="151"/>
        <v>5276.0600000000013</v>
      </c>
      <c r="Q466" s="80"/>
      <c r="R466" s="80"/>
      <c r="S466" s="80"/>
      <c r="T466" s="47"/>
      <c r="U466" s="80"/>
      <c r="V466" s="277"/>
      <c r="W466" s="80"/>
      <c r="X466" s="257"/>
      <c r="Y466" s="102"/>
    </row>
    <row r="467" spans="1:31" x14ac:dyDescent="0.25">
      <c r="A467" s="96">
        <v>43144</v>
      </c>
      <c r="B467" s="50" t="s">
        <v>208</v>
      </c>
      <c r="C467" s="56" t="s">
        <v>205</v>
      </c>
      <c r="D467" s="35">
        <v>3718.25</v>
      </c>
      <c r="E467" s="35">
        <v>3849.67</v>
      </c>
      <c r="F467" s="35">
        <v>3886.91</v>
      </c>
      <c r="G467" s="35">
        <v>3843.87</v>
      </c>
      <c r="H467" s="35">
        <v>3628.47</v>
      </c>
      <c r="I467" s="35">
        <v>3650.57</v>
      </c>
      <c r="J467" s="35">
        <v>3858.01</v>
      </c>
      <c r="K467" s="35">
        <v>3885.73</v>
      </c>
      <c r="L467" s="35">
        <v>3792.71</v>
      </c>
      <c r="M467" s="55"/>
      <c r="N467" s="55"/>
      <c r="O467" s="55"/>
      <c r="P467" s="55"/>
      <c r="Q467" s="50">
        <f>IF((L468=""),"",MAX(D469:L469))</f>
        <v>6514.74</v>
      </c>
      <c r="R467" s="50">
        <f>IF(L468="","",MIN(D469:L469))</f>
        <v>6020.37</v>
      </c>
      <c r="S467" s="77">
        <f>IF((L469=""),"",AVERAGE(D469:L469))</f>
        <v>6176.506666666668</v>
      </c>
      <c r="T467" s="52">
        <f>IF((L468=""),"",(Q467-R467)/(Q467+R467)*100)</f>
        <v>3.9438824230501357</v>
      </c>
      <c r="U467" s="50">
        <f>STDEV(D469:P469)</f>
        <v>182.14037018190118</v>
      </c>
      <c r="V467" s="273" t="str">
        <f>IF(L468="","",IF(T467&lt;9.8,IF(S467&gt;5100,IF(S467&lt;8300,"Pass","Fail"),"Fail"),"Fail"))</f>
        <v>Pass</v>
      </c>
      <c r="W467" s="47">
        <v>1428</v>
      </c>
      <c r="X467" s="257"/>
      <c r="Y467" s="102" t="s">
        <v>315</v>
      </c>
      <c r="Z467" s="37">
        <v>4955</v>
      </c>
      <c r="AA467" s="37">
        <v>9645</v>
      </c>
      <c r="AB467" s="37">
        <v>5100</v>
      </c>
      <c r="AC467" s="37">
        <v>8300</v>
      </c>
      <c r="AD467" s="69">
        <v>9.8000000000000007</v>
      </c>
      <c r="AE467" s="69">
        <v>10</v>
      </c>
    </row>
    <row r="468" spans="1:31" ht="12.75" customHeight="1" x14ac:dyDescent="0.25">
      <c r="A468" s="49"/>
      <c r="B468" s="47"/>
      <c r="C468" s="56" t="s">
        <v>204</v>
      </c>
      <c r="D468" s="35">
        <v>1546.67</v>
      </c>
      <c r="E468" s="35">
        <v>1821.69</v>
      </c>
      <c r="F468" s="35">
        <v>1867.06</v>
      </c>
      <c r="G468" s="35">
        <v>1779.57</v>
      </c>
      <c r="H468" s="35">
        <v>1612.37</v>
      </c>
      <c r="I468" s="35">
        <v>1502.28</v>
      </c>
      <c r="J468" s="35">
        <v>1800.54</v>
      </c>
      <c r="K468" s="35">
        <v>1868.57</v>
      </c>
      <c r="L468" s="35">
        <v>1785.92</v>
      </c>
      <c r="M468" s="55"/>
      <c r="N468" s="55"/>
      <c r="O468" s="55"/>
      <c r="P468" s="55"/>
      <c r="Q468" s="47"/>
      <c r="R468" s="47"/>
      <c r="S468" s="47"/>
      <c r="T468" s="47"/>
      <c r="U468" s="47"/>
      <c r="V468" s="274"/>
      <c r="W468" s="47"/>
      <c r="X468" s="257"/>
      <c r="Y468" s="102"/>
    </row>
    <row r="469" spans="1:31" ht="24.8" customHeight="1" thickBot="1" x14ac:dyDescent="0.3">
      <c r="A469" s="45"/>
      <c r="B469" s="42"/>
      <c r="C469" s="76" t="s">
        <v>203</v>
      </c>
      <c r="D469" s="84">
        <f t="shared" ref="D469:L469" si="152">IF(((D467="")*AND(D468="")),"",(D467-D468)*3)</f>
        <v>6514.74</v>
      </c>
      <c r="E469" s="84">
        <f t="shared" si="152"/>
        <v>6083.9400000000005</v>
      </c>
      <c r="F469" s="84">
        <f t="shared" si="152"/>
        <v>6059.5499999999993</v>
      </c>
      <c r="G469" s="84">
        <f t="shared" si="152"/>
        <v>6192.9000000000005</v>
      </c>
      <c r="H469" s="84">
        <f t="shared" si="152"/>
        <v>6048.2999999999993</v>
      </c>
      <c r="I469" s="84">
        <f t="shared" si="152"/>
        <v>6444.87</v>
      </c>
      <c r="J469" s="84">
        <f t="shared" si="152"/>
        <v>6172.4100000000008</v>
      </c>
      <c r="K469" s="84">
        <f t="shared" si="152"/>
        <v>6051.4800000000005</v>
      </c>
      <c r="L469" s="84">
        <f t="shared" si="152"/>
        <v>6020.37</v>
      </c>
      <c r="M469" s="84"/>
      <c r="N469" s="84"/>
      <c r="O469" s="84"/>
      <c r="P469" s="84" t="str">
        <f>IF(((P467="")*AND(P468="")),"",(P467-P468)*2)</f>
        <v/>
      </c>
      <c r="Q469" s="42"/>
      <c r="R469" s="42"/>
      <c r="S469" s="42"/>
      <c r="T469" s="42"/>
      <c r="U469" s="42"/>
      <c r="V469" s="275"/>
      <c r="W469" s="42"/>
      <c r="X469" s="257"/>
      <c r="Y469" s="101"/>
    </row>
    <row r="470" spans="1:31" ht="12.75" customHeight="1" x14ac:dyDescent="0.25">
      <c r="A470" s="96">
        <v>43172</v>
      </c>
      <c r="B470" s="57" t="s">
        <v>206</v>
      </c>
      <c r="C470" s="61" t="s">
        <v>205</v>
      </c>
      <c r="D470" s="35">
        <v>6743.49</v>
      </c>
      <c r="E470" s="35">
        <v>6927.74</v>
      </c>
      <c r="F470" s="35">
        <v>6640.78</v>
      </c>
      <c r="G470" s="35">
        <v>6692.9</v>
      </c>
      <c r="H470" s="35">
        <v>6833.38</v>
      </c>
      <c r="I470" s="35">
        <v>6770.55</v>
      </c>
      <c r="J470" s="35">
        <v>6739.69</v>
      </c>
      <c r="K470" s="35">
        <v>6670.79</v>
      </c>
      <c r="L470" s="35">
        <v>6712.4</v>
      </c>
      <c r="M470" s="35">
        <v>6800</v>
      </c>
      <c r="N470" s="35">
        <v>6987.24</v>
      </c>
      <c r="O470" s="35">
        <v>6787.98</v>
      </c>
      <c r="P470" s="35">
        <v>6877.33</v>
      </c>
      <c r="Q470" s="50">
        <f>IF((L471=""),"",MAX(D472:P472))</f>
        <v>5417.079999999999</v>
      </c>
      <c r="R470" s="57">
        <f>IF(L471="","",MIN(D472:L472))</f>
        <v>5260.76</v>
      </c>
      <c r="S470" s="53">
        <f>IF((P472=""),"",AVERAGE(D472:P472))</f>
        <v>5334.0476923076922</v>
      </c>
      <c r="T470" s="53">
        <f>IF((L471=""),"",(Q470-R470)/(Q470+R470)*100)</f>
        <v>1.4639664950963753</v>
      </c>
      <c r="U470" s="57">
        <f>STDEV(D472:P472)</f>
        <v>55.334738659942076</v>
      </c>
      <c r="V470" s="276" t="str">
        <f>IF(P471="","",IF(T470&lt;2.7,IF(S470&gt;5150,IF(S470&lt;5600,"Pass","Fail"),"Fail"),"Fail"))</f>
        <v>Pass</v>
      </c>
      <c r="W470" s="57">
        <v>102</v>
      </c>
      <c r="X470" s="257"/>
      <c r="Y470" s="98" t="s">
        <v>314</v>
      </c>
      <c r="Z470" s="71">
        <v>4470</v>
      </c>
      <c r="AA470" s="71">
        <v>6020</v>
      </c>
      <c r="AB470" s="71">
        <v>5150</v>
      </c>
      <c r="AC470" s="71">
        <v>5600</v>
      </c>
      <c r="AD470" s="70">
        <v>2.7</v>
      </c>
      <c r="AE470" s="69">
        <v>10</v>
      </c>
    </row>
    <row r="471" spans="1:31" ht="12.75" customHeight="1" x14ac:dyDescent="0.25">
      <c r="A471" s="96"/>
      <c r="B471" s="47"/>
      <c r="C471" s="56" t="s">
        <v>204</v>
      </c>
      <c r="D471" s="35">
        <v>4113.1099999999997</v>
      </c>
      <c r="E471" s="35">
        <v>4290.87</v>
      </c>
      <c r="F471" s="35">
        <v>4006.96</v>
      </c>
      <c r="G471" s="35">
        <v>3995.63</v>
      </c>
      <c r="H471" s="35">
        <v>4188.54</v>
      </c>
      <c r="I471" s="35">
        <v>4087.87</v>
      </c>
      <c r="J471" s="35">
        <v>4031.15</v>
      </c>
      <c r="K471" s="35">
        <v>3969.38</v>
      </c>
      <c r="L471" s="35">
        <v>4068.96</v>
      </c>
      <c r="M471" s="35">
        <v>4107.75</v>
      </c>
      <c r="N471" s="35">
        <v>4327.83</v>
      </c>
      <c r="O471" s="35">
        <v>4118.8999999999996</v>
      </c>
      <c r="P471" s="35">
        <v>4206.01</v>
      </c>
      <c r="Q471" s="47"/>
      <c r="R471" s="47"/>
      <c r="S471" s="47"/>
      <c r="T471" s="47"/>
      <c r="U471" s="47"/>
      <c r="V471" s="274"/>
      <c r="W471" s="47"/>
      <c r="X471" s="257"/>
      <c r="Y471" s="102"/>
    </row>
    <row r="472" spans="1:31" ht="23.95" customHeight="1" x14ac:dyDescent="0.25">
      <c r="A472" s="96"/>
      <c r="B472" s="80"/>
      <c r="C472" s="56" t="s">
        <v>203</v>
      </c>
      <c r="D472" s="97">
        <f t="shared" ref="D472:P472" si="153">IF(((D470="")*AND(D471="")),"",(D470-D471)*2)</f>
        <v>5260.76</v>
      </c>
      <c r="E472" s="97">
        <f t="shared" si="153"/>
        <v>5273.74</v>
      </c>
      <c r="F472" s="97">
        <f t="shared" si="153"/>
        <v>5267.6399999999994</v>
      </c>
      <c r="G472" s="97">
        <f t="shared" si="153"/>
        <v>5394.5399999999991</v>
      </c>
      <c r="H472" s="97">
        <f t="shared" si="153"/>
        <v>5289.68</v>
      </c>
      <c r="I472" s="97">
        <f t="shared" si="153"/>
        <v>5365.3600000000006</v>
      </c>
      <c r="J472" s="97">
        <f t="shared" si="153"/>
        <v>5417.079999999999</v>
      </c>
      <c r="K472" s="97">
        <f t="shared" si="153"/>
        <v>5402.82</v>
      </c>
      <c r="L472" s="97">
        <f t="shared" si="153"/>
        <v>5286.8799999999992</v>
      </c>
      <c r="M472" s="97">
        <f t="shared" si="153"/>
        <v>5384.5</v>
      </c>
      <c r="N472" s="97">
        <f t="shared" si="153"/>
        <v>5318.82</v>
      </c>
      <c r="O472" s="97">
        <f t="shared" si="153"/>
        <v>5338.16</v>
      </c>
      <c r="P472" s="97">
        <f t="shared" si="153"/>
        <v>5342.6399999999994</v>
      </c>
      <c r="Q472" s="80"/>
      <c r="R472" s="80"/>
      <c r="S472" s="80"/>
      <c r="T472" s="47"/>
      <c r="U472" s="80"/>
      <c r="V472" s="277"/>
      <c r="W472" s="80"/>
      <c r="X472" s="257"/>
      <c r="Y472" s="102"/>
    </row>
    <row r="473" spans="1:31" x14ac:dyDescent="0.25">
      <c r="A473" s="96">
        <v>43172</v>
      </c>
      <c r="B473" s="50" t="s">
        <v>208</v>
      </c>
      <c r="C473" s="56" t="s">
        <v>205</v>
      </c>
      <c r="D473" s="35">
        <v>5846.25</v>
      </c>
      <c r="E473" s="35">
        <v>5996.4</v>
      </c>
      <c r="F473" s="35">
        <v>6025.98</v>
      </c>
      <c r="G473" s="35">
        <v>5978.21</v>
      </c>
      <c r="H473" s="35">
        <v>5761.69</v>
      </c>
      <c r="I473" s="35">
        <v>5793.69</v>
      </c>
      <c r="J473" s="35">
        <v>6006.58</v>
      </c>
      <c r="K473" s="35">
        <v>6024.16</v>
      </c>
      <c r="L473" s="35">
        <v>5924.27</v>
      </c>
      <c r="M473" s="55"/>
      <c r="N473" s="55"/>
      <c r="O473" s="55"/>
      <c r="P473" s="55"/>
      <c r="Q473" s="50">
        <f>IF((L474=""),"",MAX(D475:L475))</f>
        <v>6411.93</v>
      </c>
      <c r="R473" s="50">
        <f>IF(L474="","",MIN(D475:L475))</f>
        <v>6319.7999999999984</v>
      </c>
      <c r="S473" s="77">
        <f>IF((L475=""),"",AVERAGE(D475:L475))</f>
        <v>6366.2366666666667</v>
      </c>
      <c r="T473" s="52">
        <f>IF((L474=""),"",(Q473-R473)/(Q473+R473)*100)</f>
        <v>0.72362514756440743</v>
      </c>
      <c r="U473" s="50">
        <f>STDEV(D475:P475)</f>
        <v>32.328509476930748</v>
      </c>
      <c r="V473" s="273" t="str">
        <f>IF(L474="","",IF(T473&lt;9.8,IF(S473&gt;5100,IF(S473&lt;8300,"Pass","Fail"),"Fail"),"Fail"))</f>
        <v>Pass</v>
      </c>
      <c r="W473" s="47">
        <v>102</v>
      </c>
      <c r="X473" s="257"/>
      <c r="Y473" s="102" t="s">
        <v>315</v>
      </c>
      <c r="Z473" s="37">
        <v>4955</v>
      </c>
      <c r="AA473" s="37">
        <v>9645</v>
      </c>
      <c r="AB473" s="37">
        <v>5100</v>
      </c>
      <c r="AC473" s="37">
        <v>8300</v>
      </c>
      <c r="AD473" s="69">
        <v>9.8000000000000007</v>
      </c>
      <c r="AE473" s="69">
        <v>10</v>
      </c>
    </row>
    <row r="474" spans="1:31" ht="12.75" customHeight="1" x14ac:dyDescent="0.25">
      <c r="A474" s="49"/>
      <c r="B474" s="47"/>
      <c r="C474" s="56" t="s">
        <v>204</v>
      </c>
      <c r="D474" s="35">
        <v>3737.19</v>
      </c>
      <c r="E474" s="35">
        <v>3871.63</v>
      </c>
      <c r="F474" s="35">
        <v>3894.43</v>
      </c>
      <c r="G474" s="35">
        <v>3854.37</v>
      </c>
      <c r="H474" s="35">
        <v>3655.09</v>
      </c>
      <c r="I474" s="35">
        <v>3665.07</v>
      </c>
      <c r="J474" s="35">
        <v>3869.27</v>
      </c>
      <c r="K474" s="35">
        <v>3897.96</v>
      </c>
      <c r="L474" s="35">
        <v>3813.51</v>
      </c>
      <c r="M474" s="55"/>
      <c r="N474" s="55"/>
      <c r="O474" s="55"/>
      <c r="P474" s="55"/>
      <c r="Q474" s="47"/>
      <c r="R474" s="47"/>
      <c r="S474" s="47"/>
      <c r="T474" s="47"/>
      <c r="U474" s="47"/>
      <c r="V474" s="274"/>
      <c r="W474" s="47"/>
      <c r="X474" s="257"/>
      <c r="Y474" s="102"/>
    </row>
    <row r="475" spans="1:31" ht="24.8" customHeight="1" thickBot="1" x14ac:dyDescent="0.3">
      <c r="A475" s="45"/>
      <c r="B475" s="42"/>
      <c r="C475" s="76" t="s">
        <v>203</v>
      </c>
      <c r="D475" s="84">
        <f t="shared" ref="D475:L475" si="154">IF(((D473="")*AND(D474="")),"",(D473-D474)*3)</f>
        <v>6327.18</v>
      </c>
      <c r="E475" s="84">
        <f t="shared" si="154"/>
        <v>6374.3099999999986</v>
      </c>
      <c r="F475" s="84">
        <f t="shared" si="154"/>
        <v>6394.65</v>
      </c>
      <c r="G475" s="84">
        <f t="shared" si="154"/>
        <v>6371.52</v>
      </c>
      <c r="H475" s="84">
        <f t="shared" si="154"/>
        <v>6319.7999999999984</v>
      </c>
      <c r="I475" s="84">
        <f t="shared" si="154"/>
        <v>6385.8599999999988</v>
      </c>
      <c r="J475" s="84">
        <f t="shared" si="154"/>
        <v>6411.93</v>
      </c>
      <c r="K475" s="84">
        <f t="shared" si="154"/>
        <v>6378.5999999999995</v>
      </c>
      <c r="L475" s="84">
        <f t="shared" si="154"/>
        <v>6332.2800000000007</v>
      </c>
      <c r="M475" s="84"/>
      <c r="N475" s="84"/>
      <c r="O475" s="84"/>
      <c r="P475" s="84" t="str">
        <f>IF(((P473="")*AND(P474="")),"",(P473-P474)*2)</f>
        <v/>
      </c>
      <c r="Q475" s="42"/>
      <c r="R475" s="42"/>
      <c r="S475" s="42"/>
      <c r="T475" s="42"/>
      <c r="U475" s="42"/>
      <c r="V475" s="275"/>
      <c r="W475" s="42"/>
      <c r="X475" s="257"/>
      <c r="Y475" s="101"/>
    </row>
    <row r="476" spans="1:31" ht="12.75" customHeight="1" x14ac:dyDescent="0.25">
      <c r="A476" s="96">
        <v>43198</v>
      </c>
      <c r="B476" s="57" t="s">
        <v>206</v>
      </c>
      <c r="C476" s="61" t="s">
        <v>205</v>
      </c>
      <c r="D476" s="35">
        <v>4132.28</v>
      </c>
      <c r="E476" s="35">
        <v>4316.21</v>
      </c>
      <c r="F476" s="35">
        <v>4023.54</v>
      </c>
      <c r="G476" s="35">
        <v>4011</v>
      </c>
      <c r="H476" s="35">
        <v>4212.99</v>
      </c>
      <c r="I476" s="35">
        <v>4107.3599999999997</v>
      </c>
      <c r="J476" s="35">
        <v>4045.83</v>
      </c>
      <c r="K476" s="35">
        <v>3985.52</v>
      </c>
      <c r="L476" s="35">
        <v>4084.21</v>
      </c>
      <c r="M476" s="35">
        <v>4123.88</v>
      </c>
      <c r="N476" s="35">
        <v>4353.43</v>
      </c>
      <c r="O476" s="35">
        <v>4134.8100000000004</v>
      </c>
      <c r="P476" s="35">
        <v>4225.87</v>
      </c>
      <c r="Q476" s="50">
        <f>IF((L477=""),"",MAX(D478:P478))</f>
        <v>5538.12</v>
      </c>
      <c r="R476" s="57">
        <f>IF(L477="","",MIN(D478:L478))</f>
        <v>5372.4</v>
      </c>
      <c r="S476" s="53">
        <f>IF((P478=""),"",AVERAGE(D478:P478))</f>
        <v>5445.1784615384613</v>
      </c>
      <c r="T476" s="53">
        <f>IF((L477=""),"",(Q476-R476)/(Q476+R476)*100)</f>
        <v>1.5189010239658627</v>
      </c>
      <c r="U476" s="57">
        <f>STDEV(D478:P478)</f>
        <v>56.083997992022951</v>
      </c>
      <c r="V476" s="276" t="str">
        <f>IF(P477="","",IF(T476&lt;2.7,IF(S476&gt;5150,IF(S476&lt;5600,"Pass","Fail"),"Fail"),"Fail"))</f>
        <v>Pass</v>
      </c>
      <c r="W476" s="57">
        <v>121</v>
      </c>
      <c r="X476" s="257"/>
      <c r="Y476" s="99" t="s">
        <v>236</v>
      </c>
      <c r="Z476" s="71">
        <v>4470</v>
      </c>
      <c r="AA476" s="71">
        <v>6020</v>
      </c>
      <c r="AB476" s="71">
        <v>5150</v>
      </c>
      <c r="AC476" s="71">
        <v>5600</v>
      </c>
      <c r="AD476" s="70">
        <v>2.7</v>
      </c>
      <c r="AE476" s="69">
        <v>10</v>
      </c>
    </row>
    <row r="477" spans="1:31" ht="12.75" customHeight="1" x14ac:dyDescent="0.25">
      <c r="A477" s="96"/>
      <c r="B477" s="47"/>
      <c r="C477" s="56" t="s">
        <v>204</v>
      </c>
      <c r="D477" s="35">
        <v>1446.08</v>
      </c>
      <c r="E477" s="35">
        <v>1623.48</v>
      </c>
      <c r="F477" s="35">
        <v>1323.98</v>
      </c>
      <c r="G477" s="35">
        <v>1254.58</v>
      </c>
      <c r="H477" s="35">
        <v>1514.01</v>
      </c>
      <c r="I477" s="35">
        <v>1368.76</v>
      </c>
      <c r="J477" s="35">
        <v>1276.77</v>
      </c>
      <c r="K477" s="35">
        <v>1224.19</v>
      </c>
      <c r="L477" s="35">
        <v>1377.16</v>
      </c>
      <c r="M477" s="35">
        <v>1380.2</v>
      </c>
      <c r="N477" s="35">
        <v>1648.08</v>
      </c>
      <c r="O477" s="35">
        <v>1413.39</v>
      </c>
      <c r="P477" s="35">
        <v>1512.59</v>
      </c>
      <c r="Q477" s="47"/>
      <c r="R477" s="47"/>
      <c r="S477" s="47"/>
      <c r="T477" s="47"/>
      <c r="U477" s="47"/>
      <c r="V477" s="274"/>
      <c r="W477" s="47"/>
      <c r="X477" s="257"/>
      <c r="Y477" s="102"/>
    </row>
    <row r="478" spans="1:31" ht="23.95" customHeight="1" x14ac:dyDescent="0.25">
      <c r="A478" s="96"/>
      <c r="B478" s="80"/>
      <c r="C478" s="56" t="s">
        <v>203</v>
      </c>
      <c r="D478" s="97">
        <f t="shared" ref="D478:P478" si="155">IF(((D476="")*AND(D477="")),"",(D476-D477)*2)</f>
        <v>5372.4</v>
      </c>
      <c r="E478" s="97">
        <f t="shared" si="155"/>
        <v>5385.46</v>
      </c>
      <c r="F478" s="97">
        <f t="shared" si="155"/>
        <v>5399.12</v>
      </c>
      <c r="G478" s="97">
        <f t="shared" si="155"/>
        <v>5512.84</v>
      </c>
      <c r="H478" s="97">
        <f t="shared" si="155"/>
        <v>5397.9599999999991</v>
      </c>
      <c r="I478" s="97">
        <f t="shared" si="155"/>
        <v>5477.1999999999989</v>
      </c>
      <c r="J478" s="97">
        <f t="shared" si="155"/>
        <v>5538.12</v>
      </c>
      <c r="K478" s="97">
        <f t="shared" si="155"/>
        <v>5522.66</v>
      </c>
      <c r="L478" s="97">
        <f t="shared" si="155"/>
        <v>5414.1</v>
      </c>
      <c r="M478" s="97">
        <f t="shared" si="155"/>
        <v>5487.3600000000006</v>
      </c>
      <c r="N478" s="97">
        <f t="shared" si="155"/>
        <v>5410.7000000000007</v>
      </c>
      <c r="O478" s="97">
        <f t="shared" si="155"/>
        <v>5442.84</v>
      </c>
      <c r="P478" s="97">
        <f t="shared" si="155"/>
        <v>5426.5599999999995</v>
      </c>
      <c r="Q478" s="80"/>
      <c r="R478" s="80"/>
      <c r="S478" s="80"/>
      <c r="T478" s="47"/>
      <c r="U478" s="80"/>
      <c r="V478" s="277"/>
      <c r="W478" s="80"/>
      <c r="X478" s="257"/>
      <c r="Y478" s="102"/>
    </row>
    <row r="479" spans="1:31" x14ac:dyDescent="0.25">
      <c r="A479" s="96">
        <v>43198</v>
      </c>
      <c r="B479" s="50" t="s">
        <v>208</v>
      </c>
      <c r="C479" s="56" t="s">
        <v>205</v>
      </c>
      <c r="D479" s="35">
        <v>3733.39</v>
      </c>
      <c r="E479" s="35">
        <v>3866.54</v>
      </c>
      <c r="F479" s="35">
        <v>3887.52</v>
      </c>
      <c r="G479" s="35">
        <v>3845.82</v>
      </c>
      <c r="H479" s="35">
        <v>3657.63</v>
      </c>
      <c r="I479" s="35">
        <v>3664.98</v>
      </c>
      <c r="J479" s="35">
        <v>3863.71</v>
      </c>
      <c r="K479" s="35">
        <v>3896.69</v>
      </c>
      <c r="L479" s="35">
        <v>3803.07</v>
      </c>
      <c r="M479" s="55"/>
      <c r="N479" s="55"/>
      <c r="O479" s="55"/>
      <c r="P479" s="55"/>
      <c r="Q479" s="50">
        <f>IF((L480=""),"",MAX(D481:L481))</f>
        <v>7257.63</v>
      </c>
      <c r="R479" s="50">
        <f>IF(L480="","",MIN(D481:L481))</f>
        <v>6615.39</v>
      </c>
      <c r="S479" s="77">
        <f>IF((L481=""),"",AVERAGE(D481:L481))</f>
        <v>6908.6066666666666</v>
      </c>
      <c r="T479" s="52">
        <f>IF((L480=""),"",(Q479-R479)/(Q479+R479)*100)</f>
        <v>4.6294173871298376</v>
      </c>
      <c r="U479" s="50">
        <f>STDEV(D481:P481)</f>
        <v>218.50795551878642</v>
      </c>
      <c r="V479" s="273" t="str">
        <f>IF(L480="","",IF(T479&lt;9.8,IF(S479&gt;5100,IF(S479&lt;8300,"Pass","Fail"),"Fail"),"Fail"))</f>
        <v>Pass</v>
      </c>
      <c r="W479" s="47">
        <v>121</v>
      </c>
      <c r="X479" s="257"/>
      <c r="Y479" s="99" t="s">
        <v>236</v>
      </c>
      <c r="Z479" s="37">
        <v>4955</v>
      </c>
      <c r="AA479" s="37">
        <v>9645</v>
      </c>
      <c r="AB479" s="37">
        <v>5100</v>
      </c>
      <c r="AC479" s="37">
        <v>8300</v>
      </c>
      <c r="AD479" s="69">
        <v>9.8000000000000007</v>
      </c>
      <c r="AE479" s="69">
        <v>10</v>
      </c>
    </row>
    <row r="480" spans="1:31" ht="12.75" customHeight="1" x14ac:dyDescent="0.25">
      <c r="A480" s="49"/>
      <c r="B480" s="47"/>
      <c r="C480" s="56" t="s">
        <v>204</v>
      </c>
      <c r="D480" s="35">
        <v>1457.24</v>
      </c>
      <c r="E480" s="35">
        <v>1603.77</v>
      </c>
      <c r="F480" s="35">
        <v>1573.75</v>
      </c>
      <c r="G480" s="35">
        <v>1604.12</v>
      </c>
      <c r="H480" s="35">
        <v>1238.42</v>
      </c>
      <c r="I480" s="35">
        <v>1255.46</v>
      </c>
      <c r="J480" s="35">
        <v>1594.61</v>
      </c>
      <c r="K480" s="35">
        <v>1568.22</v>
      </c>
      <c r="L480" s="35">
        <v>1597.94</v>
      </c>
      <c r="M480" s="55"/>
      <c r="N480" s="55"/>
      <c r="O480" s="55"/>
      <c r="P480" s="55"/>
      <c r="Q480" s="47"/>
      <c r="R480" s="47"/>
      <c r="S480" s="47"/>
      <c r="T480" s="47"/>
      <c r="U480" s="47"/>
      <c r="V480" s="274"/>
      <c r="W480" s="47"/>
      <c r="X480" s="257"/>
      <c r="Y480" s="102"/>
    </row>
    <row r="481" spans="1:31" ht="24.8" customHeight="1" thickBot="1" x14ac:dyDescent="0.3">
      <c r="A481" s="45"/>
      <c r="B481" s="42"/>
      <c r="C481" s="76" t="s">
        <v>203</v>
      </c>
      <c r="D481" s="84">
        <f t="shared" ref="D481:L481" si="156">IF(((D479="")*AND(D480="")),"",(D479-D480)*3)</f>
        <v>6828.4499999999989</v>
      </c>
      <c r="E481" s="84">
        <f t="shared" si="156"/>
        <v>6788.3099999999995</v>
      </c>
      <c r="F481" s="84">
        <f t="shared" si="156"/>
        <v>6941.3099999999995</v>
      </c>
      <c r="G481" s="84">
        <f t="shared" si="156"/>
        <v>6725.1</v>
      </c>
      <c r="H481" s="84">
        <f t="shared" si="156"/>
        <v>7257.63</v>
      </c>
      <c r="I481" s="84">
        <f t="shared" si="156"/>
        <v>7228.5599999999995</v>
      </c>
      <c r="J481" s="84">
        <f t="shared" si="156"/>
        <v>6807.3000000000011</v>
      </c>
      <c r="K481" s="84">
        <f t="shared" si="156"/>
        <v>6985.4100000000008</v>
      </c>
      <c r="L481" s="84">
        <f t="shared" si="156"/>
        <v>6615.39</v>
      </c>
      <c r="M481" s="84"/>
      <c r="N481" s="84"/>
      <c r="O481" s="84"/>
      <c r="P481" s="84" t="str">
        <f>IF(((P479="")*AND(P480="")),"",(P479-P480)*2)</f>
        <v/>
      </c>
      <c r="Q481" s="42"/>
      <c r="R481" s="42"/>
      <c r="S481" s="42"/>
      <c r="T481" s="42"/>
      <c r="U481" s="42"/>
      <c r="V481" s="275"/>
      <c r="W481" s="42"/>
      <c r="X481" s="257"/>
      <c r="Y481" s="101"/>
    </row>
    <row r="482" spans="1:31" ht="12.75" customHeight="1" x14ac:dyDescent="0.25">
      <c r="A482" s="96">
        <v>43215</v>
      </c>
      <c r="B482" s="57" t="s">
        <v>206</v>
      </c>
      <c r="C482" s="61" t="s">
        <v>205</v>
      </c>
      <c r="D482" s="35">
        <v>6864.06</v>
      </c>
      <c r="E482" s="35">
        <v>7068.26</v>
      </c>
      <c r="F482" s="35">
        <v>6785.94</v>
      </c>
      <c r="G482" s="35">
        <v>6833.8</v>
      </c>
      <c r="H482" s="35">
        <v>6977.42</v>
      </c>
      <c r="I482" s="35">
        <v>6915.96</v>
      </c>
      <c r="J482" s="35">
        <v>6893.52</v>
      </c>
      <c r="K482" s="35">
        <v>6821.33</v>
      </c>
      <c r="L482" s="35">
        <v>6864.97</v>
      </c>
      <c r="M482" s="35">
        <v>6952.59</v>
      </c>
      <c r="N482" s="35">
        <v>7154.49</v>
      </c>
      <c r="O482" s="35">
        <v>6945.31</v>
      </c>
      <c r="P482" s="35">
        <v>7057.04</v>
      </c>
      <c r="Q482" s="50">
        <f>IF((L483=""),"",MAX(D484:P484))</f>
        <v>5349.8017241379312</v>
      </c>
      <c r="R482" s="57">
        <f>IF(L483="","",MIN(D484:L484))</f>
        <v>5118.5172413793098</v>
      </c>
      <c r="S482" s="53">
        <f>IF((P484=""),"",AVERAGE(D484:P484))</f>
        <v>5277.4416445623347</v>
      </c>
      <c r="T482" s="53">
        <f>IF((L483=""),"",(Q482-R482)/(Q482+R482)*100)</f>
        <v>2.2093755790253908</v>
      </c>
      <c r="U482" s="57">
        <f>STDEV(D484:P484)</f>
        <v>66.939221190229034</v>
      </c>
      <c r="V482" s="276" t="str">
        <f>IF(P483="","",IF(T482&lt;2.7,IF(S482&gt;5150,IF(S482&lt;5600,"Pass","Fail"),"Fail"),"Fail"))</f>
        <v>Pass</v>
      </c>
      <c r="W482" s="57">
        <v>121</v>
      </c>
      <c r="X482" s="257"/>
      <c r="Y482" s="98" t="s">
        <v>235</v>
      </c>
      <c r="Z482" s="71">
        <v>4470</v>
      </c>
      <c r="AA482" s="71">
        <v>6020</v>
      </c>
      <c r="AB482" s="71">
        <v>5150</v>
      </c>
      <c r="AC482" s="71">
        <v>5600</v>
      </c>
      <c r="AD482" s="70">
        <v>2.7</v>
      </c>
      <c r="AE482" s="69">
        <v>10</v>
      </c>
    </row>
    <row r="483" spans="1:31" ht="12.75" customHeight="1" x14ac:dyDescent="0.25">
      <c r="A483" s="96"/>
      <c r="B483" s="47"/>
      <c r="C483" s="56" t="s">
        <v>204</v>
      </c>
      <c r="D483" s="35">
        <v>4841.87</v>
      </c>
      <c r="E483" s="35">
        <v>5018.3999999999996</v>
      </c>
      <c r="F483" s="35">
        <v>4806.78</v>
      </c>
      <c r="G483" s="35">
        <v>4792.6000000000004</v>
      </c>
      <c r="H483" s="35">
        <v>4916.6000000000004</v>
      </c>
      <c r="I483" s="35">
        <v>4847.37</v>
      </c>
      <c r="J483" s="35">
        <v>4848.5</v>
      </c>
      <c r="K483" s="35">
        <v>4775.83</v>
      </c>
      <c r="L483" s="35">
        <v>4864</v>
      </c>
      <c r="M483" s="35">
        <v>4891.2299999999996</v>
      </c>
      <c r="N483" s="35">
        <v>5094.3599999999997</v>
      </c>
      <c r="O483" s="35">
        <v>4907.38</v>
      </c>
      <c r="P483" s="35">
        <v>5001.83</v>
      </c>
      <c r="Q483" s="47"/>
      <c r="R483" s="47"/>
      <c r="S483" s="47"/>
      <c r="T483" s="47"/>
      <c r="U483" s="47"/>
      <c r="V483" s="274"/>
      <c r="W483" s="47"/>
      <c r="X483" s="257"/>
      <c r="Y483" s="102"/>
    </row>
    <row r="484" spans="1:31" ht="23.95" customHeight="1" x14ac:dyDescent="0.25">
      <c r="A484" s="96"/>
      <c r="B484" s="80"/>
      <c r="C484" s="56" t="s">
        <v>203</v>
      </c>
      <c r="D484" s="97">
        <f t="shared" ref="D484:P484" si="157">IF(((D482="")*AND(D483="")),"",(D482-D483)*60/23.2)</f>
        <v>5229.8017241379321</v>
      </c>
      <c r="E484" s="97">
        <f t="shared" si="157"/>
        <v>5301.362068965519</v>
      </c>
      <c r="F484" s="97">
        <f t="shared" si="157"/>
        <v>5118.5172413793098</v>
      </c>
      <c r="G484" s="97">
        <f t="shared" si="157"/>
        <v>5278.9655172413786</v>
      </c>
      <c r="H484" s="97">
        <f t="shared" si="157"/>
        <v>5329.7068965517237</v>
      </c>
      <c r="I484" s="97">
        <f t="shared" si="157"/>
        <v>5349.8017241379312</v>
      </c>
      <c r="J484" s="97">
        <f t="shared" si="157"/>
        <v>5288.8448275862083</v>
      </c>
      <c r="K484" s="97">
        <f t="shared" si="157"/>
        <v>5290.0862068965516</v>
      </c>
      <c r="L484" s="97">
        <f t="shared" si="157"/>
        <v>5174.9224137931042</v>
      </c>
      <c r="M484" s="97">
        <f t="shared" si="157"/>
        <v>5331.1034482758641</v>
      </c>
      <c r="N484" s="97">
        <f t="shared" si="157"/>
        <v>5327.9224137931042</v>
      </c>
      <c r="O484" s="97">
        <f t="shared" si="157"/>
        <v>5270.5086206896558</v>
      </c>
      <c r="P484" s="97">
        <f t="shared" si="157"/>
        <v>5315.1982758620697</v>
      </c>
      <c r="Q484" s="80"/>
      <c r="R484" s="80"/>
      <c r="S484" s="80"/>
      <c r="T484" s="47"/>
      <c r="U484" s="80"/>
      <c r="V484" s="277"/>
      <c r="W484" s="80"/>
      <c r="X484" s="257"/>
      <c r="Y484" s="102"/>
    </row>
    <row r="485" spans="1:31" x14ac:dyDescent="0.25">
      <c r="A485" s="96">
        <v>43215</v>
      </c>
      <c r="B485" s="50" t="s">
        <v>208</v>
      </c>
      <c r="C485" s="56" t="s">
        <v>205</v>
      </c>
      <c r="D485" s="35">
        <v>5849.09</v>
      </c>
      <c r="E485" s="35">
        <v>5987.08</v>
      </c>
      <c r="F485" s="35">
        <v>6023.58</v>
      </c>
      <c r="G485" s="35">
        <v>5968.42</v>
      </c>
      <c r="H485" s="35">
        <v>5940.87</v>
      </c>
      <c r="I485" s="35">
        <v>5796.76</v>
      </c>
      <c r="J485" s="35">
        <v>5995.93</v>
      </c>
      <c r="K485" s="35">
        <v>6017.51</v>
      </c>
      <c r="L485" s="35">
        <v>5888.59</v>
      </c>
      <c r="M485" s="55"/>
      <c r="N485" s="55"/>
      <c r="O485" s="55"/>
      <c r="P485" s="55"/>
      <c r="Q485" s="50">
        <f>IF((L486=""),"",MAX(D487:L487))</f>
        <v>7144.5599999999995</v>
      </c>
      <c r="R485" s="50">
        <f>IF(L486="","",MIN(D487:L487))</f>
        <v>5642.61</v>
      </c>
      <c r="S485" s="77">
        <f>IF((L487=""),"",AVERAGE(D487:L487))</f>
        <v>6160.626666666667</v>
      </c>
      <c r="T485" s="52">
        <f>IF((L486=""),"",(Q485-R485)/(Q485+R485)*100)</f>
        <v>11.745757661781301</v>
      </c>
      <c r="U485" s="50">
        <f>STDEV(D487:P487)</f>
        <v>518.34521146625809</v>
      </c>
      <c r="V485" s="273" t="str">
        <f>IF(L486="","",IF(T485&lt;9.8,IF(S485&gt;5100,IF(S485&lt;8300,"Pass","Fail"),"Fail"),"Fail"))</f>
        <v>Fail</v>
      </c>
      <c r="W485" s="47"/>
      <c r="X485" s="257"/>
      <c r="Y485" s="102"/>
      <c r="Z485" s="37">
        <v>4955</v>
      </c>
      <c r="AA485" s="37">
        <v>9645</v>
      </c>
      <c r="AB485" s="37">
        <v>5100</v>
      </c>
      <c r="AC485" s="37">
        <v>8300</v>
      </c>
      <c r="AD485" s="69">
        <v>9.8000000000000007</v>
      </c>
      <c r="AE485" s="69">
        <v>10</v>
      </c>
    </row>
    <row r="486" spans="1:31" ht="12.75" customHeight="1" x14ac:dyDescent="0.25">
      <c r="A486" s="49"/>
      <c r="B486" s="47"/>
      <c r="C486" s="56" t="s">
        <v>204</v>
      </c>
      <c r="D486" s="35">
        <v>3739.12</v>
      </c>
      <c r="E486" s="35">
        <v>4106.21</v>
      </c>
      <c r="F486" s="35">
        <v>4110.72</v>
      </c>
      <c r="G486" s="35">
        <v>3986.82</v>
      </c>
      <c r="H486" s="35">
        <v>3559.35</v>
      </c>
      <c r="I486" s="35">
        <v>3529.59</v>
      </c>
      <c r="J486" s="35">
        <v>3996.91</v>
      </c>
      <c r="K486" s="35">
        <v>4121.07</v>
      </c>
      <c r="L486" s="35">
        <v>3836.16</v>
      </c>
      <c r="M486" s="55"/>
      <c r="N486" s="55"/>
      <c r="O486" s="55"/>
      <c r="P486" s="55"/>
      <c r="Q486" s="47"/>
      <c r="R486" s="47"/>
      <c r="S486" s="47"/>
      <c r="T486" s="47"/>
      <c r="U486" s="47"/>
      <c r="V486" s="274"/>
      <c r="W486" s="47"/>
      <c r="X486" s="257"/>
      <c r="Y486" s="102"/>
    </row>
    <row r="487" spans="1:31" ht="24.8" customHeight="1" thickBot="1" x14ac:dyDescent="0.3">
      <c r="A487" s="45"/>
      <c r="B487" s="42"/>
      <c r="C487" s="76" t="s">
        <v>203</v>
      </c>
      <c r="D487" s="84">
        <f t="shared" ref="D487:L487" si="158">IF(((D485="")*AND(D486="")),"",(D485-D486)*3)</f>
        <v>6329.9100000000008</v>
      </c>
      <c r="E487" s="84">
        <f t="shared" si="158"/>
        <v>5642.61</v>
      </c>
      <c r="F487" s="84">
        <f t="shared" si="158"/>
        <v>5738.579999999999</v>
      </c>
      <c r="G487" s="84">
        <f t="shared" si="158"/>
        <v>5944.7999999999993</v>
      </c>
      <c r="H487" s="84">
        <f t="shared" si="158"/>
        <v>7144.5599999999995</v>
      </c>
      <c r="I487" s="84">
        <f t="shared" si="158"/>
        <v>6801.51</v>
      </c>
      <c r="J487" s="84">
        <f t="shared" si="158"/>
        <v>5997.0600000000013</v>
      </c>
      <c r="K487" s="84">
        <f t="shared" si="158"/>
        <v>5689.3200000000015</v>
      </c>
      <c r="L487" s="84">
        <f t="shared" si="158"/>
        <v>6157.2900000000009</v>
      </c>
      <c r="M487" s="84"/>
      <c r="N487" s="84"/>
      <c r="O487" s="84"/>
      <c r="P487" s="84" t="str">
        <f>IF(((P485="")*AND(P486="")),"",(P485-P486)*2)</f>
        <v/>
      </c>
      <c r="Q487" s="42"/>
      <c r="R487" s="42"/>
      <c r="S487" s="42"/>
      <c r="T487" s="42"/>
      <c r="U487" s="42"/>
      <c r="V487" s="275"/>
      <c r="W487" s="42"/>
      <c r="X487" s="257"/>
      <c r="Y487" s="101"/>
    </row>
    <row r="488" spans="1:31" ht="12.75" customHeight="1" x14ac:dyDescent="0.25">
      <c r="A488" s="100">
        <v>43294</v>
      </c>
      <c r="B488" s="57" t="s">
        <v>206</v>
      </c>
      <c r="C488" s="61" t="s">
        <v>205</v>
      </c>
      <c r="D488" s="35">
        <v>4196.25</v>
      </c>
      <c r="E488" s="35">
        <v>4437.93</v>
      </c>
      <c r="F488" s="35">
        <v>4071.65</v>
      </c>
      <c r="G488" s="35">
        <v>4087.73</v>
      </c>
      <c r="H488" s="35">
        <v>4343.3500000000004</v>
      </c>
      <c r="I488" s="35">
        <v>4233.99</v>
      </c>
      <c r="J488" s="35">
        <v>4135.37</v>
      </c>
      <c r="K488" s="35">
        <v>4053.73</v>
      </c>
      <c r="L488" s="35">
        <v>4123.8900000000003</v>
      </c>
      <c r="M488" s="35">
        <v>4212.49</v>
      </c>
      <c r="N488" s="35">
        <v>4510.67</v>
      </c>
      <c r="O488" s="35">
        <v>4207.03</v>
      </c>
      <c r="P488" s="35">
        <v>4361.67</v>
      </c>
      <c r="Q488" s="50">
        <f>IF((L489=""),"",MAX(D490:P490))</f>
        <v>5772.08</v>
      </c>
      <c r="R488" s="57">
        <f>IF(L489="","",MIN(D490:L490))</f>
        <v>5569.2</v>
      </c>
      <c r="S488" s="53">
        <f>IF((P490=""),"",AVERAGE(D490:P490))</f>
        <v>5655.2630769230764</v>
      </c>
      <c r="T488" s="53">
        <f>IF((L489=""),"",(Q488-R488)/(Q488+R488)*100)</f>
        <v>1.7888633381769972</v>
      </c>
      <c r="U488" s="57">
        <f>STDEV(D490:P490)</f>
        <v>71.584892654876725</v>
      </c>
      <c r="V488" s="276" t="str">
        <f>IF(P489="","",IF(T488&lt;2.7,IF(S488&gt;5150,IF(S488&lt;5600,"Pass","Fail"),"Fail"),"Fail"))</f>
        <v>Fail</v>
      </c>
      <c r="W488" s="57">
        <v>1335</v>
      </c>
      <c r="X488" s="257"/>
      <c r="Y488" s="99" t="s">
        <v>234</v>
      </c>
      <c r="Z488" s="71">
        <v>4470</v>
      </c>
      <c r="AA488" s="71">
        <v>6020</v>
      </c>
      <c r="AB488" s="71">
        <v>5150</v>
      </c>
      <c r="AC488" s="71">
        <v>5600</v>
      </c>
      <c r="AD488" s="70">
        <v>2.7</v>
      </c>
      <c r="AE488" s="69">
        <v>10</v>
      </c>
    </row>
    <row r="489" spans="1:31" ht="12.75" customHeight="1" x14ac:dyDescent="0.25">
      <c r="A489" s="96"/>
      <c r="B489" s="47"/>
      <c r="C489" s="56" t="s">
        <v>204</v>
      </c>
      <c r="D489" s="35">
        <v>1411.65</v>
      </c>
      <c r="E489" s="35">
        <v>1648.13</v>
      </c>
      <c r="F489" s="35">
        <v>1268.8</v>
      </c>
      <c r="G489" s="35">
        <v>1225.1300000000001</v>
      </c>
      <c r="H489" s="35">
        <v>1551.52</v>
      </c>
      <c r="I489" s="35">
        <v>1389</v>
      </c>
      <c r="J489" s="35">
        <v>1249.33</v>
      </c>
      <c r="K489" s="35">
        <v>1179.3699999999999</v>
      </c>
      <c r="L489" s="35">
        <v>1310.42</v>
      </c>
      <c r="M489" s="35">
        <v>1341.4</v>
      </c>
      <c r="N489" s="35">
        <v>1708.06</v>
      </c>
      <c r="O489" s="35">
        <v>1380.77</v>
      </c>
      <c r="P489" s="35">
        <v>1552.96</v>
      </c>
      <c r="Q489" s="47"/>
      <c r="R489" s="47"/>
      <c r="S489" s="47"/>
      <c r="T489" s="47"/>
      <c r="U489" s="47"/>
      <c r="V489" s="274"/>
      <c r="W489" s="47"/>
      <c r="X489" s="257"/>
      <c r="Y489" s="102"/>
    </row>
    <row r="490" spans="1:31" ht="23.95" customHeight="1" x14ac:dyDescent="0.25">
      <c r="A490" s="96"/>
      <c r="B490" s="80"/>
      <c r="C490" s="56" t="s">
        <v>203</v>
      </c>
      <c r="D490" s="97">
        <f t="shared" ref="D490:P490" si="159">IF(((D488="")*AND(D489="")),"",(D488-D489)*2)</f>
        <v>5569.2</v>
      </c>
      <c r="E490" s="97">
        <f t="shared" si="159"/>
        <v>5579.6</v>
      </c>
      <c r="F490" s="97">
        <f t="shared" si="159"/>
        <v>5605.7000000000007</v>
      </c>
      <c r="G490" s="97">
        <f t="shared" si="159"/>
        <v>5725.2</v>
      </c>
      <c r="H490" s="97">
        <f t="shared" si="159"/>
        <v>5583.6600000000008</v>
      </c>
      <c r="I490" s="97">
        <f t="shared" si="159"/>
        <v>5689.98</v>
      </c>
      <c r="J490" s="97">
        <f t="shared" si="159"/>
        <v>5772.08</v>
      </c>
      <c r="K490" s="97">
        <f t="shared" si="159"/>
        <v>5748.72</v>
      </c>
      <c r="L490" s="97">
        <f t="shared" si="159"/>
        <v>5626.9400000000005</v>
      </c>
      <c r="M490" s="97">
        <f t="shared" si="159"/>
        <v>5742.1799999999994</v>
      </c>
      <c r="N490" s="97">
        <f t="shared" si="159"/>
        <v>5605.22</v>
      </c>
      <c r="O490" s="97">
        <f t="shared" si="159"/>
        <v>5652.5199999999995</v>
      </c>
      <c r="P490" s="97">
        <f t="shared" si="159"/>
        <v>5617.42</v>
      </c>
      <c r="Q490" s="80"/>
      <c r="R490" s="80"/>
      <c r="S490" s="80"/>
      <c r="T490" s="47"/>
      <c r="U490" s="80"/>
      <c r="V490" s="277"/>
      <c r="W490" s="80"/>
      <c r="X490" s="257"/>
      <c r="Y490" s="102"/>
    </row>
    <row r="491" spans="1:31" x14ac:dyDescent="0.25">
      <c r="A491" s="100">
        <v>43294</v>
      </c>
      <c r="B491" s="50" t="s">
        <v>208</v>
      </c>
      <c r="C491" s="56" t="s">
        <v>205</v>
      </c>
      <c r="D491" s="35">
        <v>4019.53</v>
      </c>
      <c r="E491" s="35">
        <v>4090.95</v>
      </c>
      <c r="F491" s="35">
        <v>4137.7299999999996</v>
      </c>
      <c r="G491" s="35">
        <v>4113.7299999999996</v>
      </c>
      <c r="H491" s="35">
        <v>4098.33</v>
      </c>
      <c r="I491" s="35">
        <v>3966.93</v>
      </c>
      <c r="J491" s="35">
        <v>4099.2</v>
      </c>
      <c r="K491" s="35">
        <v>4121.72</v>
      </c>
      <c r="L491" s="35">
        <v>3958.42</v>
      </c>
      <c r="M491" s="55"/>
      <c r="N491" s="55"/>
      <c r="O491" s="55"/>
      <c r="P491" s="55"/>
      <c r="Q491" s="50">
        <f>IF((L492=""),"",MAX(D493:L493))</f>
        <v>7571.37</v>
      </c>
      <c r="R491" s="50">
        <f>IF(L492="","",MIN(D493:L493))</f>
        <v>7199.579999999999</v>
      </c>
      <c r="S491" s="77">
        <f>IF((L493=""),"",AVERAGE(D493:L493))</f>
        <v>7470.2966666666662</v>
      </c>
      <c r="T491" s="52">
        <f>IF((L492=""),"",(Q491-R491)/(Q491+R491)*100)</f>
        <v>2.5170351263798256</v>
      </c>
      <c r="U491" s="50">
        <f>STDEV(D493:P493)</f>
        <v>137.43670534104066</v>
      </c>
      <c r="V491" s="273" t="str">
        <f>IF(L492="","",IF(T491&lt;9.8,IF(S491&gt;5100,IF(S491&lt;8300,"Pass","Fail"),"Fail"),"Fail"))</f>
        <v>Pass</v>
      </c>
      <c r="W491" s="47">
        <v>1335</v>
      </c>
      <c r="X491" s="257"/>
      <c r="Y491" s="102" t="s">
        <v>234</v>
      </c>
      <c r="Z491" s="37">
        <v>4955</v>
      </c>
      <c r="AA491" s="37">
        <v>9645</v>
      </c>
      <c r="AB491" s="37">
        <v>5100</v>
      </c>
      <c r="AC491" s="37">
        <v>8300</v>
      </c>
      <c r="AD491" s="69">
        <v>9.8000000000000007</v>
      </c>
      <c r="AE491" s="69">
        <v>10</v>
      </c>
    </row>
    <row r="492" spans="1:31" ht="12.75" customHeight="1" x14ac:dyDescent="0.25">
      <c r="A492" s="49"/>
      <c r="B492" s="47"/>
      <c r="C492" s="56" t="s">
        <v>204</v>
      </c>
      <c r="D492" s="35">
        <v>1529.17</v>
      </c>
      <c r="E492" s="35">
        <v>1584.27</v>
      </c>
      <c r="F492" s="35">
        <v>1614.98</v>
      </c>
      <c r="G492" s="35">
        <v>1604.87</v>
      </c>
      <c r="H492" s="35">
        <v>1574.54</v>
      </c>
      <c r="I492" s="35">
        <v>1567.07</v>
      </c>
      <c r="J492" s="35">
        <v>1580.03</v>
      </c>
      <c r="K492" s="35">
        <v>1606.5</v>
      </c>
      <c r="L492" s="35">
        <v>1534.22</v>
      </c>
      <c r="M492" s="55"/>
      <c r="N492" s="55"/>
      <c r="O492" s="55"/>
      <c r="P492" s="55"/>
      <c r="Q492" s="47"/>
      <c r="R492" s="47"/>
      <c r="S492" s="47"/>
      <c r="T492" s="47"/>
      <c r="U492" s="47"/>
      <c r="V492" s="274"/>
      <c r="W492" s="47"/>
      <c r="X492" s="257"/>
      <c r="Y492" s="102"/>
    </row>
    <row r="493" spans="1:31" ht="24.8" customHeight="1" thickBot="1" x14ac:dyDescent="0.3">
      <c r="A493" s="45"/>
      <c r="B493" s="42"/>
      <c r="C493" s="76" t="s">
        <v>203</v>
      </c>
      <c r="D493" s="84">
        <f t="shared" ref="D493:L493" si="160">IF(((D491="")*AND(D492="")),"",(D491-D492)*3)</f>
        <v>7471.08</v>
      </c>
      <c r="E493" s="84">
        <f t="shared" si="160"/>
        <v>7520.0399999999991</v>
      </c>
      <c r="F493" s="84">
        <f t="shared" si="160"/>
        <v>7568.2499999999982</v>
      </c>
      <c r="G493" s="84">
        <f t="shared" si="160"/>
        <v>7526.579999999999</v>
      </c>
      <c r="H493" s="84">
        <f t="shared" si="160"/>
        <v>7571.37</v>
      </c>
      <c r="I493" s="84">
        <f t="shared" si="160"/>
        <v>7199.579999999999</v>
      </c>
      <c r="J493" s="84">
        <f t="shared" si="160"/>
        <v>7557.51</v>
      </c>
      <c r="K493" s="84">
        <f t="shared" si="160"/>
        <v>7545.6600000000008</v>
      </c>
      <c r="L493" s="84">
        <f t="shared" si="160"/>
        <v>7272.5999999999995</v>
      </c>
      <c r="M493" s="84"/>
      <c r="N493" s="84"/>
      <c r="O493" s="84"/>
      <c r="P493" s="84" t="str">
        <f>IF(((P491="")*AND(P492="")),"",(P491-P492)*2)</f>
        <v/>
      </c>
      <c r="Q493" s="42"/>
      <c r="R493" s="42"/>
      <c r="S493" s="42"/>
      <c r="T493" s="42"/>
      <c r="U493" s="42"/>
      <c r="V493" s="275"/>
      <c r="W493" s="42"/>
      <c r="X493" s="257"/>
      <c r="Y493" s="101"/>
    </row>
    <row r="494" spans="1:31" x14ac:dyDescent="0.25">
      <c r="A494" s="100">
        <v>43296</v>
      </c>
      <c r="B494" s="57" t="s">
        <v>206</v>
      </c>
      <c r="C494" s="61" t="s">
        <v>205</v>
      </c>
      <c r="D494" s="35">
        <v>6876.19</v>
      </c>
      <c r="E494" s="35">
        <v>7091.09</v>
      </c>
      <c r="F494" s="35">
        <v>6797.25</v>
      </c>
      <c r="G494" s="35">
        <v>6844.47</v>
      </c>
      <c r="H494" s="35">
        <v>7005.48</v>
      </c>
      <c r="I494" s="35">
        <v>6930.94</v>
      </c>
      <c r="J494" s="35">
        <v>6905.12</v>
      </c>
      <c r="K494" s="35">
        <v>6837.8</v>
      </c>
      <c r="L494" s="35">
        <v>6879.84</v>
      </c>
      <c r="M494" s="35">
        <v>6964.86</v>
      </c>
      <c r="N494" s="35">
        <v>7179.93</v>
      </c>
      <c r="O494" s="35">
        <v>6960.63</v>
      </c>
      <c r="P494" s="35">
        <v>7076.66</v>
      </c>
      <c r="Q494" s="50">
        <f>IF((L495=""),"",MAX(D496:P496))</f>
        <v>5721.68</v>
      </c>
      <c r="R494" s="57">
        <f>IF(L495="","",MIN(D496:L496))</f>
        <v>5516.8399999999983</v>
      </c>
      <c r="S494" s="53">
        <f>IF((P496=""),"",AVERAGE(D496:P496))</f>
        <v>5602.1107692307705</v>
      </c>
      <c r="T494" s="53">
        <f>IF((L495=""),"",(Q494-R494)/(Q494+R494)*100)</f>
        <v>1.8226599231927512</v>
      </c>
      <c r="U494" s="57">
        <f>STDEV(D496:P496)</f>
        <v>71.604041606315747</v>
      </c>
      <c r="V494" s="276" t="str">
        <f>IF(P495="","",IF(T494&lt;2.7,IF(S494&gt;5150,IF(S494&lt;5600,"Pass","Fail"),"Fail"),"Fail"))</f>
        <v>Fail</v>
      </c>
      <c r="W494" s="57">
        <v>74</v>
      </c>
      <c r="X494" s="257"/>
      <c r="Y494" s="99" t="s">
        <v>233</v>
      </c>
      <c r="Z494" s="71">
        <v>4470</v>
      </c>
      <c r="AA494" s="71">
        <v>6020</v>
      </c>
      <c r="AB494" s="71">
        <v>5150</v>
      </c>
      <c r="AC494" s="71">
        <v>5600</v>
      </c>
      <c r="AD494" s="70">
        <v>2.7</v>
      </c>
      <c r="AE494" s="69">
        <v>10</v>
      </c>
    </row>
    <row r="495" spans="1:31" x14ac:dyDescent="0.25">
      <c r="A495" s="96"/>
      <c r="B495" s="47"/>
      <c r="C495" s="56" t="s">
        <v>204</v>
      </c>
      <c r="D495" s="35">
        <v>4117.7700000000004</v>
      </c>
      <c r="E495" s="35">
        <v>4329.84</v>
      </c>
      <c r="F495" s="35">
        <v>4019.51</v>
      </c>
      <c r="G495" s="35">
        <v>4006.77</v>
      </c>
      <c r="H495" s="35">
        <v>4239.99</v>
      </c>
      <c r="I495" s="35">
        <v>4114.16</v>
      </c>
      <c r="J495" s="35">
        <v>4066.35</v>
      </c>
      <c r="K495" s="35">
        <v>3976.96</v>
      </c>
      <c r="L495" s="35">
        <v>4093.03</v>
      </c>
      <c r="M495" s="35">
        <v>4114.71</v>
      </c>
      <c r="N495" s="35">
        <v>4404.79</v>
      </c>
      <c r="O495" s="35">
        <v>4159.76</v>
      </c>
      <c r="P495" s="35">
        <v>4292.8999999999996</v>
      </c>
      <c r="Q495" s="47"/>
      <c r="R495" s="47"/>
      <c r="S495" s="47"/>
      <c r="T495" s="47"/>
      <c r="U495" s="47"/>
      <c r="V495" s="274"/>
      <c r="W495" s="47"/>
      <c r="X495" s="257"/>
      <c r="Y495" s="102"/>
    </row>
    <row r="496" spans="1:31" ht="22.15" x14ac:dyDescent="0.25">
      <c r="A496" s="96"/>
      <c r="B496" s="80"/>
      <c r="C496" s="56" t="s">
        <v>203</v>
      </c>
      <c r="D496" s="97">
        <f t="shared" ref="D496:P496" si="161">IF(((D494="")*AND(D495="")),"",(D494-D495)*2)</f>
        <v>5516.8399999999983</v>
      </c>
      <c r="E496" s="97">
        <f t="shared" si="161"/>
        <v>5522.5</v>
      </c>
      <c r="F496" s="97">
        <f t="shared" si="161"/>
        <v>5555.48</v>
      </c>
      <c r="G496" s="97">
        <f t="shared" si="161"/>
        <v>5675.4000000000005</v>
      </c>
      <c r="H496" s="97">
        <f t="shared" si="161"/>
        <v>5530.98</v>
      </c>
      <c r="I496" s="97">
        <f t="shared" si="161"/>
        <v>5633.5599999999995</v>
      </c>
      <c r="J496" s="97">
        <f t="shared" si="161"/>
        <v>5677.54</v>
      </c>
      <c r="K496" s="97">
        <f t="shared" si="161"/>
        <v>5721.68</v>
      </c>
      <c r="L496" s="97">
        <f t="shared" si="161"/>
        <v>5573.62</v>
      </c>
      <c r="M496" s="97">
        <f t="shared" si="161"/>
        <v>5700.2999999999993</v>
      </c>
      <c r="N496" s="97">
        <f t="shared" si="161"/>
        <v>5550.2800000000007</v>
      </c>
      <c r="O496" s="97">
        <f t="shared" si="161"/>
        <v>5601.74</v>
      </c>
      <c r="P496" s="97">
        <f t="shared" si="161"/>
        <v>5567.52</v>
      </c>
      <c r="Q496" s="80"/>
      <c r="R496" s="80"/>
      <c r="S496" s="80"/>
      <c r="T496" s="47"/>
      <c r="U496" s="80"/>
      <c r="V496" s="277"/>
      <c r="W496" s="80"/>
      <c r="X496" s="257"/>
      <c r="Y496" s="102"/>
    </row>
    <row r="497" spans="1:31" x14ac:dyDescent="0.25">
      <c r="A497" s="100">
        <v>43296</v>
      </c>
      <c r="B497" s="50" t="s">
        <v>208</v>
      </c>
      <c r="C497" s="56" t="s">
        <v>205</v>
      </c>
      <c r="D497" s="35">
        <v>5985.57</v>
      </c>
      <c r="E497" s="35">
        <v>6099.74</v>
      </c>
      <c r="F497" s="35">
        <v>6133.99</v>
      </c>
      <c r="G497" s="35">
        <v>6072.97</v>
      </c>
      <c r="H497" s="35">
        <v>5972.51</v>
      </c>
      <c r="I497" s="35">
        <v>5929.71</v>
      </c>
      <c r="J497" s="35">
        <v>6084.1</v>
      </c>
      <c r="K497" s="35">
        <v>6134.12</v>
      </c>
      <c r="L497" s="35">
        <v>5939.77</v>
      </c>
      <c r="M497" s="55"/>
      <c r="N497" s="55"/>
      <c r="O497" s="55"/>
      <c r="P497" s="55"/>
      <c r="Q497" s="50">
        <f>IF((L498=""),"",MAX(D499:L499))</f>
        <v>8125.32</v>
      </c>
      <c r="R497" s="50">
        <f>IF(L498="","",MIN(D499:L499))</f>
        <v>7083.8700000000008</v>
      </c>
      <c r="S497" s="77">
        <f>IF((L499=""),"",AVERAGE(D499:L499))</f>
        <v>7366.5233333333326</v>
      </c>
      <c r="T497" s="52">
        <f>IF((L498=""),"",(Q497-R497)/(Q497+R497)*100)</f>
        <v>6.8475046994613056</v>
      </c>
      <c r="U497" s="50">
        <f>STDEV(D499:P499)</f>
        <v>324.39945264287951</v>
      </c>
      <c r="V497" s="273" t="str">
        <f>IF(L498="","",IF(T497&lt;9.8,IF(S497&gt;5100,IF(S497&lt;8300,"Pass","Fail"),"Fail"),"Fail"))</f>
        <v>Pass</v>
      </c>
      <c r="W497" s="47">
        <v>74</v>
      </c>
      <c r="X497" s="257"/>
      <c r="Y497" s="102" t="s">
        <v>233</v>
      </c>
      <c r="Z497" s="37">
        <v>4955</v>
      </c>
      <c r="AA497" s="37">
        <v>9645</v>
      </c>
      <c r="AB497" s="37">
        <v>5100</v>
      </c>
      <c r="AC497" s="37">
        <v>8300</v>
      </c>
      <c r="AD497" s="69">
        <v>9.8000000000000007</v>
      </c>
      <c r="AE497" s="69">
        <v>10</v>
      </c>
    </row>
    <row r="498" spans="1:31" x14ac:dyDescent="0.25">
      <c r="A498" s="49"/>
      <c r="B498" s="47"/>
      <c r="C498" s="56" t="s">
        <v>204</v>
      </c>
      <c r="D498" s="35">
        <v>3595.78</v>
      </c>
      <c r="E498" s="35">
        <v>3694.44</v>
      </c>
      <c r="F498" s="35">
        <v>3699.05</v>
      </c>
      <c r="G498" s="35">
        <v>3673.98</v>
      </c>
      <c r="H498" s="35">
        <v>3424.57</v>
      </c>
      <c r="I498" s="35">
        <v>3221.27</v>
      </c>
      <c r="J498" s="35">
        <v>3657.68</v>
      </c>
      <c r="K498" s="35">
        <v>3707.66</v>
      </c>
      <c r="L498" s="35">
        <v>3578.48</v>
      </c>
      <c r="M498" s="55"/>
      <c r="N498" s="55"/>
      <c r="O498" s="55"/>
      <c r="P498" s="55"/>
      <c r="Q498" s="47"/>
      <c r="R498" s="47"/>
      <c r="S498" s="47"/>
      <c r="T498" s="47"/>
      <c r="U498" s="47"/>
      <c r="V498" s="274"/>
      <c r="W498" s="47"/>
      <c r="X498" s="257"/>
      <c r="Y498" s="102"/>
    </row>
    <row r="499" spans="1:31" ht="22.75" thickBot="1" x14ac:dyDescent="0.3">
      <c r="A499" s="45"/>
      <c r="B499" s="42"/>
      <c r="C499" s="76" t="s">
        <v>203</v>
      </c>
      <c r="D499" s="84">
        <f t="shared" ref="D499:L499" si="162">IF(((D497="")*AND(D498="")),"",(D497-D498)*3)</f>
        <v>7169.369999999999</v>
      </c>
      <c r="E499" s="84">
        <f t="shared" si="162"/>
        <v>7215.9</v>
      </c>
      <c r="F499" s="84">
        <f t="shared" si="162"/>
        <v>7304.8199999999988</v>
      </c>
      <c r="G499" s="84">
        <f t="shared" si="162"/>
        <v>7196.9700000000012</v>
      </c>
      <c r="H499" s="84">
        <f t="shared" si="162"/>
        <v>7643.82</v>
      </c>
      <c r="I499" s="84">
        <f t="shared" si="162"/>
        <v>8125.32</v>
      </c>
      <c r="J499" s="84">
        <f t="shared" si="162"/>
        <v>7279.260000000002</v>
      </c>
      <c r="K499" s="84">
        <f t="shared" si="162"/>
        <v>7279.38</v>
      </c>
      <c r="L499" s="84">
        <f t="shared" si="162"/>
        <v>7083.8700000000008</v>
      </c>
      <c r="M499" s="84"/>
      <c r="N499" s="84"/>
      <c r="O499" s="84"/>
      <c r="P499" s="84" t="str">
        <f>IF(((P497="")*AND(P498="")),"",(P497-P498)*2)</f>
        <v/>
      </c>
      <c r="Q499" s="42"/>
      <c r="R499" s="42"/>
      <c r="S499" s="42"/>
      <c r="T499" s="42"/>
      <c r="U499" s="42"/>
      <c r="V499" s="275"/>
      <c r="W499" s="42"/>
      <c r="X499" s="257"/>
      <c r="Y499" s="101"/>
    </row>
    <row r="500" spans="1:31" x14ac:dyDescent="0.25">
      <c r="A500" s="90">
        <v>43304</v>
      </c>
      <c r="B500" s="57" t="s">
        <v>206</v>
      </c>
      <c r="C500" s="61" t="s">
        <v>205</v>
      </c>
      <c r="D500" s="35">
        <v>6756.5</v>
      </c>
      <c r="E500" s="35">
        <v>6966.71</v>
      </c>
      <c r="F500" s="35">
        <v>6680.13</v>
      </c>
      <c r="G500" s="35">
        <v>6741.2</v>
      </c>
      <c r="H500" s="35">
        <v>6866.71</v>
      </c>
      <c r="I500" s="35">
        <v>6811.07</v>
      </c>
      <c r="J500" s="35">
        <v>6803.66</v>
      </c>
      <c r="K500" s="35">
        <v>6735.02</v>
      </c>
      <c r="L500" s="35">
        <v>6762.63</v>
      </c>
      <c r="M500" s="35">
        <v>6857.09</v>
      </c>
      <c r="N500" s="35">
        <v>7052.07</v>
      </c>
      <c r="O500" s="35">
        <v>6840.46</v>
      </c>
      <c r="P500" s="35">
        <v>6946.1</v>
      </c>
      <c r="Q500" s="50">
        <f>IF((L501=""),"",MAX(D502:P502))</f>
        <v>5570.66</v>
      </c>
      <c r="R500" s="57">
        <f>IF(L501="","",MIN(D502:L502))</f>
        <v>5436.44</v>
      </c>
      <c r="S500" s="53">
        <f>IF((P502=""),"",AVERAGE(D502:P502))</f>
        <v>5495.4015384615386</v>
      </c>
      <c r="T500" s="53">
        <f>IF((L501=""),"",(Q500-R500)/(Q500+R500)*100)</f>
        <v>1.2193947542949577</v>
      </c>
      <c r="U500" s="57">
        <f>STDEV(D502:P502)</f>
        <v>49.713502834768853</v>
      </c>
      <c r="V500" s="276" t="str">
        <f>IF(P501="","",IF(T500&lt;2.7,IF(S500&gt;5150,IF(S500&lt;5600,"Pass","Fail"),"Fail"),"Fail"))</f>
        <v>Pass</v>
      </c>
      <c r="W500" s="57">
        <v>121</v>
      </c>
      <c r="X500" s="257"/>
      <c r="Y500" s="229"/>
      <c r="Z500" s="71">
        <v>4470</v>
      </c>
      <c r="AA500" s="71">
        <v>6020</v>
      </c>
      <c r="AB500" s="71">
        <v>5150</v>
      </c>
      <c r="AC500" s="71">
        <v>5600</v>
      </c>
      <c r="AD500" s="70">
        <v>2.7</v>
      </c>
      <c r="AE500" s="69">
        <v>10</v>
      </c>
    </row>
    <row r="501" spans="1:31" x14ac:dyDescent="0.25">
      <c r="A501" s="96"/>
      <c r="B501" s="47"/>
      <c r="C501" s="56" t="s">
        <v>204</v>
      </c>
      <c r="D501" s="35">
        <v>4038.28</v>
      </c>
      <c r="E501" s="35">
        <v>4236.3500000000004</v>
      </c>
      <c r="F501" s="35">
        <v>3961.38</v>
      </c>
      <c r="G501" s="35">
        <v>3963.37</v>
      </c>
      <c r="H501" s="35">
        <v>4125.3900000000003</v>
      </c>
      <c r="I501" s="35">
        <v>4046.32</v>
      </c>
      <c r="J501" s="35">
        <v>4018.33</v>
      </c>
      <c r="K501" s="35">
        <v>3952.76</v>
      </c>
      <c r="L501" s="35">
        <v>4039.12</v>
      </c>
      <c r="M501" s="35">
        <v>4086.32</v>
      </c>
      <c r="N501" s="35">
        <v>4314.88</v>
      </c>
      <c r="O501" s="35">
        <v>4104.6000000000004</v>
      </c>
      <c r="P501" s="35">
        <v>4212.1400000000003</v>
      </c>
      <c r="Q501" s="47"/>
      <c r="R501" s="47"/>
      <c r="S501" s="47"/>
      <c r="T501" s="47"/>
      <c r="U501" s="47"/>
      <c r="V501" s="274"/>
      <c r="W501" s="47"/>
      <c r="X501" s="257"/>
      <c r="Y501" s="227"/>
    </row>
    <row r="502" spans="1:31" ht="22.15" x14ac:dyDescent="0.25">
      <c r="A502" s="96"/>
      <c r="B502" s="80"/>
      <c r="C502" s="56" t="s">
        <v>203</v>
      </c>
      <c r="D502" s="97">
        <f t="shared" ref="D502:P502" si="163">IF(((D500="")*AND(D501="")),"",(D500-D501)*2)</f>
        <v>5436.44</v>
      </c>
      <c r="E502" s="97">
        <f t="shared" si="163"/>
        <v>5460.7199999999993</v>
      </c>
      <c r="F502" s="97">
        <f t="shared" si="163"/>
        <v>5437.5</v>
      </c>
      <c r="G502" s="97">
        <f t="shared" si="163"/>
        <v>5555.66</v>
      </c>
      <c r="H502" s="97">
        <f t="shared" si="163"/>
        <v>5482.6399999999994</v>
      </c>
      <c r="I502" s="97">
        <f t="shared" si="163"/>
        <v>5529.4999999999991</v>
      </c>
      <c r="J502" s="97">
        <f t="shared" si="163"/>
        <v>5570.66</v>
      </c>
      <c r="K502" s="97">
        <f t="shared" si="163"/>
        <v>5564.52</v>
      </c>
      <c r="L502" s="97">
        <f t="shared" si="163"/>
        <v>5447.02</v>
      </c>
      <c r="M502" s="97">
        <f t="shared" si="163"/>
        <v>5541.54</v>
      </c>
      <c r="N502" s="97">
        <f t="shared" si="163"/>
        <v>5474.3799999999992</v>
      </c>
      <c r="O502" s="97">
        <f t="shared" si="163"/>
        <v>5471.7199999999993</v>
      </c>
      <c r="P502" s="97">
        <f t="shared" si="163"/>
        <v>5467.92</v>
      </c>
      <c r="Q502" s="80"/>
      <c r="R502" s="80"/>
      <c r="S502" s="80"/>
      <c r="T502" s="47"/>
      <c r="U502" s="80"/>
      <c r="V502" s="277"/>
      <c r="W502" s="80"/>
      <c r="X502" s="257"/>
      <c r="Y502" s="227"/>
    </row>
    <row r="503" spans="1:31" x14ac:dyDescent="0.25">
      <c r="A503" s="90">
        <v>43304</v>
      </c>
      <c r="B503" s="50" t="s">
        <v>208</v>
      </c>
      <c r="C503" s="56" t="s">
        <v>205</v>
      </c>
      <c r="D503" s="35">
        <v>5939.68</v>
      </c>
      <c r="E503" s="35">
        <v>6147.27</v>
      </c>
      <c r="F503" s="35">
        <v>6195.45</v>
      </c>
      <c r="G503" s="35">
        <v>6136.35</v>
      </c>
      <c r="H503" s="35">
        <v>5996.84</v>
      </c>
      <c r="I503" s="35">
        <v>5911.67</v>
      </c>
      <c r="J503" s="35">
        <v>6108.69</v>
      </c>
      <c r="K503" s="35">
        <v>6200.42</v>
      </c>
      <c r="L503" s="35">
        <v>5948.43</v>
      </c>
      <c r="M503" s="55"/>
      <c r="N503" s="55"/>
      <c r="O503" s="55"/>
      <c r="P503" s="55"/>
      <c r="Q503" s="50">
        <f>IF((L504=""),"",MAX(D505:L505))</f>
        <v>8101.38</v>
      </c>
      <c r="R503" s="50">
        <f>IF(L504="","",MIN(D505:L505))</f>
        <v>7155.420000000001</v>
      </c>
      <c r="S503" s="77">
        <f>IF((L505=""),"",AVERAGE(D505:L505))</f>
        <v>7460.5933333333342</v>
      </c>
      <c r="T503" s="52">
        <f>IF((L504=""),"",(Q503-R503)/(Q503+R503)*100)</f>
        <v>6.2002516910492309</v>
      </c>
      <c r="U503" s="50">
        <f>STDEV(D505:P505)</f>
        <v>272.62924169098221</v>
      </c>
      <c r="V503" s="273" t="str">
        <f>IF(L504="","",IF(T503&lt;9.8,IF(S503&gt;5100,IF(S503&lt;8300,"Pass","Fail"),"Fail"),"Fail"))</f>
        <v>Pass</v>
      </c>
      <c r="W503" s="47">
        <v>121</v>
      </c>
      <c r="X503" s="257"/>
      <c r="Y503" s="227"/>
      <c r="Z503" s="37">
        <v>4955</v>
      </c>
      <c r="AA503" s="37">
        <v>9645</v>
      </c>
      <c r="AB503" s="37">
        <v>5100</v>
      </c>
      <c r="AC503" s="37">
        <v>8300</v>
      </c>
      <c r="AD503" s="69">
        <v>9.8000000000000007</v>
      </c>
      <c r="AE503" s="69">
        <v>10</v>
      </c>
    </row>
    <row r="504" spans="1:31" x14ac:dyDescent="0.25">
      <c r="A504" s="49"/>
      <c r="B504" s="47"/>
      <c r="C504" s="56" t="s">
        <v>204</v>
      </c>
      <c r="D504" s="35">
        <v>3401.71</v>
      </c>
      <c r="E504" s="35">
        <v>3679.84</v>
      </c>
      <c r="F504" s="35">
        <v>3706.92</v>
      </c>
      <c r="G504" s="35">
        <v>3688.8</v>
      </c>
      <c r="H504" s="35">
        <v>3566.87</v>
      </c>
      <c r="I504" s="35">
        <v>3211.21</v>
      </c>
      <c r="J504" s="35">
        <v>3670.01</v>
      </c>
      <c r="K504" s="35">
        <v>3714.37</v>
      </c>
      <c r="L504" s="35">
        <v>3563.29</v>
      </c>
      <c r="M504" s="55"/>
      <c r="N504" s="55"/>
      <c r="O504" s="55"/>
      <c r="P504" s="55"/>
      <c r="Q504" s="47"/>
      <c r="R504" s="47"/>
      <c r="S504" s="47"/>
      <c r="T504" s="47"/>
      <c r="U504" s="47"/>
      <c r="V504" s="274"/>
      <c r="W504" s="47"/>
      <c r="X504" s="257"/>
      <c r="Y504" s="227"/>
      <c r="AD504" s="69"/>
      <c r="AE504" s="69"/>
    </row>
    <row r="505" spans="1:31" ht="22.75" thickBot="1" x14ac:dyDescent="0.3">
      <c r="A505" s="45"/>
      <c r="B505" s="42"/>
      <c r="C505" s="76" t="s">
        <v>203</v>
      </c>
      <c r="D505" s="84">
        <f t="shared" ref="D505:L505" si="164">IF(((D503="")*AND(D504="")),"",(D503-D504)*3)</f>
        <v>7613.9100000000008</v>
      </c>
      <c r="E505" s="84">
        <f t="shared" si="164"/>
        <v>7402.2900000000009</v>
      </c>
      <c r="F505" s="84">
        <f t="shared" si="164"/>
        <v>7465.5899999999992</v>
      </c>
      <c r="G505" s="84">
        <f t="shared" si="164"/>
        <v>7342.6500000000005</v>
      </c>
      <c r="H505" s="84">
        <f t="shared" si="164"/>
        <v>7289.9100000000008</v>
      </c>
      <c r="I505" s="84">
        <f t="shared" si="164"/>
        <v>8101.38</v>
      </c>
      <c r="J505" s="84">
        <f t="shared" si="164"/>
        <v>7316.0399999999981</v>
      </c>
      <c r="K505" s="84">
        <f t="shared" si="164"/>
        <v>7458.1500000000005</v>
      </c>
      <c r="L505" s="84">
        <f t="shared" si="164"/>
        <v>7155.420000000001</v>
      </c>
      <c r="M505" s="84"/>
      <c r="N505" s="84"/>
      <c r="O505" s="84"/>
      <c r="P505" s="84" t="str">
        <f>IF(((P503="")*AND(P504="")),"",(P503-P504)*2)</f>
        <v/>
      </c>
      <c r="Q505" s="42"/>
      <c r="R505" s="42"/>
      <c r="S505" s="42"/>
      <c r="T505" s="42"/>
      <c r="U505" s="42"/>
      <c r="V505" s="275"/>
      <c r="W505" s="42"/>
      <c r="X505" s="257"/>
      <c r="Y505" s="228"/>
      <c r="AD505" s="69"/>
      <c r="AE505" s="69"/>
    </row>
    <row r="506" spans="1:31" x14ac:dyDescent="0.25">
      <c r="A506" s="90">
        <v>43311</v>
      </c>
      <c r="B506" s="57" t="s">
        <v>206</v>
      </c>
      <c r="C506" s="61" t="s">
        <v>205</v>
      </c>
      <c r="D506" s="35">
        <v>4049.4</v>
      </c>
      <c r="E506" s="35">
        <v>4249.84</v>
      </c>
      <c r="F506" s="35">
        <v>3971.13</v>
      </c>
      <c r="G506" s="35">
        <v>3972.78</v>
      </c>
      <c r="H506" s="35">
        <v>4138.2700000000004</v>
      </c>
      <c r="I506" s="35">
        <v>4057.38</v>
      </c>
      <c r="J506" s="35">
        <v>4027.95</v>
      </c>
      <c r="K506" s="35">
        <v>3962.25</v>
      </c>
      <c r="L506" s="35">
        <v>4048.84</v>
      </c>
      <c r="M506" s="35">
        <v>4096.8900000000003</v>
      </c>
      <c r="N506" s="35">
        <v>4328.91</v>
      </c>
      <c r="O506" s="35">
        <v>4114.84</v>
      </c>
      <c r="P506" s="35">
        <v>4224.2700000000004</v>
      </c>
      <c r="Q506" s="50">
        <f>IF((L507=""),"",MAX(D508:P508))</f>
        <v>5558.28</v>
      </c>
      <c r="R506" s="57">
        <f>IF(L507="","",MIN(D508:L508))</f>
        <v>5420.58</v>
      </c>
      <c r="S506" s="53">
        <f>IF((P508=""),"",AVERAGE(D508:P508))</f>
        <v>5475.3676923076919</v>
      </c>
      <c r="T506" s="53">
        <f>IF((L507=""),"",(Q506-R506)/(Q506+R506)*100)</f>
        <v>1.2542285811095124</v>
      </c>
      <c r="U506" s="57">
        <f>STDEV(D508:P508)</f>
        <v>48.237454699615135</v>
      </c>
      <c r="V506" s="276" t="str">
        <f>IF(P507="","",IF(T506&lt;2.7,IF(S506&gt;5150,IF(S506&lt;5600,"Pass","Fail"),"Fail"),"Fail"))</f>
        <v>Pass</v>
      </c>
      <c r="W506" s="57">
        <v>1428</v>
      </c>
      <c r="X506" s="257"/>
      <c r="Y506" s="229"/>
      <c r="Z506" s="71">
        <v>4470</v>
      </c>
      <c r="AA506" s="71">
        <v>6020</v>
      </c>
      <c r="AB506" s="71">
        <v>5150</v>
      </c>
      <c r="AC506" s="71">
        <v>5600</v>
      </c>
      <c r="AD506" s="70">
        <v>2.7</v>
      </c>
      <c r="AE506" s="69">
        <v>10</v>
      </c>
    </row>
    <row r="507" spans="1:31" x14ac:dyDescent="0.25">
      <c r="A507" s="96"/>
      <c r="B507" s="47"/>
      <c r="C507" s="56" t="s">
        <v>204</v>
      </c>
      <c r="D507" s="35">
        <v>1339.11</v>
      </c>
      <c r="E507" s="35">
        <v>1532.33</v>
      </c>
      <c r="F507" s="35">
        <v>1259.33</v>
      </c>
      <c r="G507" s="35">
        <v>1210.17</v>
      </c>
      <c r="H507" s="35">
        <v>1417.69</v>
      </c>
      <c r="I507" s="35">
        <v>1297.73</v>
      </c>
      <c r="J507" s="35">
        <v>1248.81</v>
      </c>
      <c r="K507" s="35">
        <v>1195.8</v>
      </c>
      <c r="L507" s="35">
        <v>1329.58</v>
      </c>
      <c r="M507" s="35">
        <v>1336.16</v>
      </c>
      <c r="N507" s="35">
        <v>1603.31</v>
      </c>
      <c r="O507" s="35">
        <v>1384.28</v>
      </c>
      <c r="P507" s="35">
        <v>1498.56</v>
      </c>
      <c r="Q507" s="47"/>
      <c r="R507" s="47"/>
      <c r="S507" s="47"/>
      <c r="T507" s="47"/>
      <c r="U507" s="47"/>
      <c r="V507" s="274"/>
      <c r="W507" s="47"/>
      <c r="X507" s="257"/>
      <c r="Y507" s="227"/>
    </row>
    <row r="508" spans="1:31" ht="22.15" x14ac:dyDescent="0.25">
      <c r="A508" s="96"/>
      <c r="B508" s="80"/>
      <c r="C508" s="56" t="s">
        <v>203</v>
      </c>
      <c r="D508" s="97">
        <f t="shared" ref="D508:P508" si="165">IF(((D506="")*AND(D507="")),"",(D506-D507)*2)</f>
        <v>5420.58</v>
      </c>
      <c r="E508" s="97">
        <f t="shared" si="165"/>
        <v>5435.02</v>
      </c>
      <c r="F508" s="97">
        <f t="shared" si="165"/>
        <v>5423.6</v>
      </c>
      <c r="G508" s="97">
        <f t="shared" si="165"/>
        <v>5525.22</v>
      </c>
      <c r="H508" s="97">
        <f t="shared" si="165"/>
        <v>5441.1600000000008</v>
      </c>
      <c r="I508" s="97">
        <f t="shared" si="165"/>
        <v>5519.3</v>
      </c>
      <c r="J508" s="97">
        <f t="shared" si="165"/>
        <v>5558.28</v>
      </c>
      <c r="K508" s="97">
        <f t="shared" si="165"/>
        <v>5532.9</v>
      </c>
      <c r="L508" s="97">
        <f t="shared" si="165"/>
        <v>5438.52</v>
      </c>
      <c r="M508" s="97">
        <f t="shared" si="165"/>
        <v>5521.4600000000009</v>
      </c>
      <c r="N508" s="97">
        <f t="shared" si="165"/>
        <v>5451.2</v>
      </c>
      <c r="O508" s="97">
        <f t="shared" si="165"/>
        <v>5461.1200000000008</v>
      </c>
      <c r="P508" s="97">
        <f t="shared" si="165"/>
        <v>5451.420000000001</v>
      </c>
      <c r="Q508" s="80"/>
      <c r="R508" s="80"/>
      <c r="S508" s="80"/>
      <c r="T508" s="47"/>
      <c r="U508" s="80"/>
      <c r="V508" s="277"/>
      <c r="W508" s="80"/>
      <c r="X508" s="257"/>
      <c r="Y508" s="227"/>
    </row>
    <row r="509" spans="1:31" x14ac:dyDescent="0.25">
      <c r="A509" s="90">
        <v>43311</v>
      </c>
      <c r="B509" s="50" t="s">
        <v>208</v>
      </c>
      <c r="C509" s="56" t="s">
        <v>205</v>
      </c>
      <c r="D509" s="35">
        <v>3400.37</v>
      </c>
      <c r="E509" s="35">
        <v>3678.97</v>
      </c>
      <c r="F509" s="35">
        <v>3702.22</v>
      </c>
      <c r="G509" s="35">
        <v>3681.57</v>
      </c>
      <c r="H509" s="35">
        <v>3567.2</v>
      </c>
      <c r="I509" s="35">
        <v>3211.95</v>
      </c>
      <c r="J509" s="35">
        <v>3669.86</v>
      </c>
      <c r="K509" s="35">
        <v>3712.55</v>
      </c>
      <c r="L509" s="35">
        <v>3571.21</v>
      </c>
      <c r="M509" s="55"/>
      <c r="N509" s="55"/>
      <c r="O509" s="55"/>
      <c r="P509" s="55"/>
      <c r="Q509" s="50">
        <f>IF((L510=""),"",MAX(D511:L511))</f>
        <v>7009.829999999999</v>
      </c>
      <c r="R509" s="50">
        <f>IF(L510="","",MIN(D511:L511))</f>
        <v>6658.170000000001</v>
      </c>
      <c r="S509" s="77">
        <f>IF((L511=""),"",AVERAGE(D511:L511))</f>
        <v>6768.8266666666659</v>
      </c>
      <c r="T509" s="52">
        <f>IF((L510=""),"",(Q509-R509)/(Q509+R509)*100)</f>
        <v>2.5728709394205298</v>
      </c>
      <c r="U509" s="50">
        <f>STDEV(D511:P511)</f>
        <v>114.23149237403807</v>
      </c>
      <c r="V509" s="273" t="str">
        <f>IF(L510="","",IF(T509&lt;9.8,IF(S509&gt;5100,IF(S509&lt;8300,"Pass","Fail"),"Fail"),"Fail"))</f>
        <v>Pass</v>
      </c>
      <c r="W509" s="47">
        <v>1428</v>
      </c>
      <c r="X509" s="257"/>
      <c r="Y509" s="227"/>
      <c r="Z509" s="37">
        <v>4955</v>
      </c>
      <c r="AA509" s="37">
        <v>9645</v>
      </c>
      <c r="AB509" s="37">
        <v>5100</v>
      </c>
      <c r="AC509" s="37">
        <v>8300</v>
      </c>
      <c r="AD509" s="69">
        <v>9.8000000000000007</v>
      </c>
      <c r="AE509" s="69">
        <v>10</v>
      </c>
    </row>
    <row r="510" spans="1:31" x14ac:dyDescent="0.25">
      <c r="A510" s="49"/>
      <c r="B510" s="47"/>
      <c r="C510" s="56" t="s">
        <v>204</v>
      </c>
      <c r="D510" s="35">
        <v>1142.83</v>
      </c>
      <c r="E510" s="35">
        <v>1437.53</v>
      </c>
      <c r="F510" s="35">
        <v>1478.23</v>
      </c>
      <c r="G510" s="35">
        <v>1460.05</v>
      </c>
      <c r="H510" s="35">
        <v>1230.5899999999999</v>
      </c>
      <c r="I510" s="35">
        <v>922.03</v>
      </c>
      <c r="J510" s="35">
        <v>1421.17</v>
      </c>
      <c r="K510" s="35">
        <v>1493.16</v>
      </c>
      <c r="L510" s="35">
        <v>1303.83</v>
      </c>
      <c r="M510" s="55"/>
      <c r="N510" s="55"/>
      <c r="O510" s="55"/>
      <c r="P510" s="55"/>
      <c r="Q510" s="47"/>
      <c r="R510" s="47"/>
      <c r="S510" s="47"/>
      <c r="T510" s="47"/>
      <c r="U510" s="47"/>
      <c r="V510" s="274"/>
      <c r="W510" s="47"/>
      <c r="X510" s="257"/>
      <c r="Y510" s="227"/>
    </row>
    <row r="511" spans="1:31" ht="22.75" thickBot="1" x14ac:dyDescent="0.3">
      <c r="A511" s="45"/>
      <c r="B511" s="42"/>
      <c r="C511" s="76" t="s">
        <v>203</v>
      </c>
      <c r="D511" s="84">
        <f t="shared" ref="D511:L511" si="166">IF(((D509="")*AND(D510="")),"",(D509-D510)*3)</f>
        <v>6772.62</v>
      </c>
      <c r="E511" s="84">
        <f t="shared" si="166"/>
        <v>6724.3199999999988</v>
      </c>
      <c r="F511" s="84">
        <f t="shared" si="166"/>
        <v>6671.9699999999993</v>
      </c>
      <c r="G511" s="84">
        <f t="shared" si="166"/>
        <v>6664.5600000000013</v>
      </c>
      <c r="H511" s="84">
        <f t="shared" si="166"/>
        <v>7009.829999999999</v>
      </c>
      <c r="I511" s="84">
        <f t="shared" si="166"/>
        <v>6869.76</v>
      </c>
      <c r="J511" s="84">
        <f t="shared" si="166"/>
        <v>6746.07</v>
      </c>
      <c r="K511" s="84">
        <f t="shared" si="166"/>
        <v>6658.170000000001</v>
      </c>
      <c r="L511" s="84">
        <f t="shared" si="166"/>
        <v>6802.14</v>
      </c>
      <c r="M511" s="84"/>
      <c r="N511" s="84"/>
      <c r="O511" s="84"/>
      <c r="P511" s="84" t="str">
        <f>IF(((P509="")*AND(P510="")),"",(P509-P510)*2)</f>
        <v/>
      </c>
      <c r="Q511" s="42"/>
      <c r="R511" s="42"/>
      <c r="S511" s="42"/>
      <c r="T511" s="42"/>
      <c r="U511" s="42"/>
      <c r="V511" s="275"/>
      <c r="W511" s="42"/>
      <c r="X511" s="257"/>
      <c r="Y511" s="228"/>
    </row>
    <row r="512" spans="1:31" x14ac:dyDescent="0.25">
      <c r="A512" s="90">
        <v>43319</v>
      </c>
      <c r="B512" s="57" t="s">
        <v>206</v>
      </c>
      <c r="C512" s="61" t="s">
        <v>205</v>
      </c>
      <c r="D512" s="35">
        <v>6783.36</v>
      </c>
      <c r="E512" s="35">
        <v>6986.89</v>
      </c>
      <c r="F512" s="35">
        <v>6696.2</v>
      </c>
      <c r="G512" s="35">
        <v>6732.79</v>
      </c>
      <c r="H512" s="35">
        <v>6892.05</v>
      </c>
      <c r="I512" s="35">
        <v>6812.59</v>
      </c>
      <c r="J512" s="35">
        <v>6778.67</v>
      </c>
      <c r="K512" s="35">
        <v>6739.09</v>
      </c>
      <c r="L512" s="35">
        <v>6766.72</v>
      </c>
      <c r="M512" s="35">
        <v>6853.29</v>
      </c>
      <c r="N512" s="35">
        <v>7026</v>
      </c>
      <c r="O512" s="35">
        <v>6846.05</v>
      </c>
      <c r="P512" s="35">
        <v>6936.34</v>
      </c>
      <c r="Q512" s="50">
        <f>IF((L513=""),"",MAX(D514:P514))</f>
        <v>5527.88</v>
      </c>
      <c r="R512" s="57">
        <f>IF(L513="","",MIN(D514:L514))</f>
        <v>5391.7199999999993</v>
      </c>
      <c r="S512" s="53">
        <f>IF((P514=""),"",AVERAGE(D514:P514))</f>
        <v>5455.376923076923</v>
      </c>
      <c r="T512" s="53">
        <f>IF((L513=""),"",(Q512-R512)/(Q512+R512)*100)</f>
        <v>1.2469321220557601</v>
      </c>
      <c r="U512" s="57">
        <f>STDEV(D514:P514)</f>
        <v>46.559071329623066</v>
      </c>
      <c r="V512" s="276" t="str">
        <f>IF(P513="","",IF(T512&lt;2.7,IF(S512&gt;5150,IF(S512&lt;5600,"Pass","Fail"),"Fail"),"Fail"))</f>
        <v>Pass</v>
      </c>
      <c r="W512" s="57">
        <v>1340</v>
      </c>
      <c r="X512" s="257"/>
      <c r="Y512" s="226"/>
      <c r="Z512" s="71">
        <v>4470</v>
      </c>
      <c r="AA512" s="71">
        <v>6020</v>
      </c>
      <c r="AB512" s="71">
        <v>5150</v>
      </c>
      <c r="AC512" s="71">
        <v>5600</v>
      </c>
      <c r="AD512" s="70">
        <v>2.7</v>
      </c>
      <c r="AE512" s="69">
        <v>10</v>
      </c>
    </row>
    <row r="513" spans="1:31" x14ac:dyDescent="0.25">
      <c r="A513" s="96"/>
      <c r="B513" s="47"/>
      <c r="C513" s="56" t="s">
        <v>204</v>
      </c>
      <c r="D513" s="35">
        <v>4087.5</v>
      </c>
      <c r="E513" s="35">
        <v>4279.37</v>
      </c>
      <c r="F513" s="35">
        <v>3995.92</v>
      </c>
      <c r="G513" s="35">
        <v>3981.89</v>
      </c>
      <c r="H513" s="35">
        <v>4171.01</v>
      </c>
      <c r="I513" s="35">
        <v>4068.91</v>
      </c>
      <c r="J513" s="35">
        <v>4014.73</v>
      </c>
      <c r="K513" s="35">
        <v>3983.62</v>
      </c>
      <c r="L513" s="35">
        <v>4060.85</v>
      </c>
      <c r="M513" s="35">
        <v>4098.09</v>
      </c>
      <c r="N513" s="35">
        <v>4305.78</v>
      </c>
      <c r="O513" s="35">
        <v>4125.83</v>
      </c>
      <c r="P513" s="35">
        <v>4216.59</v>
      </c>
      <c r="Q513" s="47"/>
      <c r="R513" s="47"/>
      <c r="S513" s="47"/>
      <c r="T513" s="47"/>
      <c r="U513" s="47"/>
      <c r="V513" s="274"/>
      <c r="W513" s="47"/>
      <c r="X513" s="258"/>
      <c r="Y513" s="250"/>
    </row>
    <row r="514" spans="1:31" ht="22.15" x14ac:dyDescent="0.25">
      <c r="A514" s="96"/>
      <c r="B514" s="80"/>
      <c r="C514" s="56" t="s">
        <v>203</v>
      </c>
      <c r="D514" s="97">
        <f t="shared" ref="D514:P514" si="167">IF(((D512="")*AND(D513="")),"",(D512-D513)*2)</f>
        <v>5391.7199999999993</v>
      </c>
      <c r="E514" s="97">
        <f t="shared" si="167"/>
        <v>5415.0400000000009</v>
      </c>
      <c r="F514" s="97">
        <f t="shared" si="167"/>
        <v>5400.5599999999995</v>
      </c>
      <c r="G514" s="97">
        <f t="shared" si="167"/>
        <v>5501.8</v>
      </c>
      <c r="H514" s="97">
        <f t="shared" si="167"/>
        <v>5442.08</v>
      </c>
      <c r="I514" s="97">
        <f t="shared" si="167"/>
        <v>5487.3600000000006</v>
      </c>
      <c r="J514" s="97">
        <f t="shared" si="167"/>
        <v>5527.88</v>
      </c>
      <c r="K514" s="97">
        <f t="shared" si="167"/>
        <v>5510.9400000000005</v>
      </c>
      <c r="L514" s="97">
        <f t="shared" si="167"/>
        <v>5411.7400000000007</v>
      </c>
      <c r="M514" s="97">
        <f t="shared" si="167"/>
        <v>5510.4</v>
      </c>
      <c r="N514" s="97">
        <f t="shared" si="167"/>
        <v>5440.4400000000005</v>
      </c>
      <c r="O514" s="97">
        <f t="shared" si="167"/>
        <v>5440.4400000000005</v>
      </c>
      <c r="P514" s="97">
        <f t="shared" si="167"/>
        <v>5439.5</v>
      </c>
      <c r="Q514" s="80"/>
      <c r="R514" s="80"/>
      <c r="S514" s="80"/>
      <c r="T514" s="47"/>
      <c r="U514" s="80"/>
      <c r="V514" s="277"/>
      <c r="W514" s="80"/>
      <c r="X514" s="258"/>
      <c r="Y514" s="250"/>
    </row>
    <row r="515" spans="1:31" x14ac:dyDescent="0.25">
      <c r="A515" s="90">
        <v>43319</v>
      </c>
      <c r="B515" s="50" t="s">
        <v>208</v>
      </c>
      <c r="C515" s="56" t="s">
        <v>205</v>
      </c>
      <c r="D515" s="35">
        <v>5968.16</v>
      </c>
      <c r="E515" s="35">
        <v>5951.85</v>
      </c>
      <c r="F515" s="35">
        <v>6240.47</v>
      </c>
      <c r="G515" s="35">
        <v>6167.8</v>
      </c>
      <c r="H515" s="35">
        <v>6418.78</v>
      </c>
      <c r="I515" s="35">
        <v>6335</v>
      </c>
      <c r="J515" s="35">
        <v>6186.25</v>
      </c>
      <c r="K515" s="35">
        <v>6155.23</v>
      </c>
      <c r="L515" s="35">
        <v>6373.59</v>
      </c>
      <c r="M515" s="55"/>
      <c r="N515" s="55"/>
      <c r="O515" s="55"/>
      <c r="P515" s="55"/>
      <c r="Q515" s="50">
        <f>IF((L516=""),"",MAX(D517:L517))</f>
        <v>8457.2999999999993</v>
      </c>
      <c r="R515" s="50">
        <f>IF(L516="","",MIN(D517:L517))</f>
        <v>7031.52</v>
      </c>
      <c r="S515" s="77">
        <f>IF((L517=""),"",AVERAGE(D517:L517))</f>
        <v>7776.8199999999988</v>
      </c>
      <c r="T515" s="52">
        <f>IF((L516=""),"",(Q515-R515)/(Q515+R515)*100)</f>
        <v>9.205220281467529</v>
      </c>
      <c r="U515" s="50">
        <f>STDEV(D517:P517)</f>
        <v>482.47649463471248</v>
      </c>
      <c r="V515" s="273" t="str">
        <f>IF(L516="","",IF(T515&lt;9.8,IF(S515&gt;5100,IF(S515&lt;8300,"Pass","Fail"),"Fail"),"Fail"))</f>
        <v>Pass</v>
      </c>
      <c r="W515" s="47">
        <v>1340</v>
      </c>
      <c r="X515" s="258"/>
      <c r="Y515" s="250"/>
      <c r="Z515" s="37">
        <v>4955</v>
      </c>
      <c r="AA515" s="37">
        <v>9645</v>
      </c>
      <c r="AB515" s="37">
        <v>5100</v>
      </c>
      <c r="AC515" s="37">
        <v>8300</v>
      </c>
      <c r="AD515" s="69">
        <v>9.8000000000000007</v>
      </c>
      <c r="AE515" s="69">
        <v>10</v>
      </c>
    </row>
    <row r="516" spans="1:31" x14ac:dyDescent="0.25">
      <c r="A516" s="49"/>
      <c r="B516" s="47"/>
      <c r="C516" s="56" t="s">
        <v>204</v>
      </c>
      <c r="D516" s="35">
        <v>3547.85</v>
      </c>
      <c r="E516" s="35">
        <v>3608.01</v>
      </c>
      <c r="F516" s="35">
        <v>3644.91</v>
      </c>
      <c r="G516" s="35">
        <v>3610.84</v>
      </c>
      <c r="H516" s="35">
        <v>3599.68</v>
      </c>
      <c r="I516" s="35">
        <v>3592.21</v>
      </c>
      <c r="J516" s="35">
        <v>3610.73</v>
      </c>
      <c r="K516" s="35">
        <v>3650.77</v>
      </c>
      <c r="L516" s="35">
        <v>3601.67</v>
      </c>
      <c r="M516" s="55"/>
      <c r="N516" s="55"/>
      <c r="O516" s="55"/>
      <c r="P516" s="55"/>
      <c r="Q516" s="47"/>
      <c r="R516" s="47"/>
      <c r="S516" s="47"/>
      <c r="T516" s="47"/>
      <c r="U516" s="47"/>
      <c r="V516" s="274"/>
      <c r="W516" s="47"/>
      <c r="X516" s="258"/>
      <c r="Y516" s="250"/>
    </row>
    <row r="517" spans="1:31" ht="22.75" thickBot="1" x14ac:dyDescent="0.3">
      <c r="A517" s="45"/>
      <c r="B517" s="42"/>
      <c r="C517" s="76" t="s">
        <v>203</v>
      </c>
      <c r="D517" s="84">
        <f t="shared" ref="D517:L517" si="168">IF(((D515="")*AND(D516="")),"",(D515-D516)*3)</f>
        <v>7260.93</v>
      </c>
      <c r="E517" s="84">
        <f t="shared" si="168"/>
        <v>7031.52</v>
      </c>
      <c r="F517" s="84">
        <f t="shared" si="168"/>
        <v>7786.6800000000012</v>
      </c>
      <c r="G517" s="84">
        <f t="shared" si="168"/>
        <v>7670.88</v>
      </c>
      <c r="H517" s="84">
        <f t="shared" si="168"/>
        <v>8457.2999999999993</v>
      </c>
      <c r="I517" s="84">
        <f t="shared" si="168"/>
        <v>8228.369999999999</v>
      </c>
      <c r="J517" s="84">
        <f t="shared" si="168"/>
        <v>7726.5599999999995</v>
      </c>
      <c r="K517" s="84">
        <f t="shared" si="168"/>
        <v>7513.3799999999992</v>
      </c>
      <c r="L517" s="84">
        <f t="shared" si="168"/>
        <v>8315.76</v>
      </c>
      <c r="M517" s="84"/>
      <c r="N517" s="84"/>
      <c r="O517" s="84"/>
      <c r="P517" s="84" t="str">
        <f>IF(((P515="")*AND(P516="")),"",(P515-P516)*2)</f>
        <v/>
      </c>
      <c r="Q517" s="42"/>
      <c r="R517" s="42"/>
      <c r="S517" s="42"/>
      <c r="T517" s="42"/>
      <c r="U517" s="42"/>
      <c r="V517" s="275"/>
      <c r="W517" s="42"/>
      <c r="X517" s="258"/>
      <c r="Y517" s="251"/>
    </row>
    <row r="518" spans="1:31" x14ac:dyDescent="0.25">
      <c r="A518" s="90">
        <v>43319</v>
      </c>
      <c r="B518" s="57" t="s">
        <v>206</v>
      </c>
      <c r="C518" s="61" t="s">
        <v>205</v>
      </c>
      <c r="D518" s="35">
        <v>4087</v>
      </c>
      <c r="E518" s="35">
        <v>4279</v>
      </c>
      <c r="F518" s="35">
        <v>3993</v>
      </c>
      <c r="G518" s="35">
        <v>3981</v>
      </c>
      <c r="H518" s="66">
        <v>4171</v>
      </c>
      <c r="I518" s="66">
        <v>4068</v>
      </c>
      <c r="J518" s="66">
        <v>4014</v>
      </c>
      <c r="K518" s="66">
        <v>3983</v>
      </c>
      <c r="L518" s="66">
        <v>4060</v>
      </c>
      <c r="M518" s="66">
        <v>4098</v>
      </c>
      <c r="N518" s="66">
        <v>4305</v>
      </c>
      <c r="O518" s="66">
        <v>4125</v>
      </c>
      <c r="P518" s="66">
        <v>4215</v>
      </c>
      <c r="Q518" s="50">
        <f>IF((L519=""),"",MAX(D520:P520))</f>
        <v>5572</v>
      </c>
      <c r="R518" s="57">
        <f>IF(L519="","",MIN(D520:L520))</f>
        <v>5438</v>
      </c>
      <c r="S518" s="53">
        <f>IF((P520=""),"",AVERAGE(D520:P520))</f>
        <v>5503.0769230769229</v>
      </c>
      <c r="T518" s="53">
        <f>IF((L519=""),"",(Q518-R518)/(Q518+R518)*100)</f>
        <v>1.2170753860127157</v>
      </c>
      <c r="U518" s="57">
        <f>STDEV(D520:P520)</f>
        <v>47.107079330785545</v>
      </c>
      <c r="V518" s="276" t="str">
        <f>IF(P519="","",IF(T518&lt;2.7,IF(S518&gt;5150,IF(S518&lt;5600,"Pass","Fail"),"Fail"),"Fail"))</f>
        <v>Pass</v>
      </c>
      <c r="W518" s="57">
        <v>1340</v>
      </c>
      <c r="X518" s="257"/>
      <c r="Y518" s="226"/>
      <c r="Z518" s="71">
        <v>4470</v>
      </c>
      <c r="AA518" s="71">
        <v>6020</v>
      </c>
      <c r="AB518" s="71">
        <v>5150</v>
      </c>
      <c r="AC518" s="71">
        <v>5600</v>
      </c>
      <c r="AD518" s="70">
        <v>2.7</v>
      </c>
      <c r="AE518" s="69">
        <v>10</v>
      </c>
    </row>
    <row r="519" spans="1:31" x14ac:dyDescent="0.25">
      <c r="A519" s="96"/>
      <c r="B519" s="47"/>
      <c r="C519" s="56" t="s">
        <v>204</v>
      </c>
      <c r="D519" s="35">
        <v>1368</v>
      </c>
      <c r="E519" s="35">
        <v>1552</v>
      </c>
      <c r="F519" s="35">
        <v>1270</v>
      </c>
      <c r="G519" s="35">
        <v>1213</v>
      </c>
      <c r="H519" s="35">
        <v>1431</v>
      </c>
      <c r="I519" s="66">
        <v>1293</v>
      </c>
      <c r="J519" s="66">
        <v>1228</v>
      </c>
      <c r="K519" s="66">
        <v>1209</v>
      </c>
      <c r="L519" s="66">
        <v>1327</v>
      </c>
      <c r="M519" s="66">
        <v>1313</v>
      </c>
      <c r="N519" s="66">
        <v>1559</v>
      </c>
      <c r="O519" s="66">
        <v>1378</v>
      </c>
      <c r="P519" s="66">
        <v>1468</v>
      </c>
      <c r="Q519" s="47"/>
      <c r="R519" s="47"/>
      <c r="S519" s="47"/>
      <c r="T519" s="47"/>
      <c r="U519" s="47"/>
      <c r="V519" s="274"/>
      <c r="W519" s="47"/>
      <c r="X519" s="257"/>
      <c r="Y519" s="227"/>
    </row>
    <row r="520" spans="1:31" ht="22.15" x14ac:dyDescent="0.25">
      <c r="A520" s="96"/>
      <c r="B520" s="80"/>
      <c r="C520" s="56" t="s">
        <v>203</v>
      </c>
      <c r="D520" s="97">
        <f t="shared" ref="D520:P520" si="169">IF(((D518="")*AND(D519="")),"",(D518-D519)*2)</f>
        <v>5438</v>
      </c>
      <c r="E520" s="97">
        <f t="shared" si="169"/>
        <v>5454</v>
      </c>
      <c r="F520" s="97">
        <f t="shared" si="169"/>
        <v>5446</v>
      </c>
      <c r="G520" s="97">
        <f t="shared" si="169"/>
        <v>5536</v>
      </c>
      <c r="H520" s="97">
        <f t="shared" si="169"/>
        <v>5480</v>
      </c>
      <c r="I520" s="97">
        <f t="shared" si="169"/>
        <v>5550</v>
      </c>
      <c r="J520" s="97">
        <f t="shared" si="169"/>
        <v>5572</v>
      </c>
      <c r="K520" s="97">
        <f t="shared" si="169"/>
        <v>5548</v>
      </c>
      <c r="L520" s="97">
        <f t="shared" si="169"/>
        <v>5466</v>
      </c>
      <c r="M520" s="97">
        <f t="shared" si="169"/>
        <v>5570</v>
      </c>
      <c r="N520" s="97">
        <f t="shared" si="169"/>
        <v>5492</v>
      </c>
      <c r="O520" s="97">
        <f t="shared" si="169"/>
        <v>5494</v>
      </c>
      <c r="P520" s="97">
        <f t="shared" si="169"/>
        <v>5494</v>
      </c>
      <c r="Q520" s="80"/>
      <c r="R520" s="80"/>
      <c r="S520" s="80"/>
      <c r="T520" s="47"/>
      <c r="U520" s="80"/>
      <c r="V520" s="277"/>
      <c r="W520" s="80"/>
      <c r="X520" s="257"/>
      <c r="Y520" s="227"/>
    </row>
    <row r="521" spans="1:31" x14ac:dyDescent="0.25">
      <c r="A521" s="90">
        <v>43319</v>
      </c>
      <c r="B521" s="50" t="s">
        <v>208</v>
      </c>
      <c r="C521" s="56" t="s">
        <v>205</v>
      </c>
      <c r="D521" s="35">
        <v>3547</v>
      </c>
      <c r="E521" s="35">
        <v>3638</v>
      </c>
      <c r="F521" s="35">
        <v>3644</v>
      </c>
      <c r="G521" s="35">
        <v>3610</v>
      </c>
      <c r="H521" s="35">
        <v>3369</v>
      </c>
      <c r="I521" s="66">
        <v>3172</v>
      </c>
      <c r="J521" s="66">
        <v>3610</v>
      </c>
      <c r="K521" s="55">
        <v>3650</v>
      </c>
      <c r="L521" s="55">
        <v>3501</v>
      </c>
      <c r="M521" s="55"/>
      <c r="N521" s="55"/>
      <c r="O521" s="55"/>
      <c r="P521" s="55"/>
      <c r="Q521" s="50">
        <f>IF((L522=""),"",MAX(D523:L523))</f>
        <v>6870</v>
      </c>
      <c r="R521" s="50">
        <f>IF(L522="","",MIN(D523:L523))</f>
        <v>6642</v>
      </c>
      <c r="S521" s="77">
        <f>IF((L523=""),"",AVERAGE(D523:L523))</f>
        <v>6778.333333333333</v>
      </c>
      <c r="T521" s="52">
        <f>IF((L522=""),"",(Q521-R521)/(Q521+R521)*100)</f>
        <v>1.6873889875666075</v>
      </c>
      <c r="U521" s="50">
        <f>STDEV(D523:P523)</f>
        <v>78.547756174189985</v>
      </c>
      <c r="V521" s="273" t="str">
        <f>IF(L522="","",IF(T521&lt;9.8,IF(S521&gt;5100,IF(S521&lt;8300,"Pass","Fail"),"Fail"),"Fail"))</f>
        <v>Pass</v>
      </c>
      <c r="W521" s="47">
        <v>1340</v>
      </c>
      <c r="X521" s="258"/>
      <c r="Y521" s="252"/>
      <c r="Z521" s="37">
        <v>4955</v>
      </c>
      <c r="AA521" s="37">
        <v>9645</v>
      </c>
      <c r="AB521" s="37">
        <v>5100</v>
      </c>
      <c r="AC521" s="37">
        <v>8300</v>
      </c>
      <c r="AD521" s="69">
        <v>9.8000000000000007</v>
      </c>
      <c r="AE521" s="69">
        <v>10</v>
      </c>
    </row>
    <row r="522" spans="1:31" x14ac:dyDescent="0.25">
      <c r="A522" s="49"/>
      <c r="B522" s="47"/>
      <c r="C522" s="56" t="s">
        <v>204</v>
      </c>
      <c r="D522" s="35">
        <v>1257</v>
      </c>
      <c r="E522" s="35">
        <v>1398</v>
      </c>
      <c r="F522" s="35">
        <v>1391</v>
      </c>
      <c r="G522" s="35">
        <v>1326</v>
      </c>
      <c r="H522" s="35">
        <v>1084</v>
      </c>
      <c r="I522" s="66">
        <v>912</v>
      </c>
      <c r="J522" s="66">
        <v>1336</v>
      </c>
      <c r="K522" s="66">
        <v>1436</v>
      </c>
      <c r="L522" s="66">
        <v>1266</v>
      </c>
      <c r="M522" s="55"/>
      <c r="N522" s="55"/>
      <c r="O522" s="55"/>
      <c r="P522" s="55"/>
      <c r="Q522" s="47"/>
      <c r="R522" s="47"/>
      <c r="S522" s="47"/>
      <c r="T522" s="47"/>
      <c r="U522" s="47"/>
      <c r="V522" s="274"/>
      <c r="W522" s="47"/>
      <c r="X522" s="258"/>
      <c r="Y522" s="252"/>
    </row>
    <row r="523" spans="1:31" ht="22.75" thickBot="1" x14ac:dyDescent="0.3">
      <c r="A523" s="49"/>
      <c r="B523" s="47"/>
      <c r="C523" s="50" t="s">
        <v>203</v>
      </c>
      <c r="D523" s="54">
        <f t="shared" ref="D523:L523" si="170">IF(((D521="")*AND(D522="")),"",(D521-D522)*3)</f>
        <v>6870</v>
      </c>
      <c r="E523" s="54">
        <f t="shared" si="170"/>
        <v>6720</v>
      </c>
      <c r="F523" s="54">
        <f t="shared" si="170"/>
        <v>6759</v>
      </c>
      <c r="G523" s="54">
        <f t="shared" si="170"/>
        <v>6852</v>
      </c>
      <c r="H523" s="54">
        <f t="shared" si="170"/>
        <v>6855</v>
      </c>
      <c r="I523" s="54">
        <f t="shared" si="170"/>
        <v>6780</v>
      </c>
      <c r="J523" s="54">
        <f t="shared" si="170"/>
        <v>6822</v>
      </c>
      <c r="K523" s="54">
        <f t="shared" si="170"/>
        <v>6642</v>
      </c>
      <c r="L523" s="54">
        <f t="shared" si="170"/>
        <v>6705</v>
      </c>
      <c r="M523" s="54"/>
      <c r="N523" s="54"/>
      <c r="O523" s="54"/>
      <c r="P523" s="54" t="str">
        <f>IF(((P521="")*AND(P522="")),"",(P521-P522)*2)</f>
        <v/>
      </c>
      <c r="Q523" s="47"/>
      <c r="R523" s="47"/>
      <c r="S523" s="47"/>
      <c r="T523" s="47"/>
      <c r="U523" s="47"/>
      <c r="V523" s="274"/>
      <c r="W523" s="47"/>
      <c r="X523" s="258"/>
      <c r="Y523" s="252"/>
    </row>
    <row r="524" spans="1:31" x14ac:dyDescent="0.25">
      <c r="A524" s="96">
        <v>43319</v>
      </c>
      <c r="B524" s="50" t="s">
        <v>206</v>
      </c>
      <c r="C524" s="50" t="s">
        <v>205</v>
      </c>
      <c r="D524" s="95">
        <v>6904</v>
      </c>
      <c r="E524" s="95">
        <v>7106</v>
      </c>
      <c r="F524" s="95">
        <v>6813</v>
      </c>
      <c r="G524" s="95">
        <v>6848</v>
      </c>
      <c r="H524" s="94">
        <v>7011</v>
      </c>
      <c r="I524" s="94">
        <v>6928</v>
      </c>
      <c r="J524" s="94">
        <v>6893</v>
      </c>
      <c r="K524" s="94">
        <v>6852</v>
      </c>
      <c r="L524" s="94">
        <v>6883</v>
      </c>
      <c r="M524" s="94">
        <v>6969</v>
      </c>
      <c r="N524" s="94">
        <v>7142</v>
      </c>
      <c r="O524" s="94">
        <v>6964</v>
      </c>
      <c r="P524" s="94">
        <v>7057</v>
      </c>
      <c r="Q524" s="50">
        <f>IF((L525=""),"",MAX(D526:P526))</f>
        <v>5500</v>
      </c>
      <c r="R524" s="50">
        <f>IF(L525="","",MIN(D526:L526))</f>
        <v>5384</v>
      </c>
      <c r="S524" s="53">
        <f>IF((P526=""),"",AVERAGE(D526:P526))</f>
        <v>5440.3076923076924</v>
      </c>
      <c r="T524" s="52">
        <f>IF((L525=""),"",(Q524-R524)/(Q524+R524)*100)</f>
        <v>1.065784638000735</v>
      </c>
      <c r="U524" s="50">
        <f>STDEV(D526:P526)</f>
        <v>41.189368805118917</v>
      </c>
      <c r="V524" s="273" t="str">
        <f>IF(P525="","",IF(T524&lt;2.7,IF(S524&gt;5150,IF(S524&lt;5600,"Pass","Fail"),"Fail"),"Fail"))</f>
        <v>Pass</v>
      </c>
      <c r="W524" s="50">
        <v>121</v>
      </c>
      <c r="X524" s="257"/>
      <c r="Y524" s="230"/>
      <c r="Z524" s="71">
        <v>4470</v>
      </c>
      <c r="AA524" s="71">
        <v>6020</v>
      </c>
      <c r="AB524" s="71">
        <v>5150</v>
      </c>
      <c r="AC524" s="71">
        <v>5600</v>
      </c>
      <c r="AD524" s="70">
        <v>2.7</v>
      </c>
      <c r="AE524" s="69">
        <v>10</v>
      </c>
    </row>
    <row r="525" spans="1:31" x14ac:dyDescent="0.25">
      <c r="A525" s="89"/>
      <c r="B525" s="47"/>
      <c r="C525" s="47" t="s">
        <v>204</v>
      </c>
      <c r="D525" s="93">
        <v>4212</v>
      </c>
      <c r="E525" s="93">
        <v>4404</v>
      </c>
      <c r="F525" s="93">
        <v>4118</v>
      </c>
      <c r="G525" s="93">
        <v>4112</v>
      </c>
      <c r="H525" s="93">
        <v>4296</v>
      </c>
      <c r="I525" s="92">
        <v>4191</v>
      </c>
      <c r="J525" s="92">
        <v>4149</v>
      </c>
      <c r="K525" s="92">
        <v>4104</v>
      </c>
      <c r="L525" s="92">
        <v>4184</v>
      </c>
      <c r="M525" s="92">
        <v>4219</v>
      </c>
      <c r="N525" s="92">
        <v>4427</v>
      </c>
      <c r="O525" s="92">
        <v>4249</v>
      </c>
      <c r="P525" s="92">
        <v>4343</v>
      </c>
      <c r="Q525" s="47"/>
      <c r="R525" s="47"/>
      <c r="S525" s="47"/>
      <c r="T525" s="47"/>
      <c r="U525" s="47"/>
      <c r="V525" s="274"/>
      <c r="W525" s="47"/>
      <c r="X525" s="257"/>
      <c r="Y525" s="231"/>
    </row>
    <row r="526" spans="1:31" ht="22.15" x14ac:dyDescent="0.25">
      <c r="A526" s="91"/>
      <c r="B526" s="80"/>
      <c r="C526" s="80" t="s">
        <v>203</v>
      </c>
      <c r="D526" s="86">
        <f t="shared" ref="D526:P526" si="171">IF(((D524="")*AND(D525="")),"",(D524-D525)*2)</f>
        <v>5384</v>
      </c>
      <c r="E526" s="86">
        <f t="shared" si="171"/>
        <v>5404</v>
      </c>
      <c r="F526" s="86">
        <f t="shared" si="171"/>
        <v>5390</v>
      </c>
      <c r="G526" s="86">
        <f t="shared" si="171"/>
        <v>5472</v>
      </c>
      <c r="H526" s="86">
        <f t="shared" si="171"/>
        <v>5430</v>
      </c>
      <c r="I526" s="86">
        <f t="shared" si="171"/>
        <v>5474</v>
      </c>
      <c r="J526" s="86">
        <f t="shared" si="171"/>
        <v>5488</v>
      </c>
      <c r="K526" s="86">
        <f t="shared" si="171"/>
        <v>5496</v>
      </c>
      <c r="L526" s="86">
        <f t="shared" si="171"/>
        <v>5398</v>
      </c>
      <c r="M526" s="86">
        <f t="shared" si="171"/>
        <v>5500</v>
      </c>
      <c r="N526" s="86">
        <f t="shared" si="171"/>
        <v>5430</v>
      </c>
      <c r="O526" s="86">
        <f t="shared" si="171"/>
        <v>5430</v>
      </c>
      <c r="P526" s="86">
        <f t="shared" si="171"/>
        <v>5428</v>
      </c>
      <c r="Q526" s="80"/>
      <c r="R526" s="80"/>
      <c r="S526" s="80"/>
      <c r="T526" s="80"/>
      <c r="U526" s="80"/>
      <c r="V526" s="277"/>
      <c r="W526" s="80"/>
      <c r="X526" s="257"/>
      <c r="Y526" s="232"/>
    </row>
    <row r="527" spans="1:31" x14ac:dyDescent="0.25">
      <c r="A527" s="90">
        <v>43342</v>
      </c>
      <c r="B527" s="50" t="s">
        <v>208</v>
      </c>
      <c r="C527" s="56" t="s">
        <v>205</v>
      </c>
      <c r="D527" s="35">
        <v>6041.27</v>
      </c>
      <c r="E527" s="35">
        <v>6027.69</v>
      </c>
      <c r="F527" s="35">
        <v>6263.28</v>
      </c>
      <c r="G527" s="35">
        <v>6122.38</v>
      </c>
      <c r="H527" s="35">
        <v>6416.59</v>
      </c>
      <c r="I527" s="35">
        <v>6302.09</v>
      </c>
      <c r="J527" s="35">
        <v>6278.52</v>
      </c>
      <c r="K527" s="35">
        <v>6170.85</v>
      </c>
      <c r="L527" s="35">
        <v>6375.58</v>
      </c>
      <c r="M527" s="55"/>
      <c r="N527" s="55"/>
      <c r="O527" s="55"/>
      <c r="P527" s="55"/>
      <c r="Q527" s="50">
        <f>IF((L528=""),"",MAX(D529:L529))</f>
        <v>7462.4700000000012</v>
      </c>
      <c r="R527" s="50">
        <f>IF(L528="","",MIN(D529:L529))</f>
        <v>6779.5800000000017</v>
      </c>
      <c r="S527" s="77">
        <f>IF((L529=""),"",AVERAGE(D529:L529))</f>
        <v>7071.0466666666671</v>
      </c>
      <c r="T527" s="52">
        <f>IF((L528=""),"",(Q527-R527)/(Q527+R527)*100)</f>
        <v>4.7948855677377855</v>
      </c>
      <c r="U527" s="50">
        <f>STDEV(D529:P529)</f>
        <v>216.2614532805141</v>
      </c>
      <c r="V527" s="273" t="str">
        <f>IF(L528="","",IF(T527&lt;9.8,IF(S527&gt;5100,IF(S527&lt;8300,"Pass","Fail"),"Fail"),"Fail"))</f>
        <v>Pass</v>
      </c>
      <c r="W527" s="47">
        <v>1335</v>
      </c>
      <c r="X527" s="258"/>
      <c r="Y527" s="252"/>
      <c r="Z527" s="37">
        <v>4955</v>
      </c>
      <c r="AA527" s="37">
        <v>9645</v>
      </c>
      <c r="AB527" s="37">
        <v>5100</v>
      </c>
      <c r="AC527" s="37">
        <v>8300</v>
      </c>
      <c r="AD527" s="69">
        <v>9.8000000000000007</v>
      </c>
      <c r="AE527" s="69">
        <v>10</v>
      </c>
    </row>
    <row r="528" spans="1:31" x14ac:dyDescent="0.25">
      <c r="A528" s="49"/>
      <c r="B528" s="47"/>
      <c r="C528" s="56" t="s">
        <v>204</v>
      </c>
      <c r="D528" s="35">
        <v>3661.79</v>
      </c>
      <c r="E528" s="35">
        <v>3661.79</v>
      </c>
      <c r="F528" s="35">
        <v>3918.35</v>
      </c>
      <c r="G528" s="35">
        <v>3683.36</v>
      </c>
      <c r="H528" s="35">
        <v>4085.61</v>
      </c>
      <c r="I528" s="35">
        <v>4022.65</v>
      </c>
      <c r="J528" s="35">
        <v>4018.66</v>
      </c>
      <c r="K528" s="35">
        <v>3683.36</v>
      </c>
      <c r="L528" s="35">
        <v>4049.54</v>
      </c>
      <c r="M528" s="55"/>
      <c r="N528" s="55"/>
      <c r="O528" s="55"/>
      <c r="P528" s="55"/>
      <c r="Q528" s="47"/>
      <c r="R528" s="47"/>
      <c r="S528" s="47"/>
      <c r="T528" s="47"/>
      <c r="U528" s="47"/>
      <c r="V528" s="274"/>
      <c r="W528" s="47"/>
      <c r="X528" s="258"/>
      <c r="Y528" s="252"/>
    </row>
    <row r="529" spans="1:31" ht="22.75" thickBot="1" x14ac:dyDescent="0.3">
      <c r="A529" s="49"/>
      <c r="B529" s="47"/>
      <c r="C529" s="50" t="s">
        <v>203</v>
      </c>
      <c r="D529" s="54">
        <f t="shared" ref="D529:L529" si="172">IF(((D527="")*AND(D528="")),"",(D527-D528)*3)</f>
        <v>7138.4400000000014</v>
      </c>
      <c r="E529" s="54">
        <f t="shared" si="172"/>
        <v>7097.6999999999989</v>
      </c>
      <c r="F529" s="54">
        <f t="shared" si="172"/>
        <v>7034.7899999999991</v>
      </c>
      <c r="G529" s="54">
        <f t="shared" si="172"/>
        <v>7317.0599999999995</v>
      </c>
      <c r="H529" s="54">
        <f t="shared" si="172"/>
        <v>6992.9400000000005</v>
      </c>
      <c r="I529" s="54">
        <f t="shared" si="172"/>
        <v>6838.32</v>
      </c>
      <c r="J529" s="54">
        <f t="shared" si="172"/>
        <v>6779.5800000000017</v>
      </c>
      <c r="K529" s="54">
        <f t="shared" si="172"/>
        <v>7462.4700000000012</v>
      </c>
      <c r="L529" s="54">
        <f t="shared" si="172"/>
        <v>6978.12</v>
      </c>
      <c r="M529" s="54"/>
      <c r="N529" s="54"/>
      <c r="O529" s="54"/>
      <c r="P529" s="54" t="str">
        <f>IF(((P527="")*AND(P528="")),"",(P527-P528)*2)</f>
        <v/>
      </c>
      <c r="Q529" s="47"/>
      <c r="R529" s="47"/>
      <c r="S529" s="47"/>
      <c r="T529" s="47"/>
      <c r="U529" s="47"/>
      <c r="V529" s="274"/>
      <c r="W529" s="47"/>
      <c r="X529" s="258"/>
      <c r="Y529" s="252"/>
    </row>
    <row r="530" spans="1:31" x14ac:dyDescent="0.25">
      <c r="A530" s="90">
        <v>43342</v>
      </c>
      <c r="B530" s="50" t="s">
        <v>206</v>
      </c>
      <c r="C530" s="50" t="s">
        <v>205</v>
      </c>
      <c r="D530" s="35">
        <v>4222.54</v>
      </c>
      <c r="E530" s="35">
        <v>4416.46</v>
      </c>
      <c r="F530" s="35">
        <v>4128.49</v>
      </c>
      <c r="G530" s="35">
        <v>4122.26</v>
      </c>
      <c r="H530" s="35">
        <v>4308.78</v>
      </c>
      <c r="I530" s="35">
        <v>4202.3500000000004</v>
      </c>
      <c r="J530" s="35">
        <v>4159.26</v>
      </c>
      <c r="K530" s="35">
        <v>4114.3100000000004</v>
      </c>
      <c r="L530" s="35">
        <v>4194.58</v>
      </c>
      <c r="M530" s="35">
        <v>4230.2</v>
      </c>
      <c r="N530" s="35">
        <v>4439.42</v>
      </c>
      <c r="O530" s="35">
        <v>4260.43</v>
      </c>
      <c r="P530" s="35">
        <v>4355.5200000000004</v>
      </c>
      <c r="Q530" s="50">
        <f>IF((L531=""),"",MAX(D532:P532))</f>
        <v>5608.4400000000005</v>
      </c>
      <c r="R530" s="50">
        <f>IF(L531="","",MIN(D532:L532))</f>
        <v>5466.7999999999993</v>
      </c>
      <c r="S530" s="53">
        <f>IF((P532=""),"",AVERAGE(D532:P532))</f>
        <v>5535.5092307692312</v>
      </c>
      <c r="T530" s="52">
        <f>IF((L531=""),"",(Q530-R530)/(Q530+R530)*100)</f>
        <v>1.2788887644872819</v>
      </c>
      <c r="U530" s="50">
        <f>STDEV(D532:P532)</f>
        <v>47.744882179758392</v>
      </c>
      <c r="V530" s="273" t="str">
        <f>IF(P531="","",IF(T530&lt;2.7,IF(S530&gt;5150,IF(S530&lt;5600,"Pass","Fail"),"Fail"),"Fail"))</f>
        <v>Pass</v>
      </c>
      <c r="W530" s="50">
        <v>1335</v>
      </c>
      <c r="X530" s="257"/>
      <c r="Y530" s="230"/>
      <c r="Z530" s="71">
        <v>4470</v>
      </c>
      <c r="AA530" s="71">
        <v>6020</v>
      </c>
      <c r="AB530" s="71">
        <v>5150</v>
      </c>
      <c r="AC530" s="71">
        <v>5600</v>
      </c>
      <c r="AD530" s="70">
        <v>2.7</v>
      </c>
      <c r="AE530" s="69">
        <v>10</v>
      </c>
    </row>
    <row r="531" spans="1:31" x14ac:dyDescent="0.25">
      <c r="A531" s="89"/>
      <c r="B531" s="47"/>
      <c r="C531" s="47" t="s">
        <v>204</v>
      </c>
      <c r="D531" s="35">
        <v>1489.14</v>
      </c>
      <c r="E531" s="35">
        <v>1669.63</v>
      </c>
      <c r="F531" s="35">
        <v>1385.26</v>
      </c>
      <c r="G531" s="35">
        <v>1333.06</v>
      </c>
      <c r="H531" s="35">
        <v>1556.83</v>
      </c>
      <c r="I531" s="35">
        <v>1415</v>
      </c>
      <c r="J531" s="35">
        <v>1362.17</v>
      </c>
      <c r="K531" s="35">
        <v>1310.0899999999999</v>
      </c>
      <c r="L531" s="35">
        <v>1448.97</v>
      </c>
      <c r="M531" s="35">
        <v>1435.02</v>
      </c>
      <c r="N531" s="35">
        <v>1676.17</v>
      </c>
      <c r="O531" s="35">
        <v>1498.3</v>
      </c>
      <c r="P531" s="35">
        <v>1594.15</v>
      </c>
      <c r="Q531" s="47"/>
      <c r="R531" s="47"/>
      <c r="S531" s="47"/>
      <c r="T531" s="47"/>
      <c r="U531" s="47"/>
      <c r="V531" s="274"/>
      <c r="W531" s="47"/>
      <c r="X531" s="257"/>
      <c r="Y531" s="231"/>
    </row>
    <row r="532" spans="1:31" ht="22.15" x14ac:dyDescent="0.25">
      <c r="A532" s="91"/>
      <c r="B532" s="80"/>
      <c r="C532" s="80" t="s">
        <v>203</v>
      </c>
      <c r="D532" s="86">
        <f t="shared" ref="D532:P532" si="173">IF(((D530="")*AND(D531="")),"",(D530-D531)*2)</f>
        <v>5466.7999999999993</v>
      </c>
      <c r="E532" s="86">
        <f t="shared" si="173"/>
        <v>5493.66</v>
      </c>
      <c r="F532" s="86">
        <f t="shared" si="173"/>
        <v>5486.4599999999991</v>
      </c>
      <c r="G532" s="86">
        <f t="shared" si="173"/>
        <v>5578.4000000000005</v>
      </c>
      <c r="H532" s="86">
        <f t="shared" si="173"/>
        <v>5503.9</v>
      </c>
      <c r="I532" s="86">
        <f t="shared" si="173"/>
        <v>5574.7000000000007</v>
      </c>
      <c r="J532" s="86">
        <f t="shared" si="173"/>
        <v>5594.18</v>
      </c>
      <c r="K532" s="86">
        <f t="shared" si="173"/>
        <v>5608.4400000000005</v>
      </c>
      <c r="L532" s="86">
        <f t="shared" si="173"/>
        <v>5491.2199999999993</v>
      </c>
      <c r="M532" s="86">
        <f t="shared" si="173"/>
        <v>5590.36</v>
      </c>
      <c r="N532" s="86">
        <f t="shared" si="173"/>
        <v>5526.5</v>
      </c>
      <c r="O532" s="86">
        <f t="shared" si="173"/>
        <v>5524.26</v>
      </c>
      <c r="P532" s="86">
        <f t="shared" si="173"/>
        <v>5522.7400000000007</v>
      </c>
      <c r="Q532" s="80"/>
      <c r="R532" s="80"/>
      <c r="S532" s="80"/>
      <c r="T532" s="80"/>
      <c r="U532" s="80"/>
      <c r="V532" s="277"/>
      <c r="W532" s="80"/>
      <c r="X532" s="257"/>
      <c r="Y532" s="232"/>
    </row>
    <row r="533" spans="1:31" x14ac:dyDescent="0.25">
      <c r="A533" s="90">
        <v>43347</v>
      </c>
      <c r="B533" s="50" t="s">
        <v>208</v>
      </c>
      <c r="C533" s="56" t="s">
        <v>205</v>
      </c>
      <c r="D533" s="35">
        <v>6041.27</v>
      </c>
      <c r="E533" s="35">
        <v>6027.69</v>
      </c>
      <c r="F533" s="35">
        <v>6263.28</v>
      </c>
      <c r="G533" s="35">
        <v>6122.38</v>
      </c>
      <c r="H533" s="35">
        <v>6416.59</v>
      </c>
      <c r="I533" s="35">
        <v>6302.09</v>
      </c>
      <c r="J533" s="35">
        <v>6278.52</v>
      </c>
      <c r="K533" s="35">
        <v>6170.85</v>
      </c>
      <c r="L533" s="35">
        <v>6375.58</v>
      </c>
      <c r="M533" s="55"/>
      <c r="N533" s="55"/>
      <c r="O533" s="55"/>
      <c r="P533" s="55"/>
      <c r="Q533" s="50">
        <f>IF((L534=""),"",MAX(D535:L535))</f>
        <v>7462.4700000000012</v>
      </c>
      <c r="R533" s="50">
        <f>IF(L534="","",MIN(D535:L535))</f>
        <v>6779.5800000000017</v>
      </c>
      <c r="S533" s="77">
        <f>IF((L535=""),"",AVERAGE(D535:L535))</f>
        <v>7071.0466666666671</v>
      </c>
      <c r="T533" s="52">
        <f>IF((L534=""),"",(Q533-R533)/(Q533+R533)*100)</f>
        <v>4.7948855677377855</v>
      </c>
      <c r="U533" s="50">
        <f>STDEV(D535:P535)</f>
        <v>216.2614532805141</v>
      </c>
      <c r="V533" s="273" t="str">
        <f>IF(L534="","",IF(T533&lt;9.8,IF(S533&gt;5100,IF(S533&lt;8300,"Pass","Fail"),"Fail"),"Fail"))</f>
        <v>Pass</v>
      </c>
      <c r="W533" s="47">
        <v>1335</v>
      </c>
      <c r="Z533" s="37">
        <v>4955</v>
      </c>
      <c r="AA533" s="37">
        <v>9645</v>
      </c>
      <c r="AB533" s="37">
        <v>5100</v>
      </c>
      <c r="AC533" s="37">
        <v>8300</v>
      </c>
      <c r="AD533" s="69">
        <v>9.8000000000000007</v>
      </c>
      <c r="AE533" s="69">
        <v>10</v>
      </c>
    </row>
    <row r="534" spans="1:31" x14ac:dyDescent="0.25">
      <c r="A534" s="49"/>
      <c r="B534" s="47"/>
      <c r="C534" s="56" t="s">
        <v>204</v>
      </c>
      <c r="D534" s="35">
        <v>3661.79</v>
      </c>
      <c r="E534" s="35">
        <v>3661.79</v>
      </c>
      <c r="F534" s="35">
        <v>3918.35</v>
      </c>
      <c r="G534" s="35">
        <v>3683.36</v>
      </c>
      <c r="H534" s="35">
        <v>4085.61</v>
      </c>
      <c r="I534" s="35">
        <v>4022.65</v>
      </c>
      <c r="J534" s="35">
        <v>4018.66</v>
      </c>
      <c r="K534" s="35">
        <v>3683.36</v>
      </c>
      <c r="L534" s="35">
        <v>4049.54</v>
      </c>
      <c r="M534" s="55"/>
      <c r="N534" s="55"/>
      <c r="O534" s="55"/>
      <c r="P534" s="55"/>
      <c r="Q534" s="47"/>
      <c r="R534" s="47"/>
      <c r="S534" s="47"/>
      <c r="T534" s="47"/>
      <c r="U534" s="47"/>
      <c r="V534" s="274"/>
      <c r="W534" s="47"/>
    </row>
    <row r="535" spans="1:31" ht="22.75" thickBot="1" x14ac:dyDescent="0.3">
      <c r="A535" s="49"/>
      <c r="B535" s="47"/>
      <c r="C535" s="50" t="s">
        <v>203</v>
      </c>
      <c r="D535" s="54">
        <f t="shared" ref="D535:L535" si="174">IF(((D533="")*AND(D534="")),"",(D533-D534)*3)</f>
        <v>7138.4400000000014</v>
      </c>
      <c r="E535" s="54">
        <f t="shared" si="174"/>
        <v>7097.6999999999989</v>
      </c>
      <c r="F535" s="54">
        <f t="shared" si="174"/>
        <v>7034.7899999999991</v>
      </c>
      <c r="G535" s="54">
        <f t="shared" si="174"/>
        <v>7317.0599999999995</v>
      </c>
      <c r="H535" s="54">
        <f t="shared" si="174"/>
        <v>6992.9400000000005</v>
      </c>
      <c r="I535" s="54">
        <f t="shared" si="174"/>
        <v>6838.32</v>
      </c>
      <c r="J535" s="54">
        <f t="shared" si="174"/>
        <v>6779.5800000000017</v>
      </c>
      <c r="K535" s="54">
        <f t="shared" si="174"/>
        <v>7462.4700000000012</v>
      </c>
      <c r="L535" s="54">
        <f t="shared" si="174"/>
        <v>6978.12</v>
      </c>
      <c r="M535" s="54"/>
      <c r="N535" s="54"/>
      <c r="O535" s="54"/>
      <c r="P535" s="54" t="str">
        <f>IF(((P533="")*AND(P534="")),"",(P533-P534)*2)</f>
        <v/>
      </c>
      <c r="Q535" s="47"/>
      <c r="R535" s="47"/>
      <c r="S535" s="47"/>
      <c r="T535" s="47"/>
      <c r="U535" s="47"/>
      <c r="V535" s="274"/>
      <c r="W535" s="47"/>
    </row>
    <row r="536" spans="1:31" x14ac:dyDescent="0.25">
      <c r="A536" s="90">
        <v>43347</v>
      </c>
      <c r="B536" s="50" t="s">
        <v>206</v>
      </c>
      <c r="C536" s="50" t="s">
        <v>205</v>
      </c>
      <c r="D536" s="35">
        <v>6900.47</v>
      </c>
      <c r="E536" s="35">
        <v>7103.04</v>
      </c>
      <c r="F536" s="35">
        <v>6808.1</v>
      </c>
      <c r="G536" s="35">
        <v>6844.01</v>
      </c>
      <c r="H536" s="35">
        <v>7008.12</v>
      </c>
      <c r="I536" s="35">
        <v>6925.08</v>
      </c>
      <c r="J536" s="35">
        <v>6889.02</v>
      </c>
      <c r="K536" s="35">
        <v>6847.57</v>
      </c>
      <c r="L536" s="35">
        <v>6875.63</v>
      </c>
      <c r="M536" s="35">
        <v>6962.77</v>
      </c>
      <c r="N536" s="35">
        <v>7135.97</v>
      </c>
      <c r="O536" s="35">
        <v>6953.86</v>
      </c>
      <c r="P536" s="35">
        <v>7046.49</v>
      </c>
      <c r="Q536" s="50">
        <f>IF((L537=""),"",MAX(D538:P538))</f>
        <v>5512.2</v>
      </c>
      <c r="R536" s="50">
        <f>IF(L537="","",MIN(D538:L538))</f>
        <v>5411.1200000000008</v>
      </c>
      <c r="S536" s="53">
        <f>IF((P538=""),"",AVERAGE(D538:P538))</f>
        <v>5457.373846153846</v>
      </c>
      <c r="T536" s="52">
        <f>IF((L537=""),"",(Q536-R536)/(Q536+R536)*100)</f>
        <v>0.92535968917873879</v>
      </c>
      <c r="U536" s="50">
        <f>STDEV(D538:P538)</f>
        <v>40.556513151088097</v>
      </c>
      <c r="V536" s="273" t="str">
        <f>IF(P537="","",IF(T536&lt;2.7,IF(S536&gt;5150,IF(S536&lt;5600,"Pass","Fail"),"Fail"),"Fail"))</f>
        <v>Pass</v>
      </c>
      <c r="W536" s="50">
        <v>1335</v>
      </c>
      <c r="Z536" s="71">
        <v>4470</v>
      </c>
      <c r="AA536" s="71">
        <v>6020</v>
      </c>
      <c r="AB536" s="71">
        <v>5150</v>
      </c>
      <c r="AC536" s="71">
        <v>5600</v>
      </c>
      <c r="AD536" s="70">
        <v>2.7</v>
      </c>
      <c r="AE536" s="69">
        <v>10</v>
      </c>
    </row>
    <row r="537" spans="1:31" x14ac:dyDescent="0.25">
      <c r="A537" s="89"/>
      <c r="B537" s="47"/>
      <c r="C537" s="47" t="s">
        <v>204</v>
      </c>
      <c r="D537" s="35">
        <v>4194.91</v>
      </c>
      <c r="E537" s="35">
        <v>4391.59</v>
      </c>
      <c r="F537" s="35">
        <v>4102.1000000000004</v>
      </c>
      <c r="G537" s="35">
        <v>4093.75</v>
      </c>
      <c r="H537" s="35">
        <v>4287.09</v>
      </c>
      <c r="I537" s="35">
        <v>4179.4399999999996</v>
      </c>
      <c r="J537" s="35">
        <v>4135.49</v>
      </c>
      <c r="K537" s="35">
        <v>4091.47</v>
      </c>
      <c r="L537" s="35">
        <v>4168.1400000000003</v>
      </c>
      <c r="M537" s="35">
        <v>4207.09</v>
      </c>
      <c r="N537" s="35">
        <v>4417.29</v>
      </c>
      <c r="O537" s="35">
        <v>4231.72</v>
      </c>
      <c r="P537" s="35">
        <v>4327.12</v>
      </c>
      <c r="Q537" s="47"/>
      <c r="R537" s="47"/>
      <c r="S537" s="47"/>
      <c r="T537" s="47"/>
      <c r="U537" s="47"/>
      <c r="V537" s="274"/>
      <c r="W537" s="47"/>
    </row>
    <row r="538" spans="1:31" ht="22.15" x14ac:dyDescent="0.25">
      <c r="A538" s="91"/>
      <c r="B538" s="80"/>
      <c r="C538" s="80" t="s">
        <v>203</v>
      </c>
      <c r="D538" s="86">
        <f t="shared" ref="D538:P538" si="175">IF(((D536="")*AND(D537="")),"",(D536-D537)*2)</f>
        <v>5411.1200000000008</v>
      </c>
      <c r="E538" s="86">
        <f t="shared" si="175"/>
        <v>5422.9</v>
      </c>
      <c r="F538" s="86">
        <f t="shared" si="175"/>
        <v>5412</v>
      </c>
      <c r="G538" s="86">
        <f t="shared" si="175"/>
        <v>5500.52</v>
      </c>
      <c r="H538" s="86">
        <f t="shared" si="175"/>
        <v>5442.0599999999995</v>
      </c>
      <c r="I538" s="86">
        <f t="shared" si="175"/>
        <v>5491.2800000000007</v>
      </c>
      <c r="J538" s="86">
        <f t="shared" si="175"/>
        <v>5507.0600000000013</v>
      </c>
      <c r="K538" s="86">
        <f t="shared" si="175"/>
        <v>5512.2</v>
      </c>
      <c r="L538" s="86">
        <f t="shared" si="175"/>
        <v>5414.98</v>
      </c>
      <c r="M538" s="86">
        <f t="shared" si="175"/>
        <v>5511.3600000000006</v>
      </c>
      <c r="N538" s="86">
        <f t="shared" si="175"/>
        <v>5437.3600000000006</v>
      </c>
      <c r="O538" s="86">
        <f t="shared" si="175"/>
        <v>5444.2799999999988</v>
      </c>
      <c r="P538" s="86">
        <f t="shared" si="175"/>
        <v>5438.74</v>
      </c>
      <c r="Q538" s="80"/>
      <c r="R538" s="80"/>
      <c r="S538" s="80"/>
      <c r="T538" s="80"/>
      <c r="U538" s="80"/>
      <c r="V538" s="277"/>
      <c r="W538" s="80"/>
    </row>
    <row r="539" spans="1:31" x14ac:dyDescent="0.25">
      <c r="A539" s="90">
        <v>43350</v>
      </c>
      <c r="B539" s="50" t="s">
        <v>208</v>
      </c>
      <c r="C539" s="56" t="s">
        <v>205</v>
      </c>
      <c r="D539" s="35">
        <v>5814.28</v>
      </c>
      <c r="E539" s="35">
        <v>5994.02</v>
      </c>
      <c r="F539" s="35">
        <v>6365.78</v>
      </c>
      <c r="G539" s="35">
        <v>6125.41</v>
      </c>
      <c r="H539" s="35">
        <v>6335.07</v>
      </c>
      <c r="I539" s="35">
        <v>6380.67</v>
      </c>
      <c r="J539" s="35">
        <v>6199</v>
      </c>
      <c r="K539" s="35">
        <v>6249.19</v>
      </c>
      <c r="L539" s="35">
        <v>6354.84</v>
      </c>
      <c r="M539" s="55"/>
      <c r="N539" s="55"/>
      <c r="O539" s="55"/>
      <c r="P539" s="55"/>
      <c r="Q539" s="50">
        <f>IF((L540=""),"",MAX(D541:L541))</f>
        <v>7384.4999999999982</v>
      </c>
      <c r="R539" s="50">
        <f>IF(L540="","",MIN(D541:L541))</f>
        <v>6096.840000000002</v>
      </c>
      <c r="S539" s="77">
        <f>IF((L541=""),"",AVERAGE(D541:L541))</f>
        <v>6764.6366666666663</v>
      </c>
      <c r="T539" s="52">
        <f>IF((L540=""),"",(Q539-R539)/(Q539+R539)*100)</f>
        <v>9.5514244133001327</v>
      </c>
      <c r="U539" s="50">
        <f>STDEV(D541:P541)</f>
        <v>485.76086997616369</v>
      </c>
      <c r="V539" s="273" t="str">
        <f>IF(L540="","",IF(T539&lt;9.8,IF(S539&gt;5100,IF(S539&lt;8300,"Pass","Fail"),"Fail"),"Fail"))</f>
        <v>Pass</v>
      </c>
      <c r="W539" s="47">
        <v>1335</v>
      </c>
      <c r="Z539" s="37">
        <v>4955</v>
      </c>
      <c r="AA539" s="37">
        <v>9645</v>
      </c>
      <c r="AB539" s="37">
        <v>5100</v>
      </c>
      <c r="AC539" s="37">
        <v>8300</v>
      </c>
      <c r="AD539" s="69">
        <v>9.8000000000000007</v>
      </c>
      <c r="AE539" s="69">
        <v>10</v>
      </c>
    </row>
    <row r="540" spans="1:31" x14ac:dyDescent="0.25">
      <c r="A540" s="49"/>
      <c r="B540" s="47"/>
      <c r="C540" s="56" t="s">
        <v>204</v>
      </c>
      <c r="D540" s="35">
        <v>3352.78</v>
      </c>
      <c r="E540" s="35">
        <v>3961.74</v>
      </c>
      <c r="F540" s="35">
        <v>4098.24</v>
      </c>
      <c r="G540" s="35">
        <v>4060.66</v>
      </c>
      <c r="H540" s="35">
        <v>3939.7</v>
      </c>
      <c r="I540" s="35">
        <v>4323.0600000000004</v>
      </c>
      <c r="J540" s="35">
        <v>3856.05</v>
      </c>
      <c r="K540" s="35">
        <v>3884.62</v>
      </c>
      <c r="L540" s="35">
        <v>4047.5</v>
      </c>
      <c r="M540" s="55"/>
      <c r="N540" s="55"/>
      <c r="O540" s="55"/>
      <c r="P540" s="55"/>
      <c r="Q540" s="47"/>
      <c r="R540" s="47"/>
      <c r="S540" s="47"/>
      <c r="T540" s="47"/>
      <c r="U540" s="47"/>
      <c r="V540" s="274"/>
      <c r="W540" s="47"/>
    </row>
    <row r="541" spans="1:31" ht="22.75" thickBot="1" x14ac:dyDescent="0.3">
      <c r="A541" s="49"/>
      <c r="B541" s="47"/>
      <c r="C541" s="50" t="s">
        <v>203</v>
      </c>
      <c r="D541" s="54">
        <f t="shared" ref="D541:L541" si="176">IF(((D539="")*AND(D540="")),"",(D539-D540)*3)</f>
        <v>7384.4999999999982</v>
      </c>
      <c r="E541" s="54">
        <f t="shared" si="176"/>
        <v>6096.840000000002</v>
      </c>
      <c r="F541" s="54">
        <f t="shared" si="176"/>
        <v>6802.62</v>
      </c>
      <c r="G541" s="54">
        <f t="shared" si="176"/>
        <v>6194.25</v>
      </c>
      <c r="H541" s="54">
        <f t="shared" si="176"/>
        <v>7186.11</v>
      </c>
      <c r="I541" s="54">
        <f t="shared" si="176"/>
        <v>6172.829999999999</v>
      </c>
      <c r="J541" s="54">
        <f t="shared" si="176"/>
        <v>7028.8499999999995</v>
      </c>
      <c r="K541" s="54">
        <f t="shared" si="176"/>
        <v>7093.7099999999991</v>
      </c>
      <c r="L541" s="54">
        <f t="shared" si="176"/>
        <v>6922.02</v>
      </c>
      <c r="M541" s="54"/>
      <c r="N541" s="54"/>
      <c r="O541" s="54"/>
      <c r="P541" s="54" t="str">
        <f>IF(((P539="")*AND(P540="")),"",(P539-P540)*2)</f>
        <v/>
      </c>
      <c r="Q541" s="47"/>
      <c r="R541" s="47"/>
      <c r="S541" s="47"/>
      <c r="T541" s="47"/>
      <c r="U541" s="47"/>
      <c r="V541" s="274"/>
      <c r="W541" s="47"/>
    </row>
    <row r="542" spans="1:31" x14ac:dyDescent="0.25">
      <c r="A542" s="90">
        <v>43350</v>
      </c>
      <c r="B542" s="50" t="s">
        <v>206</v>
      </c>
      <c r="C542" s="50" t="s">
        <v>205</v>
      </c>
      <c r="D542" s="35">
        <v>4204.1099999999997</v>
      </c>
      <c r="E542" s="35">
        <v>4402.37</v>
      </c>
      <c r="F542" s="35">
        <v>4110.4799999999996</v>
      </c>
      <c r="G542" s="35">
        <v>4101.82</v>
      </c>
      <c r="H542" s="35">
        <v>4297.24</v>
      </c>
      <c r="I542" s="35">
        <v>4188.4799999999996</v>
      </c>
      <c r="J542" s="35">
        <v>4143.67</v>
      </c>
      <c r="K542" s="35">
        <v>4099.46</v>
      </c>
      <c r="L542" s="35">
        <v>4176.62</v>
      </c>
      <c r="M542" s="35">
        <v>4215.8900000000003</v>
      </c>
      <c r="N542" s="35">
        <v>4427.79</v>
      </c>
      <c r="O542" s="35">
        <v>4240.6499999999996</v>
      </c>
      <c r="P542" s="35">
        <v>4336.72</v>
      </c>
      <c r="Q542" s="50">
        <f>IF((L543=""),"",MAX(D544:P544))</f>
        <v>5563.9400000000005</v>
      </c>
      <c r="R542" s="50">
        <f>IF(L543="","",MIN(D544:L544))</f>
        <v>5432.8599999999988</v>
      </c>
      <c r="S542" s="53">
        <f>IF((P544=""),"",AVERAGE(D544:P544))</f>
        <v>5500.5276923076926</v>
      </c>
      <c r="T542" s="52">
        <f>IF((L543=""),"",(Q542-R542)/(Q542+R542)*100)</f>
        <v>1.1919831223628852</v>
      </c>
      <c r="U542" s="50">
        <f>STDEV(D544:P544)</f>
        <v>44.85056338439307</v>
      </c>
      <c r="V542" s="273" t="str">
        <f>IF(P543="","",IF(T542&lt;2.7,IF(S542&gt;5150,IF(S542&lt;5600,"Pass","Fail"),"Fail"),"Fail"))</f>
        <v>Pass</v>
      </c>
      <c r="W542" s="50">
        <v>1335</v>
      </c>
      <c r="Z542" s="71">
        <v>4470</v>
      </c>
      <c r="AA542" s="71">
        <v>6020</v>
      </c>
      <c r="AB542" s="71">
        <v>5150</v>
      </c>
      <c r="AC542" s="71">
        <v>5600</v>
      </c>
      <c r="AD542" s="70">
        <v>2.7</v>
      </c>
      <c r="AE542" s="69">
        <v>10</v>
      </c>
    </row>
    <row r="543" spans="1:31" x14ac:dyDescent="0.25">
      <c r="A543" s="89"/>
      <c r="B543" s="47"/>
      <c r="C543" s="47" t="s">
        <v>204</v>
      </c>
      <c r="D543" s="35">
        <v>1487.68</v>
      </c>
      <c r="E543" s="35">
        <v>1671.46</v>
      </c>
      <c r="F543" s="35">
        <v>1387.76</v>
      </c>
      <c r="G543" s="35">
        <v>1329.47</v>
      </c>
      <c r="H543" s="35">
        <v>1552.22</v>
      </c>
      <c r="I543" s="35">
        <v>1419.17</v>
      </c>
      <c r="J543" s="35">
        <v>1368.22</v>
      </c>
      <c r="K543" s="35">
        <v>1317.49</v>
      </c>
      <c r="L543" s="35">
        <v>1451.37</v>
      </c>
      <c r="M543" s="35">
        <v>1442.06</v>
      </c>
      <c r="N543" s="35">
        <v>1678.02</v>
      </c>
      <c r="O543" s="35">
        <v>1497.27</v>
      </c>
      <c r="P543" s="35">
        <v>1589.68</v>
      </c>
      <c r="Q543" s="47"/>
      <c r="R543" s="47"/>
      <c r="S543" s="47"/>
      <c r="T543" s="47"/>
      <c r="U543" s="47"/>
      <c r="V543" s="274"/>
      <c r="W543" s="47"/>
    </row>
    <row r="544" spans="1:31" ht="22.15" x14ac:dyDescent="0.25">
      <c r="A544" s="91"/>
      <c r="B544" s="80"/>
      <c r="C544" s="80" t="s">
        <v>203</v>
      </c>
      <c r="D544" s="86">
        <f t="shared" ref="D544:P544" si="177">IF(((D542="")*AND(D543="")),"",(D542-D543)*2)</f>
        <v>5432.8599999999988</v>
      </c>
      <c r="E544" s="86">
        <f t="shared" si="177"/>
        <v>5461.82</v>
      </c>
      <c r="F544" s="86">
        <f t="shared" si="177"/>
        <v>5445.4399999999987</v>
      </c>
      <c r="G544" s="86">
        <f t="shared" si="177"/>
        <v>5544.6999999999989</v>
      </c>
      <c r="H544" s="86">
        <f t="shared" si="177"/>
        <v>5490.0399999999991</v>
      </c>
      <c r="I544" s="86">
        <f t="shared" si="177"/>
        <v>5538.619999999999</v>
      </c>
      <c r="J544" s="86">
        <f t="shared" si="177"/>
        <v>5550.9</v>
      </c>
      <c r="K544" s="86">
        <f t="shared" si="177"/>
        <v>5563.9400000000005</v>
      </c>
      <c r="L544" s="86">
        <f t="shared" si="177"/>
        <v>5450.5</v>
      </c>
      <c r="M544" s="86">
        <f t="shared" si="177"/>
        <v>5547.6600000000008</v>
      </c>
      <c r="N544" s="86">
        <f t="shared" si="177"/>
        <v>5499.54</v>
      </c>
      <c r="O544" s="86">
        <f t="shared" si="177"/>
        <v>5486.7599999999993</v>
      </c>
      <c r="P544" s="86">
        <f t="shared" si="177"/>
        <v>5494.08</v>
      </c>
      <c r="Q544" s="80"/>
      <c r="R544" s="80"/>
      <c r="S544" s="80"/>
      <c r="T544" s="80"/>
      <c r="U544" s="80"/>
      <c r="V544" s="277"/>
      <c r="W544" s="80"/>
    </row>
    <row r="545" spans="1:31" x14ac:dyDescent="0.25">
      <c r="A545" s="90">
        <v>43356</v>
      </c>
      <c r="B545" s="50" t="s">
        <v>208</v>
      </c>
      <c r="C545" s="56" t="s">
        <v>205</v>
      </c>
      <c r="D545" s="35">
        <v>6008.8</v>
      </c>
      <c r="E545" s="35">
        <v>5993.13</v>
      </c>
      <c r="F545" s="35">
        <v>6270.94</v>
      </c>
      <c r="G545" s="35">
        <v>6002.62</v>
      </c>
      <c r="H545" s="35">
        <v>6438.9</v>
      </c>
      <c r="I545" s="35">
        <v>6387.59</v>
      </c>
      <c r="J545" s="35">
        <v>6074.24</v>
      </c>
      <c r="K545" s="35">
        <v>6131.07</v>
      </c>
      <c r="L545" s="35">
        <v>6309.55</v>
      </c>
      <c r="M545" s="55"/>
      <c r="N545" s="55"/>
      <c r="O545" s="55"/>
      <c r="P545" s="55"/>
      <c r="Q545" s="50">
        <f>IF((L546=""),"",MAX(D547:L547))</f>
        <v>8281.2599999999984</v>
      </c>
      <c r="R545" s="50">
        <f>IF(L546="","",MIN(D547:L547))</f>
        <v>6846.87</v>
      </c>
      <c r="S545" s="77">
        <f>IF((L547=""),"",AVERAGE(D547:L547))</f>
        <v>7550.993333333332</v>
      </c>
      <c r="T545" s="52">
        <f>IF((L546=""),"",(Q545-R545)/(Q545+R545)*100)</f>
        <v>9.4816081035792177</v>
      </c>
      <c r="U545" s="50">
        <f>STDEV(D547:P547)</f>
        <v>437.75907452044879</v>
      </c>
      <c r="V545" s="273" t="str">
        <f>IF(L546="","",IF(T545&lt;9.8,IF(S545&gt;5100,IF(S545&lt;8300,"Pass","Fail"),"Fail"),"Fail"))</f>
        <v>Pass</v>
      </c>
      <c r="W545" s="47">
        <v>1335</v>
      </c>
      <c r="Z545" s="37">
        <v>4955</v>
      </c>
      <c r="AA545" s="37">
        <v>9645</v>
      </c>
      <c r="AB545" s="37">
        <v>5100</v>
      </c>
      <c r="AC545" s="37">
        <v>8300</v>
      </c>
      <c r="AD545" s="69">
        <v>9.8000000000000007</v>
      </c>
      <c r="AE545" s="69">
        <v>10</v>
      </c>
    </row>
    <row r="546" spans="1:31" x14ac:dyDescent="0.25">
      <c r="A546" s="49"/>
      <c r="B546" s="47"/>
      <c r="C546" s="56" t="s">
        <v>204</v>
      </c>
      <c r="D546" s="35">
        <v>3618.36</v>
      </c>
      <c r="E546" s="35">
        <v>3710.84</v>
      </c>
      <c r="F546" s="35">
        <v>3722.95</v>
      </c>
      <c r="G546" s="35">
        <v>3533.6</v>
      </c>
      <c r="H546" s="35">
        <v>3678.48</v>
      </c>
      <c r="I546" s="35">
        <v>3724.21</v>
      </c>
      <c r="J546" s="35">
        <v>3630.18</v>
      </c>
      <c r="K546" s="35">
        <v>3646.97</v>
      </c>
      <c r="L546" s="35">
        <v>3698.27</v>
      </c>
      <c r="M546" s="55"/>
      <c r="N546" s="55"/>
      <c r="O546" s="55"/>
      <c r="P546" s="55"/>
      <c r="Q546" s="47"/>
      <c r="R546" s="47"/>
      <c r="S546" s="47"/>
      <c r="T546" s="47"/>
      <c r="U546" s="47"/>
      <c r="V546" s="274"/>
      <c r="W546" s="47"/>
    </row>
    <row r="547" spans="1:31" ht="22.75" thickBot="1" x14ac:dyDescent="0.3">
      <c r="A547" s="49"/>
      <c r="B547" s="47"/>
      <c r="C547" s="50" t="s">
        <v>203</v>
      </c>
      <c r="D547" s="54">
        <f t="shared" ref="D547:L547" si="178">IF(((D545="")*AND(D546="")),"",(D545-D546)*3)</f>
        <v>7171.32</v>
      </c>
      <c r="E547" s="54">
        <f t="shared" si="178"/>
        <v>6846.87</v>
      </c>
      <c r="F547" s="54">
        <f t="shared" si="178"/>
        <v>7643.9699999999993</v>
      </c>
      <c r="G547" s="54">
        <f t="shared" si="178"/>
        <v>7407.0599999999995</v>
      </c>
      <c r="H547" s="54">
        <f t="shared" si="178"/>
        <v>8281.2599999999984</v>
      </c>
      <c r="I547" s="54">
        <f t="shared" si="178"/>
        <v>7990.14</v>
      </c>
      <c r="J547" s="54">
        <f t="shared" si="178"/>
        <v>7332.18</v>
      </c>
      <c r="K547" s="54">
        <f t="shared" si="178"/>
        <v>7452.2999999999993</v>
      </c>
      <c r="L547" s="54">
        <f t="shared" si="178"/>
        <v>7833.84</v>
      </c>
      <c r="M547" s="54"/>
      <c r="N547" s="54"/>
      <c r="O547" s="54"/>
      <c r="P547" s="54" t="str">
        <f>IF(((P545="")*AND(P546="")),"",(P545-P546)*2)</f>
        <v/>
      </c>
      <c r="Q547" s="47"/>
      <c r="R547" s="47"/>
      <c r="S547" s="47"/>
      <c r="T547" s="47"/>
      <c r="U547" s="47"/>
      <c r="V547" s="274"/>
      <c r="W547" s="47"/>
    </row>
    <row r="548" spans="1:31" x14ac:dyDescent="0.25">
      <c r="A548" s="90">
        <v>43356</v>
      </c>
      <c r="B548" s="50" t="s">
        <v>206</v>
      </c>
      <c r="C548" s="50" t="s">
        <v>205</v>
      </c>
      <c r="D548" s="35">
        <v>4118.01</v>
      </c>
      <c r="E548" s="35">
        <v>4292.26</v>
      </c>
      <c r="F548" s="35">
        <v>3998.41</v>
      </c>
      <c r="G548" s="35">
        <v>3985.36</v>
      </c>
      <c r="H548" s="35">
        <v>4182.95</v>
      </c>
      <c r="I548" s="35">
        <v>4072.9</v>
      </c>
      <c r="J548" s="35">
        <v>4010.78</v>
      </c>
      <c r="K548" s="35">
        <v>3974.89</v>
      </c>
      <c r="L548" s="35">
        <v>4053.65</v>
      </c>
      <c r="M548" s="35">
        <v>4085.78</v>
      </c>
      <c r="N548" s="35">
        <v>4280.1000000000004</v>
      </c>
      <c r="O548" s="35">
        <v>4113.05</v>
      </c>
      <c r="P548" s="35">
        <v>4176.84</v>
      </c>
      <c r="Q548" s="50">
        <f>IF((L549=""),"",MAX(D550:P550))</f>
        <v>5816.66</v>
      </c>
      <c r="R548" s="50">
        <f>IF(L549="","",MIN(D550:L550))</f>
        <v>5613.68</v>
      </c>
      <c r="S548" s="53">
        <f>IF((P550=""),"",AVERAGE(D550:P550))</f>
        <v>5710.1753846153861</v>
      </c>
      <c r="T548" s="52">
        <f>IF((L549=""),"",(Q548-R548)/(Q548+R548)*100)</f>
        <v>1.7758001949198323</v>
      </c>
      <c r="U548" s="50">
        <f>STDEV(D550:P550)</f>
        <v>73.0262802712585</v>
      </c>
      <c r="V548" s="273" t="str">
        <f>IF(P549="","",IF(T548&lt;2.7,IF(S548&gt;5150,IF(S548&lt;5600,"Pass","Fail"),"Fail"),"Fail"))</f>
        <v>Fail</v>
      </c>
      <c r="W548" s="50">
        <v>1335</v>
      </c>
      <c r="Z548" s="71">
        <v>4470</v>
      </c>
      <c r="AA548" s="71">
        <v>6020</v>
      </c>
      <c r="AB548" s="71">
        <v>5150</v>
      </c>
      <c r="AC548" s="71">
        <v>5600</v>
      </c>
      <c r="AD548" s="70">
        <v>2.7</v>
      </c>
      <c r="AE548" s="69">
        <v>10</v>
      </c>
    </row>
    <row r="549" spans="1:31" x14ac:dyDescent="0.25">
      <c r="A549" s="89"/>
      <c r="B549" s="47"/>
      <c r="C549" s="47" t="s">
        <v>204</v>
      </c>
      <c r="D549" s="35">
        <v>1311.17</v>
      </c>
      <c r="E549" s="35">
        <v>1479.9</v>
      </c>
      <c r="F549" s="35">
        <v>1187.1099999999999</v>
      </c>
      <c r="G549" s="35">
        <v>1100.07</v>
      </c>
      <c r="H549" s="35">
        <v>1360.68</v>
      </c>
      <c r="I549" s="35">
        <v>1210.23</v>
      </c>
      <c r="J549" s="35">
        <v>1102.45</v>
      </c>
      <c r="K549" s="35">
        <v>1068.56</v>
      </c>
      <c r="L549" s="35">
        <v>1220.93</v>
      </c>
      <c r="M549" s="35">
        <v>1189.57</v>
      </c>
      <c r="N549" s="35">
        <v>1434.64</v>
      </c>
      <c r="O549" s="35">
        <v>1248.22</v>
      </c>
      <c r="P549" s="35">
        <v>1315.31</v>
      </c>
      <c r="Q549" s="47"/>
      <c r="R549" s="47"/>
      <c r="S549" s="47"/>
      <c r="T549" s="47"/>
      <c r="U549" s="47"/>
      <c r="V549" s="274"/>
      <c r="W549" s="47"/>
    </row>
    <row r="550" spans="1:31" ht="22.75" thickBot="1" x14ac:dyDescent="0.3">
      <c r="A550" s="91"/>
      <c r="B550" s="80"/>
      <c r="C550" s="80" t="s">
        <v>203</v>
      </c>
      <c r="D550" s="86">
        <f t="shared" ref="D550:P550" si="179">IF(((D548="")*AND(D549="")),"",(D548-D549)*2)</f>
        <v>5613.68</v>
      </c>
      <c r="E550" s="86">
        <f t="shared" si="179"/>
        <v>5624.72</v>
      </c>
      <c r="F550" s="86">
        <f t="shared" si="179"/>
        <v>5622.6</v>
      </c>
      <c r="G550" s="86">
        <f t="shared" si="179"/>
        <v>5770.58</v>
      </c>
      <c r="H550" s="86">
        <f t="shared" si="179"/>
        <v>5644.5399999999991</v>
      </c>
      <c r="I550" s="86">
        <f t="shared" si="179"/>
        <v>5725.34</v>
      </c>
      <c r="J550" s="86">
        <f t="shared" si="179"/>
        <v>5816.66</v>
      </c>
      <c r="K550" s="86">
        <f t="shared" si="179"/>
        <v>5812.66</v>
      </c>
      <c r="L550" s="86">
        <f t="shared" si="179"/>
        <v>5665.4400000000005</v>
      </c>
      <c r="M550" s="86">
        <f t="shared" si="179"/>
        <v>5792.42</v>
      </c>
      <c r="N550" s="86">
        <f t="shared" si="179"/>
        <v>5690.92</v>
      </c>
      <c r="O550" s="86">
        <f t="shared" si="179"/>
        <v>5729.66</v>
      </c>
      <c r="P550" s="86">
        <f t="shared" si="179"/>
        <v>5723.06</v>
      </c>
      <c r="Q550" s="80"/>
      <c r="R550" s="80"/>
      <c r="S550" s="80"/>
      <c r="T550" s="80"/>
      <c r="U550" s="80"/>
      <c r="V550" s="277"/>
      <c r="W550" s="80"/>
    </row>
    <row r="551" spans="1:31" x14ac:dyDescent="0.25">
      <c r="A551" s="90">
        <v>43357</v>
      </c>
      <c r="B551" s="50" t="s">
        <v>206</v>
      </c>
      <c r="C551" s="50" t="s">
        <v>205</v>
      </c>
      <c r="D551" s="35">
        <v>6787.68</v>
      </c>
      <c r="E551" s="35">
        <v>6980.94</v>
      </c>
      <c r="F551" s="35">
        <v>6692.12</v>
      </c>
      <c r="G551" s="35">
        <v>6745.14</v>
      </c>
      <c r="H551" s="35">
        <v>6879.66</v>
      </c>
      <c r="I551" s="35">
        <v>6812.37</v>
      </c>
      <c r="J551" s="35">
        <v>6794.83</v>
      </c>
      <c r="K551" s="35">
        <v>6753.25</v>
      </c>
      <c r="L551" s="35">
        <v>6767.86</v>
      </c>
      <c r="M551" s="35">
        <v>6866.85</v>
      </c>
      <c r="N551" s="35">
        <v>7014.16</v>
      </c>
      <c r="O551" s="35">
        <v>6851.68</v>
      </c>
      <c r="P551" s="35">
        <v>6924.01</v>
      </c>
      <c r="Q551" s="50">
        <f>IF((L552=""),"",MAX(D553:P553))</f>
        <v>5693.16</v>
      </c>
      <c r="R551" s="50">
        <f>IF(L552="","",MIN(D553:L553))</f>
        <v>5505.380000000001</v>
      </c>
      <c r="S551" s="53">
        <f>IF((P553=""),"",AVERAGE(D553:P553))</f>
        <v>5600.3507692307703</v>
      </c>
      <c r="T551" s="52">
        <f>IF((L552=""),"",(Q551-R551)/(Q551+R551)*100)</f>
        <v>1.6768257290682431</v>
      </c>
      <c r="U551" s="50">
        <f>STDEV(D553:P553)</f>
        <v>64.177747761138548</v>
      </c>
      <c r="V551" s="273" t="str">
        <f>IF(P552="","",IF(T551&lt;2.7,IF(S551&gt;5150,IF(S551&lt;5600,"Pass","Fail"),"Fail"),"Fail"))</f>
        <v>Fail</v>
      </c>
      <c r="W551" s="50">
        <v>121</v>
      </c>
      <c r="Z551" s="71">
        <v>4470</v>
      </c>
      <c r="AA551" s="71">
        <v>6020</v>
      </c>
      <c r="AB551" s="71">
        <v>5150</v>
      </c>
      <c r="AC551" s="71">
        <v>5600</v>
      </c>
      <c r="AD551" s="70">
        <v>2.7</v>
      </c>
      <c r="AE551" s="69">
        <v>10</v>
      </c>
    </row>
    <row r="552" spans="1:31" x14ac:dyDescent="0.25">
      <c r="A552" s="89"/>
      <c r="B552" s="47"/>
      <c r="C552" s="47" t="s">
        <v>204</v>
      </c>
      <c r="D552" s="35">
        <v>4034.99</v>
      </c>
      <c r="E552" s="35">
        <v>4217.99</v>
      </c>
      <c r="F552" s="35">
        <v>3926.96</v>
      </c>
      <c r="G552" s="35">
        <v>3917.86</v>
      </c>
      <c r="H552" s="35">
        <v>4104.8100000000004</v>
      </c>
      <c r="I552" s="35">
        <v>3998.29</v>
      </c>
      <c r="J552" s="35">
        <v>3948.25</v>
      </c>
      <c r="K552" s="35">
        <v>3913.74</v>
      </c>
      <c r="L552" s="35">
        <v>3989.98</v>
      </c>
      <c r="M552" s="35">
        <v>4026.3</v>
      </c>
      <c r="N552" s="35">
        <v>4221.7299999999996</v>
      </c>
      <c r="O552" s="35">
        <v>4046.9</v>
      </c>
      <c r="P552" s="35">
        <v>4120.47</v>
      </c>
      <c r="Q552" s="47"/>
      <c r="R552" s="47"/>
      <c r="S552" s="47"/>
      <c r="T552" s="47"/>
      <c r="U552" s="47"/>
      <c r="V552" s="274"/>
      <c r="W552" s="47"/>
    </row>
    <row r="553" spans="1:31" ht="22.15" x14ac:dyDescent="0.25">
      <c r="A553" s="91"/>
      <c r="B553" s="80"/>
      <c r="C553" s="80" t="s">
        <v>203</v>
      </c>
      <c r="D553" s="86">
        <f t="shared" ref="D553:P553" si="180">IF(((D551="")*AND(D552="")),"",(D551-D552)*2)</f>
        <v>5505.380000000001</v>
      </c>
      <c r="E553" s="86">
        <f t="shared" si="180"/>
        <v>5525.9</v>
      </c>
      <c r="F553" s="86">
        <f t="shared" si="180"/>
        <v>5530.32</v>
      </c>
      <c r="G553" s="86">
        <f t="shared" si="180"/>
        <v>5654.56</v>
      </c>
      <c r="H553" s="86">
        <f t="shared" si="180"/>
        <v>5549.6999999999989</v>
      </c>
      <c r="I553" s="86">
        <f t="shared" si="180"/>
        <v>5628.16</v>
      </c>
      <c r="J553" s="86">
        <f t="shared" si="180"/>
        <v>5693.16</v>
      </c>
      <c r="K553" s="86">
        <f t="shared" si="180"/>
        <v>5679.02</v>
      </c>
      <c r="L553" s="86">
        <f t="shared" si="180"/>
        <v>5555.7599999999993</v>
      </c>
      <c r="M553" s="86">
        <f t="shared" si="180"/>
        <v>5681.1</v>
      </c>
      <c r="N553" s="86">
        <f t="shared" si="180"/>
        <v>5584.8600000000006</v>
      </c>
      <c r="O553" s="86">
        <f t="shared" si="180"/>
        <v>5609.56</v>
      </c>
      <c r="P553" s="86">
        <f t="shared" si="180"/>
        <v>5607.08</v>
      </c>
      <c r="Q553" s="80"/>
      <c r="R553" s="80"/>
      <c r="S553" s="80"/>
      <c r="T553" s="80"/>
      <c r="U553" s="80"/>
      <c r="V553" s="277"/>
      <c r="W553" s="80"/>
    </row>
    <row r="554" spans="1:31" x14ac:dyDescent="0.25">
      <c r="A554" s="90">
        <v>43362</v>
      </c>
      <c r="B554" s="50" t="s">
        <v>208</v>
      </c>
      <c r="C554" s="56" t="s">
        <v>205</v>
      </c>
      <c r="D554" s="35">
        <v>3618.36</v>
      </c>
      <c r="E554" s="35">
        <v>3710.84</v>
      </c>
      <c r="F554" s="35">
        <v>3722.95</v>
      </c>
      <c r="G554" s="35">
        <v>3533.6</v>
      </c>
      <c r="H554" s="35">
        <v>3678.48</v>
      </c>
      <c r="I554" s="35">
        <v>3724.21</v>
      </c>
      <c r="J554" s="35">
        <v>3630.18</v>
      </c>
      <c r="K554" s="35">
        <v>3646.97</v>
      </c>
      <c r="L554" s="35">
        <v>3698.27</v>
      </c>
      <c r="M554" s="55"/>
      <c r="N554" s="55"/>
      <c r="O554" s="55"/>
      <c r="P554" s="55"/>
      <c r="Q554" s="50">
        <f>IF((L555=""),"",MAX(D556:L556))</f>
        <v>7803</v>
      </c>
      <c r="R554" s="50">
        <f>IF(L555="","",MIN(D556:L556))</f>
        <v>6499.92</v>
      </c>
      <c r="S554" s="77">
        <f>IF((L556=""),"",AVERAGE(D556:L556))</f>
        <v>6772.1033333333326</v>
      </c>
      <c r="T554" s="52">
        <f>IF((L555=""),"",(Q554-R554)/(Q554+R554)*100)</f>
        <v>9.1105872087657627</v>
      </c>
      <c r="U554" s="50">
        <f>STDEV(D556:P556)</f>
        <v>397.83279807602577</v>
      </c>
      <c r="V554" s="273" t="str">
        <f>IF(L555="","",IF(T554&lt;9.8,IF(S554&gt;5100,IF(S554&lt;8300,"Pass","Fail"),"Fail"),"Fail"))</f>
        <v>Pass</v>
      </c>
      <c r="W554" s="47" t="s">
        <v>166</v>
      </c>
      <c r="Z554" s="37">
        <v>4955</v>
      </c>
      <c r="AA554" s="37">
        <v>9645</v>
      </c>
      <c r="AB554" s="37">
        <v>5100</v>
      </c>
      <c r="AC554" s="37">
        <v>8300</v>
      </c>
      <c r="AD554" s="69">
        <v>9.8000000000000007</v>
      </c>
      <c r="AE554" s="69">
        <v>10</v>
      </c>
    </row>
    <row r="555" spans="1:31" x14ac:dyDescent="0.25">
      <c r="A555" s="49"/>
      <c r="B555" s="47"/>
      <c r="C555" s="56" t="s">
        <v>204</v>
      </c>
      <c r="D555" s="35">
        <v>1397.39</v>
      </c>
      <c r="E555" s="35">
        <v>1530.04</v>
      </c>
      <c r="F555" s="35">
        <v>1504.16</v>
      </c>
      <c r="G555" s="35">
        <v>932.6</v>
      </c>
      <c r="H555" s="35">
        <v>1451.2</v>
      </c>
      <c r="I555" s="35">
        <v>1525.45</v>
      </c>
      <c r="J555" s="35">
        <v>1463.54</v>
      </c>
      <c r="K555" s="35">
        <v>1370.69</v>
      </c>
      <c r="L555" s="35">
        <v>1472.48</v>
      </c>
      <c r="M555" s="55"/>
      <c r="N555" s="55"/>
      <c r="O555" s="55"/>
      <c r="P555" s="55"/>
      <c r="Q555" s="47"/>
      <c r="R555" s="47"/>
      <c r="S555" s="47"/>
      <c r="T555" s="47"/>
      <c r="U555" s="47"/>
      <c r="V555" s="274"/>
      <c r="W555" s="47"/>
    </row>
    <row r="556" spans="1:31" ht="22.75" thickBot="1" x14ac:dyDescent="0.3">
      <c r="A556" s="49"/>
      <c r="B556" s="47"/>
      <c r="C556" s="50" t="s">
        <v>203</v>
      </c>
      <c r="D556" s="54">
        <f t="shared" ref="D556:L556" si="181">IF(((D554="")*AND(D555="")),"",(D554-D555)*3)</f>
        <v>6662.9100000000008</v>
      </c>
      <c r="E556" s="54">
        <f t="shared" si="181"/>
        <v>6542.4000000000005</v>
      </c>
      <c r="F556" s="54">
        <f t="shared" si="181"/>
        <v>6656.37</v>
      </c>
      <c r="G556" s="54">
        <f t="shared" si="181"/>
        <v>7803</v>
      </c>
      <c r="H556" s="54">
        <f t="shared" si="181"/>
        <v>6681.8399999999992</v>
      </c>
      <c r="I556" s="54">
        <f t="shared" si="181"/>
        <v>6596.2800000000007</v>
      </c>
      <c r="J556" s="54">
        <f t="shared" si="181"/>
        <v>6499.92</v>
      </c>
      <c r="K556" s="54">
        <f t="shared" si="181"/>
        <v>6828.8399999999992</v>
      </c>
      <c r="L556" s="54">
        <f t="shared" si="181"/>
        <v>6677.37</v>
      </c>
      <c r="M556" s="54"/>
      <c r="N556" s="54"/>
      <c r="O556" s="54"/>
      <c r="P556" s="54" t="str">
        <f>IF(((P554="")*AND(P555="")),"",(P554-P555)*2)</f>
        <v/>
      </c>
      <c r="Q556" s="47"/>
      <c r="R556" s="47"/>
      <c r="S556" s="47"/>
      <c r="T556" s="47"/>
      <c r="U556" s="47"/>
      <c r="V556" s="274"/>
      <c r="W556" s="47"/>
    </row>
    <row r="557" spans="1:31" x14ac:dyDescent="0.25">
      <c r="A557" s="90">
        <v>43362</v>
      </c>
      <c r="B557" s="50" t="s">
        <v>206</v>
      </c>
      <c r="C557" s="50" t="s">
        <v>205</v>
      </c>
      <c r="D557" s="35">
        <v>4034.99</v>
      </c>
      <c r="E557" s="35">
        <v>4217.99</v>
      </c>
      <c r="F557" s="35">
        <v>3926.96</v>
      </c>
      <c r="G557" s="35">
        <v>3917.86</v>
      </c>
      <c r="H557" s="35">
        <v>4104.8100000000004</v>
      </c>
      <c r="I557" s="35">
        <v>3998.29</v>
      </c>
      <c r="J557" s="35">
        <v>3948.25</v>
      </c>
      <c r="K557" s="35">
        <v>3913.74</v>
      </c>
      <c r="L557" s="35">
        <v>3989.98</v>
      </c>
      <c r="M557" s="35">
        <v>4026.3</v>
      </c>
      <c r="N557" s="35">
        <v>4221.7299999999996</v>
      </c>
      <c r="O557" s="35">
        <v>4046.9</v>
      </c>
      <c r="P557" s="35">
        <v>4120.47</v>
      </c>
      <c r="Q557" s="50">
        <f>IF((L558=""),"",MAX(D559:P559))</f>
        <v>5657.48</v>
      </c>
      <c r="R557" s="50">
        <f>IF(L558="","",MIN(D559:L559))</f>
        <v>5490.82</v>
      </c>
      <c r="S557" s="53">
        <f>IF((P559=""),"",AVERAGE(D559:P559))</f>
        <v>5575.1630769230769</v>
      </c>
      <c r="T557" s="52">
        <f>IF((L558=""),"",(Q557-R557)/(Q557+R557)*100)</f>
        <v>1.4949364477095151</v>
      </c>
      <c r="U557" s="50">
        <f>STDEV(D559:P559)</f>
        <v>59.796605726498143</v>
      </c>
      <c r="V557" s="273" t="str">
        <f>IF(P558="","",IF(T557&lt;2.7,IF(S557&gt;5150,IF(S557&lt;5600,"Pass","Fail"),"Fail"),"Fail"))</f>
        <v>Pass</v>
      </c>
      <c r="W557" s="50" t="s">
        <v>166</v>
      </c>
      <c r="Z557" s="71">
        <v>4470</v>
      </c>
      <c r="AA557" s="71">
        <v>6020</v>
      </c>
      <c r="AB557" s="71">
        <v>5150</v>
      </c>
      <c r="AC557" s="71">
        <v>5600</v>
      </c>
      <c r="AD557" s="70">
        <v>2.7</v>
      </c>
      <c r="AE557" s="69">
        <v>10</v>
      </c>
    </row>
    <row r="558" spans="1:31" x14ac:dyDescent="0.25">
      <c r="A558" s="89"/>
      <c r="B558" s="47"/>
      <c r="C558" s="47" t="s">
        <v>204</v>
      </c>
      <c r="D558" s="35">
        <v>1288.67</v>
      </c>
      <c r="E558" s="35">
        <v>1465.72</v>
      </c>
      <c r="F558" s="35">
        <v>1181.55</v>
      </c>
      <c r="G558" s="35">
        <v>1107.83</v>
      </c>
      <c r="H558" s="35">
        <v>1340.03</v>
      </c>
      <c r="I558" s="35">
        <v>1201.4100000000001</v>
      </c>
      <c r="J558" s="35">
        <v>1119.51</v>
      </c>
      <c r="K558" s="35">
        <v>1090.0999999999999</v>
      </c>
      <c r="L558" s="35">
        <v>1224.98</v>
      </c>
      <c r="M558" s="35">
        <v>1205.23</v>
      </c>
      <c r="N558" s="35">
        <v>1435.03</v>
      </c>
      <c r="O558" s="35">
        <v>1250.03</v>
      </c>
      <c r="P558" s="35">
        <v>1319.62</v>
      </c>
      <c r="Q558" s="47"/>
      <c r="R558" s="47"/>
      <c r="S558" s="47"/>
      <c r="T558" s="47"/>
      <c r="U558" s="47"/>
      <c r="V558" s="274"/>
      <c r="W558" s="47"/>
    </row>
    <row r="559" spans="1:31" ht="22.15" x14ac:dyDescent="0.25">
      <c r="A559" s="91"/>
      <c r="B559" s="80"/>
      <c r="C559" s="80" t="s">
        <v>203</v>
      </c>
      <c r="D559" s="86">
        <f t="shared" ref="D559:P559" si="182">IF(((D557="")*AND(D558="")),"",(D557-D558)*2)</f>
        <v>5492.6399999999994</v>
      </c>
      <c r="E559" s="86">
        <f t="shared" si="182"/>
        <v>5504.5399999999991</v>
      </c>
      <c r="F559" s="86">
        <f t="shared" si="182"/>
        <v>5490.82</v>
      </c>
      <c r="G559" s="86">
        <f t="shared" si="182"/>
        <v>5620.06</v>
      </c>
      <c r="H559" s="86">
        <f t="shared" si="182"/>
        <v>5529.5600000000013</v>
      </c>
      <c r="I559" s="86">
        <f t="shared" si="182"/>
        <v>5593.76</v>
      </c>
      <c r="J559" s="86">
        <f t="shared" si="182"/>
        <v>5657.48</v>
      </c>
      <c r="K559" s="86">
        <f t="shared" si="182"/>
        <v>5647.28</v>
      </c>
      <c r="L559" s="86">
        <f t="shared" si="182"/>
        <v>5530</v>
      </c>
      <c r="M559" s="86">
        <f t="shared" si="182"/>
        <v>5642.14</v>
      </c>
      <c r="N559" s="86">
        <f t="shared" si="182"/>
        <v>5573.4</v>
      </c>
      <c r="O559" s="86">
        <f t="shared" si="182"/>
        <v>5593.74</v>
      </c>
      <c r="P559" s="86">
        <f t="shared" si="182"/>
        <v>5601.7000000000007</v>
      </c>
      <c r="Q559" s="80"/>
      <c r="R559" s="80"/>
      <c r="S559" s="80"/>
      <c r="T559" s="80"/>
      <c r="U559" s="80"/>
      <c r="V559" s="277"/>
      <c r="W559" s="80"/>
    </row>
    <row r="560" spans="1:31" x14ac:dyDescent="0.25">
      <c r="A560" s="90">
        <v>43362</v>
      </c>
      <c r="B560" s="50" t="s">
        <v>208</v>
      </c>
      <c r="C560" s="56" t="s">
        <v>205</v>
      </c>
      <c r="D560" s="35">
        <v>5945</v>
      </c>
      <c r="E560" s="35">
        <v>6061.14</v>
      </c>
      <c r="F560" s="35">
        <v>6106.15</v>
      </c>
      <c r="G560" s="35">
        <v>6043</v>
      </c>
      <c r="H560" s="35">
        <v>6032.46</v>
      </c>
      <c r="I560" s="35">
        <v>6116.86</v>
      </c>
      <c r="J560" s="35">
        <v>5952.71</v>
      </c>
      <c r="K560" s="35">
        <v>6041.16</v>
      </c>
      <c r="L560" s="35">
        <v>6090.35</v>
      </c>
      <c r="M560" s="55"/>
      <c r="N560" s="55"/>
      <c r="O560" s="55"/>
      <c r="P560" s="55"/>
      <c r="Q560" s="50">
        <f>IF((L561=""),"",MAX(D562:L562))</f>
        <v>7143.2999999999984</v>
      </c>
      <c r="R560" s="50">
        <f>IF(L561="","",MIN(D562:L562))</f>
        <v>6930.0300000000007</v>
      </c>
      <c r="S560" s="77">
        <f>IF((L562=""),"",AVERAGE(D562:L562))</f>
        <v>7069.6099999999988</v>
      </c>
      <c r="T560" s="52">
        <f>IF((L561=""),"",(Q560-R560)/(Q560+R560)*100)</f>
        <v>1.5154195915252306</v>
      </c>
      <c r="U560" s="50">
        <f>STDEV(D562:P562)</f>
        <v>66.565573872685462</v>
      </c>
      <c r="V560" s="273" t="str">
        <f>IF(L561="","",IF(T560&lt;9.8,IF(S560&gt;5100,IF(S560&lt;8300,"Pass","Fail"),"Fail"),"Fail"))</f>
        <v>Pass</v>
      </c>
      <c r="W560" s="47" t="s">
        <v>166</v>
      </c>
      <c r="Z560" s="37">
        <v>4955</v>
      </c>
      <c r="AA560" s="37">
        <v>9645</v>
      </c>
      <c r="AB560" s="37">
        <v>5100</v>
      </c>
      <c r="AC560" s="37">
        <v>8300</v>
      </c>
      <c r="AD560" s="69">
        <v>9.8000000000000007</v>
      </c>
      <c r="AE560" s="69">
        <v>10</v>
      </c>
    </row>
    <row r="561" spans="1:31" x14ac:dyDescent="0.25">
      <c r="A561" s="49"/>
      <c r="B561" s="47"/>
      <c r="C561" s="56" t="s">
        <v>204</v>
      </c>
      <c r="D561" s="35">
        <v>3570.9</v>
      </c>
      <c r="E561" s="35">
        <v>3703.38</v>
      </c>
      <c r="F561" s="35">
        <v>3730.83</v>
      </c>
      <c r="G561" s="35">
        <v>3686</v>
      </c>
      <c r="H561" s="35">
        <v>3687.25</v>
      </c>
      <c r="I561" s="35">
        <v>3735.76</v>
      </c>
      <c r="J561" s="35">
        <v>3642.7</v>
      </c>
      <c r="K561" s="35">
        <v>3700.56</v>
      </c>
      <c r="L561" s="35">
        <v>3722.62</v>
      </c>
      <c r="M561" s="55"/>
      <c r="N561" s="55"/>
      <c r="O561" s="55"/>
      <c r="P561" s="55"/>
      <c r="Q561" s="47"/>
      <c r="R561" s="47"/>
      <c r="S561" s="47"/>
      <c r="T561" s="47"/>
      <c r="U561" s="47"/>
      <c r="V561" s="274"/>
      <c r="W561" s="47"/>
    </row>
    <row r="562" spans="1:31" ht="22.75" thickBot="1" x14ac:dyDescent="0.3">
      <c r="A562" s="49"/>
      <c r="B562" s="47"/>
      <c r="C562" s="50" t="s">
        <v>203</v>
      </c>
      <c r="D562" s="54">
        <f t="shared" ref="D562:L562" si="183">IF(((D560="")*AND(D561="")),"",(D560-D561)*3)</f>
        <v>7122.2999999999993</v>
      </c>
      <c r="E562" s="54">
        <f t="shared" si="183"/>
        <v>7073.2800000000007</v>
      </c>
      <c r="F562" s="54">
        <f t="shared" si="183"/>
        <v>7125.9599999999991</v>
      </c>
      <c r="G562" s="54">
        <f t="shared" si="183"/>
        <v>7071</v>
      </c>
      <c r="H562" s="54">
        <f t="shared" si="183"/>
        <v>7035.63</v>
      </c>
      <c r="I562" s="54">
        <f t="shared" si="183"/>
        <v>7143.2999999999984</v>
      </c>
      <c r="J562" s="54">
        <f t="shared" si="183"/>
        <v>6930.0300000000007</v>
      </c>
      <c r="K562" s="54">
        <f t="shared" si="183"/>
        <v>7021.7999999999993</v>
      </c>
      <c r="L562" s="54">
        <f t="shared" si="183"/>
        <v>7103.1900000000014</v>
      </c>
      <c r="M562" s="54"/>
      <c r="N562" s="54"/>
      <c r="O562" s="54"/>
      <c r="P562" s="54" t="str">
        <f>IF(((P560="")*AND(P561="")),"",(P560-P561)*2)</f>
        <v/>
      </c>
      <c r="Q562" s="47"/>
      <c r="R562" s="47"/>
      <c r="S562" s="47"/>
      <c r="T562" s="47"/>
      <c r="U562" s="47"/>
      <c r="V562" s="274"/>
      <c r="W562" s="47"/>
    </row>
    <row r="563" spans="1:31" x14ac:dyDescent="0.25">
      <c r="A563" s="90">
        <v>43362</v>
      </c>
      <c r="B563" s="50" t="s">
        <v>206</v>
      </c>
      <c r="C563" s="50" t="s">
        <v>205</v>
      </c>
      <c r="D563" s="35">
        <v>6769.62</v>
      </c>
      <c r="E563" s="35">
        <v>6967.41</v>
      </c>
      <c r="F563" s="35">
        <v>6683.12</v>
      </c>
      <c r="G563" s="35">
        <v>6733.74</v>
      </c>
      <c r="H563" s="35">
        <v>6858.92</v>
      </c>
      <c r="I563" s="35">
        <v>6795.72</v>
      </c>
      <c r="J563" s="35">
        <v>6783.49</v>
      </c>
      <c r="K563" s="35">
        <v>6744.44</v>
      </c>
      <c r="L563" s="35">
        <v>6756.23</v>
      </c>
      <c r="M563" s="35">
        <v>6854.87</v>
      </c>
      <c r="N563" s="35">
        <v>7003.49</v>
      </c>
      <c r="O563" s="35">
        <v>6836.48</v>
      </c>
      <c r="P563" s="35">
        <v>6915.93</v>
      </c>
      <c r="Q563" s="50">
        <f>IF((L564=""),"",MAX(D565:P565))</f>
        <v>5650.04</v>
      </c>
      <c r="R563" s="50">
        <f>IF(L564="","",MIN(D565:L565))</f>
        <v>5442.62</v>
      </c>
      <c r="S563" s="53">
        <f>IF((P565=""),"",AVERAGE(D565:P565))</f>
        <v>5550.2307692307695</v>
      </c>
      <c r="T563" s="52">
        <f>IF((L564=""),"",(Q563-R563)/(Q563+R563)*100)</f>
        <v>1.8698851312489526</v>
      </c>
      <c r="U563" s="50">
        <f>STDEV(D565:P565)</f>
        <v>72.310829348207733</v>
      </c>
      <c r="V563" s="273" t="str">
        <f>IF(P564="","",IF(T563&lt;2.7,IF(S563&gt;5150,IF(S563&lt;5600,"Pass","Fail"),"Fail"),"Fail"))</f>
        <v>Pass</v>
      </c>
      <c r="W563" s="47" t="s">
        <v>166</v>
      </c>
      <c r="Z563" s="71">
        <v>4470</v>
      </c>
      <c r="AA563" s="71">
        <v>6020</v>
      </c>
      <c r="AB563" s="71">
        <v>5150</v>
      </c>
      <c r="AC563" s="71">
        <v>5600</v>
      </c>
      <c r="AD563" s="70">
        <v>2.7</v>
      </c>
      <c r="AE563" s="69">
        <v>10</v>
      </c>
    </row>
    <row r="564" spans="1:31" x14ac:dyDescent="0.25">
      <c r="A564" s="89"/>
      <c r="B564" s="47"/>
      <c r="C564" s="47" t="s">
        <v>204</v>
      </c>
      <c r="D564" s="35">
        <v>4048.31</v>
      </c>
      <c r="E564" s="35">
        <v>4239.79</v>
      </c>
      <c r="F564" s="35">
        <v>3941.65</v>
      </c>
      <c r="G564" s="35">
        <v>3928.8</v>
      </c>
      <c r="H564" s="35">
        <v>4117.78</v>
      </c>
      <c r="I564" s="35">
        <v>4007.32</v>
      </c>
      <c r="J564" s="35">
        <v>3958.47</v>
      </c>
      <c r="K564" s="35">
        <v>3924.42</v>
      </c>
      <c r="L564" s="35">
        <v>3999.71</v>
      </c>
      <c r="M564" s="35">
        <v>4033.51</v>
      </c>
      <c r="N564" s="35">
        <v>4238.22</v>
      </c>
      <c r="O564" s="35">
        <v>4052.75</v>
      </c>
      <c r="P564" s="35">
        <v>4136.2299999999996</v>
      </c>
      <c r="Q564" s="47"/>
      <c r="R564" s="47"/>
      <c r="S564" s="47"/>
      <c r="T564" s="47"/>
      <c r="U564" s="47"/>
      <c r="V564" s="274"/>
      <c r="W564" s="47"/>
    </row>
    <row r="565" spans="1:31" ht="22.15" x14ac:dyDescent="0.25">
      <c r="A565" s="91"/>
      <c r="B565" s="80"/>
      <c r="C565" s="80" t="s">
        <v>203</v>
      </c>
      <c r="D565" s="86">
        <f t="shared" ref="D565:P565" si="184">IF(((D563="")*AND(D564="")),"",(D563-D564)*2)</f>
        <v>5442.62</v>
      </c>
      <c r="E565" s="86">
        <f t="shared" si="184"/>
        <v>5455.24</v>
      </c>
      <c r="F565" s="86">
        <f t="shared" si="184"/>
        <v>5482.94</v>
      </c>
      <c r="G565" s="86">
        <f t="shared" si="184"/>
        <v>5609.8799999999992</v>
      </c>
      <c r="H565" s="86">
        <f t="shared" si="184"/>
        <v>5482.2800000000007</v>
      </c>
      <c r="I565" s="86">
        <f t="shared" si="184"/>
        <v>5576.8</v>
      </c>
      <c r="J565" s="86">
        <f t="shared" si="184"/>
        <v>5650.04</v>
      </c>
      <c r="K565" s="86">
        <f t="shared" si="184"/>
        <v>5640.0399999999991</v>
      </c>
      <c r="L565" s="86">
        <f t="shared" si="184"/>
        <v>5513.0399999999991</v>
      </c>
      <c r="M565" s="86">
        <f t="shared" si="184"/>
        <v>5642.7199999999993</v>
      </c>
      <c r="N565" s="86">
        <f t="shared" si="184"/>
        <v>5530.5399999999991</v>
      </c>
      <c r="O565" s="86">
        <f t="shared" si="184"/>
        <v>5567.4599999999991</v>
      </c>
      <c r="P565" s="86">
        <f t="shared" si="184"/>
        <v>5559.4000000000015</v>
      </c>
      <c r="Q565" s="80"/>
      <c r="R565" s="80"/>
      <c r="S565" s="80"/>
      <c r="T565" s="80"/>
      <c r="U565" s="80"/>
      <c r="V565" s="277"/>
      <c r="W565" s="80"/>
    </row>
    <row r="566" spans="1:31" x14ac:dyDescent="0.25">
      <c r="A566" s="90">
        <v>43368</v>
      </c>
      <c r="B566" s="50" t="s">
        <v>208</v>
      </c>
      <c r="C566" s="56" t="s">
        <v>205</v>
      </c>
      <c r="D566" s="35">
        <v>6080.11</v>
      </c>
      <c r="E566" s="35">
        <v>6237.54</v>
      </c>
      <c r="F566" s="35">
        <v>6272.48</v>
      </c>
      <c r="G566" s="35">
        <v>6186.5</v>
      </c>
      <c r="H566" s="35">
        <v>6063.49</v>
      </c>
      <c r="I566" s="35">
        <v>6041.6</v>
      </c>
      <c r="J566" s="35">
        <v>6214.02</v>
      </c>
      <c r="K566" s="35">
        <v>6274.05</v>
      </c>
      <c r="L566" s="35">
        <v>5988.47</v>
      </c>
      <c r="M566" s="55"/>
      <c r="N566" s="55"/>
      <c r="O566" s="55"/>
      <c r="P566" s="55"/>
      <c r="Q566" s="50">
        <f>IF((L567=""),"",MAX(D568:L568))</f>
        <v>7660.9500000000007</v>
      </c>
      <c r="R566" s="50">
        <f>IF(L567="","",MIN(D568:L568))</f>
        <v>6641.9700000000012</v>
      </c>
      <c r="S566" s="77">
        <f>IF((L568=""),"",AVERAGE(D568:L568))</f>
        <v>7176.12</v>
      </c>
      <c r="T566" s="52">
        <f>IF((L567=""),"",(Q566-R566)/(Q566+R566)*100)</f>
        <v>7.1242795177488185</v>
      </c>
      <c r="U566" s="50">
        <f>STDEV(D568:P568)</f>
        <v>361.70277113950891</v>
      </c>
      <c r="V566" s="273" t="str">
        <f>IF(L567="","",IF(T566&lt;9.8,IF(S566&gt;5100,IF(S566&lt;8300,"Pass","Fail"),"Fail"),"Fail"))</f>
        <v>Pass</v>
      </c>
      <c r="W566" s="47">
        <v>1340</v>
      </c>
      <c r="Z566" s="37">
        <v>4955</v>
      </c>
      <c r="AA566" s="37">
        <v>9645</v>
      </c>
      <c r="AB566" s="37">
        <v>5100</v>
      </c>
      <c r="AC566" s="37">
        <v>8300</v>
      </c>
      <c r="AD566" s="69">
        <v>9.8000000000000007</v>
      </c>
      <c r="AE566" s="69">
        <v>10</v>
      </c>
    </row>
    <row r="567" spans="1:31" x14ac:dyDescent="0.25">
      <c r="A567" s="49"/>
      <c r="B567" s="47"/>
      <c r="C567" s="56" t="s">
        <v>204</v>
      </c>
      <c r="D567" s="35">
        <v>3705.88</v>
      </c>
      <c r="E567" s="35">
        <v>3785.48</v>
      </c>
      <c r="F567" s="35">
        <v>3810.92</v>
      </c>
      <c r="G567" s="35">
        <v>3757.98</v>
      </c>
      <c r="H567" s="35">
        <v>3760.43</v>
      </c>
      <c r="I567" s="35">
        <v>3811.59</v>
      </c>
      <c r="J567" s="35">
        <v>3702.74</v>
      </c>
      <c r="K567" s="35">
        <v>3720.4</v>
      </c>
      <c r="L567" s="35">
        <v>3774.48</v>
      </c>
      <c r="M567" s="55"/>
      <c r="N567" s="55"/>
      <c r="O567" s="55"/>
      <c r="P567" s="55"/>
      <c r="Q567" s="47"/>
      <c r="R567" s="47"/>
      <c r="S567" s="47"/>
      <c r="T567" s="47"/>
      <c r="U567" s="47"/>
      <c r="V567" s="274"/>
      <c r="W567" s="47"/>
    </row>
    <row r="568" spans="1:31" ht="22.75" thickBot="1" x14ac:dyDescent="0.3">
      <c r="A568" s="49"/>
      <c r="B568" s="47"/>
      <c r="C568" s="50" t="s">
        <v>203</v>
      </c>
      <c r="D568" s="54">
        <f t="shared" ref="D568:L568" si="185">IF(((D566="")*AND(D567="")),"",(D566-D567)*3)</f>
        <v>7122.6899999999987</v>
      </c>
      <c r="E568" s="54">
        <f t="shared" si="185"/>
        <v>7356.18</v>
      </c>
      <c r="F568" s="54">
        <f t="shared" si="185"/>
        <v>7384.6799999999985</v>
      </c>
      <c r="G568" s="54">
        <f t="shared" si="185"/>
        <v>7285.5599999999995</v>
      </c>
      <c r="H568" s="54">
        <f t="shared" si="185"/>
        <v>6909.18</v>
      </c>
      <c r="I568" s="54">
        <f t="shared" si="185"/>
        <v>6690.0300000000007</v>
      </c>
      <c r="J568" s="54">
        <f t="shared" si="185"/>
        <v>7533.840000000002</v>
      </c>
      <c r="K568" s="54">
        <f t="shared" si="185"/>
        <v>7660.9500000000007</v>
      </c>
      <c r="L568" s="54">
        <f t="shared" si="185"/>
        <v>6641.9700000000012</v>
      </c>
      <c r="M568" s="54"/>
      <c r="N568" s="54"/>
      <c r="O568" s="54"/>
      <c r="P568" s="54" t="str">
        <f>IF(((P566="")*AND(P567="")),"",(P566-P567)*2)</f>
        <v/>
      </c>
      <c r="Q568" s="47"/>
      <c r="R568" s="47"/>
      <c r="S568" s="47"/>
      <c r="T568" s="47"/>
      <c r="U568" s="47"/>
      <c r="V568" s="274"/>
      <c r="W568" s="47"/>
    </row>
    <row r="569" spans="1:31" x14ac:dyDescent="0.25">
      <c r="A569" s="90">
        <v>43368</v>
      </c>
      <c r="B569" s="50" t="s">
        <v>206</v>
      </c>
      <c r="C569" s="50" t="s">
        <v>205</v>
      </c>
      <c r="D569" s="35">
        <v>6775.39</v>
      </c>
      <c r="E569" s="35">
        <v>6984</v>
      </c>
      <c r="F569" s="35">
        <v>6684.83</v>
      </c>
      <c r="G569" s="35">
        <v>6726.8</v>
      </c>
      <c r="H569" s="35">
        <v>6891.55</v>
      </c>
      <c r="I569" s="35">
        <v>6810.45</v>
      </c>
      <c r="J569" s="35">
        <v>6774.81</v>
      </c>
      <c r="K569" s="35">
        <v>6729.66</v>
      </c>
      <c r="L569" s="35">
        <v>6757.02</v>
      </c>
      <c r="M569" s="35">
        <v>6848.05</v>
      </c>
      <c r="N569" s="35">
        <v>7035.79</v>
      </c>
      <c r="O569" s="35">
        <v>6839.93</v>
      </c>
      <c r="P569" s="35">
        <v>6940.11</v>
      </c>
      <c r="Q569" s="50">
        <f>IF((L570=""),"",MAX(D571:P571))</f>
        <v>5528.1200000000008</v>
      </c>
      <c r="R569" s="50">
        <f>IF(L570="","",MIN(D571:L571))</f>
        <v>5377.380000000001</v>
      </c>
      <c r="S569" s="53">
        <f>IF((P571=""),"",AVERAGE(D571:P571))</f>
        <v>5451.6292307692302</v>
      </c>
      <c r="T569" s="52">
        <f>IF((L570=""),"",(Q569-R569)/(Q569+R569)*100)</f>
        <v>1.3822383201137018</v>
      </c>
      <c r="U569" s="50">
        <f>STDEV(D571:P571)</f>
        <v>51.154882865916427</v>
      </c>
      <c r="V569" s="273" t="str">
        <f>IF(P570="","",IF(T569&lt;2.7,IF(S569&gt;5150,IF(S569&lt;5600,"Pass","Fail"),"Fail"),"Fail"))</f>
        <v>Pass</v>
      </c>
      <c r="W569" s="50" t="s">
        <v>166</v>
      </c>
      <c r="Z569" s="71">
        <v>4470</v>
      </c>
      <c r="AA569" s="71">
        <v>6020</v>
      </c>
      <c r="AB569" s="71">
        <v>5150</v>
      </c>
      <c r="AC569" s="71">
        <v>5600</v>
      </c>
      <c r="AD569" s="70">
        <v>2.7</v>
      </c>
      <c r="AE569" s="69">
        <v>10</v>
      </c>
    </row>
    <row r="570" spans="1:31" x14ac:dyDescent="0.25">
      <c r="A570" s="89"/>
      <c r="B570" s="47"/>
      <c r="C570" s="47" t="s">
        <v>204</v>
      </c>
      <c r="D570" s="35">
        <v>4086.7</v>
      </c>
      <c r="E570" s="35">
        <v>4285.33</v>
      </c>
      <c r="F570" s="35">
        <v>3989.38</v>
      </c>
      <c r="G570" s="35">
        <v>3979.55</v>
      </c>
      <c r="H570" s="35">
        <v>4180.68</v>
      </c>
      <c r="I570" s="35">
        <v>4070.3</v>
      </c>
      <c r="J570" s="35">
        <v>4010.75</v>
      </c>
      <c r="K570" s="35">
        <v>3973.44</v>
      </c>
      <c r="L570" s="35">
        <v>4051.97</v>
      </c>
      <c r="M570" s="35">
        <v>4089.75</v>
      </c>
      <c r="N570" s="35">
        <v>4317.13</v>
      </c>
      <c r="O570" s="35">
        <v>4113.68</v>
      </c>
      <c r="P570" s="35">
        <v>4214.1400000000003</v>
      </c>
      <c r="Q570" s="47"/>
      <c r="R570" s="47"/>
      <c r="S570" s="47"/>
      <c r="T570" s="47"/>
      <c r="U570" s="47"/>
      <c r="V570" s="274"/>
      <c r="W570" s="47"/>
    </row>
    <row r="571" spans="1:31" ht="22.15" x14ac:dyDescent="0.25">
      <c r="A571" s="91"/>
      <c r="B571" s="80"/>
      <c r="C571" s="80" t="s">
        <v>203</v>
      </c>
      <c r="D571" s="86">
        <f t="shared" ref="D571:P571" si="186">IF(((D569="")*AND(D570="")),"",(D569-D570)*2)</f>
        <v>5377.380000000001</v>
      </c>
      <c r="E571" s="86">
        <f t="shared" si="186"/>
        <v>5397.34</v>
      </c>
      <c r="F571" s="86">
        <f t="shared" si="186"/>
        <v>5390.9</v>
      </c>
      <c r="G571" s="86">
        <f t="shared" si="186"/>
        <v>5494.5</v>
      </c>
      <c r="H571" s="86">
        <f t="shared" si="186"/>
        <v>5421.74</v>
      </c>
      <c r="I571" s="86">
        <f t="shared" si="186"/>
        <v>5480.2999999999993</v>
      </c>
      <c r="J571" s="86">
        <f t="shared" si="186"/>
        <v>5528.1200000000008</v>
      </c>
      <c r="K571" s="86">
        <f t="shared" si="186"/>
        <v>5512.44</v>
      </c>
      <c r="L571" s="86">
        <f t="shared" si="186"/>
        <v>5410.1000000000013</v>
      </c>
      <c r="M571" s="86">
        <f t="shared" si="186"/>
        <v>5516.6</v>
      </c>
      <c r="N571" s="86">
        <f t="shared" si="186"/>
        <v>5437.32</v>
      </c>
      <c r="O571" s="86">
        <f t="shared" si="186"/>
        <v>5452.5</v>
      </c>
      <c r="P571" s="86">
        <f t="shared" si="186"/>
        <v>5451.9399999999987</v>
      </c>
      <c r="Q571" s="80"/>
      <c r="R571" s="80"/>
      <c r="S571" s="80"/>
      <c r="T571" s="80"/>
      <c r="U571" s="80"/>
      <c r="V571" s="277"/>
      <c r="W571" s="80"/>
    </row>
    <row r="572" spans="1:31" x14ac:dyDescent="0.25">
      <c r="A572" s="90">
        <v>43378</v>
      </c>
      <c r="B572" s="50" t="s">
        <v>208</v>
      </c>
      <c r="C572" s="56" t="s">
        <v>205</v>
      </c>
      <c r="D572" s="35">
        <v>3705.88</v>
      </c>
      <c r="E572" s="35">
        <v>3785.48</v>
      </c>
      <c r="F572" s="35">
        <v>3810.92</v>
      </c>
      <c r="G572" s="35">
        <v>3757.98</v>
      </c>
      <c r="H572" s="35">
        <v>3760.43</v>
      </c>
      <c r="I572" s="35">
        <v>3811.59</v>
      </c>
      <c r="J572" s="35">
        <v>3702.74</v>
      </c>
      <c r="K572" s="35">
        <v>3720.4</v>
      </c>
      <c r="L572" s="35">
        <v>3774.48</v>
      </c>
      <c r="M572" s="55"/>
      <c r="N572" s="55"/>
      <c r="O572" s="55"/>
      <c r="P572" s="55"/>
      <c r="Q572" s="50">
        <f>IF((L573=""),"",MAX(D574:L574))</f>
        <v>8158.74</v>
      </c>
      <c r="R572" s="50">
        <f>IF(L573="","",MIN(D574:L574))</f>
        <v>6791.82</v>
      </c>
      <c r="S572" s="77">
        <f>IF((L574=""),"",AVERAGE(D574:L574))</f>
        <v>7058.9533333333338</v>
      </c>
      <c r="T572" s="52">
        <f>IF((L573=""),"",(Q572-R572)/(Q572+R572)*100)</f>
        <v>9.1429351141361934</v>
      </c>
      <c r="U572" s="50">
        <f>STDEV(D574:P574)</f>
        <v>422.57186447987749</v>
      </c>
      <c r="V572" s="273" t="str">
        <f>IF(L573="","",IF(T572&lt;9.8,IF(S572&gt;5100,IF(S572&lt;8300,"Pass","Fail"),"Fail"),"Fail"))</f>
        <v>Pass</v>
      </c>
      <c r="W572" s="47">
        <v>1340</v>
      </c>
      <c r="X572" s="38" t="s">
        <v>232</v>
      </c>
      <c r="Z572" s="37">
        <v>4955</v>
      </c>
      <c r="AA572" s="37">
        <v>9645</v>
      </c>
      <c r="AB572" s="37">
        <v>5100</v>
      </c>
      <c r="AC572" s="37">
        <v>8300</v>
      </c>
      <c r="AD572" s="69">
        <v>9.8000000000000007</v>
      </c>
      <c r="AE572" s="69">
        <v>10</v>
      </c>
    </row>
    <row r="573" spans="1:31" x14ac:dyDescent="0.25">
      <c r="A573" s="49"/>
      <c r="B573" s="47"/>
      <c r="C573" s="56" t="s">
        <v>204</v>
      </c>
      <c r="D573" s="35">
        <v>1372.2</v>
      </c>
      <c r="E573" s="35">
        <v>1521.54</v>
      </c>
      <c r="F573" s="35">
        <v>1520.07</v>
      </c>
      <c r="G573" s="35">
        <v>1038.4000000000001</v>
      </c>
      <c r="H573" s="35">
        <v>1441.04</v>
      </c>
      <c r="I573" s="35">
        <v>1533.12</v>
      </c>
      <c r="J573" s="35">
        <v>1411.56</v>
      </c>
      <c r="K573" s="35">
        <v>1354.75</v>
      </c>
      <c r="L573" s="35">
        <v>1460.36</v>
      </c>
      <c r="M573" s="55"/>
      <c r="N573" s="55"/>
      <c r="O573" s="55"/>
      <c r="P573" s="55"/>
      <c r="Q573" s="47"/>
      <c r="R573" s="47"/>
      <c r="S573" s="47"/>
      <c r="T573" s="47"/>
      <c r="U573" s="47"/>
      <c r="V573" s="274"/>
      <c r="W573" s="47"/>
    </row>
    <row r="574" spans="1:31" ht="22.75" thickBot="1" x14ac:dyDescent="0.3">
      <c r="A574" s="49"/>
      <c r="B574" s="47"/>
      <c r="C574" s="50" t="s">
        <v>203</v>
      </c>
      <c r="D574" s="54">
        <f t="shared" ref="D574:L574" si="187">IF(((D572="")*AND(D573="")),"",(D572-D573)*3)</f>
        <v>7001.0400000000009</v>
      </c>
      <c r="E574" s="54">
        <f t="shared" si="187"/>
        <v>6791.82</v>
      </c>
      <c r="F574" s="54">
        <f t="shared" si="187"/>
        <v>6872.5500000000011</v>
      </c>
      <c r="G574" s="54">
        <f t="shared" si="187"/>
        <v>8158.74</v>
      </c>
      <c r="H574" s="54">
        <f t="shared" si="187"/>
        <v>6958.17</v>
      </c>
      <c r="I574" s="54">
        <f t="shared" si="187"/>
        <v>6835.4100000000008</v>
      </c>
      <c r="J574" s="54">
        <f t="shared" si="187"/>
        <v>6873.5399999999991</v>
      </c>
      <c r="K574" s="54">
        <f t="shared" si="187"/>
        <v>7096.9500000000007</v>
      </c>
      <c r="L574" s="54">
        <f t="shared" si="187"/>
        <v>6942.36</v>
      </c>
      <c r="M574" s="54"/>
      <c r="N574" s="54"/>
      <c r="O574" s="54"/>
      <c r="P574" s="54" t="str">
        <f>IF(((P572="")*AND(P573="")),"",(P572-P573)*2)</f>
        <v/>
      </c>
      <c r="Q574" s="47"/>
      <c r="R574" s="47"/>
      <c r="S574" s="47"/>
      <c r="T574" s="47"/>
      <c r="U574" s="47"/>
      <c r="V574" s="274"/>
      <c r="W574" s="47"/>
    </row>
    <row r="575" spans="1:31" x14ac:dyDescent="0.25">
      <c r="A575" s="90">
        <v>43378</v>
      </c>
      <c r="B575" s="50" t="s">
        <v>206</v>
      </c>
      <c r="C575" s="50" t="s">
        <v>205</v>
      </c>
      <c r="D575" s="35">
        <v>4086.7</v>
      </c>
      <c r="E575" s="35">
        <v>4285.33</v>
      </c>
      <c r="F575" s="35">
        <v>3989.38</v>
      </c>
      <c r="G575" s="35">
        <v>3979.55</v>
      </c>
      <c r="H575" s="35">
        <v>4180.68</v>
      </c>
      <c r="I575" s="35">
        <v>4070.3</v>
      </c>
      <c r="J575" s="35">
        <v>4010.75</v>
      </c>
      <c r="K575" s="35">
        <v>3973.44</v>
      </c>
      <c r="L575" s="35">
        <v>4051.97</v>
      </c>
      <c r="M575" s="35">
        <v>4089.75</v>
      </c>
      <c r="N575" s="35">
        <v>4317.13</v>
      </c>
      <c r="O575" s="35">
        <v>4113.68</v>
      </c>
      <c r="P575" s="35">
        <v>4214.1400000000003</v>
      </c>
      <c r="Q575" s="50">
        <f>IF((L576=""),"",MAX(D577:P577))</f>
        <v>5605.04</v>
      </c>
      <c r="R575" s="50">
        <f>IF(L576="","",MIN(D577:L577))</f>
        <v>5440.94</v>
      </c>
      <c r="S575" s="53">
        <f>IF((P577=""),"",AVERAGE(D577:P577))</f>
        <v>5523.0492307692311</v>
      </c>
      <c r="T575" s="52">
        <f>IF((L576=""),"",(Q575-R575)/(Q575+R575)*100)</f>
        <v>1.4856083389613268</v>
      </c>
      <c r="U575" s="50">
        <f>STDEV(D577:P577)</f>
        <v>53.571745423238795</v>
      </c>
      <c r="V575" s="273" t="str">
        <f>IF(P576="","",IF(T575&lt;2.7,IF(S575&gt;5150,IF(S575&lt;5600,"Pass","Fail"),"Fail"),"Fail"))</f>
        <v>Pass</v>
      </c>
      <c r="W575" s="50" t="s">
        <v>166</v>
      </c>
      <c r="X575" s="38" t="s">
        <v>232</v>
      </c>
      <c r="Z575" s="71">
        <v>4470</v>
      </c>
      <c r="AA575" s="71">
        <v>6020</v>
      </c>
      <c r="AB575" s="71">
        <v>5150</v>
      </c>
      <c r="AC575" s="71">
        <v>5600</v>
      </c>
      <c r="AD575" s="70">
        <v>2.7</v>
      </c>
      <c r="AE575" s="69">
        <v>10</v>
      </c>
    </row>
    <row r="576" spans="1:31" x14ac:dyDescent="0.25">
      <c r="A576" s="89"/>
      <c r="B576" s="47"/>
      <c r="C576" s="47" t="s">
        <v>204</v>
      </c>
      <c r="D576" s="35">
        <v>1366.23</v>
      </c>
      <c r="E576" s="35">
        <v>1558.41</v>
      </c>
      <c r="F576" s="35">
        <v>1259.31</v>
      </c>
      <c r="G576" s="35">
        <v>1206.71</v>
      </c>
      <c r="H576" s="35">
        <v>1437.6</v>
      </c>
      <c r="I576" s="35">
        <v>1286.8</v>
      </c>
      <c r="J576" s="35">
        <v>1214.05</v>
      </c>
      <c r="K576" s="35">
        <v>1188.54</v>
      </c>
      <c r="L576" s="35">
        <v>1305.3599999999999</v>
      </c>
      <c r="M576" s="35">
        <v>1287.23</v>
      </c>
      <c r="N576" s="35">
        <v>1560.17</v>
      </c>
      <c r="O576" s="35">
        <v>1344.6</v>
      </c>
      <c r="P576" s="35">
        <v>1447.97</v>
      </c>
      <c r="Q576" s="47"/>
      <c r="R576" s="47"/>
      <c r="S576" s="47"/>
      <c r="T576" s="47"/>
      <c r="U576" s="47"/>
      <c r="V576" s="274"/>
      <c r="W576" s="47"/>
    </row>
    <row r="577" spans="1:31" ht="22.15" x14ac:dyDescent="0.25">
      <c r="A577" s="91"/>
      <c r="B577" s="80"/>
      <c r="C577" s="80" t="s">
        <v>203</v>
      </c>
      <c r="D577" s="86">
        <f t="shared" ref="D577:P577" si="188">IF(((D575="")*AND(D576="")),"",(D575-D576)*2)</f>
        <v>5440.94</v>
      </c>
      <c r="E577" s="86">
        <f t="shared" si="188"/>
        <v>5453.84</v>
      </c>
      <c r="F577" s="86">
        <f t="shared" si="188"/>
        <v>5460.14</v>
      </c>
      <c r="G577" s="86">
        <f t="shared" si="188"/>
        <v>5545.68</v>
      </c>
      <c r="H577" s="86">
        <f t="shared" si="188"/>
        <v>5486.1600000000008</v>
      </c>
      <c r="I577" s="86">
        <f t="shared" si="188"/>
        <v>5567</v>
      </c>
      <c r="J577" s="86">
        <f t="shared" si="188"/>
        <v>5593.4</v>
      </c>
      <c r="K577" s="86">
        <f t="shared" si="188"/>
        <v>5569.8</v>
      </c>
      <c r="L577" s="86">
        <f t="shared" si="188"/>
        <v>5493.2199999999993</v>
      </c>
      <c r="M577" s="86">
        <f t="shared" si="188"/>
        <v>5605.04</v>
      </c>
      <c r="N577" s="86">
        <f t="shared" si="188"/>
        <v>5513.92</v>
      </c>
      <c r="O577" s="86">
        <f t="shared" si="188"/>
        <v>5538.1600000000008</v>
      </c>
      <c r="P577" s="86">
        <f t="shared" si="188"/>
        <v>5532.34</v>
      </c>
      <c r="Q577" s="80"/>
      <c r="R577" s="80"/>
      <c r="S577" s="80"/>
      <c r="T577" s="80"/>
      <c r="U577" s="80"/>
      <c r="V577" s="277"/>
      <c r="W577" s="80"/>
    </row>
    <row r="578" spans="1:31" x14ac:dyDescent="0.25">
      <c r="A578" s="90">
        <v>43382</v>
      </c>
      <c r="B578" s="50" t="s">
        <v>208</v>
      </c>
      <c r="C578" s="56" t="s">
        <v>205</v>
      </c>
      <c r="D578" s="35">
        <v>5981.93</v>
      </c>
      <c r="E578" s="35">
        <v>6240.64</v>
      </c>
      <c r="F578" s="35">
        <v>6277.56</v>
      </c>
      <c r="G578" s="35">
        <v>6172</v>
      </c>
      <c r="H578" s="35">
        <v>6148.52</v>
      </c>
      <c r="I578" s="35">
        <v>6297.98</v>
      </c>
      <c r="J578" s="35">
        <v>6021.24</v>
      </c>
      <c r="K578" s="35">
        <v>6163.37</v>
      </c>
      <c r="L578" s="35">
        <v>6252.47</v>
      </c>
      <c r="M578" s="55"/>
      <c r="N578" s="55"/>
      <c r="O578" s="55"/>
      <c r="P578" s="55"/>
      <c r="Q578" s="50">
        <f>IF((L579=""),"",MAX(D580:L580))</f>
        <v>7787.2800000000007</v>
      </c>
      <c r="R578" s="50">
        <f>IF(L579="","",MIN(D580:L580))</f>
        <v>7281.42</v>
      </c>
      <c r="S578" s="77">
        <f>IF((L580=""),"",AVERAGE(D580:L580))</f>
        <v>7527.8666666666668</v>
      </c>
      <c r="T578" s="52">
        <f>IF((L579=""),"",(Q578-R578)/(Q578+R578)*100)</f>
        <v>3.3570248262955702</v>
      </c>
      <c r="U578" s="50">
        <f>STDEV(D580:P580)</f>
        <v>153.8900767593542</v>
      </c>
      <c r="V578" s="273" t="str">
        <f>IF(L579="","",IF(T578&lt;9.8,IF(S578&gt;5100,IF(S578&lt;8300,"Pass","Fail"),"Fail"),"Fail"))</f>
        <v>Pass</v>
      </c>
      <c r="W578" s="47">
        <v>1340</v>
      </c>
      <c r="Z578" s="37">
        <v>4955</v>
      </c>
      <c r="AA578" s="37">
        <v>9645</v>
      </c>
      <c r="AB578" s="37">
        <v>5100</v>
      </c>
      <c r="AC578" s="37">
        <v>8300</v>
      </c>
      <c r="AD578" s="69">
        <v>9.8000000000000007</v>
      </c>
      <c r="AE578" s="69">
        <v>10</v>
      </c>
    </row>
    <row r="579" spans="1:31" x14ac:dyDescent="0.25">
      <c r="A579" s="49"/>
      <c r="B579" s="47"/>
      <c r="C579" s="56" t="s">
        <v>204</v>
      </c>
      <c r="D579" s="35">
        <v>3386.17</v>
      </c>
      <c r="E579" s="35">
        <v>3728.7</v>
      </c>
      <c r="F579" s="35">
        <v>3743</v>
      </c>
      <c r="G579" s="35">
        <v>3663</v>
      </c>
      <c r="H579" s="35">
        <v>3691.97</v>
      </c>
      <c r="I579" s="35">
        <v>3747.76</v>
      </c>
      <c r="J579" s="35">
        <v>3594.1</v>
      </c>
      <c r="K579" s="35">
        <v>3691.72</v>
      </c>
      <c r="L579" s="35">
        <v>3725.69</v>
      </c>
      <c r="M579" s="55"/>
      <c r="N579" s="55"/>
      <c r="O579" s="55"/>
      <c r="P579" s="55"/>
      <c r="Q579" s="47"/>
      <c r="R579" s="47"/>
      <c r="S579" s="47"/>
      <c r="T579" s="47"/>
      <c r="U579" s="47"/>
      <c r="V579" s="274"/>
      <c r="W579" s="47"/>
    </row>
    <row r="580" spans="1:31" ht="22.75" thickBot="1" x14ac:dyDescent="0.3">
      <c r="A580" s="49"/>
      <c r="B580" s="47"/>
      <c r="C580" s="50" t="s">
        <v>203</v>
      </c>
      <c r="D580" s="54">
        <f t="shared" ref="D580:L580" si="189">IF(((D578="")*AND(D579="")),"",(D578-D579)*3)</f>
        <v>7787.2800000000007</v>
      </c>
      <c r="E580" s="54">
        <f t="shared" si="189"/>
        <v>7535.8200000000015</v>
      </c>
      <c r="F580" s="54">
        <f t="shared" si="189"/>
        <v>7603.6800000000012</v>
      </c>
      <c r="G580" s="54">
        <f t="shared" si="189"/>
        <v>7527</v>
      </c>
      <c r="H580" s="54">
        <f t="shared" si="189"/>
        <v>7369.6500000000015</v>
      </c>
      <c r="I580" s="54">
        <f t="shared" si="189"/>
        <v>7650.659999999998</v>
      </c>
      <c r="J580" s="54">
        <f t="shared" si="189"/>
        <v>7281.42</v>
      </c>
      <c r="K580" s="54">
        <f t="shared" si="189"/>
        <v>7414.9500000000007</v>
      </c>
      <c r="L580" s="54">
        <f t="shared" si="189"/>
        <v>7580.34</v>
      </c>
      <c r="M580" s="54"/>
      <c r="N580" s="54"/>
      <c r="O580" s="54"/>
      <c r="P580" s="54" t="str">
        <f>IF(((P578="")*AND(P579="")),"",(P578-P579)*2)</f>
        <v/>
      </c>
      <c r="Q580" s="47"/>
      <c r="R580" s="47"/>
      <c r="S580" s="47"/>
      <c r="T580" s="47"/>
      <c r="U580" s="47"/>
      <c r="V580" s="274"/>
      <c r="W580" s="47"/>
    </row>
    <row r="581" spans="1:31" x14ac:dyDescent="0.25">
      <c r="A581" s="90">
        <v>43382</v>
      </c>
      <c r="B581" s="50" t="s">
        <v>206</v>
      </c>
      <c r="C581" s="50" t="s">
        <v>205</v>
      </c>
      <c r="D581" s="35">
        <v>6892.36</v>
      </c>
      <c r="E581" s="35">
        <v>7102.94</v>
      </c>
      <c r="F581" s="35">
        <v>6801.25</v>
      </c>
      <c r="G581" s="35">
        <v>6843.73</v>
      </c>
      <c r="H581" s="35">
        <v>7021.43</v>
      </c>
      <c r="I581" s="35">
        <v>6932.91</v>
      </c>
      <c r="J581" s="35">
        <v>6892.21</v>
      </c>
      <c r="K581" s="35">
        <v>6845.61</v>
      </c>
      <c r="L581" s="35">
        <v>6872.38</v>
      </c>
      <c r="M581" s="35">
        <v>6966.64</v>
      </c>
      <c r="N581" s="35">
        <v>7155.97</v>
      </c>
      <c r="O581" s="35">
        <v>6954.82</v>
      </c>
      <c r="P581" s="35">
        <v>7058.02</v>
      </c>
      <c r="Q581" s="50">
        <f>IF((L582=""),"",MAX(D583:P583))</f>
        <v>5562.84</v>
      </c>
      <c r="R581" s="50">
        <f>IF(L582="","",MIN(D583:L583))</f>
        <v>5402.0399999999991</v>
      </c>
      <c r="S581" s="53">
        <f>IF((P583=""),"",AVERAGE(D583:P583))</f>
        <v>5484.1507692307696</v>
      </c>
      <c r="T581" s="52">
        <f>IF((L582=""),"",(Q581-R581)/(Q581+R581)*100)</f>
        <v>1.4665003173769444</v>
      </c>
      <c r="U581" s="50">
        <f>STDEV(D583:P583)</f>
        <v>55.534454539732778</v>
      </c>
      <c r="V581" s="273" t="str">
        <f>IF(P582="","",IF(T581&lt;2.7,IF(S581&gt;5150,IF(S581&lt;5600,"Pass","Fail"),"Fail"),"Fail"))</f>
        <v>Pass</v>
      </c>
      <c r="W581" s="50">
        <v>1340</v>
      </c>
      <c r="Z581" s="71">
        <v>4470</v>
      </c>
      <c r="AA581" s="71">
        <v>6020</v>
      </c>
      <c r="AB581" s="71">
        <v>5150</v>
      </c>
      <c r="AC581" s="71">
        <v>5600</v>
      </c>
      <c r="AD581" s="70">
        <v>2.7</v>
      </c>
      <c r="AE581" s="69">
        <v>10</v>
      </c>
    </row>
    <row r="582" spans="1:31" x14ac:dyDescent="0.25">
      <c r="A582" s="89"/>
      <c r="B582" s="47"/>
      <c r="C582" s="47" t="s">
        <v>204</v>
      </c>
      <c r="D582" s="35">
        <v>4191.34</v>
      </c>
      <c r="E582" s="35">
        <v>4394.95</v>
      </c>
      <c r="F582" s="35">
        <v>4087.77</v>
      </c>
      <c r="G582" s="35">
        <v>4079.53</v>
      </c>
      <c r="H582" s="35">
        <v>4301.26</v>
      </c>
      <c r="I582" s="35">
        <v>4176.8999999999996</v>
      </c>
      <c r="J582" s="35">
        <v>4117.32</v>
      </c>
      <c r="K582" s="35">
        <v>4066.3</v>
      </c>
      <c r="L582" s="35">
        <v>4147.51</v>
      </c>
      <c r="M582" s="35">
        <v>4185.22</v>
      </c>
      <c r="N582" s="35">
        <v>4423.1000000000004</v>
      </c>
      <c r="O582" s="35">
        <v>4207.22</v>
      </c>
      <c r="P582" s="35">
        <v>4314.87</v>
      </c>
      <c r="Q582" s="47"/>
      <c r="R582" s="47"/>
      <c r="S582" s="47"/>
      <c r="T582" s="47"/>
      <c r="U582" s="47"/>
      <c r="V582" s="274"/>
      <c r="W582" s="47"/>
    </row>
    <row r="583" spans="1:31" ht="22.15" x14ac:dyDescent="0.25">
      <c r="A583" s="91"/>
      <c r="B583" s="80"/>
      <c r="C583" s="80" t="s">
        <v>203</v>
      </c>
      <c r="D583" s="86">
        <f t="shared" ref="D583:P583" si="190">IF(((D581="")*AND(D582="")),"",(D581-D582)*2)</f>
        <v>5402.0399999999991</v>
      </c>
      <c r="E583" s="86">
        <f t="shared" si="190"/>
        <v>5415.98</v>
      </c>
      <c r="F583" s="86">
        <f t="shared" si="190"/>
        <v>5426.96</v>
      </c>
      <c r="G583" s="86">
        <f t="shared" si="190"/>
        <v>5528.3999999999987</v>
      </c>
      <c r="H583" s="86">
        <f t="shared" si="190"/>
        <v>5440.34</v>
      </c>
      <c r="I583" s="86">
        <f t="shared" si="190"/>
        <v>5512.02</v>
      </c>
      <c r="J583" s="86">
        <f t="shared" si="190"/>
        <v>5549.7800000000007</v>
      </c>
      <c r="K583" s="86">
        <f t="shared" si="190"/>
        <v>5558.619999999999</v>
      </c>
      <c r="L583" s="86">
        <f t="shared" si="190"/>
        <v>5449.74</v>
      </c>
      <c r="M583" s="86">
        <f t="shared" si="190"/>
        <v>5562.84</v>
      </c>
      <c r="N583" s="86">
        <f t="shared" si="190"/>
        <v>5465.74</v>
      </c>
      <c r="O583" s="86">
        <f t="shared" si="190"/>
        <v>5495.1999999999989</v>
      </c>
      <c r="P583" s="86">
        <f t="shared" si="190"/>
        <v>5486.3000000000011</v>
      </c>
      <c r="Q583" s="80"/>
      <c r="R583" s="80"/>
      <c r="S583" s="80"/>
      <c r="T583" s="80"/>
      <c r="U583" s="80"/>
      <c r="V583" s="277"/>
      <c r="W583" s="80"/>
    </row>
    <row r="584" spans="1:31" x14ac:dyDescent="0.25">
      <c r="A584" s="90">
        <v>43391</v>
      </c>
      <c r="B584" s="50" t="s">
        <v>208</v>
      </c>
      <c r="C584" s="56" t="s">
        <v>205</v>
      </c>
      <c r="D584" s="35">
        <v>5949.54</v>
      </c>
      <c r="E584" s="35">
        <v>6103.15</v>
      </c>
      <c r="F584" s="35">
        <v>6149.36</v>
      </c>
      <c r="G584" s="35">
        <v>6081.41</v>
      </c>
      <c r="H584" s="35">
        <v>5956.24</v>
      </c>
      <c r="I584" s="35">
        <v>5886.86</v>
      </c>
      <c r="J584" s="35">
        <v>6088.58</v>
      </c>
      <c r="K584" s="35">
        <v>6138.41</v>
      </c>
      <c r="L584" s="35">
        <v>5886.77</v>
      </c>
      <c r="M584" s="55"/>
      <c r="N584" s="55"/>
      <c r="O584" s="55"/>
      <c r="P584" s="55"/>
      <c r="Q584" s="50">
        <f>IF((L585=""),"",MAX(D586:L586))</f>
        <v>7355.61</v>
      </c>
      <c r="R584" s="50">
        <f>IF(L585="","",MIN(D586:L586))</f>
        <v>6310.23</v>
      </c>
      <c r="S584" s="77">
        <f>IF((L586=""),"",AVERAGE(D586:L586))</f>
        <v>6931.64</v>
      </c>
      <c r="T584" s="52">
        <f>IF((L585=""),"",(Q584-R584)/(Q584+R584)*100)</f>
        <v>7.6495846578036915</v>
      </c>
      <c r="U584" s="50">
        <f>STDEV(D586:P586)</f>
        <v>383.28162286365836</v>
      </c>
      <c r="V584" s="273" t="str">
        <f>IF(L585="","",IF(T584&lt;9.8,IF(S584&gt;5100,IF(S584&lt;8300,"Pass","Fail"),"Fail"),"Fail"))</f>
        <v>Pass</v>
      </c>
      <c r="W584" s="47">
        <v>1159</v>
      </c>
      <c r="Z584" s="37">
        <v>4955</v>
      </c>
      <c r="AA584" s="37">
        <v>9645</v>
      </c>
      <c r="AB584" s="37">
        <v>5100</v>
      </c>
      <c r="AC584" s="37">
        <v>8300</v>
      </c>
      <c r="AD584" s="69">
        <v>9.8000000000000007</v>
      </c>
      <c r="AE584" s="69">
        <v>10</v>
      </c>
    </row>
    <row r="585" spans="1:31" x14ac:dyDescent="0.25">
      <c r="A585" s="49"/>
      <c r="B585" s="47"/>
      <c r="C585" s="56" t="s">
        <v>204</v>
      </c>
      <c r="D585" s="35">
        <v>3627.8</v>
      </c>
      <c r="E585" s="35">
        <v>3751.58</v>
      </c>
      <c r="F585" s="35">
        <v>3781.57</v>
      </c>
      <c r="G585" s="35">
        <v>3679.65</v>
      </c>
      <c r="H585" s="35">
        <v>3731.88</v>
      </c>
      <c r="I585" s="35">
        <v>3783.45</v>
      </c>
      <c r="J585" s="35">
        <v>3651.23</v>
      </c>
      <c r="K585" s="35">
        <v>3686.54</v>
      </c>
      <c r="L585" s="35">
        <v>3751.7</v>
      </c>
      <c r="M585" s="55"/>
      <c r="N585" s="55"/>
      <c r="O585" s="55"/>
      <c r="P585" s="55"/>
      <c r="Q585" s="47"/>
      <c r="R585" s="47"/>
      <c r="S585" s="47"/>
      <c r="T585" s="47"/>
      <c r="U585" s="47"/>
      <c r="V585" s="274"/>
      <c r="W585" s="47"/>
    </row>
    <row r="586" spans="1:31" ht="22.75" thickBot="1" x14ac:dyDescent="0.3">
      <c r="A586" s="49"/>
      <c r="B586" s="47"/>
      <c r="C586" s="50" t="s">
        <v>203</v>
      </c>
      <c r="D586" s="54">
        <f t="shared" ref="D586:L586" si="191">IF(((D584="")*AND(D585="")),"",(D584-D585)*3)</f>
        <v>6965.2199999999993</v>
      </c>
      <c r="E586" s="54">
        <f t="shared" si="191"/>
        <v>7054.7099999999991</v>
      </c>
      <c r="F586" s="54">
        <f t="shared" si="191"/>
        <v>7103.369999999999</v>
      </c>
      <c r="G586" s="54">
        <f t="shared" si="191"/>
        <v>7205.2799999999988</v>
      </c>
      <c r="H586" s="54">
        <f t="shared" si="191"/>
        <v>6673.079999999999</v>
      </c>
      <c r="I586" s="54">
        <f t="shared" si="191"/>
        <v>6310.23</v>
      </c>
      <c r="J586" s="54">
        <f t="shared" si="191"/>
        <v>7312.0499999999993</v>
      </c>
      <c r="K586" s="54">
        <f t="shared" si="191"/>
        <v>7355.61</v>
      </c>
      <c r="L586" s="54">
        <f t="shared" si="191"/>
        <v>6405.2100000000019</v>
      </c>
      <c r="M586" s="54"/>
      <c r="N586" s="54"/>
      <c r="O586" s="54"/>
      <c r="P586" s="54" t="str">
        <f>IF(((P584="")*AND(P585="")),"",(P584-P585)*2)</f>
        <v/>
      </c>
      <c r="Q586" s="47"/>
      <c r="R586" s="47"/>
      <c r="S586" s="47"/>
      <c r="T586" s="47"/>
      <c r="U586" s="47"/>
      <c r="V586" s="274"/>
      <c r="W586" s="47"/>
    </row>
    <row r="587" spans="1:31" x14ac:dyDescent="0.25">
      <c r="A587" s="90">
        <v>43391</v>
      </c>
      <c r="B587" s="50" t="s">
        <v>206</v>
      </c>
      <c r="C587" s="50" t="s">
        <v>205</v>
      </c>
      <c r="D587" s="35">
        <v>6761.93</v>
      </c>
      <c r="E587" s="35">
        <v>6967.16</v>
      </c>
      <c r="F587" s="35">
        <v>6680.38</v>
      </c>
      <c r="G587" s="35">
        <v>6734.24</v>
      </c>
      <c r="H587" s="35">
        <v>6868.13</v>
      </c>
      <c r="I587" s="35">
        <v>6800.83</v>
      </c>
      <c r="J587" s="35">
        <v>6786.86</v>
      </c>
      <c r="K587" s="35">
        <v>6744.83</v>
      </c>
      <c r="L587" s="35">
        <v>6757.45</v>
      </c>
      <c r="M587" s="35">
        <v>6858.24</v>
      </c>
      <c r="N587" s="35">
        <v>7021.47</v>
      </c>
      <c r="O587" s="35">
        <v>6838.99</v>
      </c>
      <c r="P587" s="35">
        <v>6927.05</v>
      </c>
      <c r="Q587" s="50">
        <f>IF((L588=""),"",MAX(D589:P589))</f>
        <v>5495.0599999999995</v>
      </c>
      <c r="R587" s="50">
        <f>IF(L588="","",MIN(D589:L589))</f>
        <v>5360.6200000000008</v>
      </c>
      <c r="S587" s="53">
        <f>IF((P589=""),"",AVERAGE(D589:P589))</f>
        <v>5425.043076923077</v>
      </c>
      <c r="T587" s="52">
        <f>IF((L588=""),"",(Q587-R587)/(Q587+R587)*100)</f>
        <v>1.238430020044794</v>
      </c>
      <c r="U587" s="50">
        <f>STDEV(D589:P589)</f>
        <v>47.513108960337505</v>
      </c>
      <c r="V587" s="273" t="str">
        <f>IF(P588="","",IF(T587&lt;2.7,IF(S587&gt;5150,IF(S587&lt;5600,"Pass","Fail"),"Fail"),"Fail"))</f>
        <v>Pass</v>
      </c>
      <c r="W587" s="50">
        <v>1159</v>
      </c>
      <c r="Z587" s="71">
        <v>4470</v>
      </c>
      <c r="AA587" s="71">
        <v>6020</v>
      </c>
      <c r="AB587" s="71">
        <v>5150</v>
      </c>
      <c r="AC587" s="71">
        <v>5600</v>
      </c>
      <c r="AD587" s="70">
        <v>2.7</v>
      </c>
      <c r="AE587" s="69">
        <v>10</v>
      </c>
    </row>
    <row r="588" spans="1:31" x14ac:dyDescent="0.25">
      <c r="A588" s="89"/>
      <c r="B588" s="47"/>
      <c r="C588" s="47" t="s">
        <v>204</v>
      </c>
      <c r="D588" s="35">
        <v>4081.62</v>
      </c>
      <c r="E588" s="35">
        <v>4279.43</v>
      </c>
      <c r="F588" s="35">
        <v>3995.73</v>
      </c>
      <c r="G588" s="35">
        <v>4001.81</v>
      </c>
      <c r="H588" s="35">
        <v>4171.2299999999996</v>
      </c>
      <c r="I588" s="35">
        <v>4073.76</v>
      </c>
      <c r="J588" s="35">
        <v>4039.33</v>
      </c>
      <c r="K588" s="35">
        <v>4002.68</v>
      </c>
      <c r="L588" s="35">
        <v>4064.84</v>
      </c>
      <c r="M588" s="35">
        <v>4115.17</v>
      </c>
      <c r="N588" s="35">
        <v>4316.47</v>
      </c>
      <c r="O588" s="35">
        <v>4126.96</v>
      </c>
      <c r="P588" s="35">
        <v>4215.75</v>
      </c>
      <c r="Q588" s="47"/>
      <c r="R588" s="47"/>
      <c r="S588" s="47"/>
      <c r="T588" s="47"/>
      <c r="U588" s="47"/>
      <c r="V588" s="274"/>
      <c r="W588" s="47"/>
    </row>
    <row r="589" spans="1:31" ht="22.15" x14ac:dyDescent="0.25">
      <c r="A589" s="91"/>
      <c r="B589" s="80"/>
      <c r="C589" s="80" t="s">
        <v>203</v>
      </c>
      <c r="D589" s="86">
        <f t="shared" ref="D589:P589" si="192">IF(((D587="")*AND(D588="")),"",(D587-D588)*2)</f>
        <v>5360.6200000000008</v>
      </c>
      <c r="E589" s="86">
        <f t="shared" si="192"/>
        <v>5375.4599999999991</v>
      </c>
      <c r="F589" s="86">
        <f t="shared" si="192"/>
        <v>5369.3</v>
      </c>
      <c r="G589" s="86">
        <f t="shared" si="192"/>
        <v>5464.86</v>
      </c>
      <c r="H589" s="86">
        <f t="shared" si="192"/>
        <v>5393.8000000000011</v>
      </c>
      <c r="I589" s="86">
        <f t="shared" si="192"/>
        <v>5454.1399999999994</v>
      </c>
      <c r="J589" s="86">
        <f t="shared" si="192"/>
        <v>5495.0599999999995</v>
      </c>
      <c r="K589" s="86">
        <f t="shared" si="192"/>
        <v>5484.3</v>
      </c>
      <c r="L589" s="86">
        <f t="shared" si="192"/>
        <v>5385.2199999999993</v>
      </c>
      <c r="M589" s="86">
        <f t="shared" si="192"/>
        <v>5486.1399999999994</v>
      </c>
      <c r="N589" s="86">
        <f t="shared" si="192"/>
        <v>5410</v>
      </c>
      <c r="O589" s="86">
        <f t="shared" si="192"/>
        <v>5424.0599999999995</v>
      </c>
      <c r="P589" s="86">
        <f t="shared" si="192"/>
        <v>5422.6</v>
      </c>
      <c r="Q589" s="80"/>
      <c r="R589" s="80"/>
      <c r="S589" s="80"/>
      <c r="T589" s="80"/>
      <c r="U589" s="80"/>
      <c r="V589" s="277"/>
      <c r="W589" s="80"/>
    </row>
    <row r="590" spans="1:31" x14ac:dyDescent="0.25">
      <c r="A590" s="90">
        <v>43396</v>
      </c>
      <c r="B590" s="50" t="s">
        <v>208</v>
      </c>
      <c r="C590" s="56" t="s">
        <v>205</v>
      </c>
      <c r="D590" s="35">
        <v>5849.95</v>
      </c>
      <c r="E590" s="35">
        <v>6104.21</v>
      </c>
      <c r="F590" s="35">
        <v>6181.15</v>
      </c>
      <c r="G590" s="35">
        <v>5876.35</v>
      </c>
      <c r="H590" s="35">
        <v>6100.36</v>
      </c>
      <c r="I590" s="35">
        <v>6152.96</v>
      </c>
      <c r="J590" s="35">
        <v>5945.47</v>
      </c>
      <c r="K590" s="35">
        <v>6045.29</v>
      </c>
      <c r="L590" s="35">
        <v>6193.35</v>
      </c>
      <c r="M590" s="55"/>
      <c r="N590" s="55"/>
      <c r="O590" s="55"/>
      <c r="P590" s="55"/>
      <c r="Q590" s="50">
        <f>IF((L591=""),"",MAX(D592:L592))</f>
        <v>7234.4699999999993</v>
      </c>
      <c r="R590" s="50">
        <f>IF(L591="","",MIN(D592:L592))</f>
        <v>6054.510000000002</v>
      </c>
      <c r="S590" s="77">
        <f>IF((L592=""),"",AVERAGE(D592:L592))</f>
        <v>6876.83</v>
      </c>
      <c r="T590" s="52">
        <f>IF((L591=""),"",(Q590-R590)/(Q590+R590)*100)</f>
        <v>8.8792367811524837</v>
      </c>
      <c r="U590" s="50">
        <f>STDEV(D592:P592)</f>
        <v>336.19412294089778</v>
      </c>
      <c r="V590" s="273" t="str">
        <f>IF(L591="","",IF(T590&lt;9.8,IF(S590&gt;5100,IF(S590&lt;8300,"Pass","Fail"),"Fail"),"Fail"))</f>
        <v>Pass</v>
      </c>
      <c r="W590" s="47">
        <v>1159</v>
      </c>
      <c r="X590" s="38" t="s">
        <v>231</v>
      </c>
      <c r="Z590" s="37">
        <v>4955</v>
      </c>
      <c r="AA590" s="37">
        <v>9645</v>
      </c>
      <c r="AB590" s="37">
        <v>5100</v>
      </c>
      <c r="AC590" s="37">
        <v>8300</v>
      </c>
      <c r="AD590" s="69">
        <v>9.8000000000000007</v>
      </c>
      <c r="AE590" s="69">
        <v>10</v>
      </c>
    </row>
    <row r="591" spans="1:31" x14ac:dyDescent="0.25">
      <c r="A591" s="49"/>
      <c r="B591" s="47"/>
      <c r="C591" s="56" t="s">
        <v>204</v>
      </c>
      <c r="D591" s="35">
        <v>3438.46</v>
      </c>
      <c r="E591" s="35">
        <v>3801.75</v>
      </c>
      <c r="F591" s="35">
        <v>3832.46</v>
      </c>
      <c r="G591" s="35">
        <v>3858.18</v>
      </c>
      <c r="H591" s="35">
        <v>3802.28</v>
      </c>
      <c r="I591" s="35">
        <v>3821.48</v>
      </c>
      <c r="J591" s="35">
        <v>3690.72</v>
      </c>
      <c r="K591" s="35">
        <v>3740.81</v>
      </c>
      <c r="L591" s="35">
        <v>3832.46</v>
      </c>
      <c r="M591" s="55"/>
      <c r="N591" s="55"/>
      <c r="O591" s="55"/>
      <c r="P591" s="55"/>
      <c r="Q591" s="47"/>
      <c r="R591" s="47"/>
      <c r="S591" s="47"/>
      <c r="T591" s="47"/>
      <c r="U591" s="47"/>
      <c r="V591" s="274"/>
      <c r="W591" s="47"/>
    </row>
    <row r="592" spans="1:31" ht="22.75" thickBot="1" x14ac:dyDescent="0.3">
      <c r="A592" s="49"/>
      <c r="B592" s="47"/>
      <c r="C592" s="50" t="s">
        <v>203</v>
      </c>
      <c r="D592" s="54">
        <f t="shared" ref="D592:L592" si="193">IF(((D590="")*AND(D591="")),"",(D590-D591)*3)</f>
        <v>7234.4699999999993</v>
      </c>
      <c r="E592" s="54">
        <f t="shared" si="193"/>
        <v>6907.38</v>
      </c>
      <c r="F592" s="54">
        <f t="shared" si="193"/>
        <v>7046.0699999999988</v>
      </c>
      <c r="G592" s="54">
        <f t="shared" si="193"/>
        <v>6054.510000000002</v>
      </c>
      <c r="H592" s="54">
        <f t="shared" si="193"/>
        <v>6894.239999999998</v>
      </c>
      <c r="I592" s="54">
        <f t="shared" si="193"/>
        <v>6994.4400000000005</v>
      </c>
      <c r="J592" s="54">
        <f t="shared" si="193"/>
        <v>6764.2500000000018</v>
      </c>
      <c r="K592" s="54">
        <f t="shared" si="193"/>
        <v>6913.4400000000005</v>
      </c>
      <c r="L592" s="54">
        <f t="shared" si="193"/>
        <v>7082.670000000001</v>
      </c>
      <c r="M592" s="54"/>
      <c r="N592" s="54"/>
      <c r="O592" s="54"/>
      <c r="P592" s="54" t="str">
        <f>IF(((P590="")*AND(P591="")),"",(P590-P591)*2)</f>
        <v/>
      </c>
      <c r="Q592" s="47"/>
      <c r="R592" s="47"/>
      <c r="S592" s="47"/>
      <c r="T592" s="47"/>
      <c r="U592" s="47"/>
      <c r="V592" s="274"/>
      <c r="W592" s="47"/>
    </row>
    <row r="593" spans="1:31" x14ac:dyDescent="0.25">
      <c r="A593" s="90">
        <v>43396</v>
      </c>
      <c r="B593" s="50" t="s">
        <v>206</v>
      </c>
      <c r="C593" s="50" t="s">
        <v>205</v>
      </c>
      <c r="D593" s="35">
        <v>4088.56</v>
      </c>
      <c r="E593" s="35">
        <v>4288.32</v>
      </c>
      <c r="F593" s="35">
        <v>4001.96</v>
      </c>
      <c r="G593" s="35">
        <v>4007.82</v>
      </c>
      <c r="H593" s="35">
        <v>4180.08</v>
      </c>
      <c r="I593" s="35">
        <v>4080.83</v>
      </c>
      <c r="J593" s="35">
        <v>4045.48</v>
      </c>
      <c r="K593" s="35">
        <v>4008.7</v>
      </c>
      <c r="L593" s="35">
        <v>4071.32</v>
      </c>
      <c r="M593" s="35">
        <v>4121.88</v>
      </c>
      <c r="N593" s="35">
        <v>4325.54</v>
      </c>
      <c r="O593" s="35">
        <v>4133.74</v>
      </c>
      <c r="P593" s="35">
        <v>4223.62</v>
      </c>
      <c r="Q593" s="50">
        <f>IF((L594=""),"",MAX(D595:P595))</f>
        <v>5541.2800000000007</v>
      </c>
      <c r="R593" s="50">
        <f>IF(L594="","",MIN(D595:L595))</f>
        <v>5401.74</v>
      </c>
      <c r="S593" s="53">
        <f>IF((P595=""),"",AVERAGE(D595:P595))</f>
        <v>5465.2415384615388</v>
      </c>
      <c r="T593" s="52">
        <f>IF((L594=""),"",(Q593-R593)/(Q593+R593)*100)</f>
        <v>1.2751507353545994</v>
      </c>
      <c r="U593" s="50">
        <f>STDEV(D595:P595)</f>
        <v>48.513614901069218</v>
      </c>
      <c r="V593" s="273" t="str">
        <f>IF(P594="","",IF(T593&lt;2.7,IF(S593&gt;5150,IF(S593&lt;5600,"Pass","Fail"),"Fail"),"Fail"))</f>
        <v>Pass</v>
      </c>
      <c r="W593" s="50">
        <v>1159</v>
      </c>
      <c r="X593" s="38" t="s">
        <v>231</v>
      </c>
      <c r="Z593" s="71">
        <v>4470</v>
      </c>
      <c r="AA593" s="71">
        <v>6020</v>
      </c>
      <c r="AB593" s="71">
        <v>5150</v>
      </c>
      <c r="AC593" s="71">
        <v>5600</v>
      </c>
      <c r="AD593" s="70">
        <v>2.7</v>
      </c>
      <c r="AE593" s="69">
        <v>10</v>
      </c>
    </row>
    <row r="594" spans="1:31" x14ac:dyDescent="0.25">
      <c r="A594" s="89"/>
      <c r="B594" s="47"/>
      <c r="C594" s="47" t="s">
        <v>204</v>
      </c>
      <c r="D594" s="35">
        <v>1387.69</v>
      </c>
      <c r="E594" s="35">
        <v>1581.52</v>
      </c>
      <c r="F594" s="35">
        <v>1294.98</v>
      </c>
      <c r="G594" s="35">
        <v>1255.3900000000001</v>
      </c>
      <c r="H594" s="35">
        <v>1465.23</v>
      </c>
      <c r="I594" s="35">
        <v>1327.93</v>
      </c>
      <c r="J594" s="35">
        <v>1274.8399999999999</v>
      </c>
      <c r="K594" s="35">
        <v>1246.83</v>
      </c>
      <c r="L594" s="35">
        <v>1358.28</v>
      </c>
      <c r="M594" s="35">
        <v>1360.63</v>
      </c>
      <c r="N594" s="35">
        <v>1602.08</v>
      </c>
      <c r="O594" s="35">
        <v>1403.4</v>
      </c>
      <c r="P594" s="35">
        <v>1494.98</v>
      </c>
      <c r="Q594" s="47"/>
      <c r="R594" s="47"/>
      <c r="S594" s="47"/>
      <c r="T594" s="47"/>
      <c r="U594" s="47"/>
      <c r="V594" s="274"/>
      <c r="W594" s="47"/>
    </row>
    <row r="595" spans="1:31" ht="22.15" x14ac:dyDescent="0.25">
      <c r="A595" s="91"/>
      <c r="B595" s="80"/>
      <c r="C595" s="80" t="s">
        <v>203</v>
      </c>
      <c r="D595" s="86">
        <f t="shared" ref="D595:P595" si="194">IF(((D593="")*AND(D594="")),"",(D593-D594)*2)</f>
        <v>5401.74</v>
      </c>
      <c r="E595" s="86">
        <f t="shared" si="194"/>
        <v>5413.5999999999995</v>
      </c>
      <c r="F595" s="86">
        <f t="shared" si="194"/>
        <v>5413.96</v>
      </c>
      <c r="G595" s="86">
        <f t="shared" si="194"/>
        <v>5504.8600000000006</v>
      </c>
      <c r="H595" s="86">
        <f t="shared" si="194"/>
        <v>5429.7</v>
      </c>
      <c r="I595" s="86">
        <f t="shared" si="194"/>
        <v>5505.7999999999993</v>
      </c>
      <c r="J595" s="86">
        <f t="shared" si="194"/>
        <v>5541.2800000000007</v>
      </c>
      <c r="K595" s="86">
        <f t="shared" si="194"/>
        <v>5523.74</v>
      </c>
      <c r="L595" s="86">
        <f t="shared" si="194"/>
        <v>5426.08</v>
      </c>
      <c r="M595" s="86">
        <f t="shared" si="194"/>
        <v>5522.5</v>
      </c>
      <c r="N595" s="86">
        <f t="shared" si="194"/>
        <v>5446.92</v>
      </c>
      <c r="O595" s="86">
        <f t="shared" si="194"/>
        <v>5460.6799999999994</v>
      </c>
      <c r="P595" s="86">
        <f t="shared" si="194"/>
        <v>5457.28</v>
      </c>
      <c r="Q595" s="80"/>
      <c r="R595" s="80"/>
      <c r="S595" s="80"/>
      <c r="T595" s="80"/>
      <c r="U595" s="80"/>
      <c r="V595" s="277"/>
      <c r="W595" s="80"/>
    </row>
    <row r="596" spans="1:31" x14ac:dyDescent="0.25">
      <c r="A596" s="90">
        <v>43403</v>
      </c>
      <c r="B596" s="50" t="s">
        <v>208</v>
      </c>
      <c r="C596" s="56" t="s">
        <v>205</v>
      </c>
      <c r="D596" s="35">
        <v>3623.41</v>
      </c>
      <c r="E596" s="35">
        <v>3741.34</v>
      </c>
      <c r="F596" s="35">
        <v>3772.61</v>
      </c>
      <c r="G596" s="35">
        <v>3646.73</v>
      </c>
      <c r="H596" s="35">
        <v>3723.53</v>
      </c>
      <c r="I596" s="35">
        <v>3769.49</v>
      </c>
      <c r="J596" s="35">
        <v>3646.73</v>
      </c>
      <c r="K596" s="35">
        <v>3680.63</v>
      </c>
      <c r="L596" s="35">
        <v>3741.49</v>
      </c>
      <c r="M596" s="55"/>
      <c r="N596" s="55"/>
      <c r="O596" s="55"/>
      <c r="P596" s="55"/>
      <c r="Q596" s="50">
        <f>IF((L597=""),"",MAX(D598:L598))</f>
        <v>7872.8399999999992</v>
      </c>
      <c r="R596" s="50">
        <f>IF(L597="","",MIN(D598:L598))</f>
        <v>6522.48</v>
      </c>
      <c r="S596" s="77">
        <f>IF((L598=""),"",AVERAGE(D598:L598))</f>
        <v>6828.68</v>
      </c>
      <c r="T596" s="52">
        <f>IF((L597=""),"",(Q596-R596)/(Q596+R596)*100)</f>
        <v>9.3805486783204515</v>
      </c>
      <c r="U596" s="50">
        <f>STDEV(D598:P598)</f>
        <v>428.47099989380831</v>
      </c>
      <c r="V596" s="273" t="str">
        <f>IF(L597="","",IF(T596&lt;9.8,IF(S596&gt;5100,IF(S596&lt;8300,"Pass","Fail"),"Fail"),"Fail"))</f>
        <v>Pass</v>
      </c>
      <c r="W596" s="47">
        <v>1335</v>
      </c>
      <c r="X596" s="38" t="s">
        <v>230</v>
      </c>
      <c r="Z596" s="37">
        <v>4955</v>
      </c>
      <c r="AA596" s="37">
        <v>9645</v>
      </c>
      <c r="AB596" s="37">
        <v>5100</v>
      </c>
      <c r="AC596" s="37">
        <v>8300</v>
      </c>
      <c r="AD596" s="69">
        <v>9.8000000000000007</v>
      </c>
      <c r="AE596" s="69">
        <v>10</v>
      </c>
    </row>
    <row r="597" spans="1:31" x14ac:dyDescent="0.25">
      <c r="A597" s="49"/>
      <c r="B597" s="47"/>
      <c r="C597" s="56" t="s">
        <v>204</v>
      </c>
      <c r="D597" s="35">
        <v>1262.69</v>
      </c>
      <c r="E597" s="35">
        <v>1552.05</v>
      </c>
      <c r="F597" s="35">
        <v>1585.69</v>
      </c>
      <c r="G597" s="35">
        <v>1022.45</v>
      </c>
      <c r="H597" s="35">
        <v>1503.7</v>
      </c>
      <c r="I597" s="35">
        <v>1595.33</v>
      </c>
      <c r="J597" s="35">
        <v>1397.53</v>
      </c>
      <c r="K597" s="35">
        <v>1404.18</v>
      </c>
      <c r="L597" s="35">
        <v>1536.3</v>
      </c>
      <c r="M597" s="55"/>
      <c r="N597" s="55"/>
      <c r="O597" s="55"/>
      <c r="P597" s="55"/>
      <c r="Q597" s="47"/>
      <c r="R597" s="47"/>
      <c r="S597" s="47"/>
      <c r="T597" s="47"/>
      <c r="U597" s="47"/>
      <c r="V597" s="274"/>
      <c r="W597" s="47"/>
    </row>
    <row r="598" spans="1:31" ht="22.75" thickBot="1" x14ac:dyDescent="0.3">
      <c r="A598" s="49"/>
      <c r="B598" s="47"/>
      <c r="C598" s="50" t="s">
        <v>203</v>
      </c>
      <c r="D598" s="54">
        <f t="shared" ref="D598:L598" si="195">IF(((D596="")*AND(D597="")),"",(D596-D597)*3)</f>
        <v>7082.16</v>
      </c>
      <c r="E598" s="54">
        <f t="shared" si="195"/>
        <v>6567.87</v>
      </c>
      <c r="F598" s="54">
        <f t="shared" si="195"/>
        <v>6560.76</v>
      </c>
      <c r="G598" s="54">
        <f t="shared" si="195"/>
        <v>7872.8399999999992</v>
      </c>
      <c r="H598" s="54">
        <f t="shared" si="195"/>
        <v>6659.49</v>
      </c>
      <c r="I598" s="54">
        <f t="shared" si="195"/>
        <v>6522.48</v>
      </c>
      <c r="J598" s="54">
        <f t="shared" si="195"/>
        <v>6747.5999999999995</v>
      </c>
      <c r="K598" s="54">
        <f t="shared" si="195"/>
        <v>6829.3499999999995</v>
      </c>
      <c r="L598" s="54">
        <f t="shared" si="195"/>
        <v>6615.5699999999988</v>
      </c>
      <c r="M598" s="54"/>
      <c r="N598" s="54"/>
      <c r="O598" s="54"/>
      <c r="P598" s="54" t="str">
        <f>IF(((P596="")*AND(P597="")),"",(P596-P597)*2)</f>
        <v/>
      </c>
      <c r="Q598" s="47"/>
      <c r="R598" s="47"/>
      <c r="S598" s="47"/>
      <c r="T598" s="47"/>
      <c r="U598" s="47"/>
      <c r="V598" s="274"/>
      <c r="W598" s="47"/>
    </row>
    <row r="599" spans="1:31" x14ac:dyDescent="0.25">
      <c r="A599" s="90">
        <v>43403</v>
      </c>
      <c r="B599" s="50" t="s">
        <v>206</v>
      </c>
      <c r="C599" s="50" t="s">
        <v>205</v>
      </c>
      <c r="D599" s="35">
        <v>6532.79</v>
      </c>
      <c r="E599" s="35">
        <v>6629.23</v>
      </c>
      <c r="F599" s="35">
        <v>6559.08</v>
      </c>
      <c r="G599" s="35">
        <v>6602.02</v>
      </c>
      <c r="H599" s="35">
        <v>6454.43</v>
      </c>
      <c r="I599" s="35">
        <v>6551.79</v>
      </c>
      <c r="J599" s="35">
        <v>6618.97</v>
      </c>
      <c r="K599" s="35">
        <v>6547.09</v>
      </c>
      <c r="L599" s="35">
        <v>6588.73</v>
      </c>
      <c r="M599" s="35">
        <v>6622.17</v>
      </c>
      <c r="N599" s="35">
        <v>6675.37</v>
      </c>
      <c r="O599" s="35">
        <v>6592.62</v>
      </c>
      <c r="P599" s="35">
        <v>6479.62</v>
      </c>
      <c r="Q599" s="50">
        <f>IF((L600=""),"",MAX(D601:P601))</f>
        <v>5371.24</v>
      </c>
      <c r="R599" s="50">
        <f>IF(L600="","",MIN(D601:L601))</f>
        <v>5267.0599999999995</v>
      </c>
      <c r="S599" s="53">
        <f>IF((P601=""),"",AVERAGE(D601:P601))</f>
        <v>5330.9461538461528</v>
      </c>
      <c r="T599" s="52">
        <f>IF((L600=""),"",(Q599-R599)/(Q599+R599)*100)</f>
        <v>0.97929180414164196</v>
      </c>
      <c r="U599" s="50">
        <f>STDEV(D601:P601)</f>
        <v>36.429130637092804</v>
      </c>
      <c r="V599" s="273" t="str">
        <f>IF(P600="","",IF(T599&lt;2.7,IF(S599&gt;5150,IF(S599&lt;5600,"Pass","Fail"),"Fail"),"Fail"))</f>
        <v>Pass</v>
      </c>
      <c r="W599" s="50">
        <v>1335</v>
      </c>
      <c r="X599" s="38" t="s">
        <v>230</v>
      </c>
      <c r="Z599" s="71">
        <v>4470</v>
      </c>
      <c r="AA599" s="71">
        <v>6020</v>
      </c>
      <c r="AB599" s="71">
        <v>5150</v>
      </c>
      <c r="AC599" s="71">
        <v>5600</v>
      </c>
      <c r="AD599" s="70">
        <v>2.7</v>
      </c>
      <c r="AE599" s="69">
        <v>10</v>
      </c>
    </row>
    <row r="600" spans="1:31" x14ac:dyDescent="0.25">
      <c r="A600" s="89"/>
      <c r="B600" s="47"/>
      <c r="C600" s="47" t="s">
        <v>204</v>
      </c>
      <c r="D600" s="35">
        <v>3895.44</v>
      </c>
      <c r="E600" s="35">
        <v>3963.04</v>
      </c>
      <c r="F600" s="35">
        <v>3925.55</v>
      </c>
      <c r="G600" s="35">
        <v>3937.56</v>
      </c>
      <c r="H600" s="35">
        <v>3774.38</v>
      </c>
      <c r="I600" s="35">
        <v>3866.17</v>
      </c>
      <c r="J600" s="35">
        <v>3943.37</v>
      </c>
      <c r="K600" s="35">
        <v>3868.15</v>
      </c>
      <c r="L600" s="35">
        <v>3949.22</v>
      </c>
      <c r="M600" s="35">
        <v>3937.16</v>
      </c>
      <c r="N600" s="35">
        <v>3996.4</v>
      </c>
      <c r="O600" s="35">
        <v>3932.45</v>
      </c>
      <c r="P600" s="35">
        <v>3813.87</v>
      </c>
      <c r="Q600" s="47"/>
      <c r="R600" s="47"/>
      <c r="S600" s="47"/>
      <c r="T600" s="47"/>
      <c r="U600" s="47"/>
      <c r="V600" s="274"/>
      <c r="W600" s="47"/>
    </row>
    <row r="601" spans="1:31" ht="22.15" x14ac:dyDescent="0.25">
      <c r="A601" s="91"/>
      <c r="B601" s="80"/>
      <c r="C601" s="80" t="s">
        <v>203</v>
      </c>
      <c r="D601" s="86">
        <f t="shared" ref="D601:P601" si="196">IF(((D599="")*AND(D600="")),"",(D599-D600)*2)</f>
        <v>5274.7</v>
      </c>
      <c r="E601" s="86">
        <f t="shared" si="196"/>
        <v>5332.3799999999992</v>
      </c>
      <c r="F601" s="86">
        <f t="shared" si="196"/>
        <v>5267.0599999999995</v>
      </c>
      <c r="G601" s="86">
        <f t="shared" si="196"/>
        <v>5328.920000000001</v>
      </c>
      <c r="H601" s="86">
        <f t="shared" si="196"/>
        <v>5360.1</v>
      </c>
      <c r="I601" s="86">
        <f t="shared" si="196"/>
        <v>5371.24</v>
      </c>
      <c r="J601" s="86">
        <f t="shared" si="196"/>
        <v>5351.2000000000007</v>
      </c>
      <c r="K601" s="86">
        <f t="shared" si="196"/>
        <v>5357.88</v>
      </c>
      <c r="L601" s="86">
        <f t="shared" si="196"/>
        <v>5279.0199999999995</v>
      </c>
      <c r="M601" s="86">
        <f t="shared" si="196"/>
        <v>5370.02</v>
      </c>
      <c r="N601" s="86">
        <f t="shared" si="196"/>
        <v>5357.94</v>
      </c>
      <c r="O601" s="86">
        <f t="shared" si="196"/>
        <v>5320.34</v>
      </c>
      <c r="P601" s="86">
        <f t="shared" si="196"/>
        <v>5331.5</v>
      </c>
      <c r="Q601" s="80"/>
      <c r="R601" s="80"/>
      <c r="S601" s="80"/>
      <c r="T601" s="80"/>
      <c r="U601" s="80"/>
      <c r="V601" s="277"/>
      <c r="W601" s="80"/>
    </row>
    <row r="602" spans="1:31" x14ac:dyDescent="0.25">
      <c r="A602" s="90">
        <v>43409</v>
      </c>
      <c r="B602" s="50" t="s">
        <v>208</v>
      </c>
      <c r="C602" s="56" t="s">
        <v>205</v>
      </c>
      <c r="D602" s="35">
        <v>5863.61</v>
      </c>
      <c r="E602" s="35">
        <v>6125.35</v>
      </c>
      <c r="F602" s="35">
        <v>6144.95</v>
      </c>
      <c r="G602" s="35">
        <v>6074</v>
      </c>
      <c r="H602" s="35">
        <v>6085.47</v>
      </c>
      <c r="I602" s="35">
        <v>6160.08</v>
      </c>
      <c r="J602" s="35">
        <v>6011.24</v>
      </c>
      <c r="K602" s="35">
        <v>6053.22</v>
      </c>
      <c r="L602" s="35">
        <v>6151.13</v>
      </c>
      <c r="M602" s="55"/>
      <c r="N602" s="55"/>
      <c r="O602" s="55"/>
      <c r="P602" s="55"/>
      <c r="Q602" s="50">
        <f>IF((L603=""),"",MAX(D604:L604))</f>
        <v>7824.7499999999982</v>
      </c>
      <c r="R602" s="50">
        <f>IF(L603="","",MIN(D604:L604))</f>
        <v>7052.8799999999992</v>
      </c>
      <c r="S602" s="77">
        <f>IF((L604=""),"",AVERAGE(D604:L604))</f>
        <v>7315.7766666666657</v>
      </c>
      <c r="T602" s="52">
        <f>IF((L603=""),"",(Q602-R602)/(Q602+R602)*100)</f>
        <v>5.1881247214778101</v>
      </c>
      <c r="U602" s="50">
        <f>STDEV(D604:P604)</f>
        <v>216.01862043583128</v>
      </c>
      <c r="V602" s="273" t="str">
        <f>IF(L603="","",IF(T602&lt;9.8,IF(S602&gt;5100,IF(S602&lt;8300,"Pass","Fail"),"Fail"),"Fail"))</f>
        <v>Pass</v>
      </c>
      <c r="W602" s="47">
        <v>1340</v>
      </c>
      <c r="Z602" s="37">
        <v>4955</v>
      </c>
      <c r="AA602" s="37">
        <v>9645</v>
      </c>
      <c r="AB602" s="37">
        <v>5100</v>
      </c>
      <c r="AC602" s="37">
        <v>8300</v>
      </c>
      <c r="AD602" s="69">
        <v>9.8000000000000007</v>
      </c>
      <c r="AE602" s="69">
        <v>10</v>
      </c>
    </row>
    <row r="603" spans="1:31" x14ac:dyDescent="0.25">
      <c r="A603" s="49"/>
      <c r="B603" s="47"/>
      <c r="C603" s="56" t="s">
        <v>204</v>
      </c>
      <c r="D603" s="35">
        <v>3255.36</v>
      </c>
      <c r="E603" s="35">
        <v>3707.23</v>
      </c>
      <c r="F603" s="35">
        <v>3716.66</v>
      </c>
      <c r="G603" s="35">
        <v>3597.78</v>
      </c>
      <c r="H603" s="35">
        <v>3680.51</v>
      </c>
      <c r="I603" s="35">
        <v>3730.11</v>
      </c>
      <c r="J603" s="35">
        <v>3660.28</v>
      </c>
      <c r="K603" s="35">
        <v>3657.72</v>
      </c>
      <c r="L603" s="35">
        <v>3716.07</v>
      </c>
      <c r="M603" s="55"/>
      <c r="N603" s="55"/>
      <c r="O603" s="55"/>
      <c r="P603" s="55"/>
      <c r="Q603" s="47"/>
      <c r="R603" s="47"/>
      <c r="S603" s="47"/>
      <c r="T603" s="47"/>
      <c r="U603" s="47"/>
      <c r="V603" s="274"/>
      <c r="W603" s="47"/>
    </row>
    <row r="604" spans="1:31" ht="22.75" thickBot="1" x14ac:dyDescent="0.3">
      <c r="A604" s="49"/>
      <c r="B604" s="47"/>
      <c r="C604" s="50" t="s">
        <v>203</v>
      </c>
      <c r="D604" s="54">
        <f t="shared" ref="D604:L604" si="197">IF(((D602="")*AND(D603="")),"",(D602-D603)*3)</f>
        <v>7824.7499999999982</v>
      </c>
      <c r="E604" s="54">
        <f t="shared" si="197"/>
        <v>7254.3600000000006</v>
      </c>
      <c r="F604" s="54">
        <f t="shared" si="197"/>
        <v>7284.87</v>
      </c>
      <c r="G604" s="54">
        <f t="shared" si="197"/>
        <v>7428.66</v>
      </c>
      <c r="H604" s="54">
        <f t="shared" si="197"/>
        <v>7214.88</v>
      </c>
      <c r="I604" s="54">
        <f t="shared" si="197"/>
        <v>7289.91</v>
      </c>
      <c r="J604" s="54">
        <f t="shared" si="197"/>
        <v>7052.8799999999992</v>
      </c>
      <c r="K604" s="54">
        <f t="shared" si="197"/>
        <v>7186.5000000000018</v>
      </c>
      <c r="L604" s="54">
        <f t="shared" si="197"/>
        <v>7305.18</v>
      </c>
      <c r="M604" s="54"/>
      <c r="N604" s="54"/>
      <c r="O604" s="54"/>
      <c r="P604" s="54" t="str">
        <f>IF(((P602="")*AND(P603="")),"",(P602-P603)*2)</f>
        <v/>
      </c>
      <c r="Q604" s="47"/>
      <c r="R604" s="47"/>
      <c r="S604" s="47"/>
      <c r="T604" s="47"/>
      <c r="U604" s="47"/>
      <c r="V604" s="274"/>
      <c r="W604" s="47"/>
    </row>
    <row r="605" spans="1:31" x14ac:dyDescent="0.25">
      <c r="A605" s="90">
        <v>43409</v>
      </c>
      <c r="B605" s="50" t="s">
        <v>206</v>
      </c>
      <c r="C605" s="50" t="s">
        <v>205</v>
      </c>
      <c r="D605" s="35">
        <v>6670.67</v>
      </c>
      <c r="E605" s="35">
        <v>6767.9</v>
      </c>
      <c r="F605" s="35">
        <v>6664.26</v>
      </c>
      <c r="G605" s="35">
        <v>6688.79</v>
      </c>
      <c r="H605" s="35">
        <v>6589.12</v>
      </c>
      <c r="I605" s="35">
        <v>6649.7</v>
      </c>
      <c r="J605" s="35">
        <v>6713.58</v>
      </c>
      <c r="K605" s="35">
        <v>6656.47</v>
      </c>
      <c r="L605" s="35">
        <v>6685.5</v>
      </c>
      <c r="M605" s="35">
        <v>6711.56</v>
      </c>
      <c r="N605" s="35">
        <v>6826.74</v>
      </c>
      <c r="O605" s="35">
        <v>6682.91</v>
      </c>
      <c r="P605" s="35">
        <v>6604.95</v>
      </c>
      <c r="Q605" s="50">
        <f>IF((L606=""),"",MAX(D607:P607))</f>
        <v>5405.880000000001</v>
      </c>
      <c r="R605" s="50">
        <f>IF(L606="","",MIN(D607:L607))</f>
        <v>5307.7400000000007</v>
      </c>
      <c r="S605" s="53">
        <f>IF((P607=""),"",AVERAGE(D607:P607))</f>
        <v>5365.3923076923074</v>
      </c>
      <c r="T605" s="52">
        <f>IF((L606=""),"",(Q605-R605)/(Q605+R605)*100)</f>
        <v>0.91603024934616228</v>
      </c>
      <c r="U605" s="50">
        <f>STDEV(D607:P607)</f>
        <v>33.608562935122592</v>
      </c>
      <c r="V605" s="273" t="str">
        <f>IF(P606="","",IF(T605&lt;2.7,IF(S605&gt;5150,IF(S605&lt;5600,"Pass","Fail"),"Fail"),"Fail"))</f>
        <v>Pass</v>
      </c>
      <c r="W605" s="50">
        <v>1340</v>
      </c>
      <c r="Z605" s="71">
        <v>4470</v>
      </c>
      <c r="AA605" s="71">
        <v>6020</v>
      </c>
      <c r="AB605" s="71">
        <v>5150</v>
      </c>
      <c r="AC605" s="71">
        <v>5600</v>
      </c>
      <c r="AD605" s="70">
        <v>2.7</v>
      </c>
      <c r="AE605" s="69">
        <v>10</v>
      </c>
    </row>
    <row r="606" spans="1:31" x14ac:dyDescent="0.25">
      <c r="A606" s="89"/>
      <c r="B606" s="47"/>
      <c r="C606" s="47" t="s">
        <v>204</v>
      </c>
      <c r="D606" s="35">
        <v>4014.04</v>
      </c>
      <c r="E606" s="35">
        <v>4089.12</v>
      </c>
      <c r="F606" s="35">
        <v>4010.39</v>
      </c>
      <c r="G606" s="35">
        <v>4009.14</v>
      </c>
      <c r="H606" s="35">
        <v>3895.18</v>
      </c>
      <c r="I606" s="35">
        <v>3948.23</v>
      </c>
      <c r="J606" s="35">
        <v>4022</v>
      </c>
      <c r="K606" s="35">
        <v>3960.15</v>
      </c>
      <c r="L606" s="35">
        <v>4026.45</v>
      </c>
      <c r="M606" s="35">
        <v>4008.62</v>
      </c>
      <c r="N606" s="35">
        <v>4133.45</v>
      </c>
      <c r="O606" s="35">
        <v>4002.8</v>
      </c>
      <c r="P606" s="35">
        <v>3917.53</v>
      </c>
      <c r="Q606" s="47"/>
      <c r="R606" s="47"/>
      <c r="S606" s="47"/>
      <c r="T606" s="47"/>
      <c r="U606" s="47"/>
      <c r="V606" s="274"/>
      <c r="W606" s="47"/>
    </row>
    <row r="607" spans="1:31" ht="22.75" thickBot="1" x14ac:dyDescent="0.3">
      <c r="A607" s="89"/>
      <c r="B607" s="47"/>
      <c r="C607" s="47" t="s">
        <v>203</v>
      </c>
      <c r="D607" s="79">
        <f t="shared" ref="D607:P607" si="198">IF(((D605="")*AND(D606="")),"",(D605-D606)*2)</f>
        <v>5313.26</v>
      </c>
      <c r="E607" s="79">
        <f t="shared" si="198"/>
        <v>5357.5599999999995</v>
      </c>
      <c r="F607" s="79">
        <f t="shared" si="198"/>
        <v>5307.7400000000007</v>
      </c>
      <c r="G607" s="79">
        <f t="shared" si="198"/>
        <v>5359.3</v>
      </c>
      <c r="H607" s="79">
        <f t="shared" si="198"/>
        <v>5387.88</v>
      </c>
      <c r="I607" s="79">
        <f t="shared" si="198"/>
        <v>5402.94</v>
      </c>
      <c r="J607" s="79">
        <f t="shared" si="198"/>
        <v>5383.16</v>
      </c>
      <c r="K607" s="79">
        <f t="shared" si="198"/>
        <v>5392.64</v>
      </c>
      <c r="L607" s="79">
        <f t="shared" si="198"/>
        <v>5318.1</v>
      </c>
      <c r="M607" s="79">
        <f t="shared" si="198"/>
        <v>5405.880000000001</v>
      </c>
      <c r="N607" s="79">
        <f t="shared" si="198"/>
        <v>5386.58</v>
      </c>
      <c r="O607" s="79">
        <f t="shared" si="198"/>
        <v>5360.2199999999993</v>
      </c>
      <c r="P607" s="79">
        <f t="shared" si="198"/>
        <v>5374.8399999999992</v>
      </c>
      <c r="Q607" s="47"/>
      <c r="R607" s="47"/>
      <c r="S607" s="47"/>
      <c r="T607" s="47"/>
      <c r="U607" s="47"/>
      <c r="V607" s="274"/>
      <c r="W607" s="47"/>
    </row>
    <row r="608" spans="1:31" x14ac:dyDescent="0.25">
      <c r="A608" s="67">
        <v>43424</v>
      </c>
      <c r="B608" s="57" t="s">
        <v>208</v>
      </c>
      <c r="C608" s="61" t="s">
        <v>205</v>
      </c>
      <c r="D608" s="88">
        <v>3253.02</v>
      </c>
      <c r="E608" s="88">
        <v>3698.35</v>
      </c>
      <c r="F608" s="88">
        <v>3707.04</v>
      </c>
      <c r="G608" s="88">
        <v>3617.38</v>
      </c>
      <c r="H608" s="88">
        <v>3672.2</v>
      </c>
      <c r="I608" s="88">
        <v>3716.11</v>
      </c>
      <c r="J608" s="88">
        <v>3655.12</v>
      </c>
      <c r="K608" s="88">
        <v>3651.82</v>
      </c>
      <c r="L608" s="88">
        <v>3708.79</v>
      </c>
      <c r="M608" s="60"/>
      <c r="N608" s="60"/>
      <c r="O608" s="60"/>
      <c r="P608" s="60"/>
      <c r="Q608" s="57">
        <f>IF((L609=""),"",MAX(D610:L610))</f>
        <v>6809.01</v>
      </c>
      <c r="R608" s="57">
        <f>IF(L609="","",MIN(D610:L610))</f>
        <v>6385.59</v>
      </c>
      <c r="S608" s="59">
        <f>IF((L610=""),"",AVERAGE(D610:L610))</f>
        <v>6628.4433333333327</v>
      </c>
      <c r="T608" s="53">
        <f>IF((L609=""),"",(Q608-R608)/(Q608+R608)*100)</f>
        <v>3.2090400618434822</v>
      </c>
      <c r="U608" s="57">
        <f>STDEV(D610:P610)</f>
        <v>131.67137084423479</v>
      </c>
      <c r="V608" s="276" t="str">
        <f>IF(L609="","",IF(T608&lt;9.8,IF(S608&gt;5100,IF(S608&lt;8300,"Pass","Fail"),"Fail"),"Fail"))</f>
        <v>Pass</v>
      </c>
      <c r="W608" s="57">
        <v>121</v>
      </c>
      <c r="X608" s="74" t="s">
        <v>229</v>
      </c>
      <c r="Z608" s="37">
        <v>4955</v>
      </c>
      <c r="AA608" s="37">
        <v>9645</v>
      </c>
      <c r="AB608" s="37">
        <v>5100</v>
      </c>
      <c r="AC608" s="37">
        <v>8300</v>
      </c>
      <c r="AD608" s="69">
        <v>9.8000000000000007</v>
      </c>
      <c r="AE608" s="69">
        <v>10</v>
      </c>
    </row>
    <row r="609" spans="1:31" x14ac:dyDescent="0.25">
      <c r="A609" s="49"/>
      <c r="B609" s="47"/>
      <c r="C609" s="56" t="s">
        <v>204</v>
      </c>
      <c r="D609" s="87">
        <v>1032.82</v>
      </c>
      <c r="E609" s="87">
        <v>1488.11</v>
      </c>
      <c r="F609" s="87">
        <v>1490.65</v>
      </c>
      <c r="G609" s="87">
        <v>1488.85</v>
      </c>
      <c r="H609" s="87">
        <v>1410.15</v>
      </c>
      <c r="I609" s="87">
        <v>1535.24</v>
      </c>
      <c r="J609" s="87">
        <v>1481.5</v>
      </c>
      <c r="K609" s="87">
        <v>1382.15</v>
      </c>
      <c r="L609" s="87">
        <v>1485.03</v>
      </c>
      <c r="M609" s="55"/>
      <c r="N609" s="55"/>
      <c r="O609" s="55"/>
      <c r="P609" s="55"/>
      <c r="Q609" s="47"/>
      <c r="R609" s="47"/>
      <c r="S609" s="47"/>
      <c r="T609" s="47"/>
      <c r="U609" s="47"/>
      <c r="V609" s="274"/>
      <c r="W609" s="47"/>
      <c r="X609" s="73"/>
    </row>
    <row r="610" spans="1:31" ht="22.75" thickBot="1" x14ac:dyDescent="0.3">
      <c r="A610" s="49"/>
      <c r="B610" s="47"/>
      <c r="C610" s="50" t="s">
        <v>203</v>
      </c>
      <c r="D610" s="54">
        <f t="shared" ref="D610:L610" si="199">IF(((D608="")*AND(D609="")),"",(D608-D609)*3)</f>
        <v>6660.5999999999995</v>
      </c>
      <c r="E610" s="54">
        <f t="shared" si="199"/>
        <v>6630.7199999999993</v>
      </c>
      <c r="F610" s="54">
        <f t="shared" si="199"/>
        <v>6649.17</v>
      </c>
      <c r="G610" s="54">
        <f t="shared" si="199"/>
        <v>6385.59</v>
      </c>
      <c r="H610" s="54">
        <f t="shared" si="199"/>
        <v>6786.15</v>
      </c>
      <c r="I610" s="54">
        <f t="shared" si="199"/>
        <v>6542.61</v>
      </c>
      <c r="J610" s="54">
        <f t="shared" si="199"/>
        <v>6520.86</v>
      </c>
      <c r="K610" s="54">
        <f t="shared" si="199"/>
        <v>6809.01</v>
      </c>
      <c r="L610" s="54">
        <f t="shared" si="199"/>
        <v>6671.2800000000007</v>
      </c>
      <c r="M610" s="54"/>
      <c r="N610" s="54"/>
      <c r="O610" s="54"/>
      <c r="P610" s="54" t="str">
        <f>IF(((P608="")*AND(P609="")),"",(P608-P609)*2)</f>
        <v/>
      </c>
      <c r="Q610" s="47"/>
      <c r="R610" s="47"/>
      <c r="S610" s="47"/>
      <c r="T610" s="47"/>
      <c r="U610" s="47"/>
      <c r="V610" s="274"/>
      <c r="W610" s="47"/>
      <c r="X610" s="73"/>
    </row>
    <row r="611" spans="1:31" x14ac:dyDescent="0.25">
      <c r="A611" s="82">
        <v>43424</v>
      </c>
      <c r="B611" s="50" t="s">
        <v>206</v>
      </c>
      <c r="C611" s="50" t="s">
        <v>205</v>
      </c>
      <c r="D611" s="87">
        <v>4025.87</v>
      </c>
      <c r="E611" s="87">
        <v>4101.12</v>
      </c>
      <c r="F611" s="87">
        <v>4021.82</v>
      </c>
      <c r="G611" s="87">
        <v>4020.21</v>
      </c>
      <c r="H611" s="87">
        <v>3905.71</v>
      </c>
      <c r="I611" s="87">
        <v>3958.4</v>
      </c>
      <c r="J611" s="87">
        <v>4032.71</v>
      </c>
      <c r="K611" s="87">
        <v>3970</v>
      </c>
      <c r="L611" s="87">
        <v>4037.23</v>
      </c>
      <c r="M611" s="87">
        <v>4019.08</v>
      </c>
      <c r="N611" s="87">
        <v>4145.09</v>
      </c>
      <c r="O611" s="87">
        <v>4013.14</v>
      </c>
      <c r="P611" s="87">
        <v>3927.48</v>
      </c>
      <c r="Q611" s="50">
        <f>IF((L612=""),"",MAX(D613:P613))</f>
        <v>5473.52</v>
      </c>
      <c r="R611" s="50">
        <f>IF(L612="","",MIN(D613:L613))</f>
        <v>5313.1</v>
      </c>
      <c r="S611" s="53">
        <f>IF((P613=""),"",AVERAGE(D613:P613))</f>
        <v>5388.6353846153843</v>
      </c>
      <c r="T611" s="52">
        <f>IF((L612=""),"",(Q611-R611)/(Q611+R611)*100)</f>
        <v>1.4872128618603424</v>
      </c>
      <c r="U611" s="50">
        <f>STDEV(D613:P613)</f>
        <v>50.378043599598854</v>
      </c>
      <c r="V611" s="273" t="str">
        <f>IF(P612="","",IF(T611&lt;2.7,IF(S611&gt;5150,IF(S611&lt;5600,"Pass","Fail"),"Fail"),"Fail"))</f>
        <v>Pass</v>
      </c>
      <c r="W611" s="50">
        <v>121</v>
      </c>
      <c r="X611" s="73" t="s">
        <v>229</v>
      </c>
      <c r="Z611" s="71">
        <v>4470</v>
      </c>
      <c r="AA611" s="71">
        <v>6020</v>
      </c>
      <c r="AB611" s="71">
        <v>5150</v>
      </c>
      <c r="AC611" s="71">
        <v>5600</v>
      </c>
      <c r="AD611" s="70">
        <v>2.7</v>
      </c>
      <c r="AE611" s="69">
        <v>10</v>
      </c>
    </row>
    <row r="612" spans="1:31" x14ac:dyDescent="0.25">
      <c r="A612" s="49"/>
      <c r="B612" s="47"/>
      <c r="C612" s="47" t="s">
        <v>204</v>
      </c>
      <c r="D612" s="87">
        <v>1363.97</v>
      </c>
      <c r="E612" s="87">
        <v>1414.27</v>
      </c>
      <c r="F612" s="87">
        <v>1365.27</v>
      </c>
      <c r="G612" s="87">
        <v>1338.05</v>
      </c>
      <c r="H612" s="87">
        <v>1168.95</v>
      </c>
      <c r="I612" s="87">
        <v>1232.44</v>
      </c>
      <c r="J612" s="87">
        <v>1337.55</v>
      </c>
      <c r="K612" s="87">
        <v>1264.24</v>
      </c>
      <c r="L612" s="87">
        <v>1373.3</v>
      </c>
      <c r="M612" s="87">
        <v>1317.8</v>
      </c>
      <c r="N612" s="87">
        <v>1439.33</v>
      </c>
      <c r="O612" s="87">
        <v>1330.82</v>
      </c>
      <c r="P612" s="87">
        <v>1205.74</v>
      </c>
      <c r="Q612" s="47"/>
      <c r="R612" s="47"/>
      <c r="S612" s="47"/>
      <c r="T612" s="47"/>
      <c r="U612" s="47"/>
      <c r="V612" s="274"/>
      <c r="W612" s="47"/>
      <c r="X612" s="73"/>
    </row>
    <row r="613" spans="1:31" ht="22.75" thickBot="1" x14ac:dyDescent="0.3">
      <c r="A613" s="45"/>
      <c r="B613" s="42"/>
      <c r="C613" s="42" t="s">
        <v>203</v>
      </c>
      <c r="D613" s="44">
        <f t="shared" ref="D613:P613" si="200">IF(((D611="")*AND(D612="")),"",(D611-D612)*2)</f>
        <v>5323.7999999999993</v>
      </c>
      <c r="E613" s="44">
        <f t="shared" si="200"/>
        <v>5373.7</v>
      </c>
      <c r="F613" s="44">
        <f t="shared" si="200"/>
        <v>5313.1</v>
      </c>
      <c r="G613" s="44">
        <f t="shared" si="200"/>
        <v>5364.32</v>
      </c>
      <c r="H613" s="44">
        <f t="shared" si="200"/>
        <v>5473.52</v>
      </c>
      <c r="I613" s="44">
        <f t="shared" si="200"/>
        <v>5451.92</v>
      </c>
      <c r="J613" s="44">
        <f t="shared" si="200"/>
        <v>5390.32</v>
      </c>
      <c r="K613" s="44">
        <f t="shared" si="200"/>
        <v>5411.52</v>
      </c>
      <c r="L613" s="44">
        <f t="shared" si="200"/>
        <v>5327.8600000000006</v>
      </c>
      <c r="M613" s="44">
        <f t="shared" si="200"/>
        <v>5402.5599999999995</v>
      </c>
      <c r="N613" s="44">
        <f t="shared" si="200"/>
        <v>5411.52</v>
      </c>
      <c r="O613" s="44">
        <f t="shared" si="200"/>
        <v>5364.6399999999994</v>
      </c>
      <c r="P613" s="44">
        <f t="shared" si="200"/>
        <v>5443.48</v>
      </c>
      <c r="Q613" s="42"/>
      <c r="R613" s="42"/>
      <c r="S613" s="42"/>
      <c r="T613" s="42"/>
      <c r="U613" s="42"/>
      <c r="V613" s="275"/>
      <c r="W613" s="42"/>
      <c r="X613" s="72"/>
    </row>
    <row r="614" spans="1:31" x14ac:dyDescent="0.25">
      <c r="A614" s="67">
        <v>43430</v>
      </c>
      <c r="B614" s="57" t="s">
        <v>206</v>
      </c>
      <c r="C614" s="57" t="s">
        <v>205</v>
      </c>
      <c r="D614" s="35">
        <v>6687.74</v>
      </c>
      <c r="E614" s="35">
        <v>6806.67</v>
      </c>
      <c r="F614" s="35">
        <v>6650.92</v>
      </c>
      <c r="G614" s="35">
        <v>6686.51</v>
      </c>
      <c r="H614" s="35">
        <v>6633.52</v>
      </c>
      <c r="I614" s="35">
        <v>6666.63</v>
      </c>
      <c r="J614" s="35">
        <v>6709.58</v>
      </c>
      <c r="K614" s="35">
        <v>6649.86</v>
      </c>
      <c r="L614" s="35">
        <v>6659.69</v>
      </c>
      <c r="M614" s="35">
        <v>6696.91</v>
      </c>
      <c r="N614" s="35">
        <v>6856.59</v>
      </c>
      <c r="O614" s="35">
        <v>6652.6</v>
      </c>
      <c r="P614" s="35">
        <v>6597.31</v>
      </c>
      <c r="Q614" s="50">
        <f>IF((L615=""),"",MAX(D616:P616))</f>
        <v>5414.2599999999993</v>
      </c>
      <c r="R614" s="50">
        <f>IF(L615="","",MIN(D616:L616))</f>
        <v>5321.26</v>
      </c>
      <c r="S614" s="53">
        <f>IF((P616=""),"",AVERAGE(D616:P616))</f>
        <v>5373.0292307692298</v>
      </c>
      <c r="T614" s="52">
        <f>IF((L615=""),"",(Q614-R614)/(Q614+R614)*100)</f>
        <v>0.86628314231633941</v>
      </c>
      <c r="U614" s="50">
        <f>STDEV(D616:P616)</f>
        <v>30.685294648940758</v>
      </c>
      <c r="V614" s="273" t="str">
        <f>IF(P615="","",IF(T614&lt;2.7,IF(S614&gt;5150,IF(S614&lt;5600,"Pass","Fail"),"Fail"),"Fail"))</f>
        <v>Pass</v>
      </c>
      <c r="W614" s="50">
        <v>1340</v>
      </c>
      <c r="X614" s="83"/>
      <c r="Z614" s="71">
        <v>4470</v>
      </c>
      <c r="AA614" s="71">
        <v>6020</v>
      </c>
      <c r="AB614" s="71">
        <v>5150</v>
      </c>
      <c r="AC614" s="71">
        <v>5600</v>
      </c>
      <c r="AD614" s="70">
        <v>2.7</v>
      </c>
      <c r="AE614" s="69">
        <v>10</v>
      </c>
    </row>
    <row r="615" spans="1:31" x14ac:dyDescent="0.25">
      <c r="A615" s="49"/>
      <c r="B615" s="47"/>
      <c r="C615" s="47" t="s">
        <v>204</v>
      </c>
      <c r="D615" s="35">
        <v>4022.65</v>
      </c>
      <c r="E615" s="35">
        <v>4120.5600000000004</v>
      </c>
      <c r="F615" s="35">
        <v>3990.29</v>
      </c>
      <c r="G615" s="35">
        <v>4001.41</v>
      </c>
      <c r="H615" s="35">
        <v>3950.13</v>
      </c>
      <c r="I615" s="35">
        <v>3963.96</v>
      </c>
      <c r="J615" s="35">
        <v>4012.5</v>
      </c>
      <c r="K615" s="35">
        <v>3949.58</v>
      </c>
      <c r="L615" s="35">
        <v>3997.09</v>
      </c>
      <c r="M615" s="35">
        <v>3989.78</v>
      </c>
      <c r="N615" s="35">
        <v>4160.63</v>
      </c>
      <c r="O615" s="35">
        <v>3966.42</v>
      </c>
      <c r="P615" s="35">
        <v>3904.84</v>
      </c>
      <c r="Q615" s="47"/>
      <c r="R615" s="47"/>
      <c r="S615" s="47"/>
      <c r="T615" s="47"/>
      <c r="U615" s="47"/>
      <c r="V615" s="274"/>
      <c r="W615" s="47"/>
      <c r="X615" s="252"/>
    </row>
    <row r="616" spans="1:31" ht="22.15" x14ac:dyDescent="0.25">
      <c r="A616" s="81"/>
      <c r="B616" s="80"/>
      <c r="C616" s="80" t="s">
        <v>203</v>
      </c>
      <c r="D616" s="79">
        <f t="shared" ref="D616:P616" si="201">IF(((D614="")*AND(D615="")),"",(D614-D615)*2)</f>
        <v>5330.1799999999994</v>
      </c>
      <c r="E616" s="79">
        <f t="shared" si="201"/>
        <v>5372.2199999999993</v>
      </c>
      <c r="F616" s="79">
        <f t="shared" si="201"/>
        <v>5321.26</v>
      </c>
      <c r="G616" s="79">
        <f t="shared" si="201"/>
        <v>5370.2000000000007</v>
      </c>
      <c r="H616" s="79">
        <f t="shared" si="201"/>
        <v>5366.7800000000007</v>
      </c>
      <c r="I616" s="79">
        <f t="shared" si="201"/>
        <v>5405.34</v>
      </c>
      <c r="J616" s="79">
        <f t="shared" si="201"/>
        <v>5394.16</v>
      </c>
      <c r="K616" s="79">
        <f t="shared" si="201"/>
        <v>5400.5599999999995</v>
      </c>
      <c r="L616" s="79">
        <f t="shared" si="201"/>
        <v>5325.1999999999989</v>
      </c>
      <c r="M616" s="79">
        <f t="shared" si="201"/>
        <v>5414.2599999999993</v>
      </c>
      <c r="N616" s="79">
        <f t="shared" si="201"/>
        <v>5391.92</v>
      </c>
      <c r="O616" s="79">
        <f t="shared" si="201"/>
        <v>5372.3600000000006</v>
      </c>
      <c r="P616" s="79">
        <f t="shared" si="201"/>
        <v>5384.9400000000005</v>
      </c>
      <c r="Q616" s="47"/>
      <c r="R616" s="47"/>
      <c r="S616" s="47"/>
      <c r="T616" s="47"/>
      <c r="U616" s="47"/>
      <c r="V616" s="274"/>
      <c r="W616" s="47"/>
      <c r="X616" s="252"/>
    </row>
    <row r="617" spans="1:31" x14ac:dyDescent="0.25">
      <c r="A617" s="82">
        <v>43430</v>
      </c>
      <c r="B617" s="50" t="s">
        <v>208</v>
      </c>
      <c r="C617" s="56" t="s">
        <v>205</v>
      </c>
      <c r="D617" s="35">
        <v>5965.84</v>
      </c>
      <c r="E617" s="35">
        <v>6083.65</v>
      </c>
      <c r="F617" s="35">
        <v>6137.2</v>
      </c>
      <c r="G617" s="35">
        <v>6081</v>
      </c>
      <c r="H617" s="35">
        <v>6096.07</v>
      </c>
      <c r="I617" s="35">
        <v>6151.94</v>
      </c>
      <c r="J617" s="35">
        <v>6036.17</v>
      </c>
      <c r="K617" s="35">
        <v>6046.72</v>
      </c>
      <c r="L617" s="35">
        <v>6131.11</v>
      </c>
      <c r="M617" s="55"/>
      <c r="N617" s="55"/>
      <c r="O617" s="55"/>
      <c r="P617" s="55"/>
      <c r="Q617" s="50">
        <f>IF((L618=""),"",MAX(D619:L619))</f>
        <v>7213.7100000000009</v>
      </c>
      <c r="R617" s="50">
        <f>IF(L618="","",MIN(D619:L619))</f>
        <v>6800.1600000000008</v>
      </c>
      <c r="S617" s="77">
        <f>IF((L619=""),"",AVERAGE(D619:L619))</f>
        <v>7002.7566666666671</v>
      </c>
      <c r="T617" s="52">
        <f>IF((L618=""),"",(Q617-R617)/(Q617+R617)*100)</f>
        <v>2.9510049686489177</v>
      </c>
      <c r="U617" s="50">
        <f>STDEV(D619:P619)</f>
        <v>114.76195014027947</v>
      </c>
      <c r="V617" s="273" t="str">
        <f>IF(L618="","",IF(T617&lt;9.8,IF(S617&gt;5100,IF(S617&lt;8300,"Pass","Fail"),"Fail"),"Fail"))</f>
        <v>Pass</v>
      </c>
      <c r="W617" s="47">
        <v>1340</v>
      </c>
      <c r="X617" s="252"/>
      <c r="Z617" s="37">
        <v>4955</v>
      </c>
      <c r="AA617" s="37">
        <v>9645</v>
      </c>
      <c r="AB617" s="37">
        <v>5100</v>
      </c>
      <c r="AC617" s="37">
        <v>8300</v>
      </c>
      <c r="AD617" s="69">
        <v>9.8000000000000007</v>
      </c>
      <c r="AE617" s="69">
        <v>10</v>
      </c>
    </row>
    <row r="618" spans="1:31" x14ac:dyDescent="0.25">
      <c r="A618" s="49"/>
      <c r="B618" s="47"/>
      <c r="C618" s="56" t="s">
        <v>204</v>
      </c>
      <c r="D618" s="35">
        <v>3603.78</v>
      </c>
      <c r="E618" s="35">
        <v>3757.26</v>
      </c>
      <c r="F618" s="35">
        <v>3791.35</v>
      </c>
      <c r="G618" s="35">
        <v>3676.43</v>
      </c>
      <c r="H618" s="35">
        <v>3768.26</v>
      </c>
      <c r="I618" s="35">
        <v>3810.54</v>
      </c>
      <c r="J618" s="35">
        <v>3769.45</v>
      </c>
      <c r="K618" s="35">
        <v>3746.2</v>
      </c>
      <c r="L618" s="35">
        <v>3798.16</v>
      </c>
      <c r="M618" s="55"/>
      <c r="N618" s="55"/>
      <c r="O618" s="55"/>
      <c r="P618" s="55"/>
      <c r="Q618" s="47"/>
      <c r="R618" s="47"/>
      <c r="S618" s="47"/>
      <c r="T618" s="47"/>
      <c r="U618" s="47"/>
      <c r="V618" s="274"/>
      <c r="W618" s="47"/>
      <c r="X618" s="252"/>
    </row>
    <row r="619" spans="1:31" ht="22.75" thickBot="1" x14ac:dyDescent="0.3">
      <c r="A619" s="45"/>
      <c r="B619" s="42"/>
      <c r="C619" s="76" t="s">
        <v>203</v>
      </c>
      <c r="D619" s="54">
        <f t="shared" ref="D619:L619" si="202">IF(((D617="")*AND(D618="")),"",(D617-D618)*3)</f>
        <v>7086.18</v>
      </c>
      <c r="E619" s="54">
        <f t="shared" si="202"/>
        <v>6979.1699999999983</v>
      </c>
      <c r="F619" s="54">
        <f t="shared" si="202"/>
        <v>7037.5499999999993</v>
      </c>
      <c r="G619" s="54">
        <f t="shared" si="202"/>
        <v>7213.7100000000009</v>
      </c>
      <c r="H619" s="54">
        <f t="shared" si="202"/>
        <v>6983.4299999999985</v>
      </c>
      <c r="I619" s="54">
        <f t="shared" si="202"/>
        <v>7024.1999999999989</v>
      </c>
      <c r="J619" s="54">
        <f t="shared" si="202"/>
        <v>6800.1600000000008</v>
      </c>
      <c r="K619" s="54">
        <f t="shared" si="202"/>
        <v>6901.5600000000013</v>
      </c>
      <c r="L619" s="54">
        <f t="shared" si="202"/>
        <v>6998.8499999999995</v>
      </c>
      <c r="M619" s="54"/>
      <c r="N619" s="54"/>
      <c r="O619" s="54"/>
      <c r="P619" s="54" t="str">
        <f>IF(((P617="")*AND(P618="")),"",(P617-P618)*2)</f>
        <v/>
      </c>
      <c r="Q619" s="47"/>
      <c r="R619" s="47"/>
      <c r="S619" s="47"/>
      <c r="T619" s="47"/>
      <c r="U619" s="47"/>
      <c r="V619" s="274"/>
      <c r="W619" s="47"/>
      <c r="X619" s="262"/>
    </row>
    <row r="620" spans="1:31" x14ac:dyDescent="0.25">
      <c r="A620" s="67">
        <v>43432</v>
      </c>
      <c r="B620" s="57" t="s">
        <v>206</v>
      </c>
      <c r="C620" s="57" t="s">
        <v>205</v>
      </c>
      <c r="D620" s="35">
        <v>6865.9</v>
      </c>
      <c r="E620" s="35">
        <v>6979.12</v>
      </c>
      <c r="F620" s="35">
        <v>6831.94</v>
      </c>
      <c r="G620" s="35">
        <v>6870.1</v>
      </c>
      <c r="H620" s="35">
        <v>6787.82</v>
      </c>
      <c r="I620" s="35">
        <v>6831.11</v>
      </c>
      <c r="J620" s="35">
        <v>6897.33</v>
      </c>
      <c r="K620" s="35">
        <v>6844.52</v>
      </c>
      <c r="L620" s="35">
        <v>6847.02</v>
      </c>
      <c r="M620" s="35">
        <v>6880.87</v>
      </c>
      <c r="N620" s="35">
        <v>7033.6</v>
      </c>
      <c r="O620" s="35">
        <v>6836.33</v>
      </c>
      <c r="P620" s="35">
        <v>6766.03</v>
      </c>
      <c r="Q620" s="50">
        <f>IF((L621=""),"",MAX(D622:P622))</f>
        <v>5569.96</v>
      </c>
      <c r="R620" s="50">
        <f>IF(L621="","",MIN(D622:L622))</f>
        <v>5441.34</v>
      </c>
      <c r="S620" s="53">
        <f>IF((P622=""),"",AVERAGE(D622:P622))</f>
        <v>5505.7830769230777</v>
      </c>
      <c r="T620" s="52">
        <f>IF((L621=""),"",(Q620-R620)/(Q620+R620)*100)</f>
        <v>1.1680727979439294</v>
      </c>
      <c r="U620" s="50">
        <f>STDEV(D622:P622)</f>
        <v>40.716921827133724</v>
      </c>
      <c r="V620" s="273" t="str">
        <f>IF(P621="","",IF(T620&lt;2.7,IF(S620&gt;5150,IF(S620&lt;5600,"Pass","Fail"),"Fail"),"Fail"))</f>
        <v>Pass</v>
      </c>
      <c r="W620" s="50">
        <v>74</v>
      </c>
      <c r="X620" s="83"/>
      <c r="Z620" s="71">
        <v>4470</v>
      </c>
      <c r="AA620" s="71">
        <v>6020</v>
      </c>
      <c r="AB620" s="71">
        <v>5150</v>
      </c>
      <c r="AC620" s="71">
        <v>5600</v>
      </c>
      <c r="AD620" s="70">
        <v>2.7</v>
      </c>
      <c r="AE620" s="69">
        <v>10</v>
      </c>
    </row>
    <row r="621" spans="1:31" x14ac:dyDescent="0.25">
      <c r="A621" s="49"/>
      <c r="B621" s="47"/>
      <c r="C621" s="47" t="s">
        <v>204</v>
      </c>
      <c r="D621" s="35">
        <v>4145.2299999999996</v>
      </c>
      <c r="E621" s="35">
        <v>4241.82</v>
      </c>
      <c r="F621" s="35">
        <v>4109.79</v>
      </c>
      <c r="G621" s="35">
        <v>4113.78</v>
      </c>
      <c r="H621" s="35">
        <v>4035.95</v>
      </c>
      <c r="I621" s="35">
        <v>4063.35</v>
      </c>
      <c r="J621" s="35">
        <v>4126.75</v>
      </c>
      <c r="K621" s="35">
        <v>4068.21</v>
      </c>
      <c r="L621" s="35">
        <v>4117.57</v>
      </c>
      <c r="M621" s="35">
        <v>4095.89</v>
      </c>
      <c r="N621" s="35">
        <v>4276.72</v>
      </c>
      <c r="O621" s="35">
        <v>4083.45</v>
      </c>
      <c r="P621" s="35">
        <v>4005.59</v>
      </c>
      <c r="Q621" s="47"/>
      <c r="R621" s="47"/>
      <c r="S621" s="47"/>
      <c r="T621" s="47"/>
      <c r="U621" s="47"/>
      <c r="V621" s="274"/>
      <c r="W621" s="47"/>
      <c r="X621" s="252"/>
    </row>
    <row r="622" spans="1:31" ht="22.15" x14ac:dyDescent="0.25">
      <c r="A622" s="81"/>
      <c r="B622" s="80"/>
      <c r="C622" s="80" t="s">
        <v>203</v>
      </c>
      <c r="D622" s="79">
        <f t="shared" ref="D622:P622" si="203">IF(((D620="")*AND(D621="")),"",(D620-D621)*2)</f>
        <v>5441.34</v>
      </c>
      <c r="E622" s="79">
        <f t="shared" si="203"/>
        <v>5474.6</v>
      </c>
      <c r="F622" s="79">
        <f t="shared" si="203"/>
        <v>5444.2999999999993</v>
      </c>
      <c r="G622" s="79">
        <f t="shared" si="203"/>
        <v>5512.6400000000012</v>
      </c>
      <c r="H622" s="79">
        <f t="shared" si="203"/>
        <v>5503.74</v>
      </c>
      <c r="I622" s="79">
        <f t="shared" si="203"/>
        <v>5535.5199999999995</v>
      </c>
      <c r="J622" s="79">
        <f t="shared" si="203"/>
        <v>5541.16</v>
      </c>
      <c r="K622" s="79">
        <f t="shared" si="203"/>
        <v>5552.6200000000008</v>
      </c>
      <c r="L622" s="79">
        <f t="shared" si="203"/>
        <v>5458.9000000000015</v>
      </c>
      <c r="M622" s="79">
        <f t="shared" si="203"/>
        <v>5569.96</v>
      </c>
      <c r="N622" s="79">
        <f t="shared" si="203"/>
        <v>5513.76</v>
      </c>
      <c r="O622" s="79">
        <f t="shared" si="203"/>
        <v>5505.76</v>
      </c>
      <c r="P622" s="79">
        <f t="shared" si="203"/>
        <v>5520.8799999999992</v>
      </c>
      <c r="Q622" s="47"/>
      <c r="R622" s="47"/>
      <c r="S622" s="47"/>
      <c r="T622" s="47"/>
      <c r="U622" s="47"/>
      <c r="V622" s="274"/>
      <c r="W622" s="47"/>
      <c r="X622" s="252"/>
    </row>
    <row r="623" spans="1:31" x14ac:dyDescent="0.25">
      <c r="A623" s="82">
        <v>43432</v>
      </c>
      <c r="B623" s="50" t="s">
        <v>208</v>
      </c>
      <c r="C623" s="56" t="s">
        <v>205</v>
      </c>
      <c r="D623" s="35">
        <v>5984.51</v>
      </c>
      <c r="E623" s="35">
        <v>6080.26</v>
      </c>
      <c r="F623" s="35">
        <v>6139.81</v>
      </c>
      <c r="G623" s="35">
        <v>6083</v>
      </c>
      <c r="H623" s="35">
        <v>6062.46</v>
      </c>
      <c r="I623" s="35">
        <v>6152.69</v>
      </c>
      <c r="J623" s="35">
        <v>6020.16</v>
      </c>
      <c r="K623" s="35">
        <v>6094.42</v>
      </c>
      <c r="L623" s="35">
        <v>6132.28</v>
      </c>
      <c r="M623" s="55"/>
      <c r="N623" s="55"/>
      <c r="O623" s="55"/>
      <c r="P623" s="55"/>
      <c r="Q623" s="50">
        <f>IF((L624=""),"",MAX(D625:L625))</f>
        <v>7769.85</v>
      </c>
      <c r="R623" s="50">
        <f>IF(L624="","",MIN(D625:L625))</f>
        <v>7184.6399999999994</v>
      </c>
      <c r="S623" s="77">
        <f>IF((L625=""),"",AVERAGE(D625:L625))</f>
        <v>7398.8433333333332</v>
      </c>
      <c r="T623" s="52">
        <f>IF((L624=""),"",(Q623-R623)/(Q623+R623)*100)</f>
        <v>3.9132728698872445</v>
      </c>
      <c r="U623" s="50">
        <f>STDEV(D625:P625)</f>
        <v>186.01028345228679</v>
      </c>
      <c r="V623" s="273" t="str">
        <f>IF(L624="","",IF(T623&lt;9.8,IF(S623&gt;5100,IF(S623&lt;8300,"Pass","Fail"),"Fail"),"Fail"))</f>
        <v>Pass</v>
      </c>
      <c r="W623" s="47">
        <v>74</v>
      </c>
      <c r="X623" s="252"/>
      <c r="Z623" s="37">
        <v>4955</v>
      </c>
      <c r="AA623" s="37">
        <v>9645</v>
      </c>
      <c r="AB623" s="37">
        <v>5100</v>
      </c>
      <c r="AC623" s="37">
        <v>8300</v>
      </c>
      <c r="AD623" s="69">
        <v>9.8000000000000007</v>
      </c>
      <c r="AE623" s="69">
        <v>10</v>
      </c>
    </row>
    <row r="624" spans="1:31" x14ac:dyDescent="0.25">
      <c r="A624" s="49"/>
      <c r="B624" s="47"/>
      <c r="C624" s="56" t="s">
        <v>204</v>
      </c>
      <c r="D624" s="35">
        <v>3394.56</v>
      </c>
      <c r="E624" s="35">
        <v>3640.16</v>
      </c>
      <c r="F624" s="35">
        <v>3678.42</v>
      </c>
      <c r="G624" s="35">
        <v>3536.08</v>
      </c>
      <c r="H624" s="35">
        <v>3629.61</v>
      </c>
      <c r="I624" s="35">
        <v>3696.43</v>
      </c>
      <c r="J624" s="35">
        <v>3625.28</v>
      </c>
      <c r="K624" s="35">
        <v>3668.03</v>
      </c>
      <c r="L624" s="35">
        <v>3684.49</v>
      </c>
      <c r="M624" s="55"/>
      <c r="N624" s="55"/>
      <c r="O624" s="55"/>
      <c r="P624" s="55"/>
      <c r="Q624" s="47"/>
      <c r="R624" s="47"/>
      <c r="S624" s="47"/>
      <c r="T624" s="47"/>
      <c r="U624" s="47"/>
      <c r="V624" s="274"/>
      <c r="W624" s="47"/>
      <c r="X624" s="252"/>
    </row>
    <row r="625" spans="1:31" ht="22.75" thickBot="1" x14ac:dyDescent="0.3">
      <c r="A625" s="45"/>
      <c r="B625" s="42"/>
      <c r="C625" s="76" t="s">
        <v>203</v>
      </c>
      <c r="D625" s="54">
        <f t="shared" ref="D625:L625" si="204">IF(((D623="")*AND(D624="")),"",(D623-D624)*3)</f>
        <v>7769.85</v>
      </c>
      <c r="E625" s="54">
        <f t="shared" si="204"/>
        <v>7320.3000000000011</v>
      </c>
      <c r="F625" s="54">
        <f t="shared" si="204"/>
        <v>7384.170000000001</v>
      </c>
      <c r="G625" s="54">
        <f t="shared" si="204"/>
        <v>7640.76</v>
      </c>
      <c r="H625" s="54">
        <f t="shared" si="204"/>
        <v>7298.5499999999993</v>
      </c>
      <c r="I625" s="54">
        <f t="shared" si="204"/>
        <v>7368.7799999999988</v>
      </c>
      <c r="J625" s="54">
        <f t="shared" si="204"/>
        <v>7184.6399999999994</v>
      </c>
      <c r="K625" s="54">
        <f t="shared" si="204"/>
        <v>7279.17</v>
      </c>
      <c r="L625" s="54">
        <f t="shared" si="204"/>
        <v>7343.37</v>
      </c>
      <c r="M625" s="54"/>
      <c r="N625" s="54"/>
      <c r="O625" s="54"/>
      <c r="P625" s="54" t="str">
        <f>IF(((P623="")*AND(P624="")),"",(P623-P624)*2)</f>
        <v/>
      </c>
      <c r="Q625" s="47"/>
      <c r="R625" s="47"/>
      <c r="S625" s="47"/>
      <c r="T625" s="47"/>
      <c r="U625" s="47"/>
      <c r="V625" s="274"/>
      <c r="W625" s="47"/>
      <c r="X625" s="262"/>
    </row>
    <row r="626" spans="1:31" x14ac:dyDescent="0.25">
      <c r="A626" s="67">
        <v>43434</v>
      </c>
      <c r="B626" s="57" t="s">
        <v>206</v>
      </c>
      <c r="C626" s="57" t="s">
        <v>205</v>
      </c>
      <c r="D626" s="35">
        <v>4145.2299999999996</v>
      </c>
      <c r="E626" s="35">
        <v>4241.82</v>
      </c>
      <c r="F626" s="35">
        <v>4109.79</v>
      </c>
      <c r="G626" s="35">
        <v>4113.78</v>
      </c>
      <c r="H626" s="35">
        <v>4035.95</v>
      </c>
      <c r="I626" s="35">
        <v>4063.35</v>
      </c>
      <c r="J626" s="35">
        <v>4126.75</v>
      </c>
      <c r="K626" s="35">
        <v>4068.21</v>
      </c>
      <c r="L626" s="35">
        <v>4117.57</v>
      </c>
      <c r="M626" s="35">
        <v>4095.89</v>
      </c>
      <c r="N626" s="35">
        <v>4276.72</v>
      </c>
      <c r="O626" s="35">
        <v>4083.45</v>
      </c>
      <c r="P626" s="35">
        <v>4005.59</v>
      </c>
      <c r="Q626" s="50">
        <f>IF((L627=""),"",MAX(D628:P628))</f>
        <v>5686.46</v>
      </c>
      <c r="R626" s="57">
        <f>IF(L627="","",MIN(D628:L628))</f>
        <v>5511.6999999999989</v>
      </c>
      <c r="S626" s="53">
        <f>IF((P628=""),"",AVERAGE(D628:P628))</f>
        <v>5578.0538461538463</v>
      </c>
      <c r="T626" s="53">
        <f>IF((L627=""),"",(Q626-R626)/(Q626+R626)*100)</f>
        <v>1.5606135293655488</v>
      </c>
      <c r="U626" s="57">
        <f>STDEV(D628:P628)</f>
        <v>54.066455641562463</v>
      </c>
      <c r="V626" s="276" t="str">
        <f>IF(P627="","",IF(T626&lt;2.7,IF(S626&gt;5150,IF(S626&lt;5600,"Pass","Fail"),"Fail"),"Fail"))</f>
        <v>Pass</v>
      </c>
      <c r="W626" s="57">
        <v>64</v>
      </c>
      <c r="X626" s="83"/>
      <c r="Z626" s="71">
        <v>4470</v>
      </c>
      <c r="AA626" s="71">
        <v>6020</v>
      </c>
      <c r="AB626" s="71">
        <v>5150</v>
      </c>
      <c r="AC626" s="71">
        <v>5600</v>
      </c>
      <c r="AD626" s="70">
        <v>2.7</v>
      </c>
      <c r="AE626" s="69">
        <v>10</v>
      </c>
    </row>
    <row r="627" spans="1:31" x14ac:dyDescent="0.25">
      <c r="A627" s="49"/>
      <c r="B627" s="47"/>
      <c r="C627" s="47" t="s">
        <v>204</v>
      </c>
      <c r="D627" s="35">
        <v>1389.38</v>
      </c>
      <c r="E627" s="35">
        <v>1468.54</v>
      </c>
      <c r="F627" s="35">
        <v>1349.68</v>
      </c>
      <c r="G627" s="35">
        <v>1312.56</v>
      </c>
      <c r="H627" s="35">
        <v>1260.4100000000001</v>
      </c>
      <c r="I627" s="35">
        <v>1256.72</v>
      </c>
      <c r="J627" s="35">
        <v>1309.96</v>
      </c>
      <c r="K627" s="35">
        <v>1224.98</v>
      </c>
      <c r="L627" s="35">
        <v>1350.53</v>
      </c>
      <c r="M627" s="35">
        <v>1270.42</v>
      </c>
      <c r="N627" s="35">
        <v>1497.73</v>
      </c>
      <c r="O627" s="35">
        <v>1304.17</v>
      </c>
      <c r="P627" s="35">
        <v>1231.67</v>
      </c>
      <c r="Q627" s="47"/>
      <c r="R627" s="47"/>
      <c r="S627" s="47"/>
      <c r="T627" s="47"/>
      <c r="U627" s="47"/>
      <c r="V627" s="274"/>
      <c r="W627" s="47"/>
      <c r="X627" s="252"/>
    </row>
    <row r="628" spans="1:31" ht="22.75" thickBot="1" x14ac:dyDescent="0.3">
      <c r="A628" s="81"/>
      <c r="B628" s="80"/>
      <c r="C628" s="80" t="s">
        <v>203</v>
      </c>
      <c r="D628" s="86">
        <f t="shared" ref="D628:P628" si="205">IF(((D626="")*AND(D627="")),"",(D626-D627)*2)</f>
        <v>5511.6999999999989</v>
      </c>
      <c r="E628" s="86">
        <f t="shared" si="205"/>
        <v>5546.5599999999995</v>
      </c>
      <c r="F628" s="86">
        <f t="shared" si="205"/>
        <v>5520.2199999999993</v>
      </c>
      <c r="G628" s="86">
        <f t="shared" si="205"/>
        <v>5602.44</v>
      </c>
      <c r="H628" s="86">
        <f t="shared" si="205"/>
        <v>5551.08</v>
      </c>
      <c r="I628" s="86">
        <f t="shared" si="205"/>
        <v>5613.26</v>
      </c>
      <c r="J628" s="86">
        <f t="shared" si="205"/>
        <v>5633.58</v>
      </c>
      <c r="K628" s="86">
        <f t="shared" si="205"/>
        <v>5686.46</v>
      </c>
      <c r="L628" s="86">
        <f t="shared" si="205"/>
        <v>5534.08</v>
      </c>
      <c r="M628" s="86">
        <f t="shared" si="205"/>
        <v>5650.94</v>
      </c>
      <c r="N628" s="86">
        <f t="shared" si="205"/>
        <v>5557.9800000000005</v>
      </c>
      <c r="O628" s="86">
        <f t="shared" si="205"/>
        <v>5558.5599999999995</v>
      </c>
      <c r="P628" s="86">
        <f t="shared" si="205"/>
        <v>5547.84</v>
      </c>
      <c r="Q628" s="80"/>
      <c r="R628" s="80"/>
      <c r="S628" s="80"/>
      <c r="T628" s="80"/>
      <c r="U628" s="80"/>
      <c r="V628" s="277"/>
      <c r="W628" s="80"/>
      <c r="X628" s="252"/>
    </row>
    <row r="629" spans="1:31" x14ac:dyDescent="0.25">
      <c r="A629" s="67">
        <v>43434</v>
      </c>
      <c r="B629" s="50" t="s">
        <v>208</v>
      </c>
      <c r="C629" s="56" t="s">
        <v>205</v>
      </c>
      <c r="D629" s="35">
        <v>3394.56</v>
      </c>
      <c r="E629" s="35">
        <v>3640.16</v>
      </c>
      <c r="F629" s="35">
        <v>3678.42</v>
      </c>
      <c r="G629" s="35">
        <v>3536.08</v>
      </c>
      <c r="H629" s="35">
        <v>3629.61</v>
      </c>
      <c r="I629" s="35">
        <v>3696.43</v>
      </c>
      <c r="J629" s="35">
        <v>3625.28</v>
      </c>
      <c r="K629" s="35">
        <v>3668.03</v>
      </c>
      <c r="L629" s="35">
        <v>3684.49</v>
      </c>
      <c r="M629" s="55"/>
      <c r="N629" s="55"/>
      <c r="O629" s="55"/>
      <c r="P629" s="55"/>
      <c r="Q629" s="50">
        <f>IF((L630=""),"",MAX(D631:L631))</f>
        <v>8564.61</v>
      </c>
      <c r="R629" s="50">
        <f>IF(L630="","",MIN(D631:L631))</f>
        <v>7417.02</v>
      </c>
      <c r="S629" s="77">
        <f>IF((L631=""),"",AVERAGE(D631:L631))</f>
        <v>7657.3466666666682</v>
      </c>
      <c r="T629" s="52">
        <f>IF((L630=""),"",(Q629-R629)/(Q629+R629)*100)</f>
        <v>7.1806818203149492</v>
      </c>
      <c r="U629" s="50">
        <f>STDEV(D631:P631)</f>
        <v>349.43648611013725</v>
      </c>
      <c r="V629" s="273" t="str">
        <f>IF(L630="","",IF(T629&lt;9.8,IF(S629&gt;5100,IF(S629&lt;8300,"Pass","Fail"),"Fail"),"Fail"))</f>
        <v>Pass</v>
      </c>
      <c r="W629" s="47">
        <v>64</v>
      </c>
      <c r="X629" s="252"/>
      <c r="Z629" s="37">
        <v>4955</v>
      </c>
      <c r="AA629" s="37">
        <v>9645</v>
      </c>
      <c r="AB629" s="37">
        <v>5100</v>
      </c>
      <c r="AC629" s="37">
        <v>8300</v>
      </c>
      <c r="AD629" s="69">
        <v>9.8000000000000007</v>
      </c>
      <c r="AE629" s="69">
        <v>10</v>
      </c>
    </row>
    <row r="630" spans="1:31" x14ac:dyDescent="0.25">
      <c r="A630" s="49"/>
      <c r="B630" s="47"/>
      <c r="C630" s="56" t="s">
        <v>204</v>
      </c>
      <c r="D630" s="35">
        <v>880.66</v>
      </c>
      <c r="E630" s="35">
        <v>1086.4100000000001</v>
      </c>
      <c r="F630" s="35">
        <v>1150.77</v>
      </c>
      <c r="G630" s="35">
        <v>681.21</v>
      </c>
      <c r="H630" s="35">
        <v>1077.24</v>
      </c>
      <c r="I630" s="35">
        <v>1196.57</v>
      </c>
      <c r="J630" s="35">
        <v>1124.95</v>
      </c>
      <c r="K630" s="35">
        <v>1195.69</v>
      </c>
      <c r="L630" s="35">
        <v>1187.52</v>
      </c>
      <c r="M630" s="55"/>
      <c r="N630" s="55"/>
      <c r="O630" s="55"/>
      <c r="P630" s="55"/>
      <c r="Q630" s="47"/>
      <c r="R630" s="47"/>
      <c r="S630" s="47"/>
      <c r="T630" s="47"/>
      <c r="U630" s="47"/>
      <c r="V630" s="274"/>
      <c r="W630" s="47"/>
      <c r="X630" s="252"/>
    </row>
    <row r="631" spans="1:31" ht="22.75" thickBot="1" x14ac:dyDescent="0.3">
      <c r="A631" s="45"/>
      <c r="B631" s="42"/>
      <c r="C631" s="76" t="s">
        <v>203</v>
      </c>
      <c r="D631" s="84">
        <f t="shared" ref="D631:L631" si="206">IF(((D629="")*AND(D630="")),"",(D629-D630)*3)</f>
        <v>7541.7000000000007</v>
      </c>
      <c r="E631" s="84">
        <f t="shared" si="206"/>
        <v>7661.25</v>
      </c>
      <c r="F631" s="84">
        <f t="shared" si="206"/>
        <v>7582.9500000000007</v>
      </c>
      <c r="G631" s="84">
        <f t="shared" si="206"/>
        <v>8564.61</v>
      </c>
      <c r="H631" s="84">
        <f t="shared" si="206"/>
        <v>7657.11</v>
      </c>
      <c r="I631" s="84">
        <f t="shared" si="206"/>
        <v>7499.579999999999</v>
      </c>
      <c r="J631" s="84">
        <f t="shared" si="206"/>
        <v>7500.99</v>
      </c>
      <c r="K631" s="84">
        <f t="shared" si="206"/>
        <v>7417.02</v>
      </c>
      <c r="L631" s="84">
        <f t="shared" si="206"/>
        <v>7490.91</v>
      </c>
      <c r="M631" s="84"/>
      <c r="N631" s="84"/>
      <c r="O631" s="84"/>
      <c r="P631" s="84" t="str">
        <f>IF(((P629="")*AND(P630="")),"",(P629-P630)*2)</f>
        <v/>
      </c>
      <c r="Q631" s="42"/>
      <c r="R631" s="42"/>
      <c r="S631" s="42"/>
      <c r="T631" s="42"/>
      <c r="U631" s="42"/>
      <c r="V631" s="275"/>
      <c r="W631" s="42"/>
      <c r="X631" s="262"/>
    </row>
    <row r="632" spans="1:31" x14ac:dyDescent="0.25">
      <c r="A632" s="67">
        <v>43439</v>
      </c>
      <c r="B632" s="57" t="s">
        <v>206</v>
      </c>
      <c r="C632" s="57" t="s">
        <v>205</v>
      </c>
      <c r="D632" s="35">
        <v>6667.69</v>
      </c>
      <c r="E632" s="35">
        <v>6780.27</v>
      </c>
      <c r="F632" s="35">
        <v>6617.61</v>
      </c>
      <c r="G632" s="35">
        <v>6651.81</v>
      </c>
      <c r="H632" s="35">
        <v>6597.76</v>
      </c>
      <c r="I632" s="35">
        <v>6618.61</v>
      </c>
      <c r="J632" s="35">
        <v>6678.21</v>
      </c>
      <c r="K632" s="35">
        <v>6627.15</v>
      </c>
      <c r="L632" s="35">
        <v>6624.44</v>
      </c>
      <c r="M632" s="35">
        <v>6657.11</v>
      </c>
      <c r="N632" s="35">
        <v>6828.67</v>
      </c>
      <c r="O632" s="35">
        <v>6607.07</v>
      </c>
      <c r="P632" s="35">
        <v>6557.1</v>
      </c>
      <c r="Q632" s="50">
        <f>IF((L633=""),"",MAX(D634:P634))</f>
        <v>5581.8799999999992</v>
      </c>
      <c r="R632" s="50">
        <f>IF(L633="","",MIN(D634:L634))</f>
        <v>5487.7599999999993</v>
      </c>
      <c r="S632" s="53">
        <f>IF((P634=""),"",AVERAGE(D634:P634))</f>
        <v>5542.250769230769</v>
      </c>
      <c r="T632" s="52">
        <f>IF((L633=""),"",(Q632-R632)/(Q632+R632)*100)</f>
        <v>0.85025348611156193</v>
      </c>
      <c r="U632" s="50">
        <f>STDEV(D634:P634)</f>
        <v>32.687917865153032</v>
      </c>
      <c r="V632" s="273" t="str">
        <f>IF(P633="","",IF(T632&lt;2.7,IF(S632&gt;5150,IF(S632&lt;5600,"Pass","Fail"),"Fail"),"Fail"))</f>
        <v>Pass</v>
      </c>
      <c r="W632" s="50">
        <v>1340</v>
      </c>
      <c r="X632" s="83"/>
      <c r="Z632" s="71">
        <v>4470</v>
      </c>
      <c r="AA632" s="71">
        <v>6020</v>
      </c>
      <c r="AB632" s="71">
        <v>5150</v>
      </c>
      <c r="AC632" s="71">
        <v>5600</v>
      </c>
      <c r="AD632" s="70">
        <v>2.7</v>
      </c>
      <c r="AE632" s="69">
        <v>10</v>
      </c>
    </row>
    <row r="633" spans="1:31" x14ac:dyDescent="0.25">
      <c r="A633" s="49"/>
      <c r="B633" s="47"/>
      <c r="C633" s="47" t="s">
        <v>204</v>
      </c>
      <c r="D633" s="35">
        <v>3905.22</v>
      </c>
      <c r="E633" s="35">
        <v>3991.58</v>
      </c>
      <c r="F633" s="35">
        <v>3873.73</v>
      </c>
      <c r="G633" s="35">
        <v>3894.77</v>
      </c>
      <c r="H633" s="35">
        <v>3809.17</v>
      </c>
      <c r="I633" s="35">
        <v>3827.67</v>
      </c>
      <c r="J633" s="35">
        <v>3914.21</v>
      </c>
      <c r="K633" s="35">
        <v>3859.5</v>
      </c>
      <c r="L633" s="35">
        <v>3877.21</v>
      </c>
      <c r="M633" s="35">
        <v>3885.03</v>
      </c>
      <c r="N633" s="35">
        <v>4039.28</v>
      </c>
      <c r="O633" s="35">
        <v>3839.71</v>
      </c>
      <c r="P633" s="35">
        <v>3771.79</v>
      </c>
      <c r="Q633" s="47"/>
      <c r="R633" s="47"/>
      <c r="S633" s="47"/>
      <c r="T633" s="47"/>
      <c r="U633" s="47"/>
      <c r="V633" s="274"/>
      <c r="W633" s="47"/>
      <c r="X633" s="252"/>
    </row>
    <row r="634" spans="1:31" ht="22.15" x14ac:dyDescent="0.25">
      <c r="A634" s="81"/>
      <c r="B634" s="80"/>
      <c r="C634" s="80" t="s">
        <v>203</v>
      </c>
      <c r="D634" s="79">
        <f t="shared" ref="D634:P634" si="207">IF(((D632="")*AND(D633="")),"",(D632-D633)*2)</f>
        <v>5524.94</v>
      </c>
      <c r="E634" s="79">
        <f t="shared" si="207"/>
        <v>5577.380000000001</v>
      </c>
      <c r="F634" s="79">
        <f t="shared" si="207"/>
        <v>5487.7599999999993</v>
      </c>
      <c r="G634" s="79">
        <f t="shared" si="207"/>
        <v>5514.0800000000008</v>
      </c>
      <c r="H634" s="79">
        <f t="shared" si="207"/>
        <v>5577.18</v>
      </c>
      <c r="I634" s="79">
        <f t="shared" si="207"/>
        <v>5581.8799999999992</v>
      </c>
      <c r="J634" s="79">
        <f t="shared" si="207"/>
        <v>5528</v>
      </c>
      <c r="K634" s="79">
        <f t="shared" si="207"/>
        <v>5535.2999999999993</v>
      </c>
      <c r="L634" s="79">
        <f t="shared" si="207"/>
        <v>5494.4599999999991</v>
      </c>
      <c r="M634" s="79">
        <f t="shared" si="207"/>
        <v>5544.1599999999989</v>
      </c>
      <c r="N634" s="79">
        <f t="shared" si="207"/>
        <v>5578.78</v>
      </c>
      <c r="O634" s="79">
        <f t="shared" si="207"/>
        <v>5534.7199999999993</v>
      </c>
      <c r="P634" s="79">
        <f t="shared" si="207"/>
        <v>5570.6200000000008</v>
      </c>
      <c r="Q634" s="47"/>
      <c r="R634" s="47"/>
      <c r="S634" s="47"/>
      <c r="T634" s="47"/>
      <c r="U634" s="47"/>
      <c r="V634" s="274"/>
      <c r="W634" s="47"/>
      <c r="X634" s="252"/>
    </row>
    <row r="635" spans="1:31" x14ac:dyDescent="0.25">
      <c r="A635" s="82">
        <v>43439</v>
      </c>
      <c r="B635" s="50" t="s">
        <v>208</v>
      </c>
      <c r="C635" s="56" t="s">
        <v>205</v>
      </c>
      <c r="D635" s="35">
        <v>5843.54</v>
      </c>
      <c r="E635" s="35">
        <v>6103.71</v>
      </c>
      <c r="F635" s="35">
        <v>6152.68</v>
      </c>
      <c r="G635" s="35">
        <v>6033</v>
      </c>
      <c r="H635" s="35">
        <v>6109.65</v>
      </c>
      <c r="I635" s="35">
        <v>6128.97</v>
      </c>
      <c r="J635" s="35">
        <v>5989.24</v>
      </c>
      <c r="K635" s="35">
        <v>6076.24</v>
      </c>
      <c r="L635" s="35">
        <v>6172.28</v>
      </c>
      <c r="M635" s="55"/>
      <c r="N635" s="55"/>
      <c r="O635" s="55"/>
      <c r="P635" s="55"/>
      <c r="Q635" s="50">
        <f>IF((L636=""),"",MAX(D637:L637))</f>
        <v>7927.11</v>
      </c>
      <c r="R635" s="50">
        <f>IF(L636="","",MIN(D637:L637))</f>
        <v>7334.5499999999993</v>
      </c>
      <c r="S635" s="77">
        <f>IF((L637=""),"",AVERAGE(D637:L637))</f>
        <v>7461.9933333333338</v>
      </c>
      <c r="T635" s="52">
        <f>IF((L636=""),"",(Q635-R635)/(Q635+R635)*100)</f>
        <v>3.8826706924410606</v>
      </c>
      <c r="U635" s="50">
        <f>STDEV(D637:P637)</f>
        <v>190.51344191421251</v>
      </c>
      <c r="V635" s="273" t="str">
        <f>IF(L636="","",IF(T635&lt;9.8,IF(S635&gt;5100,IF(S635&lt;8300,"Pass","Fail"),"Fail"),"Fail"))</f>
        <v>Pass</v>
      </c>
      <c r="W635" s="47">
        <v>1340</v>
      </c>
      <c r="X635" s="252"/>
      <c r="Z635" s="37">
        <v>4955</v>
      </c>
      <c r="AA635" s="37">
        <v>9645</v>
      </c>
      <c r="AB635" s="37">
        <v>5100</v>
      </c>
      <c r="AC635" s="37">
        <v>8300</v>
      </c>
      <c r="AD635" s="69">
        <v>9.8000000000000007</v>
      </c>
      <c r="AE635" s="69">
        <v>10</v>
      </c>
    </row>
    <row r="636" spans="1:31" x14ac:dyDescent="0.25">
      <c r="A636" s="49"/>
      <c r="B636" s="47"/>
      <c r="C636" s="56" t="s">
        <v>204</v>
      </c>
      <c r="D636" s="35">
        <v>3201.17</v>
      </c>
      <c r="E636" s="35">
        <v>3653.54</v>
      </c>
      <c r="F636" s="35">
        <v>3678.12</v>
      </c>
      <c r="G636" s="35">
        <v>3510</v>
      </c>
      <c r="H636" s="35">
        <v>3662.19</v>
      </c>
      <c r="I636" s="35">
        <v>3658.57</v>
      </c>
      <c r="J636" s="35">
        <v>3544.39</v>
      </c>
      <c r="K636" s="35">
        <v>3630.48</v>
      </c>
      <c r="L636" s="35">
        <v>3684.87</v>
      </c>
      <c r="M636" s="55"/>
      <c r="N636" s="55"/>
      <c r="O636" s="55"/>
      <c r="P636" s="55"/>
      <c r="Q636" s="47"/>
      <c r="R636" s="47"/>
      <c r="S636" s="47"/>
      <c r="T636" s="47"/>
      <c r="U636" s="47"/>
      <c r="V636" s="274"/>
      <c r="W636" s="47"/>
      <c r="X636" s="252"/>
    </row>
    <row r="637" spans="1:31" ht="22.75" thickBot="1" x14ac:dyDescent="0.3">
      <c r="A637" s="45"/>
      <c r="B637" s="42"/>
      <c r="C637" s="76" t="s">
        <v>203</v>
      </c>
      <c r="D637" s="54">
        <f t="shared" ref="D637:L637" si="208">IF(((D635="")*AND(D636="")),"",(D635-D636)*3)</f>
        <v>7927.11</v>
      </c>
      <c r="E637" s="54">
        <f t="shared" si="208"/>
        <v>7350.51</v>
      </c>
      <c r="F637" s="54">
        <f t="shared" si="208"/>
        <v>7423.6800000000012</v>
      </c>
      <c r="G637" s="54">
        <f t="shared" si="208"/>
        <v>7569</v>
      </c>
      <c r="H637" s="54">
        <f t="shared" si="208"/>
        <v>7342.3799999999992</v>
      </c>
      <c r="I637" s="54">
        <f t="shared" si="208"/>
        <v>7411.2000000000007</v>
      </c>
      <c r="J637" s="54">
        <f t="shared" si="208"/>
        <v>7334.5499999999993</v>
      </c>
      <c r="K637" s="54">
        <f t="shared" si="208"/>
        <v>7337.2799999999988</v>
      </c>
      <c r="L637" s="54">
        <f t="shared" si="208"/>
        <v>7462.23</v>
      </c>
      <c r="M637" s="54"/>
      <c r="N637" s="54"/>
      <c r="O637" s="54"/>
      <c r="P637" s="54" t="str">
        <f>IF(((P635="")*AND(P636="")),"",(P635-P636)*2)</f>
        <v/>
      </c>
      <c r="Q637" s="47"/>
      <c r="R637" s="47"/>
      <c r="S637" s="47"/>
      <c r="T637" s="47"/>
      <c r="U637" s="47"/>
      <c r="V637" s="274"/>
      <c r="W637" s="47"/>
      <c r="X637" s="262"/>
    </row>
    <row r="638" spans="1:31" x14ac:dyDescent="0.25">
      <c r="A638" s="67">
        <v>43445</v>
      </c>
      <c r="B638" s="57" t="s">
        <v>206</v>
      </c>
      <c r="C638" s="57" t="s">
        <v>205</v>
      </c>
      <c r="D638" s="35">
        <v>3919.91</v>
      </c>
      <c r="E638" s="35">
        <v>4007.03</v>
      </c>
      <c r="F638" s="35">
        <v>3887.89</v>
      </c>
      <c r="G638" s="35">
        <v>3908.64</v>
      </c>
      <c r="H638" s="35">
        <v>3823.47</v>
      </c>
      <c r="I638" s="35">
        <v>3841.49</v>
      </c>
      <c r="J638" s="35">
        <v>3928.1</v>
      </c>
      <c r="K638" s="35">
        <v>3873.03</v>
      </c>
      <c r="L638" s="35">
        <v>3891.47</v>
      </c>
      <c r="M638" s="35">
        <v>3898.68</v>
      </c>
      <c r="N638" s="35">
        <v>4054.28</v>
      </c>
      <c r="O638" s="35">
        <v>3853.25</v>
      </c>
      <c r="P638" s="35">
        <v>3784.84</v>
      </c>
      <c r="Q638" s="50">
        <f>IF((L639=""),"",MAX(D640:P640))</f>
        <v>5625.92</v>
      </c>
      <c r="R638" s="50">
        <f>IF(L639="","",MIN(D640:L640))</f>
        <v>5516.36</v>
      </c>
      <c r="S638" s="53">
        <f>IF((P640=""),"",AVERAGE(D640:P640))</f>
        <v>5571.5615384615385</v>
      </c>
      <c r="T638" s="52">
        <f>IF((L639=""),"",(Q638-R638)/(Q638+R638)*100)</f>
        <v>0.98328169818026834</v>
      </c>
      <c r="U638" s="50">
        <f>STDEV(D640:P640)</f>
        <v>35.706468565736309</v>
      </c>
      <c r="V638" s="273" t="str">
        <f>IF(P639="","",IF(T638&lt;2.7,IF(S638&gt;5150,IF(S638&lt;5600,"Pass","Fail"),"Fail"),"Fail"))</f>
        <v>Pass</v>
      </c>
      <c r="W638" s="50">
        <v>1340</v>
      </c>
      <c r="X638" s="83"/>
      <c r="Z638" s="71">
        <v>4470</v>
      </c>
      <c r="AA638" s="71">
        <v>6020</v>
      </c>
      <c r="AB638" s="71">
        <v>5150</v>
      </c>
      <c r="AC638" s="71">
        <v>5600</v>
      </c>
      <c r="AD638" s="70">
        <v>2.7</v>
      </c>
      <c r="AE638" s="69">
        <v>10</v>
      </c>
    </row>
    <row r="639" spans="1:31" x14ac:dyDescent="0.25">
      <c r="A639" s="49"/>
      <c r="B639" s="47"/>
      <c r="C639" s="47" t="s">
        <v>204</v>
      </c>
      <c r="D639" s="35">
        <v>1140.44</v>
      </c>
      <c r="E639" s="35">
        <v>1200.8</v>
      </c>
      <c r="F639" s="35">
        <v>1129.71</v>
      </c>
      <c r="G639" s="35">
        <v>1137.69</v>
      </c>
      <c r="H639" s="35">
        <v>1010.51</v>
      </c>
      <c r="I639" s="35">
        <v>1031.06</v>
      </c>
      <c r="J639" s="35">
        <v>1149.28</v>
      </c>
      <c r="K639" s="35">
        <v>1089.24</v>
      </c>
      <c r="L639" s="35">
        <v>1133</v>
      </c>
      <c r="M639" s="35">
        <v>1114.29</v>
      </c>
      <c r="N639" s="35">
        <v>1264.3499999999999</v>
      </c>
      <c r="O639" s="35">
        <v>1071.75</v>
      </c>
      <c r="P639" s="35">
        <v>984.81</v>
      </c>
      <c r="Q639" s="47"/>
      <c r="R639" s="47"/>
      <c r="S639" s="47"/>
      <c r="T639" s="47"/>
      <c r="U639" s="47"/>
      <c r="V639" s="274"/>
      <c r="W639" s="47"/>
      <c r="X639" s="252"/>
    </row>
    <row r="640" spans="1:31" ht="22.15" x14ac:dyDescent="0.25">
      <c r="A640" s="81"/>
      <c r="B640" s="80"/>
      <c r="C640" s="80" t="s">
        <v>203</v>
      </c>
      <c r="D640" s="79">
        <f t="shared" ref="D640:P640" si="209">IF(((D638="")*AND(D639="")),"",(D638-D639)*2)</f>
        <v>5558.94</v>
      </c>
      <c r="E640" s="79">
        <f t="shared" si="209"/>
        <v>5612.4600000000009</v>
      </c>
      <c r="F640" s="79">
        <f t="shared" si="209"/>
        <v>5516.36</v>
      </c>
      <c r="G640" s="79">
        <f t="shared" si="209"/>
        <v>5541.9</v>
      </c>
      <c r="H640" s="79">
        <f t="shared" si="209"/>
        <v>5625.92</v>
      </c>
      <c r="I640" s="79">
        <f t="shared" si="209"/>
        <v>5620.86</v>
      </c>
      <c r="J640" s="79">
        <f t="shared" si="209"/>
        <v>5557.6399999999994</v>
      </c>
      <c r="K640" s="79">
        <f t="shared" si="209"/>
        <v>5567.58</v>
      </c>
      <c r="L640" s="79">
        <f t="shared" si="209"/>
        <v>5516.94</v>
      </c>
      <c r="M640" s="79">
        <f t="shared" si="209"/>
        <v>5568.78</v>
      </c>
      <c r="N640" s="79">
        <f t="shared" si="209"/>
        <v>5579.8600000000006</v>
      </c>
      <c r="O640" s="79">
        <f t="shared" si="209"/>
        <v>5563</v>
      </c>
      <c r="P640" s="79">
        <f t="shared" si="209"/>
        <v>5600.06</v>
      </c>
      <c r="Q640" s="47"/>
      <c r="R640" s="47"/>
      <c r="S640" s="47"/>
      <c r="T640" s="47"/>
      <c r="U640" s="47"/>
      <c r="V640" s="274"/>
      <c r="W640" s="47"/>
      <c r="X640" s="252"/>
    </row>
    <row r="641" spans="1:31" x14ac:dyDescent="0.25">
      <c r="A641" s="82">
        <v>43445</v>
      </c>
      <c r="B641" s="56" t="s">
        <v>208</v>
      </c>
      <c r="C641" s="56" t="s">
        <v>205</v>
      </c>
      <c r="D641" s="35">
        <v>3637</v>
      </c>
      <c r="E641" s="35">
        <v>3656.05</v>
      </c>
      <c r="F641" s="35">
        <v>3678.06</v>
      </c>
      <c r="G641" s="35">
        <v>3589</v>
      </c>
      <c r="H641" s="35">
        <v>3663.28</v>
      </c>
      <c r="I641" s="35">
        <v>3657.2</v>
      </c>
      <c r="J641" s="35">
        <v>3544.4</v>
      </c>
      <c r="K641" s="35">
        <v>3631.32</v>
      </c>
      <c r="L641" s="35">
        <v>3683.64</v>
      </c>
      <c r="M641" s="55"/>
      <c r="N641" s="55"/>
      <c r="O641" s="55"/>
      <c r="P641" s="55"/>
      <c r="Q641" s="50">
        <f>IF((L642=""),"",MAX(D643:L643))</f>
        <v>7804.23</v>
      </c>
      <c r="R641" s="50">
        <f>IF(L642="","",MIN(D643:L643))</f>
        <v>7179.87</v>
      </c>
      <c r="S641" s="77">
        <f>IF((L643=""),"",AVERAGE(D643:L643))</f>
        <v>7299.87</v>
      </c>
      <c r="T641" s="52">
        <f>IF((L642=""),"",(Q641-R641)/(Q641+R641)*100)</f>
        <v>4.1668168258353839</v>
      </c>
      <c r="U641" s="50">
        <f>STDEV(D643:P643)</f>
        <v>192.01872389170788</v>
      </c>
      <c r="V641" s="273" t="str">
        <f>IF(L642="","",IF(T641&lt;9.8,IF(S641&gt;5100,IF(S641&lt;8300,"Pass","Fail"),"Fail"),"Fail"))</f>
        <v>Pass</v>
      </c>
      <c r="W641" s="47">
        <v>1340</v>
      </c>
      <c r="X641" s="252"/>
      <c r="Z641" s="37">
        <v>4955</v>
      </c>
      <c r="AA641" s="37">
        <v>9645</v>
      </c>
      <c r="AB641" s="37">
        <v>5100</v>
      </c>
      <c r="AC641" s="37">
        <v>8300</v>
      </c>
      <c r="AD641" s="69">
        <v>9.8000000000000007</v>
      </c>
      <c r="AE641" s="69">
        <v>10</v>
      </c>
    </row>
    <row r="642" spans="1:31" x14ac:dyDescent="0.25">
      <c r="A642" s="49"/>
      <c r="B642" s="47"/>
      <c r="C642" s="56" t="s">
        <v>204</v>
      </c>
      <c r="D642" s="35">
        <v>1204</v>
      </c>
      <c r="E642" s="35">
        <v>1236.74</v>
      </c>
      <c r="F642" s="35">
        <v>1264.8800000000001</v>
      </c>
      <c r="G642" s="35">
        <v>987.59</v>
      </c>
      <c r="H642" s="35">
        <v>1258.67</v>
      </c>
      <c r="I642" s="35">
        <v>1247.31</v>
      </c>
      <c r="J642" s="35">
        <v>1151.1099999999999</v>
      </c>
      <c r="K642" s="35">
        <v>1224.8699999999999</v>
      </c>
      <c r="L642" s="35">
        <v>1265.17</v>
      </c>
      <c r="M642" s="55"/>
      <c r="N642" s="55"/>
      <c r="O642" s="55"/>
      <c r="P642" s="55"/>
      <c r="Q642" s="47"/>
      <c r="R642" s="47"/>
      <c r="S642" s="47"/>
      <c r="T642" s="47"/>
      <c r="U642" s="47"/>
      <c r="V642" s="274"/>
      <c r="W642" s="47"/>
      <c r="X642" s="252"/>
    </row>
    <row r="643" spans="1:31" ht="22.75" thickBot="1" x14ac:dyDescent="0.3">
      <c r="A643" s="45"/>
      <c r="B643" s="42"/>
      <c r="C643" s="76" t="s">
        <v>203</v>
      </c>
      <c r="D643" s="54">
        <f t="shared" ref="D643:L643" si="210">IF(((D641="")*AND(D642="")),"",(D641-D642)*3)</f>
        <v>7299</v>
      </c>
      <c r="E643" s="54">
        <f t="shared" si="210"/>
        <v>7257.9300000000012</v>
      </c>
      <c r="F643" s="54">
        <f t="shared" si="210"/>
        <v>7239.5399999999991</v>
      </c>
      <c r="G643" s="54">
        <f t="shared" si="210"/>
        <v>7804.23</v>
      </c>
      <c r="H643" s="54">
        <f t="shared" si="210"/>
        <v>7213.83</v>
      </c>
      <c r="I643" s="54">
        <f t="shared" si="210"/>
        <v>7229.67</v>
      </c>
      <c r="J643" s="54">
        <f t="shared" si="210"/>
        <v>7179.87</v>
      </c>
      <c r="K643" s="54">
        <f t="shared" si="210"/>
        <v>7219.35</v>
      </c>
      <c r="L643" s="54">
        <f t="shared" si="210"/>
        <v>7255.41</v>
      </c>
      <c r="M643" s="54"/>
      <c r="N643" s="54"/>
      <c r="O643" s="54"/>
      <c r="P643" s="54" t="str">
        <f>IF(((P641="")*AND(P642="")),"",(P641-P642)*2)</f>
        <v/>
      </c>
      <c r="Q643" s="47"/>
      <c r="R643" s="47"/>
      <c r="S643" s="47"/>
      <c r="T643" s="47"/>
      <c r="U643" s="47"/>
      <c r="V643" s="274"/>
      <c r="W643" s="47"/>
      <c r="X643" s="262"/>
    </row>
    <row r="644" spans="1:31" x14ac:dyDescent="0.25">
      <c r="A644" s="67">
        <v>43476</v>
      </c>
      <c r="B644" s="57" t="s">
        <v>206</v>
      </c>
      <c r="C644" s="57" t="s">
        <v>205</v>
      </c>
      <c r="D644" s="35">
        <v>6788.05</v>
      </c>
      <c r="E644" s="35">
        <v>6905.6</v>
      </c>
      <c r="F644" s="35">
        <v>6747.63</v>
      </c>
      <c r="G644" s="35">
        <v>6792.88</v>
      </c>
      <c r="H644" s="35">
        <v>6707.68</v>
      </c>
      <c r="I644" s="35">
        <v>6749.97</v>
      </c>
      <c r="J644" s="35">
        <v>6825.46</v>
      </c>
      <c r="K644" s="35">
        <v>6777.02</v>
      </c>
      <c r="L644" s="35">
        <v>6764.95</v>
      </c>
      <c r="M644" s="35">
        <v>6806.32</v>
      </c>
      <c r="N644" s="35">
        <v>6964.68</v>
      </c>
      <c r="O644" s="35">
        <v>6750.73</v>
      </c>
      <c r="P644" s="35">
        <v>6682.73</v>
      </c>
      <c r="Q644" s="50">
        <f>IF((L645=""),"",MAX(D646:P646))</f>
        <v>5423.26</v>
      </c>
      <c r="R644" s="50">
        <f>IF(L645="","",MIN(D646:L646))</f>
        <v>5374.1799999999994</v>
      </c>
      <c r="S644" s="53">
        <f>IF((P646=""),"",AVERAGE(D646:P646))</f>
        <v>5400.5861538461531</v>
      </c>
      <c r="T644" s="52">
        <f>IF((L645=""),"",(Q644-R644)/(Q644+R644)*100)</f>
        <v>0.45455219014878379</v>
      </c>
      <c r="U644" s="50">
        <f>STDEV(D646:P646)</f>
        <v>19.892252067267361</v>
      </c>
      <c r="V644" s="273" t="str">
        <f>IF(P645="","",IF(T644&lt;2.7,IF(S644&gt;5150,IF(S644&lt;5600,"Pass","Fail"),"Fail"),"Fail"))</f>
        <v>Pass</v>
      </c>
      <c r="W644" s="50">
        <v>1335</v>
      </c>
      <c r="X644" s="74" t="s">
        <v>228</v>
      </c>
      <c r="Z644" s="71">
        <v>4470</v>
      </c>
      <c r="AA644" s="71">
        <v>6020</v>
      </c>
      <c r="AB644" s="71">
        <v>5150</v>
      </c>
      <c r="AC644" s="71">
        <v>5600</v>
      </c>
      <c r="AD644" s="70">
        <v>2.7</v>
      </c>
      <c r="AE644" s="69">
        <v>10</v>
      </c>
    </row>
    <row r="645" spans="1:31" x14ac:dyDescent="0.25">
      <c r="A645" s="49"/>
      <c r="B645" s="47"/>
      <c r="C645" s="47" t="s">
        <v>204</v>
      </c>
      <c r="D645" s="35">
        <v>4086.05</v>
      </c>
      <c r="E645" s="35">
        <v>4197.6400000000003</v>
      </c>
      <c r="F645" s="35">
        <v>4053.04</v>
      </c>
      <c r="G645" s="35">
        <v>4091.21</v>
      </c>
      <c r="H645" s="35">
        <v>4001.63</v>
      </c>
      <c r="I645" s="35">
        <v>4038.34</v>
      </c>
      <c r="J645" s="35">
        <v>4121.88</v>
      </c>
      <c r="K645" s="35">
        <v>4065.43</v>
      </c>
      <c r="L645" s="35">
        <v>4077.86</v>
      </c>
      <c r="M645" s="35">
        <v>4095.55</v>
      </c>
      <c r="N645" s="35">
        <v>4267.13</v>
      </c>
      <c r="O645" s="35">
        <v>4063.74</v>
      </c>
      <c r="P645" s="35">
        <v>4000.39</v>
      </c>
      <c r="Q645" s="47"/>
      <c r="R645" s="47"/>
      <c r="S645" s="47"/>
      <c r="T645" s="47"/>
      <c r="U645" s="47"/>
      <c r="V645" s="274"/>
      <c r="W645" s="47"/>
      <c r="X645" s="73"/>
      <c r="AD645" s="69"/>
      <c r="AE645" s="69"/>
    </row>
    <row r="646" spans="1:31" ht="22.75" thickBot="1" x14ac:dyDescent="0.3">
      <c r="A646" s="81"/>
      <c r="B646" s="80"/>
      <c r="C646" s="80" t="s">
        <v>203</v>
      </c>
      <c r="D646" s="79">
        <f t="shared" ref="D646:P646" si="211">IF(((D644="")*AND(D645="")),"",(D644-D645)*2)</f>
        <v>5404</v>
      </c>
      <c r="E646" s="79">
        <f t="shared" si="211"/>
        <v>5415.92</v>
      </c>
      <c r="F646" s="79">
        <f t="shared" si="211"/>
        <v>5389.18</v>
      </c>
      <c r="G646" s="79">
        <f t="shared" si="211"/>
        <v>5403.34</v>
      </c>
      <c r="H646" s="79">
        <f t="shared" si="211"/>
        <v>5412.1</v>
      </c>
      <c r="I646" s="79">
        <f t="shared" si="211"/>
        <v>5423.26</v>
      </c>
      <c r="J646" s="79">
        <f t="shared" si="211"/>
        <v>5407.16</v>
      </c>
      <c r="K646" s="79">
        <f t="shared" si="211"/>
        <v>5423.1800000000012</v>
      </c>
      <c r="L646" s="79">
        <f t="shared" si="211"/>
        <v>5374.1799999999994</v>
      </c>
      <c r="M646" s="79">
        <f t="shared" si="211"/>
        <v>5421.5399999999991</v>
      </c>
      <c r="N646" s="79">
        <f t="shared" si="211"/>
        <v>5395.1</v>
      </c>
      <c r="O646" s="79">
        <f t="shared" si="211"/>
        <v>5373.98</v>
      </c>
      <c r="P646" s="79">
        <f t="shared" si="211"/>
        <v>5364.6799999999994</v>
      </c>
      <c r="Q646" s="47"/>
      <c r="R646" s="47"/>
      <c r="S646" s="47"/>
      <c r="T646" s="47"/>
      <c r="U646" s="47"/>
      <c r="V646" s="274"/>
      <c r="W646" s="47"/>
      <c r="X646" s="73"/>
    </row>
    <row r="647" spans="1:31" x14ac:dyDescent="0.25">
      <c r="A647" s="67">
        <v>43476</v>
      </c>
      <c r="B647" s="56" t="s">
        <v>208</v>
      </c>
      <c r="C647" s="56" t="s">
        <v>205</v>
      </c>
      <c r="D647" s="35">
        <v>5974.19</v>
      </c>
      <c r="E647" s="35">
        <v>6115.66</v>
      </c>
      <c r="F647" s="35">
        <v>6182.48</v>
      </c>
      <c r="G647" s="35">
        <v>6462.28</v>
      </c>
      <c r="H647" s="35">
        <v>6142.12</v>
      </c>
      <c r="I647" s="35">
        <v>6141.87</v>
      </c>
      <c r="J647" s="35">
        <v>6048.02</v>
      </c>
      <c r="K647" s="35">
        <v>6087.22</v>
      </c>
      <c r="L647" s="35">
        <v>6167.62</v>
      </c>
      <c r="M647" s="55"/>
      <c r="N647" s="55"/>
      <c r="O647" s="55"/>
      <c r="P647" s="55"/>
      <c r="Q647" s="50">
        <f>IF((L648=""),"",MAX(D649:L649))</f>
        <v>8098.1699999999983</v>
      </c>
      <c r="R647" s="50">
        <f>IF(L648="","",MIN(D649:L649))</f>
        <v>7208.2200000000012</v>
      </c>
      <c r="S647" s="77">
        <f>IF((L649=""),"",AVERAGE(D649:L649))</f>
        <v>7483.2899999999981</v>
      </c>
      <c r="T647" s="52">
        <f>IF((L648=""),"",(Q647-R647)/(Q647+R647)*100)</f>
        <v>5.8142383671133242</v>
      </c>
      <c r="U647" s="50">
        <f>STDEV(D649:P649)</f>
        <v>295.89171397658225</v>
      </c>
      <c r="V647" s="273" t="str">
        <f>IF(L648="","",IF(T647&lt;9.8,IF(S647&gt;5100,IF(S647&lt;8300,"Pass","Fail"),"Fail"),"Fail"))</f>
        <v>Pass</v>
      </c>
      <c r="W647" s="47">
        <v>1335</v>
      </c>
      <c r="X647" s="73" t="s">
        <v>228</v>
      </c>
      <c r="Z647" s="37">
        <v>4955</v>
      </c>
      <c r="AA647" s="37">
        <v>9645</v>
      </c>
      <c r="AB647" s="37">
        <v>5100</v>
      </c>
      <c r="AC647" s="37">
        <v>8300</v>
      </c>
      <c r="AD647" s="69">
        <v>9.8000000000000007</v>
      </c>
      <c r="AE647" s="69">
        <v>10</v>
      </c>
    </row>
    <row r="648" spans="1:31" x14ac:dyDescent="0.25">
      <c r="A648" s="49"/>
      <c r="B648" s="47"/>
      <c r="C648" s="56" t="s">
        <v>204</v>
      </c>
      <c r="D648" s="35">
        <v>3274.8</v>
      </c>
      <c r="E648" s="35">
        <v>3686.06</v>
      </c>
      <c r="F648" s="35">
        <v>3702.99</v>
      </c>
      <c r="G648" s="35">
        <v>3843</v>
      </c>
      <c r="H648" s="35">
        <v>3680.81</v>
      </c>
      <c r="I648" s="35">
        <v>3688.54</v>
      </c>
      <c r="J648" s="35">
        <v>3645.28</v>
      </c>
      <c r="K648" s="35">
        <v>3657.98</v>
      </c>
      <c r="L648" s="35">
        <v>3692.13</v>
      </c>
      <c r="M648" s="55"/>
      <c r="N648" s="55"/>
      <c r="O648" s="55"/>
      <c r="P648" s="55"/>
      <c r="Q648" s="47"/>
      <c r="R648" s="47"/>
      <c r="S648" s="47"/>
      <c r="T648" s="47"/>
      <c r="U648" s="47"/>
      <c r="V648" s="274"/>
      <c r="W648" s="47"/>
      <c r="X648" s="73"/>
    </row>
    <row r="649" spans="1:31" ht="22.75" thickBot="1" x14ac:dyDescent="0.3">
      <c r="A649" s="45"/>
      <c r="B649" s="42"/>
      <c r="C649" s="76" t="s">
        <v>203</v>
      </c>
      <c r="D649" s="54">
        <f t="shared" ref="D649:L649" si="212">IF(((D647="")*AND(D648="")),"",(D647-D648)*3)</f>
        <v>8098.1699999999983</v>
      </c>
      <c r="E649" s="54">
        <f t="shared" si="212"/>
        <v>7288.7999999999993</v>
      </c>
      <c r="F649" s="54">
        <f t="shared" si="212"/>
        <v>7438.4699999999993</v>
      </c>
      <c r="G649" s="54">
        <f t="shared" si="212"/>
        <v>7857.8399999999992</v>
      </c>
      <c r="H649" s="54">
        <f t="shared" si="212"/>
        <v>7383.93</v>
      </c>
      <c r="I649" s="54">
        <f t="shared" si="212"/>
        <v>7359.99</v>
      </c>
      <c r="J649" s="54">
        <f t="shared" si="212"/>
        <v>7208.2200000000012</v>
      </c>
      <c r="K649" s="54">
        <f t="shared" si="212"/>
        <v>7287.7200000000012</v>
      </c>
      <c r="L649" s="54">
        <f t="shared" si="212"/>
        <v>7426.4699999999993</v>
      </c>
      <c r="M649" s="54"/>
      <c r="N649" s="54"/>
      <c r="O649" s="54"/>
      <c r="P649" s="54" t="str">
        <f>IF(((P647="")*AND(P648="")),"",(P647-P648)*2)</f>
        <v/>
      </c>
      <c r="Q649" s="47"/>
      <c r="R649" s="47"/>
      <c r="S649" s="47"/>
      <c r="T649" s="47"/>
      <c r="U649" s="47"/>
      <c r="V649" s="274"/>
      <c r="W649" s="47"/>
      <c r="X649" s="73"/>
    </row>
    <row r="650" spans="1:31" x14ac:dyDescent="0.25">
      <c r="A650" s="67">
        <v>43480</v>
      </c>
      <c r="B650" s="57" t="s">
        <v>206</v>
      </c>
      <c r="C650" s="57" t="s">
        <v>205</v>
      </c>
      <c r="D650" s="35">
        <v>6871.28</v>
      </c>
      <c r="E650" s="35">
        <v>6988.76</v>
      </c>
      <c r="F650" s="35">
        <v>6822.61</v>
      </c>
      <c r="G650" s="35">
        <v>6858.04</v>
      </c>
      <c r="H650" s="35">
        <v>6802.18</v>
      </c>
      <c r="I650" s="35">
        <v>6827.31</v>
      </c>
      <c r="J650" s="35">
        <v>6888.26</v>
      </c>
      <c r="K650" s="35">
        <v>6836.13</v>
      </c>
      <c r="L650" s="35">
        <v>6838.27</v>
      </c>
      <c r="M650" s="35">
        <v>6872.4</v>
      </c>
      <c r="N650" s="35">
        <v>7041.55</v>
      </c>
      <c r="O650" s="35">
        <v>6827.21</v>
      </c>
      <c r="P650" s="35">
        <v>6769.78</v>
      </c>
      <c r="Q650" s="50">
        <f>IF((L651=""),"",MAX(D652:P652))</f>
        <v>5572.36</v>
      </c>
      <c r="R650" s="50">
        <f>IF(L651="","",MIN(D652:L652))</f>
        <v>5422.76</v>
      </c>
      <c r="S650" s="53">
        <f>IF((P652=""),"",AVERAGE(D652:P652))</f>
        <v>5487.6569230769228</v>
      </c>
      <c r="T650" s="52">
        <f>IF((L651=""),"",(Q650-R650)/(Q650+R650)*100)</f>
        <v>1.3606036132393231</v>
      </c>
      <c r="U650" s="50">
        <f>STDEV(D652:P652)</f>
        <v>46.366077288001307</v>
      </c>
      <c r="V650" s="273" t="str">
        <f>IF(P651="","",IF(T650&lt;2.7,IF(S650&gt;5150,IF(S650&lt;5600,"Pass","Fail"),"Fail"),"Fail"))</f>
        <v>Pass</v>
      </c>
      <c r="W650" s="50">
        <v>74</v>
      </c>
      <c r="X650" s="75" t="s">
        <v>227</v>
      </c>
      <c r="Z650" s="71">
        <v>4470</v>
      </c>
      <c r="AA650" s="71">
        <v>6020</v>
      </c>
      <c r="AB650" s="71">
        <v>5150</v>
      </c>
      <c r="AC650" s="71">
        <v>5600</v>
      </c>
      <c r="AD650" s="70">
        <v>2.7</v>
      </c>
      <c r="AE650" s="69">
        <v>10</v>
      </c>
    </row>
    <row r="651" spans="1:31" x14ac:dyDescent="0.25">
      <c r="A651" s="49"/>
      <c r="B651" s="47"/>
      <c r="C651" s="47" t="s">
        <v>204</v>
      </c>
      <c r="D651" s="35">
        <v>4159.8999999999996</v>
      </c>
      <c r="E651" s="35">
        <v>4267.29</v>
      </c>
      <c r="F651" s="35">
        <v>4102.76</v>
      </c>
      <c r="G651" s="35">
        <v>4106.1499999999996</v>
      </c>
      <c r="H651" s="35">
        <v>4074.48</v>
      </c>
      <c r="I651" s="35">
        <v>4068.03</v>
      </c>
      <c r="J651" s="35">
        <v>4120.51</v>
      </c>
      <c r="K651" s="35">
        <v>4062.69</v>
      </c>
      <c r="L651" s="35">
        <v>4112.3599999999997</v>
      </c>
      <c r="M651" s="35">
        <v>4086.22</v>
      </c>
      <c r="N651" s="35">
        <v>4308.7</v>
      </c>
      <c r="O651" s="35">
        <v>4075.53</v>
      </c>
      <c r="P651" s="35">
        <v>4029.39</v>
      </c>
      <c r="Q651" s="47"/>
      <c r="R651" s="47"/>
      <c r="S651" s="47"/>
      <c r="T651" s="47"/>
      <c r="U651" s="47"/>
      <c r="V651" s="274"/>
      <c r="W651" s="47"/>
      <c r="X651" s="75"/>
    </row>
    <row r="652" spans="1:31" ht="22.75" thickBot="1" x14ac:dyDescent="0.3">
      <c r="A652" s="81"/>
      <c r="B652" s="80"/>
      <c r="C652" s="80" t="s">
        <v>203</v>
      </c>
      <c r="D652" s="79">
        <f t="shared" ref="D652:P652" si="213">IF(((D650="")*AND(D651="")),"",(D650-D651)*2)</f>
        <v>5422.76</v>
      </c>
      <c r="E652" s="79">
        <f t="shared" si="213"/>
        <v>5442.9400000000005</v>
      </c>
      <c r="F652" s="79">
        <f t="shared" si="213"/>
        <v>5439.6999999999989</v>
      </c>
      <c r="G652" s="79">
        <f t="shared" si="213"/>
        <v>5503.7800000000007</v>
      </c>
      <c r="H652" s="79">
        <f t="shared" si="213"/>
        <v>5455.4000000000005</v>
      </c>
      <c r="I652" s="79">
        <f t="shared" si="213"/>
        <v>5518.56</v>
      </c>
      <c r="J652" s="79">
        <f t="shared" si="213"/>
        <v>5535.5</v>
      </c>
      <c r="K652" s="79">
        <f t="shared" si="213"/>
        <v>5546.88</v>
      </c>
      <c r="L652" s="79">
        <f t="shared" si="213"/>
        <v>5451.8200000000015</v>
      </c>
      <c r="M652" s="79">
        <f t="shared" si="213"/>
        <v>5572.36</v>
      </c>
      <c r="N652" s="79">
        <f t="shared" si="213"/>
        <v>5465.7000000000007</v>
      </c>
      <c r="O652" s="79">
        <f t="shared" si="213"/>
        <v>5503.36</v>
      </c>
      <c r="P652" s="79">
        <f t="shared" si="213"/>
        <v>5480.78</v>
      </c>
      <c r="Q652" s="47"/>
      <c r="R652" s="47"/>
      <c r="S652" s="47"/>
      <c r="T652" s="47"/>
      <c r="U652" s="47"/>
      <c r="V652" s="274"/>
      <c r="W652" s="47"/>
      <c r="X652" s="75"/>
      <c r="AB652" s="78"/>
    </row>
    <row r="653" spans="1:31" x14ac:dyDescent="0.25">
      <c r="A653" s="67">
        <v>43480</v>
      </c>
      <c r="B653" s="56" t="s">
        <v>208</v>
      </c>
      <c r="C653" s="56" t="s">
        <v>205</v>
      </c>
      <c r="D653" s="35">
        <v>6032.68</v>
      </c>
      <c r="E653" s="35">
        <v>6090.98</v>
      </c>
      <c r="F653" s="35">
        <v>6105</v>
      </c>
      <c r="G653" s="35">
        <v>6010.8</v>
      </c>
      <c r="H653" s="35">
        <v>6068.47</v>
      </c>
      <c r="I653" s="35">
        <v>6121.41</v>
      </c>
      <c r="J653" s="35">
        <v>6014.48</v>
      </c>
      <c r="K653" s="35">
        <v>6047.08</v>
      </c>
      <c r="L653" s="35">
        <v>6110.48</v>
      </c>
      <c r="M653" s="55"/>
      <c r="N653" s="55"/>
      <c r="O653" s="55"/>
      <c r="P653" s="55"/>
      <c r="Q653" s="50">
        <f>IF((L654=""),"",MAX(D655:L655))</f>
        <v>8265.5400000000009</v>
      </c>
      <c r="R653" s="50">
        <f>IF(L654="","",MIN(D655:L655))</f>
        <v>7228.7099999999991</v>
      </c>
      <c r="S653" s="77">
        <f>IF((L655=""),"",AVERAGE(D655:L655))</f>
        <v>7486.0466666666662</v>
      </c>
      <c r="T653" s="52">
        <f>IF((L654=""),"",(Q653-R653)/(Q653+R653)*100)</f>
        <v>6.6917082143375879</v>
      </c>
      <c r="U653" s="50">
        <f>STDEV(D655:P655)</f>
        <v>300.78585850235766</v>
      </c>
      <c r="V653" s="273" t="str">
        <f>IF(L654="","",IF(T653&lt;9.8,IF(S653&gt;5100,IF(S653&lt;8300,"Pass","Fail"),"Fail"),"Fail"))</f>
        <v>Pass</v>
      </c>
      <c r="W653" s="47">
        <v>74</v>
      </c>
      <c r="X653" s="75" t="s">
        <v>227</v>
      </c>
      <c r="Z653" s="37">
        <v>4955</v>
      </c>
      <c r="AA653" s="37">
        <v>9645</v>
      </c>
      <c r="AB653" s="37">
        <v>5100</v>
      </c>
      <c r="AC653" s="37">
        <v>8300</v>
      </c>
      <c r="AD653" s="69">
        <v>9.8000000000000007</v>
      </c>
      <c r="AE653" s="69">
        <v>10</v>
      </c>
    </row>
    <row r="654" spans="1:31" x14ac:dyDescent="0.25">
      <c r="A654" s="49"/>
      <c r="B654" s="47"/>
      <c r="C654" s="56" t="s">
        <v>204</v>
      </c>
      <c r="D654" s="35">
        <v>3277.5</v>
      </c>
      <c r="E654" s="35">
        <v>3629.41</v>
      </c>
      <c r="F654" s="35">
        <v>3631.4</v>
      </c>
      <c r="G654" s="35">
        <v>3551.01</v>
      </c>
      <c r="H654" s="35">
        <v>3571.62</v>
      </c>
      <c r="I654" s="35">
        <v>3668.13</v>
      </c>
      <c r="J654" s="35">
        <v>3604.91</v>
      </c>
      <c r="K654" s="35">
        <v>3573.21</v>
      </c>
      <c r="L654" s="35">
        <v>3636.05</v>
      </c>
      <c r="M654" s="55"/>
      <c r="N654" s="55"/>
      <c r="O654" s="55"/>
      <c r="P654" s="55"/>
      <c r="Q654" s="47"/>
      <c r="R654" s="47"/>
      <c r="S654" s="47"/>
      <c r="T654" s="47"/>
      <c r="U654" s="47"/>
      <c r="V654" s="274"/>
      <c r="W654" s="47"/>
      <c r="X654" s="75"/>
    </row>
    <row r="655" spans="1:31" ht="22.75" thickBot="1" x14ac:dyDescent="0.3">
      <c r="A655" s="45"/>
      <c r="B655" s="42"/>
      <c r="C655" s="76" t="s">
        <v>203</v>
      </c>
      <c r="D655" s="54">
        <f t="shared" ref="D655:L655" si="214">IF(((D653="")*AND(D654="")),"",(D653-D654)*3)</f>
        <v>8265.5400000000009</v>
      </c>
      <c r="E655" s="54">
        <f t="shared" si="214"/>
        <v>7384.7099999999991</v>
      </c>
      <c r="F655" s="54">
        <f t="shared" si="214"/>
        <v>7420.7999999999993</v>
      </c>
      <c r="G655" s="54">
        <f t="shared" si="214"/>
        <v>7379.37</v>
      </c>
      <c r="H655" s="54">
        <f t="shared" si="214"/>
        <v>7490.5500000000011</v>
      </c>
      <c r="I655" s="54">
        <f t="shared" si="214"/>
        <v>7359.8399999999992</v>
      </c>
      <c r="J655" s="54">
        <f t="shared" si="214"/>
        <v>7228.7099999999991</v>
      </c>
      <c r="K655" s="54">
        <f t="shared" si="214"/>
        <v>7421.61</v>
      </c>
      <c r="L655" s="54">
        <f t="shared" si="214"/>
        <v>7423.2899999999981</v>
      </c>
      <c r="M655" s="54"/>
      <c r="N655" s="54"/>
      <c r="O655" s="54"/>
      <c r="P655" s="54" t="str">
        <f>IF(((P653="")*AND(P654="")),"",(P653-P654)*2)</f>
        <v/>
      </c>
      <c r="Q655" s="47"/>
      <c r="R655" s="47"/>
      <c r="S655" s="47"/>
      <c r="T655" s="47"/>
      <c r="U655" s="47"/>
      <c r="V655" s="274"/>
      <c r="W655" s="47"/>
      <c r="X655" s="75"/>
    </row>
    <row r="656" spans="1:31" x14ac:dyDescent="0.25">
      <c r="A656" s="67">
        <v>43488</v>
      </c>
      <c r="B656" s="57" t="s">
        <v>208</v>
      </c>
      <c r="C656" s="61" t="s">
        <v>205</v>
      </c>
      <c r="D656" s="35">
        <v>6010.67</v>
      </c>
      <c r="E656" s="35">
        <v>6092.19</v>
      </c>
      <c r="F656" s="35">
        <v>6100.35</v>
      </c>
      <c r="G656" s="35">
        <v>6005.58</v>
      </c>
      <c r="H656" s="35">
        <v>6060.46</v>
      </c>
      <c r="I656" s="35">
        <v>6110.54</v>
      </c>
      <c r="J656" s="35">
        <v>6019.71</v>
      </c>
      <c r="K656" s="35">
        <v>6037.76</v>
      </c>
      <c r="L656" s="35">
        <v>6108.11</v>
      </c>
      <c r="M656" s="60"/>
      <c r="N656" s="60"/>
      <c r="O656" s="60"/>
      <c r="P656" s="60"/>
      <c r="Q656" s="57">
        <f>IF((L657=""),"",MAX(D658:L658))</f>
        <v>7844.37</v>
      </c>
      <c r="R656" s="57">
        <f>IF(L657="","",MIN(D658:L658))</f>
        <v>6835.2000000000007</v>
      </c>
      <c r="S656" s="59">
        <f>IF((L658=""),"",AVERAGE(D658:L658))</f>
        <v>7186.373333333333</v>
      </c>
      <c r="T656" s="53">
        <f>IF((L657=""),"",(Q656-R656)/(Q656+R656)*100)</f>
        <v>6.8746564102354437</v>
      </c>
      <c r="U656" s="57">
        <f>STDEV(D658:P658)</f>
        <v>290.85302929486551</v>
      </c>
      <c r="V656" s="276" t="str">
        <f>IF(L657="","",IF(T656&lt;9.8,IF(S656&gt;5100,IF(S656&lt;8300,"Pass","Fail"),"Fail"),"Fail"))</f>
        <v>Pass</v>
      </c>
      <c r="W656" s="57">
        <v>1159</v>
      </c>
      <c r="X656" s="74" t="s">
        <v>226</v>
      </c>
      <c r="Z656" s="37">
        <v>4955</v>
      </c>
      <c r="AA656" s="37">
        <v>9645</v>
      </c>
      <c r="AB656" s="37">
        <v>5100</v>
      </c>
      <c r="AC656" s="37">
        <v>8300</v>
      </c>
      <c r="AD656" s="69">
        <v>9.8000000000000007</v>
      </c>
      <c r="AE656" s="69">
        <v>10</v>
      </c>
    </row>
    <row r="657" spans="1:31" x14ac:dyDescent="0.25">
      <c r="A657" s="49"/>
      <c r="B657" s="47"/>
      <c r="C657" s="56" t="s">
        <v>204</v>
      </c>
      <c r="D657" s="35">
        <v>3532.63</v>
      </c>
      <c r="E657" s="35">
        <v>3735.96</v>
      </c>
      <c r="F657" s="35">
        <v>3723.62</v>
      </c>
      <c r="G657" s="35">
        <v>3390.79</v>
      </c>
      <c r="H657" s="35">
        <v>3687.66</v>
      </c>
      <c r="I657" s="35">
        <v>3747.9</v>
      </c>
      <c r="J657" s="35">
        <v>3741.31</v>
      </c>
      <c r="K657" s="35">
        <v>3694.39</v>
      </c>
      <c r="L657" s="35">
        <v>3731.99</v>
      </c>
      <c r="M657" s="55"/>
      <c r="N657" s="55"/>
      <c r="O657" s="55"/>
      <c r="P657" s="55"/>
      <c r="Q657" s="47"/>
      <c r="R657" s="47"/>
      <c r="S657" s="47"/>
      <c r="T657" s="47"/>
      <c r="U657" s="47"/>
      <c r="V657" s="274"/>
      <c r="W657" s="47"/>
      <c r="X657" s="73"/>
    </row>
    <row r="658" spans="1:31" ht="22.75" thickBot="1" x14ac:dyDescent="0.3">
      <c r="A658" s="49"/>
      <c r="B658" s="47"/>
      <c r="C658" s="50" t="s">
        <v>203</v>
      </c>
      <c r="D658" s="54">
        <f t="shared" ref="D658:L658" si="215">IF(((D656="")*AND(D657="")),"",(D656-D657)*3)</f>
        <v>7434.12</v>
      </c>
      <c r="E658" s="54">
        <f t="shared" si="215"/>
        <v>7068.6899999999987</v>
      </c>
      <c r="F658" s="54">
        <f t="shared" si="215"/>
        <v>7130.1900000000014</v>
      </c>
      <c r="G658" s="54">
        <f t="shared" si="215"/>
        <v>7844.37</v>
      </c>
      <c r="H658" s="54">
        <f t="shared" si="215"/>
        <v>7118.4000000000005</v>
      </c>
      <c r="I658" s="54">
        <f t="shared" si="215"/>
        <v>7087.92</v>
      </c>
      <c r="J658" s="54">
        <f t="shared" si="215"/>
        <v>6835.2000000000007</v>
      </c>
      <c r="K658" s="54">
        <f t="shared" si="215"/>
        <v>7030.1100000000006</v>
      </c>
      <c r="L658" s="54">
        <f t="shared" si="215"/>
        <v>7128.36</v>
      </c>
      <c r="M658" s="54"/>
      <c r="N658" s="54"/>
      <c r="O658" s="54"/>
      <c r="P658" s="54" t="str">
        <f>IF(((P656="")*AND(P657="")),"",(P656-P657)*2)</f>
        <v/>
      </c>
      <c r="Q658" s="47"/>
      <c r="R658" s="47"/>
      <c r="S658" s="47"/>
      <c r="T658" s="47"/>
      <c r="U658" s="47"/>
      <c r="V658" s="274"/>
      <c r="W658" s="47"/>
      <c r="X658" s="73"/>
    </row>
    <row r="659" spans="1:31" x14ac:dyDescent="0.25">
      <c r="A659" s="67">
        <v>43488</v>
      </c>
      <c r="B659" s="50" t="s">
        <v>206</v>
      </c>
      <c r="C659" s="50" t="s">
        <v>205</v>
      </c>
      <c r="D659" s="35">
        <v>6780.39</v>
      </c>
      <c r="E659" s="35">
        <v>6900.02</v>
      </c>
      <c r="F659" s="35">
        <v>6722.88</v>
      </c>
      <c r="G659" s="35">
        <v>6764.51</v>
      </c>
      <c r="H659" s="35">
        <v>6723.64</v>
      </c>
      <c r="I659" s="35">
        <v>6736.23</v>
      </c>
      <c r="J659" s="35">
        <v>6796.5</v>
      </c>
      <c r="K659" s="35">
        <v>6740.1</v>
      </c>
      <c r="L659" s="35">
        <v>6743.68</v>
      </c>
      <c r="M659" s="35">
        <v>6780.22</v>
      </c>
      <c r="N659" s="35">
        <v>6954.51</v>
      </c>
      <c r="O659" s="35">
        <v>6731.03</v>
      </c>
      <c r="P659" s="35">
        <v>6687.18</v>
      </c>
      <c r="Q659" s="50">
        <f>IF((L660=""),"",MAX(D661:P661))</f>
        <v>5455.7399999999989</v>
      </c>
      <c r="R659" s="50">
        <f>IF(L660="","",MIN(D661:L661))</f>
        <v>5391.9600000000009</v>
      </c>
      <c r="S659" s="53">
        <f>IF((P661=""),"",AVERAGE(D661:P661))</f>
        <v>5425.2000000000007</v>
      </c>
      <c r="T659" s="52">
        <f>IF((L660=""),"",(Q659-R659)/(Q659+R659)*100)</f>
        <v>0.5879587377969332</v>
      </c>
      <c r="U659" s="50">
        <f>STDEV(D661:P661)</f>
        <v>23.652062630279513</v>
      </c>
      <c r="V659" s="273" t="str">
        <f>IF(P660="","",IF(T659&lt;2.7,IF(S659&gt;5150,IF(S659&lt;5600,"Pass","Fail"),"Fail"),"Fail"))</f>
        <v>Pass</v>
      </c>
      <c r="W659" s="50">
        <v>1159</v>
      </c>
      <c r="X659" s="73" t="s">
        <v>226</v>
      </c>
      <c r="Z659" s="71">
        <v>4470</v>
      </c>
      <c r="AA659" s="71">
        <v>6020</v>
      </c>
      <c r="AB659" s="71">
        <v>5150</v>
      </c>
      <c r="AC659" s="71">
        <v>5600</v>
      </c>
      <c r="AD659" s="70">
        <v>2.7</v>
      </c>
      <c r="AE659" s="69">
        <v>10</v>
      </c>
    </row>
    <row r="660" spans="1:31" x14ac:dyDescent="0.25">
      <c r="A660" s="49"/>
      <c r="B660" s="47"/>
      <c r="C660" s="47" t="s">
        <v>204</v>
      </c>
      <c r="D660" s="35">
        <v>4069.41</v>
      </c>
      <c r="E660" s="35">
        <v>4178.03</v>
      </c>
      <c r="F660" s="35">
        <v>4022.79</v>
      </c>
      <c r="G660" s="35">
        <v>4051.61</v>
      </c>
      <c r="H660" s="35">
        <v>3997.94</v>
      </c>
      <c r="I660" s="35">
        <v>4008.36</v>
      </c>
      <c r="J660" s="35">
        <v>4081.95</v>
      </c>
      <c r="K660" s="35">
        <v>4017.95</v>
      </c>
      <c r="L660" s="35">
        <v>4047.7</v>
      </c>
      <c r="M660" s="35">
        <v>4062.92</v>
      </c>
      <c r="N660" s="35">
        <v>4232.47</v>
      </c>
      <c r="O660" s="35">
        <v>4034.27</v>
      </c>
      <c r="P660" s="35">
        <v>3991.69</v>
      </c>
      <c r="Q660" s="47"/>
      <c r="R660" s="47"/>
      <c r="S660" s="47"/>
      <c r="T660" s="47"/>
      <c r="U660" s="47"/>
      <c r="V660" s="274"/>
      <c r="W660" s="47"/>
      <c r="X660" s="73"/>
    </row>
    <row r="661" spans="1:31" ht="22.75" thickBot="1" x14ac:dyDescent="0.3">
      <c r="A661" s="45"/>
      <c r="B661" s="42"/>
      <c r="C661" s="42" t="s">
        <v>203</v>
      </c>
      <c r="D661" s="44">
        <f t="shared" ref="D661:P661" si="216">IF(((D659="")*AND(D660="")),"",(D659-D660)*2)</f>
        <v>5421.9600000000009</v>
      </c>
      <c r="E661" s="44">
        <f t="shared" si="216"/>
        <v>5443.9800000000014</v>
      </c>
      <c r="F661" s="44">
        <f t="shared" si="216"/>
        <v>5400.18</v>
      </c>
      <c r="G661" s="44">
        <f t="shared" si="216"/>
        <v>5425.8</v>
      </c>
      <c r="H661" s="44">
        <f t="shared" si="216"/>
        <v>5451.4000000000005</v>
      </c>
      <c r="I661" s="44">
        <f t="shared" si="216"/>
        <v>5455.7399999999989</v>
      </c>
      <c r="J661" s="44">
        <f t="shared" si="216"/>
        <v>5429.1</v>
      </c>
      <c r="K661" s="44">
        <f t="shared" si="216"/>
        <v>5444.3000000000011</v>
      </c>
      <c r="L661" s="44">
        <f t="shared" si="216"/>
        <v>5391.9600000000009</v>
      </c>
      <c r="M661" s="44">
        <f t="shared" si="216"/>
        <v>5434.6</v>
      </c>
      <c r="N661" s="44">
        <f t="shared" si="216"/>
        <v>5444.08</v>
      </c>
      <c r="O661" s="44">
        <f t="shared" si="216"/>
        <v>5393.5199999999995</v>
      </c>
      <c r="P661" s="44">
        <f t="shared" si="216"/>
        <v>5390.9800000000005</v>
      </c>
      <c r="Q661" s="42"/>
      <c r="R661" s="42"/>
      <c r="S661" s="42"/>
      <c r="T661" s="42"/>
      <c r="U661" s="42"/>
      <c r="V661" s="275"/>
      <c r="W661" s="42"/>
      <c r="X661" s="72"/>
    </row>
    <row r="662" spans="1:31" x14ac:dyDescent="0.25">
      <c r="A662" s="67">
        <v>43493</v>
      </c>
      <c r="B662" s="57" t="s">
        <v>208</v>
      </c>
      <c r="C662" s="61" t="s">
        <v>205</v>
      </c>
      <c r="D662" s="35">
        <v>3532.63</v>
      </c>
      <c r="E662" s="35">
        <v>3735.96</v>
      </c>
      <c r="F662" s="35">
        <v>3723.62</v>
      </c>
      <c r="G662" s="35">
        <v>3390.79</v>
      </c>
      <c r="H662" s="35">
        <v>3687.66</v>
      </c>
      <c r="I662" s="35">
        <v>3747.9</v>
      </c>
      <c r="J662" s="35">
        <v>3741.31</v>
      </c>
      <c r="K662" s="35">
        <v>3694.39</v>
      </c>
      <c r="L662" s="35">
        <v>3731.99</v>
      </c>
      <c r="M662" s="60"/>
      <c r="N662" s="60"/>
      <c r="O662" s="60"/>
      <c r="P662" s="60"/>
      <c r="Q662" s="57">
        <f>IF((L663=""),"",MAX(D664:L664))</f>
        <v>7183.2899999999991</v>
      </c>
      <c r="R662" s="57">
        <f>IF(L663="","",MIN(D664:L664))</f>
        <v>6612.99</v>
      </c>
      <c r="S662" s="59">
        <f>IF((L664=""),"",AVERAGE(D664:L664))</f>
        <v>6858.9433333333327</v>
      </c>
      <c r="T662" s="53">
        <f>IF((L663=""),"",(Q662-R662)/(Q662+R662)*100)</f>
        <v>4.1337230035922676</v>
      </c>
      <c r="U662" s="57">
        <f>STDEV(D664:P664)</f>
        <v>156.78837887420067</v>
      </c>
      <c r="V662" s="276" t="str">
        <f>IF(L663="","",IF(T662&lt;9.8,IF(S662&gt;5100,IF(S662&lt;8300,"Pass","Fail"),"Fail"),"Fail"))</f>
        <v>Pass</v>
      </c>
      <c r="W662" s="57">
        <v>121</v>
      </c>
      <c r="X662" s="68" t="s">
        <v>184</v>
      </c>
      <c r="Z662" s="37">
        <v>4955</v>
      </c>
      <c r="AA662" s="37">
        <v>9645</v>
      </c>
      <c r="AB662" s="37">
        <v>5100</v>
      </c>
      <c r="AC662" s="37">
        <v>8300</v>
      </c>
      <c r="AD662" s="69">
        <v>9.8000000000000007</v>
      </c>
      <c r="AE662" s="69">
        <v>10</v>
      </c>
    </row>
    <row r="663" spans="1:31" x14ac:dyDescent="0.25">
      <c r="A663" s="49"/>
      <c r="B663" s="47"/>
      <c r="C663" s="56" t="s">
        <v>204</v>
      </c>
      <c r="D663" s="35">
        <v>1225.75</v>
      </c>
      <c r="E663" s="35">
        <v>1477.29</v>
      </c>
      <c r="F663" s="35">
        <v>1441.64</v>
      </c>
      <c r="G663" s="35">
        <v>996.36</v>
      </c>
      <c r="H663" s="35">
        <v>1369.51</v>
      </c>
      <c r="I663" s="35">
        <v>1495.33</v>
      </c>
      <c r="J663" s="35">
        <v>1536.98</v>
      </c>
      <c r="K663" s="35">
        <v>1415.03</v>
      </c>
      <c r="L663" s="35">
        <v>1451.53</v>
      </c>
      <c r="M663" s="55"/>
      <c r="N663" s="55"/>
      <c r="O663" s="55"/>
      <c r="P663" s="55"/>
      <c r="Q663" s="47"/>
      <c r="R663" s="47"/>
      <c r="S663" s="47"/>
      <c r="T663" s="47"/>
      <c r="U663" s="47"/>
      <c r="V663" s="274"/>
      <c r="W663" s="47"/>
      <c r="X663" s="73"/>
    </row>
    <row r="664" spans="1:31" ht="22.75" thickBot="1" x14ac:dyDescent="0.3">
      <c r="A664" s="49"/>
      <c r="B664" s="47"/>
      <c r="C664" s="50" t="s">
        <v>203</v>
      </c>
      <c r="D664" s="54">
        <f t="shared" ref="D664:L664" si="217">IF(((D662="")*AND(D663="")),"",(D662-D663)*3)</f>
        <v>6920.64</v>
      </c>
      <c r="E664" s="54">
        <f t="shared" si="217"/>
        <v>6776.01</v>
      </c>
      <c r="F664" s="54">
        <f t="shared" si="217"/>
        <v>6845.9399999999987</v>
      </c>
      <c r="G664" s="54">
        <f t="shared" si="217"/>
        <v>7183.2899999999991</v>
      </c>
      <c r="H664" s="54">
        <f t="shared" si="217"/>
        <v>6954.4499999999989</v>
      </c>
      <c r="I664" s="54">
        <f t="shared" si="217"/>
        <v>6757.7100000000009</v>
      </c>
      <c r="J664" s="54">
        <f t="shared" si="217"/>
        <v>6612.99</v>
      </c>
      <c r="K664" s="54">
        <f t="shared" si="217"/>
        <v>6838.079999999999</v>
      </c>
      <c r="L664" s="54">
        <f t="shared" si="217"/>
        <v>6841.38</v>
      </c>
      <c r="M664" s="54"/>
      <c r="N664" s="54"/>
      <c r="O664" s="54"/>
      <c r="P664" s="54" t="str">
        <f>IF(((P662="")*AND(P663="")),"",(P662-P663)*2)</f>
        <v/>
      </c>
      <c r="Q664" s="47"/>
      <c r="R664" s="47"/>
      <c r="S664" s="47"/>
      <c r="T664" s="47"/>
      <c r="U664" s="47"/>
      <c r="V664" s="274"/>
      <c r="W664" s="47"/>
      <c r="X664" s="73"/>
    </row>
    <row r="665" spans="1:31" x14ac:dyDescent="0.25">
      <c r="A665" s="67">
        <v>43493</v>
      </c>
      <c r="B665" s="50" t="s">
        <v>206</v>
      </c>
      <c r="C665" s="50" t="s">
        <v>205</v>
      </c>
      <c r="D665" s="35">
        <v>4069.41</v>
      </c>
      <c r="E665" s="35">
        <v>4178.03</v>
      </c>
      <c r="F665" s="35">
        <v>4022.79</v>
      </c>
      <c r="G665" s="35">
        <v>4051.61</v>
      </c>
      <c r="H665" s="35">
        <v>3997.94</v>
      </c>
      <c r="I665" s="35">
        <v>4008.36</v>
      </c>
      <c r="J665" s="35">
        <v>4081.95</v>
      </c>
      <c r="K665" s="35">
        <v>4017.95</v>
      </c>
      <c r="L665" s="35">
        <v>4047.7</v>
      </c>
      <c r="M665" s="35">
        <v>4062.92</v>
      </c>
      <c r="N665" s="35">
        <v>4232.47</v>
      </c>
      <c r="O665" s="35">
        <v>4034.27</v>
      </c>
      <c r="P665" s="35">
        <v>3991.69</v>
      </c>
      <c r="Q665" s="50">
        <f>IF((L666=""),"",MAX(D667:P667))</f>
        <v>5505.22</v>
      </c>
      <c r="R665" s="50">
        <f>IF(L666="","",MIN(D667:L667))</f>
        <v>5421.66</v>
      </c>
      <c r="S665" s="53">
        <f>IF((P667=""),"",AVERAGE(D667:P667))</f>
        <v>5462.8461538461552</v>
      </c>
      <c r="T665" s="52">
        <f>IF((L666=""),"",(Q665-R665)/(Q665+R665)*100)</f>
        <v>0.76471966380156453</v>
      </c>
      <c r="U665" s="50">
        <f>STDEV(D667:P667)</f>
        <v>26.336006258372418</v>
      </c>
      <c r="V665" s="273" t="str">
        <f>IF(P666="","",IF(T665&lt;2.7,IF(S665&gt;5150,IF(S665&lt;5600,"Pass","Fail"),"Fail"),"Fail"))</f>
        <v>Pass</v>
      </c>
      <c r="W665" s="50">
        <v>121</v>
      </c>
      <c r="X665" s="73" t="s">
        <v>184</v>
      </c>
      <c r="Z665" s="71">
        <v>4470</v>
      </c>
      <c r="AA665" s="71">
        <v>6020</v>
      </c>
      <c r="AB665" s="71">
        <v>5150</v>
      </c>
      <c r="AC665" s="71">
        <v>5600</v>
      </c>
      <c r="AD665" s="70">
        <v>2.7</v>
      </c>
      <c r="AE665" s="69">
        <v>10</v>
      </c>
    </row>
    <row r="666" spans="1:31" x14ac:dyDescent="0.25">
      <c r="A666" s="49"/>
      <c r="B666" s="47"/>
      <c r="C666" s="47" t="s">
        <v>204</v>
      </c>
      <c r="D666" s="35">
        <v>1336.78</v>
      </c>
      <c r="E666" s="35">
        <v>1437.56</v>
      </c>
      <c r="F666" s="35">
        <v>1307.43</v>
      </c>
      <c r="G666" s="35">
        <v>1321.83</v>
      </c>
      <c r="H666" s="35">
        <v>1245.33</v>
      </c>
      <c r="I666" s="35">
        <v>1257.67</v>
      </c>
      <c r="J666" s="35">
        <v>1352.43</v>
      </c>
      <c r="K666" s="35">
        <v>1279.19</v>
      </c>
      <c r="L666" s="35">
        <v>1336.87</v>
      </c>
      <c r="M666" s="35">
        <v>1334.83</v>
      </c>
      <c r="N666" s="35">
        <v>1491.41</v>
      </c>
      <c r="O666" s="35">
        <v>1319.37</v>
      </c>
      <c r="P666" s="35">
        <v>1267.8900000000001</v>
      </c>
      <c r="Q666" s="47"/>
      <c r="R666" s="47"/>
      <c r="S666" s="47"/>
      <c r="T666" s="47"/>
      <c r="U666" s="47"/>
      <c r="V666" s="274"/>
      <c r="W666" s="47"/>
      <c r="X666" s="73"/>
    </row>
    <row r="667" spans="1:31" ht="22.75" thickBot="1" x14ac:dyDescent="0.3">
      <c r="A667" s="45"/>
      <c r="B667" s="42"/>
      <c r="C667" s="42" t="s">
        <v>203</v>
      </c>
      <c r="D667" s="44">
        <f t="shared" ref="D667:P667" si="218">IF(((D665="")*AND(D666="")),"",(D665-D666)*2)</f>
        <v>5465.26</v>
      </c>
      <c r="E667" s="44">
        <f t="shared" si="218"/>
        <v>5480.94</v>
      </c>
      <c r="F667" s="44">
        <f t="shared" si="218"/>
        <v>5430.7199999999993</v>
      </c>
      <c r="G667" s="44">
        <f t="shared" si="218"/>
        <v>5459.56</v>
      </c>
      <c r="H667" s="44">
        <f t="shared" si="218"/>
        <v>5505.22</v>
      </c>
      <c r="I667" s="44">
        <f t="shared" si="218"/>
        <v>5501.38</v>
      </c>
      <c r="J667" s="44">
        <f t="shared" si="218"/>
        <v>5459.0399999999991</v>
      </c>
      <c r="K667" s="44">
        <f t="shared" si="218"/>
        <v>5477.5199999999995</v>
      </c>
      <c r="L667" s="44">
        <f t="shared" si="218"/>
        <v>5421.66</v>
      </c>
      <c r="M667" s="44">
        <f t="shared" si="218"/>
        <v>5456.18</v>
      </c>
      <c r="N667" s="44">
        <f t="shared" si="218"/>
        <v>5482.1200000000008</v>
      </c>
      <c r="O667" s="44">
        <f t="shared" si="218"/>
        <v>5429.8</v>
      </c>
      <c r="P667" s="44">
        <f t="shared" si="218"/>
        <v>5447.6</v>
      </c>
      <c r="Q667" s="42"/>
      <c r="R667" s="42"/>
      <c r="S667" s="42"/>
      <c r="T667" s="42"/>
      <c r="U667" s="42"/>
      <c r="V667" s="275"/>
      <c r="W667" s="42"/>
      <c r="X667" s="72"/>
    </row>
    <row r="668" spans="1:31" x14ac:dyDescent="0.25">
      <c r="A668" s="67">
        <v>43501</v>
      </c>
      <c r="B668" s="57" t="s">
        <v>208</v>
      </c>
      <c r="C668" s="61" t="s">
        <v>205</v>
      </c>
      <c r="D668" s="35">
        <v>6050</v>
      </c>
      <c r="E668" s="35">
        <v>6058.28</v>
      </c>
      <c r="F668" s="35">
        <v>6099.21</v>
      </c>
      <c r="G668" s="35">
        <v>5994.01</v>
      </c>
      <c r="H668" s="35">
        <v>6052.49</v>
      </c>
      <c r="I668" s="35">
        <v>6117.17</v>
      </c>
      <c r="J668" s="35">
        <v>6039.26</v>
      </c>
      <c r="K668" s="35">
        <v>6055.42</v>
      </c>
      <c r="L668" s="35">
        <v>6092.86</v>
      </c>
      <c r="M668" s="60"/>
      <c r="N668" s="60"/>
      <c r="O668" s="60"/>
      <c r="P668" s="60"/>
      <c r="Q668" s="57">
        <f>IF((L669=""),"",MAX(D670:L670))</f>
        <v>7553.16</v>
      </c>
      <c r="R668" s="57">
        <f>IF(L669="","",MIN(D670:L670))</f>
        <v>6949.6800000000012</v>
      </c>
      <c r="S668" s="59">
        <f>IF((L670=""),"",AVERAGE(D670:L670))</f>
        <v>7138.1466666666656</v>
      </c>
      <c r="T668" s="53">
        <f>IF((L669=""),"",(Q668-R668)/(Q668+R668)*100)</f>
        <v>4.1611160296879692</v>
      </c>
      <c r="U668" s="57">
        <f>STDEV(D670:P670)</f>
        <v>220.83945492144304</v>
      </c>
      <c r="V668" s="276" t="str">
        <f>IF(L669="","",IF(T668&lt;9.8,IF(S668&gt;5100,IF(S668&lt;8300,"Pass","Fail"),"Fail"),"Fail"))</f>
        <v>Pass</v>
      </c>
      <c r="W668" s="57">
        <v>1159</v>
      </c>
      <c r="X668" s="68" t="s">
        <v>225</v>
      </c>
      <c r="Z668" s="37">
        <v>4955</v>
      </c>
      <c r="AA668" s="37">
        <v>9645</v>
      </c>
      <c r="AB668" s="37">
        <v>5100</v>
      </c>
      <c r="AC668" s="37">
        <v>8300</v>
      </c>
      <c r="AD668" s="69">
        <v>9.8000000000000007</v>
      </c>
      <c r="AE668" s="69">
        <v>10</v>
      </c>
    </row>
    <row r="669" spans="1:31" x14ac:dyDescent="0.25">
      <c r="A669" s="49"/>
      <c r="B669" s="47"/>
      <c r="C669" s="56" t="s">
        <v>204</v>
      </c>
      <c r="D669" s="35">
        <v>3532.28</v>
      </c>
      <c r="E669" s="35">
        <v>3720.27</v>
      </c>
      <c r="F669" s="35">
        <v>3739.08</v>
      </c>
      <c r="G669" s="35">
        <v>3500.7</v>
      </c>
      <c r="H669" s="35">
        <v>3698.86</v>
      </c>
      <c r="I669" s="35">
        <v>3756.03</v>
      </c>
      <c r="J669" s="35">
        <v>3722.7</v>
      </c>
      <c r="K669" s="35">
        <v>3735.94</v>
      </c>
      <c r="L669" s="35">
        <v>3738.4</v>
      </c>
      <c r="M669" s="55"/>
      <c r="N669" s="55"/>
      <c r="O669" s="55"/>
      <c r="P669" s="55"/>
      <c r="Q669" s="47"/>
      <c r="R669" s="47"/>
      <c r="S669" s="47"/>
      <c r="T669" s="47"/>
      <c r="U669" s="47"/>
      <c r="V669" s="274"/>
      <c r="W669" s="47"/>
      <c r="X669" s="73"/>
    </row>
    <row r="670" spans="1:31" ht="22.75" thickBot="1" x14ac:dyDescent="0.3">
      <c r="A670" s="49"/>
      <c r="B670" s="47"/>
      <c r="C670" s="50" t="s">
        <v>203</v>
      </c>
      <c r="D670" s="54">
        <f t="shared" ref="D670:L670" si="219">IF(((D668="")*AND(D669="")),"",(D668-D669)*3)</f>
        <v>7553.16</v>
      </c>
      <c r="E670" s="54">
        <f t="shared" si="219"/>
        <v>7014.0299999999988</v>
      </c>
      <c r="F670" s="54">
        <f t="shared" si="219"/>
        <v>7080.39</v>
      </c>
      <c r="G670" s="54">
        <f t="shared" si="219"/>
        <v>7479.9300000000012</v>
      </c>
      <c r="H670" s="54">
        <f t="shared" si="219"/>
        <v>7060.8899999999994</v>
      </c>
      <c r="I670" s="54">
        <f t="shared" si="219"/>
        <v>7083.42</v>
      </c>
      <c r="J670" s="54">
        <f t="shared" si="219"/>
        <v>6949.6800000000012</v>
      </c>
      <c r="K670" s="54">
        <f t="shared" si="219"/>
        <v>6958.4400000000005</v>
      </c>
      <c r="L670" s="54">
        <f t="shared" si="219"/>
        <v>7063.3799999999992</v>
      </c>
      <c r="M670" s="54"/>
      <c r="N670" s="54"/>
      <c r="O670" s="54"/>
      <c r="P670" s="54" t="str">
        <f>IF(((P668="")*AND(P669="")),"",(P668-P669)*2)</f>
        <v/>
      </c>
      <c r="Q670" s="47"/>
      <c r="R670" s="47"/>
      <c r="S670" s="47"/>
      <c r="T670" s="47"/>
      <c r="U670" s="47"/>
      <c r="V670" s="274"/>
      <c r="W670" s="47"/>
      <c r="X670" s="73"/>
    </row>
    <row r="671" spans="1:31" x14ac:dyDescent="0.25">
      <c r="A671" s="67">
        <v>43501</v>
      </c>
      <c r="B671" s="50" t="s">
        <v>206</v>
      </c>
      <c r="C671" s="50" t="s">
        <v>205</v>
      </c>
      <c r="D671" s="35">
        <v>6703.27</v>
      </c>
      <c r="E671" s="35">
        <v>6817.98</v>
      </c>
      <c r="F671" s="35">
        <v>6654.07</v>
      </c>
      <c r="G671" s="35">
        <v>6704.22</v>
      </c>
      <c r="H671" s="35">
        <v>6626.11</v>
      </c>
      <c r="I671" s="35">
        <v>6660.32</v>
      </c>
      <c r="J671" s="35">
        <v>6734.18</v>
      </c>
      <c r="K671" s="35">
        <v>6683.93</v>
      </c>
      <c r="L671" s="35">
        <v>6666.38</v>
      </c>
      <c r="M671" s="35">
        <v>6711.02</v>
      </c>
      <c r="N671" s="35">
        <v>6866.51</v>
      </c>
      <c r="O671" s="35">
        <v>6652.1</v>
      </c>
      <c r="P671" s="35">
        <v>6589.94</v>
      </c>
      <c r="Q671" s="50">
        <f>IF((L672=""),"",MAX(D673:P673))</f>
        <v>5332.0199999999995</v>
      </c>
      <c r="R671" s="50">
        <f>IF(L672="","",MIN(D673:L673))</f>
        <v>5262.6</v>
      </c>
      <c r="S671" s="53">
        <f>IF((P673=""),"",AVERAGE(D673:P673))</f>
        <v>5296.8661538461547</v>
      </c>
      <c r="T671" s="52">
        <f>IF((L672=""),"",(Q671-R671)/(Q671+R671)*100)</f>
        <v>0.65523822468384119</v>
      </c>
      <c r="U671" s="50">
        <f>STDEV(D673:P673)</f>
        <v>23.822520695923082</v>
      </c>
      <c r="V671" s="273" t="str">
        <f>IF(P672="","",IF(T671&lt;2.7,IF(S671&gt;5150,IF(S671&lt;5600,"Pass","Fail"),"Fail"),"Fail"))</f>
        <v>Pass</v>
      </c>
      <c r="W671" s="50">
        <v>1159</v>
      </c>
      <c r="X671" s="73" t="s">
        <v>225</v>
      </c>
      <c r="Z671" s="71">
        <v>4470</v>
      </c>
      <c r="AA671" s="71">
        <v>6020</v>
      </c>
      <c r="AB671" s="71">
        <v>5150</v>
      </c>
      <c r="AC671" s="71">
        <v>5600</v>
      </c>
      <c r="AD671" s="70">
        <v>2.7</v>
      </c>
      <c r="AE671" s="69">
        <v>10</v>
      </c>
    </row>
    <row r="672" spans="1:31" x14ac:dyDescent="0.25">
      <c r="A672" s="49"/>
      <c r="B672" s="47"/>
      <c r="C672" s="47" t="s">
        <v>204</v>
      </c>
      <c r="D672" s="35">
        <v>4050.48</v>
      </c>
      <c r="E672" s="35">
        <v>4155.92</v>
      </c>
      <c r="F672" s="35">
        <v>4016.47</v>
      </c>
      <c r="G672" s="35">
        <v>4058.84</v>
      </c>
      <c r="H672" s="35">
        <v>3960.1</v>
      </c>
      <c r="I672" s="35">
        <v>3998.66</v>
      </c>
      <c r="J672" s="35">
        <v>4089.81</v>
      </c>
      <c r="K672" s="35">
        <v>4031.05</v>
      </c>
      <c r="L672" s="35">
        <v>4035.08</v>
      </c>
      <c r="M672" s="35">
        <v>4063.34</v>
      </c>
      <c r="N672" s="35">
        <v>4206.71</v>
      </c>
      <c r="O672" s="35">
        <v>4020.69</v>
      </c>
      <c r="P672" s="35">
        <v>3953.25</v>
      </c>
      <c r="Q672" s="47"/>
      <c r="R672" s="47"/>
      <c r="S672" s="47"/>
      <c r="T672" s="47"/>
      <c r="U672" s="47"/>
      <c r="V672" s="274"/>
      <c r="W672" s="47"/>
      <c r="X672" s="73"/>
    </row>
    <row r="673" spans="1:31" ht="22.75" thickBot="1" x14ac:dyDescent="0.3">
      <c r="A673" s="45"/>
      <c r="B673" s="42"/>
      <c r="C673" s="42" t="s">
        <v>203</v>
      </c>
      <c r="D673" s="44">
        <f t="shared" ref="D673:P673" si="220">IF(((D671="")*AND(D672="")),"",(D671-D672)*2)</f>
        <v>5305.5800000000008</v>
      </c>
      <c r="E673" s="44">
        <f t="shared" si="220"/>
        <v>5324.119999999999</v>
      </c>
      <c r="F673" s="44">
        <f t="shared" si="220"/>
        <v>5275.2</v>
      </c>
      <c r="G673" s="44">
        <f t="shared" si="220"/>
        <v>5290.76</v>
      </c>
      <c r="H673" s="44">
        <f t="shared" si="220"/>
        <v>5332.0199999999995</v>
      </c>
      <c r="I673" s="44">
        <f t="shared" si="220"/>
        <v>5323.32</v>
      </c>
      <c r="J673" s="44">
        <f t="shared" si="220"/>
        <v>5288.7400000000007</v>
      </c>
      <c r="K673" s="44">
        <f t="shared" si="220"/>
        <v>5305.76</v>
      </c>
      <c r="L673" s="44">
        <f t="shared" si="220"/>
        <v>5262.6</v>
      </c>
      <c r="M673" s="44">
        <f t="shared" si="220"/>
        <v>5295.3600000000006</v>
      </c>
      <c r="N673" s="44">
        <f t="shared" si="220"/>
        <v>5319.6</v>
      </c>
      <c r="O673" s="44">
        <f t="shared" si="220"/>
        <v>5262.8200000000006</v>
      </c>
      <c r="P673" s="44">
        <f t="shared" si="220"/>
        <v>5273.3799999999992</v>
      </c>
      <c r="Q673" s="42"/>
      <c r="R673" s="42"/>
      <c r="S673" s="42"/>
      <c r="T673" s="42"/>
      <c r="U673" s="42"/>
      <c r="V673" s="275"/>
      <c r="W673" s="42"/>
      <c r="X673" s="72"/>
    </row>
    <row r="674" spans="1:31" x14ac:dyDescent="0.25">
      <c r="A674" s="67">
        <v>43507</v>
      </c>
      <c r="B674" s="57" t="s">
        <v>208</v>
      </c>
      <c r="C674" s="61" t="s">
        <v>205</v>
      </c>
      <c r="D674" s="35">
        <v>6046.38</v>
      </c>
      <c r="E674" s="35">
        <v>6061.96</v>
      </c>
      <c r="F674" s="35">
        <v>6108.93</v>
      </c>
      <c r="G674" s="35">
        <v>5917.23</v>
      </c>
      <c r="H674" s="35">
        <v>6049.61</v>
      </c>
      <c r="I674" s="35">
        <v>6132.63</v>
      </c>
      <c r="J674" s="35">
        <v>6056.57</v>
      </c>
      <c r="K674" s="35">
        <v>6106.83</v>
      </c>
      <c r="L674" s="35">
        <v>6041.91</v>
      </c>
      <c r="M674" s="60"/>
      <c r="N674" s="60"/>
      <c r="O674" s="60"/>
      <c r="P674" s="60"/>
      <c r="Q674" s="57">
        <f>IF((L675=""),"",MAX(D676:L676))</f>
        <v>8243.34</v>
      </c>
      <c r="R674" s="57">
        <f>IF(L675="","",MIN(D676:L676))</f>
        <v>6957.5399999999991</v>
      </c>
      <c r="S674" s="59">
        <f>IF((L676=""),"",AVERAGE(D676:L676))</f>
        <v>7252.4033333333327</v>
      </c>
      <c r="T674" s="53">
        <f>IF((L675=""),"",(Q674-R674)/(Q674+R674)*100)</f>
        <v>8.458720810900429</v>
      </c>
      <c r="U674" s="57">
        <f>STDEV(D676:P676)</f>
        <v>405.83258940725824</v>
      </c>
      <c r="V674" s="276" t="str">
        <f>IF(L675="","",IF(T674&lt;9.8,IF(S674&gt;5100,IF(S674&lt;8300,"Pass","Fail"),"Fail"),"Fail"))</f>
        <v>Pass</v>
      </c>
      <c r="W674" s="57">
        <v>1335</v>
      </c>
      <c r="X674" s="68" t="s">
        <v>224</v>
      </c>
      <c r="Z674" s="37">
        <v>4955</v>
      </c>
      <c r="AA674" s="37">
        <v>9645</v>
      </c>
      <c r="AB674" s="37">
        <v>5100</v>
      </c>
      <c r="AC674" s="37">
        <v>8300</v>
      </c>
      <c r="AD674" s="69">
        <v>9.8000000000000007</v>
      </c>
      <c r="AE674" s="69">
        <v>10</v>
      </c>
    </row>
    <row r="675" spans="1:31" x14ac:dyDescent="0.25">
      <c r="A675" s="49"/>
      <c r="B675" s="47"/>
      <c r="C675" s="56" t="s">
        <v>204</v>
      </c>
      <c r="D675" s="35">
        <v>3537.93</v>
      </c>
      <c r="E675" s="35">
        <v>3720.36</v>
      </c>
      <c r="F675" s="35">
        <v>3731.88</v>
      </c>
      <c r="G675" s="35">
        <v>3169.45</v>
      </c>
      <c r="H675" s="35">
        <v>3687.57</v>
      </c>
      <c r="I675" s="35">
        <v>3749.91</v>
      </c>
      <c r="J675" s="35">
        <v>3718.53</v>
      </c>
      <c r="K675" s="35">
        <v>3726.48</v>
      </c>
      <c r="L675" s="35">
        <v>3722.73</v>
      </c>
      <c r="M675" s="55"/>
      <c r="N675" s="55"/>
      <c r="O675" s="55"/>
      <c r="P675" s="55"/>
      <c r="Q675" s="47"/>
      <c r="R675" s="47"/>
      <c r="S675" s="47"/>
      <c r="T675" s="47"/>
      <c r="U675" s="47"/>
      <c r="V675" s="274"/>
      <c r="W675" s="47"/>
      <c r="X675" s="73"/>
    </row>
    <row r="676" spans="1:31" ht="22.75" thickBot="1" x14ac:dyDescent="0.3">
      <c r="A676" s="49"/>
      <c r="B676" s="47"/>
      <c r="C676" s="50" t="s">
        <v>203</v>
      </c>
      <c r="D676" s="54">
        <f t="shared" ref="D676:L676" si="221">IF(((D674="")*AND(D675="")),"",(D674-D675)*3)</f>
        <v>7525.35</v>
      </c>
      <c r="E676" s="54">
        <f t="shared" si="221"/>
        <v>7024.7999999999993</v>
      </c>
      <c r="F676" s="54">
        <f t="shared" si="221"/>
        <v>7131.1500000000005</v>
      </c>
      <c r="G676" s="54">
        <f t="shared" si="221"/>
        <v>8243.34</v>
      </c>
      <c r="H676" s="54">
        <f t="shared" si="221"/>
        <v>7086.119999999999</v>
      </c>
      <c r="I676" s="54">
        <f t="shared" si="221"/>
        <v>7148.1600000000008</v>
      </c>
      <c r="J676" s="54">
        <f t="shared" si="221"/>
        <v>7014.119999999999</v>
      </c>
      <c r="K676" s="54">
        <f t="shared" si="221"/>
        <v>7141.0499999999993</v>
      </c>
      <c r="L676" s="54">
        <f t="shared" si="221"/>
        <v>6957.5399999999991</v>
      </c>
      <c r="M676" s="54"/>
      <c r="N676" s="54"/>
      <c r="O676" s="54"/>
      <c r="P676" s="54" t="str">
        <f>IF(((P674="")*AND(P675="")),"",(P674-P675)*2)</f>
        <v/>
      </c>
      <c r="Q676" s="47"/>
      <c r="R676" s="47"/>
      <c r="S676" s="47"/>
      <c r="T676" s="47"/>
      <c r="U676" s="47"/>
      <c r="V676" s="274"/>
      <c r="W676" s="47"/>
      <c r="X676" s="73"/>
    </row>
    <row r="677" spans="1:31" x14ac:dyDescent="0.25">
      <c r="A677" s="67">
        <v>43507</v>
      </c>
      <c r="B677" s="50" t="s">
        <v>206</v>
      </c>
      <c r="C677" s="50" t="s">
        <v>205</v>
      </c>
      <c r="D677" s="35">
        <v>6702.16</v>
      </c>
      <c r="E677" s="35">
        <v>6823.01</v>
      </c>
      <c r="F677" s="35">
        <v>6647.89</v>
      </c>
      <c r="G677" s="35">
        <v>6683.58</v>
      </c>
      <c r="H677" s="35">
        <v>6640.98</v>
      </c>
      <c r="I677" s="35">
        <v>6658.2</v>
      </c>
      <c r="J677" s="35">
        <v>6711.37</v>
      </c>
      <c r="K677" s="35">
        <v>6660.52</v>
      </c>
      <c r="L677" s="35">
        <v>6661.4</v>
      </c>
      <c r="M677" s="35">
        <v>6693.11</v>
      </c>
      <c r="N677" s="35">
        <v>6876.11</v>
      </c>
      <c r="O677" s="35">
        <v>6649.25</v>
      </c>
      <c r="P677" s="35">
        <v>6599.71</v>
      </c>
      <c r="Q677" s="50">
        <f>IF((L678=""),"",MAX(D679:P679))</f>
        <v>5359.1399999999994</v>
      </c>
      <c r="R677" s="50">
        <f>IF(L678="","",MIN(D679:L679))</f>
        <v>5304.1799999999994</v>
      </c>
      <c r="S677" s="53">
        <f>IF((P679=""),"",AVERAGE(D679:P679))</f>
        <v>5331.7707692307686</v>
      </c>
      <c r="T677" s="52">
        <f>IF((L678=""),"",(Q677-R677)/(Q677+R677)*100)</f>
        <v>0.51541171042414591</v>
      </c>
      <c r="U677" s="50">
        <f>STDEV(D679:P679)</f>
        <v>19.553288922641723</v>
      </c>
      <c r="V677" s="273" t="str">
        <f>IF(P678="","",IF(T677&lt;2.7,IF(S677&gt;5150,IF(S677&lt;5600,"Pass","Fail"),"Fail"),"Fail"))</f>
        <v>Pass</v>
      </c>
      <c r="W677" s="50">
        <v>1335</v>
      </c>
      <c r="X677" s="73" t="s">
        <v>224</v>
      </c>
      <c r="Z677" s="71">
        <v>4470</v>
      </c>
      <c r="AA677" s="71">
        <v>6020</v>
      </c>
      <c r="AB677" s="71">
        <v>5150</v>
      </c>
      <c r="AC677" s="71">
        <v>5600</v>
      </c>
      <c r="AD677" s="70">
        <v>2.7</v>
      </c>
      <c r="AE677" s="69">
        <v>10</v>
      </c>
    </row>
    <row r="678" spans="1:31" x14ac:dyDescent="0.25">
      <c r="A678" s="49"/>
      <c r="B678" s="47"/>
      <c r="C678" s="47" t="s">
        <v>204</v>
      </c>
      <c r="D678" s="35">
        <v>4031.65</v>
      </c>
      <c r="E678" s="35">
        <v>4147.3</v>
      </c>
      <c r="F678" s="35">
        <v>3990.56</v>
      </c>
      <c r="G678" s="35">
        <v>4018.97</v>
      </c>
      <c r="H678" s="35">
        <v>3961.41</v>
      </c>
      <c r="I678" s="35">
        <v>3981.46</v>
      </c>
      <c r="J678" s="35">
        <v>4049.35</v>
      </c>
      <c r="K678" s="35">
        <v>3989.36</v>
      </c>
      <c r="L678" s="35">
        <v>4009.31</v>
      </c>
      <c r="M678" s="35">
        <v>4027.79</v>
      </c>
      <c r="N678" s="35">
        <v>4200.9399999999996</v>
      </c>
      <c r="O678" s="35">
        <v>3997.64</v>
      </c>
      <c r="P678" s="35">
        <v>3945.04</v>
      </c>
      <c r="Q678" s="47"/>
      <c r="R678" s="47"/>
      <c r="S678" s="47"/>
      <c r="T678" s="47"/>
      <c r="U678" s="47"/>
      <c r="V678" s="274"/>
      <c r="W678" s="47"/>
      <c r="X678" s="73"/>
    </row>
    <row r="679" spans="1:31" ht="22.75" thickBot="1" x14ac:dyDescent="0.3">
      <c r="A679" s="45"/>
      <c r="B679" s="42"/>
      <c r="C679" s="42" t="s">
        <v>203</v>
      </c>
      <c r="D679" s="44">
        <f t="shared" ref="D679:P679" si="222">IF(((D677="")*AND(D678="")),"",(D677-D678)*2)</f>
        <v>5341.0199999999995</v>
      </c>
      <c r="E679" s="44">
        <f t="shared" si="222"/>
        <v>5351.42</v>
      </c>
      <c r="F679" s="44">
        <f t="shared" si="222"/>
        <v>5314.6600000000008</v>
      </c>
      <c r="G679" s="44">
        <f t="shared" si="222"/>
        <v>5329.22</v>
      </c>
      <c r="H679" s="44">
        <f t="shared" si="222"/>
        <v>5359.1399999999994</v>
      </c>
      <c r="I679" s="44">
        <f t="shared" si="222"/>
        <v>5353.48</v>
      </c>
      <c r="J679" s="44">
        <f t="shared" si="222"/>
        <v>5324.04</v>
      </c>
      <c r="K679" s="44">
        <f t="shared" si="222"/>
        <v>5342.3200000000006</v>
      </c>
      <c r="L679" s="44">
        <f t="shared" si="222"/>
        <v>5304.1799999999994</v>
      </c>
      <c r="M679" s="44">
        <f t="shared" si="222"/>
        <v>5330.6399999999994</v>
      </c>
      <c r="N679" s="44">
        <f t="shared" si="222"/>
        <v>5350.34</v>
      </c>
      <c r="O679" s="44">
        <f t="shared" si="222"/>
        <v>5303.22</v>
      </c>
      <c r="P679" s="44">
        <f t="shared" si="222"/>
        <v>5309.34</v>
      </c>
      <c r="Q679" s="42"/>
      <c r="R679" s="42"/>
      <c r="S679" s="42"/>
      <c r="T679" s="42"/>
      <c r="U679" s="42"/>
      <c r="V679" s="275"/>
      <c r="W679" s="42"/>
      <c r="X679" s="72"/>
    </row>
    <row r="680" spans="1:31" x14ac:dyDescent="0.25">
      <c r="A680" s="67">
        <v>43514</v>
      </c>
      <c r="B680" s="57" t="s">
        <v>208</v>
      </c>
      <c r="C680" s="61" t="s">
        <v>205</v>
      </c>
      <c r="D680" s="35">
        <v>3567.87</v>
      </c>
      <c r="E680" s="35">
        <v>3716.97</v>
      </c>
      <c r="F680" s="35">
        <v>3728.75</v>
      </c>
      <c r="G680" s="35">
        <v>3182.2</v>
      </c>
      <c r="H680" s="35">
        <v>3687.02</v>
      </c>
      <c r="I680" s="35">
        <v>3749.17</v>
      </c>
      <c r="J680" s="35">
        <v>3713.62</v>
      </c>
      <c r="K680" s="35">
        <v>3724.04</v>
      </c>
      <c r="L680" s="35">
        <v>3733.55</v>
      </c>
      <c r="M680" s="60"/>
      <c r="N680" s="60"/>
      <c r="O680" s="60"/>
      <c r="P680" s="60"/>
      <c r="Q680" s="57">
        <f>IF((L681=""),"",MAX(D682:L682))</f>
        <v>7234.98</v>
      </c>
      <c r="R680" s="57">
        <f>IF(L681="","",MIN(D682:L682))</f>
        <v>6672.7800000000007</v>
      </c>
      <c r="S680" s="59">
        <f>IF((L682=""),"",AVERAGE(D682:L682))</f>
        <v>6848.4</v>
      </c>
      <c r="T680" s="53">
        <f>IF((L681=""),"",(Q680-R680)/(Q680+R680)*100)</f>
        <v>4.0423475814940639</v>
      </c>
      <c r="U680" s="57">
        <f>STDEV(D682:P682)</f>
        <v>163.76216321238539</v>
      </c>
      <c r="V680" s="276" t="str">
        <f>IF(L681="","",IF(T680&lt;9.8,IF(S680&gt;5100,IF(S680&lt;8300,"Pass","Fail"),"Fail"),"Fail"))</f>
        <v>Pass</v>
      </c>
      <c r="W680" s="57" t="s">
        <v>221</v>
      </c>
      <c r="X680" s="68" t="s">
        <v>223</v>
      </c>
      <c r="Z680" s="37">
        <v>4955</v>
      </c>
      <c r="AA680" s="37">
        <v>9645</v>
      </c>
      <c r="AB680" s="37">
        <v>5100</v>
      </c>
      <c r="AC680" s="37">
        <v>8300</v>
      </c>
      <c r="AD680" s="69">
        <v>9.8000000000000007</v>
      </c>
      <c r="AE680" s="69">
        <v>10</v>
      </c>
    </row>
    <row r="681" spans="1:31" x14ac:dyDescent="0.25">
      <c r="A681" s="49"/>
      <c r="B681" s="47"/>
      <c r="C681" s="56" t="s">
        <v>204</v>
      </c>
      <c r="D681" s="35">
        <v>1156.21</v>
      </c>
      <c r="E681" s="35">
        <v>1414.73</v>
      </c>
      <c r="F681" s="35">
        <v>1453.13</v>
      </c>
      <c r="G681" s="35">
        <v>939.63</v>
      </c>
      <c r="H681" s="35">
        <v>1385.71</v>
      </c>
      <c r="I681" s="35">
        <v>1490.37</v>
      </c>
      <c r="J681" s="35">
        <v>1489.36</v>
      </c>
      <c r="K681" s="35">
        <v>1468.63</v>
      </c>
      <c r="L681" s="35">
        <v>1460.22</v>
      </c>
      <c r="M681" s="55"/>
      <c r="N681" s="55"/>
      <c r="O681" s="55"/>
      <c r="P681" s="55"/>
      <c r="Q681" s="47"/>
      <c r="R681" s="47"/>
      <c r="S681" s="47"/>
      <c r="T681" s="47"/>
      <c r="U681" s="47"/>
      <c r="V681" s="274"/>
      <c r="W681" s="47"/>
      <c r="X681" s="73"/>
    </row>
    <row r="682" spans="1:31" ht="22.75" thickBot="1" x14ac:dyDescent="0.3">
      <c r="A682" s="49"/>
      <c r="B682" s="47"/>
      <c r="C682" s="50" t="s">
        <v>203</v>
      </c>
      <c r="D682" s="54">
        <f t="shared" ref="D682:L682" si="223">IF(((D680="")*AND(D681="")),"",(D680-D681)*3)</f>
        <v>7234.98</v>
      </c>
      <c r="E682" s="54">
        <f t="shared" si="223"/>
        <v>6906.7199999999993</v>
      </c>
      <c r="F682" s="54">
        <f t="shared" si="223"/>
        <v>6826.86</v>
      </c>
      <c r="G682" s="54">
        <f t="shared" si="223"/>
        <v>6727.7099999999991</v>
      </c>
      <c r="H682" s="54">
        <f t="shared" si="223"/>
        <v>6903.93</v>
      </c>
      <c r="I682" s="54">
        <f t="shared" si="223"/>
        <v>6776.4000000000005</v>
      </c>
      <c r="J682" s="54">
        <f t="shared" si="223"/>
        <v>6672.7800000000007</v>
      </c>
      <c r="K682" s="54">
        <f t="shared" si="223"/>
        <v>6766.23</v>
      </c>
      <c r="L682" s="54">
        <f t="shared" si="223"/>
        <v>6819.99</v>
      </c>
      <c r="M682" s="54"/>
      <c r="N682" s="54"/>
      <c r="O682" s="54"/>
      <c r="P682" s="54" t="str">
        <f>IF(((P680="")*AND(P681="")),"",(P680-P681)*2)</f>
        <v/>
      </c>
      <c r="Q682" s="47"/>
      <c r="R682" s="47"/>
      <c r="S682" s="47"/>
      <c r="T682" s="47"/>
      <c r="U682" s="47"/>
      <c r="V682" s="274"/>
      <c r="W682" s="47"/>
      <c r="X682" s="73"/>
    </row>
    <row r="683" spans="1:31" x14ac:dyDescent="0.25">
      <c r="A683" s="67">
        <v>43514</v>
      </c>
      <c r="B683" s="50" t="s">
        <v>206</v>
      </c>
      <c r="C683" s="50" t="s">
        <v>205</v>
      </c>
      <c r="D683" s="35">
        <v>4040.83</v>
      </c>
      <c r="E683" s="35">
        <v>4157.1099999999997</v>
      </c>
      <c r="F683" s="35">
        <v>3999.74</v>
      </c>
      <c r="G683" s="35">
        <v>4027.66</v>
      </c>
      <c r="H683" s="35">
        <v>3970.72</v>
      </c>
      <c r="I683" s="35">
        <v>3990.34</v>
      </c>
      <c r="J683" s="35">
        <v>4058.49</v>
      </c>
      <c r="K683" s="35">
        <v>3998.02</v>
      </c>
      <c r="L683" s="35">
        <v>4018.53</v>
      </c>
      <c r="M683" s="35">
        <v>4037.25</v>
      </c>
      <c r="N683" s="35">
        <v>4211.51</v>
      </c>
      <c r="O683" s="35">
        <v>4007.04</v>
      </c>
      <c r="P683" s="35">
        <v>3954.67</v>
      </c>
      <c r="Q683" s="50">
        <f>IF((L684=""),"",MAX(D685:P685))</f>
        <v>5403.76</v>
      </c>
      <c r="R683" s="50">
        <f>IF(L684="","",MIN(D685:L685))</f>
        <v>5324.9800000000005</v>
      </c>
      <c r="S683" s="53">
        <f>IF((P685=""),"",AVERAGE(D685:P685))</f>
        <v>5359.7246153846154</v>
      </c>
      <c r="T683" s="52">
        <f>IF((L684=""),"",(Q683-R683)/(Q683+R683)*100)</f>
        <v>0.73428939465398302</v>
      </c>
      <c r="U683" s="50">
        <f>STDEV(D685:P685)</f>
        <v>24.912044147153839</v>
      </c>
      <c r="V683" s="273" t="str">
        <f>IF(P684="","",IF(T683&lt;2.7,IF(S683&gt;5150,IF(S683&lt;5600,"Pass","Fail"),"Fail"),"Fail"))</f>
        <v>Pass</v>
      </c>
      <c r="W683" s="50" t="s">
        <v>221</v>
      </c>
      <c r="X683" s="73" t="s">
        <v>223</v>
      </c>
      <c r="Z683" s="71">
        <v>4470</v>
      </c>
      <c r="AA683" s="71">
        <v>6020</v>
      </c>
      <c r="AB683" s="71">
        <v>5150</v>
      </c>
      <c r="AC683" s="71">
        <v>5600</v>
      </c>
      <c r="AD683" s="70">
        <v>2.7</v>
      </c>
      <c r="AE683" s="69">
        <v>10</v>
      </c>
    </row>
    <row r="684" spans="1:31" x14ac:dyDescent="0.25">
      <c r="A684" s="49"/>
      <c r="B684" s="47"/>
      <c r="C684" s="47" t="s">
        <v>204</v>
      </c>
      <c r="D684" s="35">
        <v>1354.89</v>
      </c>
      <c r="E684" s="35">
        <v>1464.97</v>
      </c>
      <c r="F684" s="35">
        <v>1329.66</v>
      </c>
      <c r="G684" s="35">
        <v>1349.56</v>
      </c>
      <c r="H684" s="35">
        <v>1268.8399999999999</v>
      </c>
      <c r="I684" s="35">
        <v>1293.03</v>
      </c>
      <c r="J684" s="35">
        <v>1383.2</v>
      </c>
      <c r="K684" s="35">
        <v>1311.82</v>
      </c>
      <c r="L684" s="35">
        <v>1356.04</v>
      </c>
      <c r="M684" s="35">
        <v>1364.3</v>
      </c>
      <c r="N684" s="35">
        <v>1529.16</v>
      </c>
      <c r="O684" s="35">
        <v>1343.83</v>
      </c>
      <c r="P684" s="35">
        <v>1284.4000000000001</v>
      </c>
      <c r="Q684" s="47"/>
      <c r="R684" s="47"/>
      <c r="S684" s="47"/>
      <c r="T684" s="47"/>
      <c r="U684" s="47"/>
      <c r="V684" s="274"/>
      <c r="W684" s="47"/>
      <c r="X684" s="73"/>
    </row>
    <row r="685" spans="1:31" ht="22.75" thickBot="1" x14ac:dyDescent="0.3">
      <c r="A685" s="45"/>
      <c r="B685" s="42"/>
      <c r="C685" s="42" t="s">
        <v>203</v>
      </c>
      <c r="D685" s="44">
        <f t="shared" ref="D685:P685" si="224">IF(((D683="")*AND(D684="")),"",(D683-D684)*2)</f>
        <v>5371.8799999999992</v>
      </c>
      <c r="E685" s="44">
        <f t="shared" si="224"/>
        <v>5384.2799999999988</v>
      </c>
      <c r="F685" s="44">
        <f t="shared" si="224"/>
        <v>5340.16</v>
      </c>
      <c r="G685" s="44">
        <f t="shared" si="224"/>
        <v>5356.2</v>
      </c>
      <c r="H685" s="44">
        <f t="shared" si="224"/>
        <v>5403.76</v>
      </c>
      <c r="I685" s="44">
        <f t="shared" si="224"/>
        <v>5394.6200000000008</v>
      </c>
      <c r="J685" s="44">
        <f t="shared" si="224"/>
        <v>5350.58</v>
      </c>
      <c r="K685" s="44">
        <f t="shared" si="224"/>
        <v>5372.4</v>
      </c>
      <c r="L685" s="44">
        <f t="shared" si="224"/>
        <v>5324.9800000000005</v>
      </c>
      <c r="M685" s="44">
        <f t="shared" si="224"/>
        <v>5345.9</v>
      </c>
      <c r="N685" s="44">
        <f t="shared" si="224"/>
        <v>5364.7000000000007</v>
      </c>
      <c r="O685" s="44">
        <f t="shared" si="224"/>
        <v>5326.42</v>
      </c>
      <c r="P685" s="44">
        <f t="shared" si="224"/>
        <v>5340.54</v>
      </c>
      <c r="Q685" s="42"/>
      <c r="R685" s="42"/>
      <c r="S685" s="42"/>
      <c r="T685" s="42"/>
      <c r="U685" s="42"/>
      <c r="V685" s="275"/>
      <c r="W685" s="42"/>
      <c r="X685" s="72"/>
    </row>
    <row r="686" spans="1:31" x14ac:dyDescent="0.25">
      <c r="A686" s="67">
        <v>43517</v>
      </c>
      <c r="B686" s="57" t="s">
        <v>208</v>
      </c>
      <c r="C686" s="61" t="s">
        <v>205</v>
      </c>
      <c r="D686" s="35">
        <v>5987.96</v>
      </c>
      <c r="E686" s="35">
        <v>6059.42</v>
      </c>
      <c r="F686" s="35">
        <v>6097.06</v>
      </c>
      <c r="G686" s="35">
        <v>6080.26</v>
      </c>
      <c r="H686" s="35">
        <v>6066.06</v>
      </c>
      <c r="I686" s="35">
        <v>6079.01</v>
      </c>
      <c r="J686" s="35">
        <v>6050.11</v>
      </c>
      <c r="K686" s="35">
        <v>6127.27</v>
      </c>
      <c r="L686" s="35">
        <v>6043.56</v>
      </c>
      <c r="M686" s="60"/>
      <c r="N686" s="60"/>
      <c r="O686" s="60"/>
      <c r="P686" s="60"/>
      <c r="Q686" s="57">
        <f>IF((L687=""),"",MAX(D688:L688))</f>
        <v>7385.3099999999995</v>
      </c>
      <c r="R686" s="57">
        <f>IF(L687="","",MIN(D688:L688))</f>
        <v>6862.6500000000005</v>
      </c>
      <c r="S686" s="59">
        <f>IF((L688=""),"",AVERAGE(D688:L688))</f>
        <v>7048.6333333333341</v>
      </c>
      <c r="T686" s="53">
        <f>IF((L687=""),"",(Q686-R686)/(Q686+R686)*100)</f>
        <v>3.6683146218827045</v>
      </c>
      <c r="U686" s="57">
        <f>STDEV(D688:P688)</f>
        <v>177.51168208036327</v>
      </c>
      <c r="V686" s="276" t="str">
        <f>IF(L687="","",IF(T686&lt;9.8,IF(S686&gt;5100,IF(S686&lt;8300,"Pass","Fail"),"Fail"),"Fail"))</f>
        <v>Pass</v>
      </c>
      <c r="W686" s="57" t="s">
        <v>221</v>
      </c>
      <c r="X686" s="68" t="s">
        <v>222</v>
      </c>
      <c r="Z686" s="37">
        <v>4955</v>
      </c>
      <c r="AA686" s="37">
        <v>9645</v>
      </c>
      <c r="AB686" s="37">
        <v>5100</v>
      </c>
      <c r="AC686" s="37">
        <v>8300</v>
      </c>
      <c r="AD686" s="69">
        <v>9.8000000000000007</v>
      </c>
      <c r="AE686" s="69">
        <v>10</v>
      </c>
    </row>
    <row r="687" spans="1:31" x14ac:dyDescent="0.25">
      <c r="A687" s="49"/>
      <c r="B687" s="47"/>
      <c r="C687" s="56" t="s">
        <v>204</v>
      </c>
      <c r="D687" s="35">
        <v>3526.19</v>
      </c>
      <c r="E687" s="35">
        <v>3751.26</v>
      </c>
      <c r="F687" s="35">
        <v>3764.92</v>
      </c>
      <c r="G687" s="35">
        <v>3646.19</v>
      </c>
      <c r="H687" s="35">
        <v>3746.47</v>
      </c>
      <c r="I687" s="35">
        <v>3759.96</v>
      </c>
      <c r="J687" s="35">
        <v>3723.55</v>
      </c>
      <c r="K687" s="35">
        <v>3770.26</v>
      </c>
      <c r="L687" s="35">
        <v>3756.01</v>
      </c>
      <c r="M687" s="55"/>
      <c r="N687" s="55"/>
      <c r="O687" s="55"/>
      <c r="P687" s="55"/>
      <c r="Q687" s="47"/>
      <c r="R687" s="47"/>
      <c r="S687" s="47"/>
      <c r="T687" s="47"/>
      <c r="U687" s="47"/>
      <c r="V687" s="274"/>
      <c r="W687" s="47"/>
      <c r="X687" s="73"/>
    </row>
    <row r="688" spans="1:31" ht="22.75" thickBot="1" x14ac:dyDescent="0.3">
      <c r="A688" s="49"/>
      <c r="B688" s="47"/>
      <c r="C688" s="50" t="s">
        <v>203</v>
      </c>
      <c r="D688" s="54">
        <f t="shared" ref="D688:L688" si="225">IF(((D686="")*AND(D687="")),"",(D686-D687)*3)</f>
        <v>7385.3099999999995</v>
      </c>
      <c r="E688" s="54">
        <f t="shared" si="225"/>
        <v>6924.48</v>
      </c>
      <c r="F688" s="54">
        <f t="shared" si="225"/>
        <v>6996.420000000001</v>
      </c>
      <c r="G688" s="54">
        <f t="shared" si="225"/>
        <v>7302.2100000000009</v>
      </c>
      <c r="H688" s="54">
        <f t="shared" si="225"/>
        <v>6958.7700000000023</v>
      </c>
      <c r="I688" s="54">
        <f t="shared" si="225"/>
        <v>6957.1500000000005</v>
      </c>
      <c r="J688" s="54">
        <f t="shared" si="225"/>
        <v>6979.6799999999985</v>
      </c>
      <c r="K688" s="54">
        <f t="shared" si="225"/>
        <v>7071.0300000000007</v>
      </c>
      <c r="L688" s="54">
        <f t="shared" si="225"/>
        <v>6862.6500000000005</v>
      </c>
      <c r="M688" s="54"/>
      <c r="N688" s="54"/>
      <c r="O688" s="54"/>
      <c r="P688" s="54" t="str">
        <f>IF(((P686="")*AND(P687="")),"",(P686-P687)*2)</f>
        <v/>
      </c>
      <c r="Q688" s="47"/>
      <c r="R688" s="47"/>
      <c r="S688" s="47"/>
      <c r="T688" s="47"/>
      <c r="U688" s="47"/>
      <c r="V688" s="274"/>
      <c r="W688" s="47"/>
      <c r="X688" s="73"/>
    </row>
    <row r="689" spans="1:31" x14ac:dyDescent="0.25">
      <c r="A689" s="67">
        <v>43517</v>
      </c>
      <c r="B689" s="50" t="s">
        <v>206</v>
      </c>
      <c r="C689" s="50" t="s">
        <v>205</v>
      </c>
      <c r="D689" s="35">
        <v>6853.76</v>
      </c>
      <c r="E689" s="35">
        <v>6976.99</v>
      </c>
      <c r="F689" s="35">
        <v>6798.58</v>
      </c>
      <c r="G689" s="35">
        <v>6837.66</v>
      </c>
      <c r="H689" s="35">
        <v>6790.81</v>
      </c>
      <c r="I689" s="35">
        <v>6810.29</v>
      </c>
      <c r="J689" s="35">
        <v>6868.99</v>
      </c>
      <c r="K689" s="35">
        <v>6816.47</v>
      </c>
      <c r="L689" s="35">
        <v>6819.97</v>
      </c>
      <c r="M689" s="35">
        <v>6852.08</v>
      </c>
      <c r="N689" s="35">
        <v>7033.77</v>
      </c>
      <c r="O689" s="35">
        <v>6804.47</v>
      </c>
      <c r="P689" s="35">
        <v>6754.78</v>
      </c>
      <c r="Q689" s="50">
        <f>IF((L690=""),"",MAX(D691:P691))</f>
        <v>5434.98</v>
      </c>
      <c r="R689" s="50">
        <f>IF(L690="","",MIN(D691:L691))</f>
        <v>5336.1400000000012</v>
      </c>
      <c r="S689" s="53">
        <f>IF((P691=""),"",AVERAGE(D691:P691))</f>
        <v>5381.5753846153839</v>
      </c>
      <c r="T689" s="52">
        <f>IF((L690=""),"",(Q689-R689)/(Q689+R689)*100)</f>
        <v>0.91763901989763663</v>
      </c>
      <c r="U689" s="50">
        <f>STDEV(D691:P691)</f>
        <v>34.761376223087659</v>
      </c>
      <c r="V689" s="273" t="str">
        <f>IF(P690="","",IF(T689&lt;2.7,IF(S689&gt;5150,IF(S689&lt;5600,"Pass","Fail"),"Fail"),"Fail"))</f>
        <v>Pass</v>
      </c>
      <c r="W689" s="50" t="s">
        <v>221</v>
      </c>
      <c r="X689" s="73" t="s">
        <v>222</v>
      </c>
      <c r="Z689" s="71">
        <v>4470</v>
      </c>
      <c r="AA689" s="71">
        <v>6020</v>
      </c>
      <c r="AB689" s="71">
        <v>5150</v>
      </c>
      <c r="AC689" s="71">
        <v>5600</v>
      </c>
      <c r="AD689" s="70">
        <v>2.7</v>
      </c>
      <c r="AE689" s="69">
        <v>10</v>
      </c>
    </row>
    <row r="690" spans="1:31" x14ac:dyDescent="0.25">
      <c r="A690" s="49"/>
      <c r="B690" s="47"/>
      <c r="C690" s="47" t="s">
        <v>204</v>
      </c>
      <c r="D690" s="35">
        <v>4185.6899999999996</v>
      </c>
      <c r="E690" s="35">
        <v>4299.97</v>
      </c>
      <c r="F690" s="35">
        <v>4130.3999999999996</v>
      </c>
      <c r="G690" s="35">
        <v>4138.91</v>
      </c>
      <c r="H690" s="35">
        <v>4104.33</v>
      </c>
      <c r="I690" s="35">
        <v>4101.34</v>
      </c>
      <c r="J690" s="35">
        <v>4160.7700000000004</v>
      </c>
      <c r="K690" s="35">
        <v>4102.8500000000004</v>
      </c>
      <c r="L690" s="35">
        <v>4149.57</v>
      </c>
      <c r="M690" s="35">
        <v>4134.59</v>
      </c>
      <c r="N690" s="35">
        <v>4344.68</v>
      </c>
      <c r="O690" s="35">
        <v>4119.8100000000004</v>
      </c>
      <c r="P690" s="35">
        <v>4065.47</v>
      </c>
      <c r="Q690" s="47"/>
      <c r="R690" s="47"/>
      <c r="S690" s="47"/>
      <c r="T690" s="47"/>
      <c r="U690" s="47"/>
      <c r="V690" s="274"/>
      <c r="W690" s="47"/>
      <c r="X690" s="73"/>
    </row>
    <row r="691" spans="1:31" ht="22.75" thickBot="1" x14ac:dyDescent="0.3">
      <c r="A691" s="45"/>
      <c r="B691" s="42"/>
      <c r="C691" s="42" t="s">
        <v>203</v>
      </c>
      <c r="D691" s="44">
        <f t="shared" ref="D691:P691" si="226">IF(((D689="")*AND(D690="")),"",(D689-D690)*2)</f>
        <v>5336.1400000000012</v>
      </c>
      <c r="E691" s="44">
        <f t="shared" si="226"/>
        <v>5354.0399999999991</v>
      </c>
      <c r="F691" s="44">
        <f t="shared" si="226"/>
        <v>5336.3600000000006</v>
      </c>
      <c r="G691" s="44">
        <f t="shared" si="226"/>
        <v>5397.5</v>
      </c>
      <c r="H691" s="44">
        <f t="shared" si="226"/>
        <v>5372.9600000000009</v>
      </c>
      <c r="I691" s="44">
        <f t="shared" si="226"/>
        <v>5417.9</v>
      </c>
      <c r="J691" s="44">
        <f t="shared" si="226"/>
        <v>5416.4399999999987</v>
      </c>
      <c r="K691" s="44">
        <f t="shared" si="226"/>
        <v>5427.24</v>
      </c>
      <c r="L691" s="44">
        <f t="shared" si="226"/>
        <v>5340.8000000000011</v>
      </c>
      <c r="M691" s="44">
        <f t="shared" si="226"/>
        <v>5434.98</v>
      </c>
      <c r="N691" s="44">
        <f t="shared" si="226"/>
        <v>5378.18</v>
      </c>
      <c r="O691" s="44">
        <f t="shared" si="226"/>
        <v>5369.32</v>
      </c>
      <c r="P691" s="44">
        <f t="shared" si="226"/>
        <v>5378.62</v>
      </c>
      <c r="Q691" s="42"/>
      <c r="R691" s="42"/>
      <c r="S691" s="42"/>
      <c r="T691" s="42"/>
      <c r="U691" s="42"/>
      <c r="V691" s="275"/>
      <c r="W691" s="42"/>
      <c r="X691" s="72"/>
    </row>
    <row r="692" spans="1:31" x14ac:dyDescent="0.25">
      <c r="A692" s="67">
        <v>43521</v>
      </c>
      <c r="B692" s="57" t="s">
        <v>208</v>
      </c>
      <c r="C692" s="61" t="s">
        <v>205</v>
      </c>
      <c r="D692" s="35">
        <v>6031.18</v>
      </c>
      <c r="E692" s="35">
        <v>6120.12</v>
      </c>
      <c r="F692" s="35">
        <v>6194.52</v>
      </c>
      <c r="G692" s="35">
        <v>6056.16</v>
      </c>
      <c r="H692" s="35">
        <v>6118.83</v>
      </c>
      <c r="I692" s="35">
        <v>6139.6</v>
      </c>
      <c r="J692" s="35">
        <v>6086.05</v>
      </c>
      <c r="K692" s="35">
        <v>6143.93</v>
      </c>
      <c r="L692" s="35">
        <v>6011.65</v>
      </c>
      <c r="M692" s="60"/>
      <c r="N692" s="60"/>
      <c r="O692" s="60"/>
      <c r="P692" s="60"/>
      <c r="Q692" s="57">
        <f>IF((L693=""),"",MAX(D694:L694))</f>
        <v>8533.35</v>
      </c>
      <c r="R692" s="57">
        <f>IF(L693="","",MIN(D694:L694))</f>
        <v>7038.5699999999988</v>
      </c>
      <c r="S692" s="59">
        <f>IF((L694=""),"",AVERAGE(D694:L694))</f>
        <v>7480.13</v>
      </c>
      <c r="T692" s="53">
        <f>IF((L693=""),"",(Q692-R692)/(Q692+R692)*100)</f>
        <v>9.5992016398748632</v>
      </c>
      <c r="U692" s="57">
        <f>STDEV(D694:P694)</f>
        <v>571.4928290888696</v>
      </c>
      <c r="V692" s="276" t="str">
        <f>IF(L693="","",IF(T692&lt;9.8,IF(S692&gt;5100,IF(S692&lt;8300,"Pass","Fail"),"Fail"),"Fail"))</f>
        <v>Pass</v>
      </c>
      <c r="W692" s="57">
        <v>1335</v>
      </c>
      <c r="X692" s="68" t="s">
        <v>220</v>
      </c>
      <c r="Z692" s="37">
        <v>4955</v>
      </c>
      <c r="AA692" s="37">
        <v>9645</v>
      </c>
      <c r="AB692" s="37">
        <v>5100</v>
      </c>
      <c r="AC692" s="37">
        <v>8300</v>
      </c>
      <c r="AD692" s="69">
        <v>9.8000000000000007</v>
      </c>
      <c r="AE692" s="69">
        <v>10</v>
      </c>
    </row>
    <row r="693" spans="1:31" x14ac:dyDescent="0.25">
      <c r="A693" s="49"/>
      <c r="B693" s="47"/>
      <c r="C693" s="56" t="s">
        <v>204</v>
      </c>
      <c r="D693" s="35">
        <v>3186.73</v>
      </c>
      <c r="E693" s="35">
        <v>3723.91</v>
      </c>
      <c r="F693" s="35">
        <v>3770.31</v>
      </c>
      <c r="G693" s="35">
        <v>3248.27</v>
      </c>
      <c r="H693" s="35">
        <v>3693.08</v>
      </c>
      <c r="I693" s="35">
        <v>3740.83</v>
      </c>
      <c r="J693" s="35">
        <v>3706.46</v>
      </c>
      <c r="K693" s="35">
        <v>3726.6</v>
      </c>
      <c r="L693" s="35">
        <v>3665.46</v>
      </c>
      <c r="M693" s="55"/>
      <c r="N693" s="55"/>
      <c r="O693" s="55"/>
      <c r="P693" s="55"/>
      <c r="Q693" s="47"/>
      <c r="R693" s="47"/>
      <c r="S693" s="47"/>
      <c r="T693" s="47"/>
      <c r="U693" s="47"/>
      <c r="V693" s="274"/>
      <c r="W693" s="47"/>
      <c r="X693" s="73"/>
    </row>
    <row r="694" spans="1:31" ht="22.75" thickBot="1" x14ac:dyDescent="0.3">
      <c r="A694" s="49"/>
      <c r="B694" s="47"/>
      <c r="C694" s="50" t="s">
        <v>203</v>
      </c>
      <c r="D694" s="54">
        <f t="shared" ref="D694:L694" si="227">IF(((D692="")*AND(D693="")),"",(D692-D693)*3)</f>
        <v>8533.35</v>
      </c>
      <c r="E694" s="54">
        <f t="shared" si="227"/>
        <v>7188.63</v>
      </c>
      <c r="F694" s="54">
        <f t="shared" si="227"/>
        <v>7272.630000000001</v>
      </c>
      <c r="G694" s="54">
        <f t="shared" si="227"/>
        <v>8423.67</v>
      </c>
      <c r="H694" s="54">
        <f t="shared" si="227"/>
        <v>7277.25</v>
      </c>
      <c r="I694" s="54">
        <f t="shared" si="227"/>
        <v>7196.3100000000013</v>
      </c>
      <c r="J694" s="54">
        <f t="shared" si="227"/>
        <v>7138.77</v>
      </c>
      <c r="K694" s="54">
        <f t="shared" si="227"/>
        <v>7251.9900000000016</v>
      </c>
      <c r="L694" s="54">
        <f t="shared" si="227"/>
        <v>7038.5699999999988</v>
      </c>
      <c r="M694" s="54"/>
      <c r="N694" s="54"/>
      <c r="O694" s="54"/>
      <c r="P694" s="54" t="str">
        <f>IF(((P692="")*AND(P693="")),"",(P692-P693)*2)</f>
        <v/>
      </c>
      <c r="Q694" s="47"/>
      <c r="R694" s="47"/>
      <c r="S694" s="47"/>
      <c r="T694" s="47"/>
      <c r="U694" s="47"/>
      <c r="V694" s="274"/>
      <c r="W694" s="47"/>
      <c r="X694" s="73"/>
    </row>
    <row r="695" spans="1:31" x14ac:dyDescent="0.25">
      <c r="A695" s="67">
        <v>43521</v>
      </c>
      <c r="B695" s="50" t="s">
        <v>206</v>
      </c>
      <c r="C695" s="50" t="s">
        <v>205</v>
      </c>
      <c r="D695" s="35">
        <v>4193.82</v>
      </c>
      <c r="E695" s="35">
        <v>4309.13</v>
      </c>
      <c r="F695" s="35">
        <v>4138.46</v>
      </c>
      <c r="G695" s="35">
        <v>4146.45</v>
      </c>
      <c r="H695" s="35">
        <v>4112.82</v>
      </c>
      <c r="I695" s="35">
        <v>4108.92</v>
      </c>
      <c r="J695" s="35">
        <v>4168.5600000000004</v>
      </c>
      <c r="K695" s="35">
        <v>4110.42</v>
      </c>
      <c r="L695" s="35">
        <v>4157.8</v>
      </c>
      <c r="M695" s="35">
        <v>4142.63</v>
      </c>
      <c r="N695" s="35">
        <v>4354.74</v>
      </c>
      <c r="O695" s="35">
        <v>4127.91</v>
      </c>
      <c r="P695" s="35">
        <v>4073.45</v>
      </c>
      <c r="Q695" s="50">
        <f>IF((L696=""),"",MAX(D697:P697))</f>
        <v>5516.32</v>
      </c>
      <c r="R695" s="50">
        <f>IF(L696="","",MIN(D697:L697))</f>
        <v>5426.6</v>
      </c>
      <c r="S695" s="53">
        <f>IF((P697=""),"",AVERAGE(D697:P697))</f>
        <v>5471.835384615385</v>
      </c>
      <c r="T695" s="52">
        <f>IF((L696=""),"",(Q695-R695)/(Q695+R695)*100)</f>
        <v>0.8198908518018897</v>
      </c>
      <c r="U695" s="50">
        <f>STDEV(D697:P697)</f>
        <v>31.834360004923628</v>
      </c>
      <c r="V695" s="273" t="str">
        <f>IF(P696="","",IF(T695&lt;2.7,IF(S695&gt;5150,IF(S695&lt;5600,"Pass","Fail"),"Fail"),"Fail"))</f>
        <v>Pass</v>
      </c>
      <c r="W695" s="50">
        <v>1335</v>
      </c>
      <c r="X695" s="73" t="s">
        <v>220</v>
      </c>
      <c r="Z695" s="71">
        <v>4470</v>
      </c>
      <c r="AA695" s="71">
        <v>6020</v>
      </c>
      <c r="AB695" s="71">
        <v>5150</v>
      </c>
      <c r="AC695" s="71">
        <v>5600</v>
      </c>
      <c r="AD695" s="70">
        <v>2.7</v>
      </c>
      <c r="AE695" s="69">
        <v>10</v>
      </c>
    </row>
    <row r="696" spans="1:31" x14ac:dyDescent="0.25">
      <c r="A696" s="49"/>
      <c r="B696" s="47"/>
      <c r="C696" s="47" t="s">
        <v>204</v>
      </c>
      <c r="D696" s="35">
        <v>1480.05</v>
      </c>
      <c r="E696" s="35">
        <v>1583.8</v>
      </c>
      <c r="F696" s="35">
        <v>1425.16</v>
      </c>
      <c r="G696" s="35">
        <v>1406.77</v>
      </c>
      <c r="H696" s="35">
        <v>1377.01</v>
      </c>
      <c r="I696" s="35">
        <v>1350.78</v>
      </c>
      <c r="J696" s="35">
        <v>1420.34</v>
      </c>
      <c r="K696" s="35">
        <v>1352.26</v>
      </c>
      <c r="L696" s="35">
        <v>1441.56</v>
      </c>
      <c r="M696" s="35">
        <v>1388.34</v>
      </c>
      <c r="N696" s="35">
        <v>1619.07</v>
      </c>
      <c r="O696" s="35">
        <v>1398.28</v>
      </c>
      <c r="P696" s="35">
        <v>1334.76</v>
      </c>
      <c r="Q696" s="47"/>
      <c r="R696" s="47"/>
      <c r="S696" s="47"/>
      <c r="T696" s="47"/>
      <c r="U696" s="47"/>
      <c r="V696" s="274"/>
      <c r="W696" s="47"/>
      <c r="X696" s="73"/>
    </row>
    <row r="697" spans="1:31" ht="22.75" thickBot="1" x14ac:dyDescent="0.3">
      <c r="A697" s="45"/>
      <c r="B697" s="42"/>
      <c r="C697" s="42" t="s">
        <v>203</v>
      </c>
      <c r="D697" s="44">
        <f t="shared" ref="D697:P697" si="228">IF(((D695="")*AND(D696="")),"",(D695-D696)*2)</f>
        <v>5427.5399999999991</v>
      </c>
      <c r="E697" s="44">
        <f t="shared" si="228"/>
        <v>5450.66</v>
      </c>
      <c r="F697" s="44">
        <f t="shared" si="228"/>
        <v>5426.6</v>
      </c>
      <c r="G697" s="44">
        <f t="shared" si="228"/>
        <v>5479.36</v>
      </c>
      <c r="H697" s="44">
        <f t="shared" si="228"/>
        <v>5471.619999999999</v>
      </c>
      <c r="I697" s="44">
        <f t="shared" si="228"/>
        <v>5516.2800000000007</v>
      </c>
      <c r="J697" s="44">
        <f t="shared" si="228"/>
        <v>5496.4400000000005</v>
      </c>
      <c r="K697" s="44">
        <f t="shared" si="228"/>
        <v>5516.32</v>
      </c>
      <c r="L697" s="44">
        <f t="shared" si="228"/>
        <v>5432.4800000000005</v>
      </c>
      <c r="M697" s="44">
        <f t="shared" si="228"/>
        <v>5508.58</v>
      </c>
      <c r="N697" s="44">
        <f t="shared" si="228"/>
        <v>5471.34</v>
      </c>
      <c r="O697" s="44">
        <f t="shared" si="228"/>
        <v>5459.26</v>
      </c>
      <c r="P697" s="44">
        <f t="shared" si="228"/>
        <v>5477.3799999999992</v>
      </c>
      <c r="Q697" s="42"/>
      <c r="R697" s="42"/>
      <c r="S697" s="42"/>
      <c r="T697" s="42"/>
      <c r="U697" s="42"/>
      <c r="V697" s="275"/>
      <c r="W697" s="42"/>
      <c r="X697" s="72"/>
    </row>
    <row r="698" spans="1:31" x14ac:dyDescent="0.25">
      <c r="A698" s="67">
        <v>43524</v>
      </c>
      <c r="B698" s="57" t="s">
        <v>208</v>
      </c>
      <c r="C698" s="61" t="s">
        <v>205</v>
      </c>
      <c r="D698" s="35">
        <v>3179.91</v>
      </c>
      <c r="E698" s="35">
        <v>3729.75</v>
      </c>
      <c r="F698" s="35">
        <v>3768.8</v>
      </c>
      <c r="G698" s="35">
        <v>3228.45</v>
      </c>
      <c r="H698" s="35">
        <v>3709.19</v>
      </c>
      <c r="I698" s="35">
        <v>3738.11</v>
      </c>
      <c r="J698" s="35">
        <v>3713.43</v>
      </c>
      <c r="K698" s="35">
        <v>3734.7</v>
      </c>
      <c r="L698" s="35">
        <v>3690.66</v>
      </c>
      <c r="M698" s="60"/>
      <c r="N698" s="60"/>
      <c r="O698" s="60"/>
      <c r="P698" s="60"/>
      <c r="Q698" s="57">
        <f>IF((L699=""),"",MAX(D700:L700))</f>
        <v>8269.0499999999993</v>
      </c>
      <c r="R698" s="57">
        <f>IF(L699="","",MIN(D700:L700))</f>
        <v>7581.0899999999992</v>
      </c>
      <c r="S698" s="59">
        <f>IF((L700=""),"",AVERAGE(D700:L700))</f>
        <v>8020.2800000000007</v>
      </c>
      <c r="T698" s="53">
        <f>IF((L699=""),"",(Q698-R698)/(Q698+R698)*100)</f>
        <v>4.3404033024313984</v>
      </c>
      <c r="U698" s="57">
        <f>STDEV(D700:P700)</f>
        <v>259.96830143307852</v>
      </c>
      <c r="V698" s="276" t="str">
        <f>IF(L699="","",IF(T698&lt;9.8,IF(S698&gt;5100,IF(S698&lt;8300,"Pass","Fail"),"Fail"),"Fail"))</f>
        <v>Pass</v>
      </c>
      <c r="W698" s="57">
        <v>1335</v>
      </c>
      <c r="X698" s="68" t="s">
        <v>219</v>
      </c>
    </row>
    <row r="699" spans="1:31" x14ac:dyDescent="0.25">
      <c r="A699" s="49"/>
      <c r="B699" s="47"/>
      <c r="C699" s="56" t="s">
        <v>204</v>
      </c>
      <c r="D699" s="35">
        <v>652.88</v>
      </c>
      <c r="E699" s="35">
        <v>1036.0899999999999</v>
      </c>
      <c r="F699" s="35">
        <v>1233.3499999999999</v>
      </c>
      <c r="G699" s="35">
        <v>472.18</v>
      </c>
      <c r="H699" s="35">
        <v>983.46</v>
      </c>
      <c r="I699" s="35">
        <v>1073</v>
      </c>
      <c r="J699" s="35">
        <v>988.6</v>
      </c>
      <c r="K699" s="35">
        <v>1058.29</v>
      </c>
      <c r="L699" s="35">
        <v>934.31</v>
      </c>
      <c r="M699" s="55"/>
      <c r="N699" s="55"/>
      <c r="O699" s="55"/>
      <c r="P699" s="55"/>
      <c r="Q699" s="47"/>
      <c r="R699" s="47"/>
      <c r="S699" s="47"/>
      <c r="T699" s="47"/>
      <c r="U699" s="47"/>
      <c r="V699" s="274"/>
      <c r="W699" s="47"/>
      <c r="X699" s="73"/>
    </row>
    <row r="700" spans="1:31" ht="22.75" thickBot="1" x14ac:dyDescent="0.3">
      <c r="A700" s="49"/>
      <c r="B700" s="47"/>
      <c r="C700" s="50" t="s">
        <v>203</v>
      </c>
      <c r="D700" s="54">
        <f t="shared" ref="D700:L700" si="229">IF(((D698="")*AND(D699="")),"",(D698-D699)*3)</f>
        <v>7581.0899999999992</v>
      </c>
      <c r="E700" s="54">
        <f t="shared" si="229"/>
        <v>8080.98</v>
      </c>
      <c r="F700" s="54">
        <f t="shared" si="229"/>
        <v>7606.35</v>
      </c>
      <c r="G700" s="54">
        <f t="shared" si="229"/>
        <v>8268.81</v>
      </c>
      <c r="H700" s="54">
        <f t="shared" si="229"/>
        <v>8177.1900000000005</v>
      </c>
      <c r="I700" s="54">
        <f t="shared" si="229"/>
        <v>7995.33</v>
      </c>
      <c r="J700" s="54">
        <f t="shared" si="229"/>
        <v>8174.49</v>
      </c>
      <c r="K700" s="54">
        <f t="shared" si="229"/>
        <v>8029.23</v>
      </c>
      <c r="L700" s="54">
        <f t="shared" si="229"/>
        <v>8269.0499999999993</v>
      </c>
      <c r="M700" s="54"/>
      <c r="N700" s="54"/>
      <c r="O700" s="54"/>
      <c r="P700" s="54" t="str">
        <f>IF(((P698="")*AND(P699="")),"",(P698-P699)*2)</f>
        <v/>
      </c>
      <c r="Q700" s="47"/>
      <c r="R700" s="47"/>
      <c r="S700" s="47"/>
      <c r="T700" s="47"/>
      <c r="U700" s="47"/>
      <c r="V700" s="274"/>
      <c r="W700" s="47"/>
      <c r="X700" s="73"/>
    </row>
    <row r="701" spans="1:31" x14ac:dyDescent="0.25">
      <c r="A701" s="67">
        <v>43524</v>
      </c>
      <c r="B701" s="50" t="s">
        <v>206</v>
      </c>
      <c r="C701" s="50" t="s">
        <v>205</v>
      </c>
      <c r="D701" s="35">
        <v>6756.6</v>
      </c>
      <c r="E701" s="35">
        <v>6876.1</v>
      </c>
      <c r="F701" s="35">
        <v>6708.05</v>
      </c>
      <c r="G701" s="35">
        <v>6760.22</v>
      </c>
      <c r="H701" s="35">
        <v>6675.91</v>
      </c>
      <c r="I701" s="35">
        <v>6713.74</v>
      </c>
      <c r="J701" s="35">
        <v>6789.87</v>
      </c>
      <c r="K701" s="35">
        <v>6738.54</v>
      </c>
      <c r="L701" s="35">
        <v>6724.03</v>
      </c>
      <c r="M701" s="35">
        <v>6765.07</v>
      </c>
      <c r="N701" s="35">
        <v>6926.48</v>
      </c>
      <c r="O701" s="35">
        <v>6706.21</v>
      </c>
      <c r="P701" s="35">
        <v>6641.8</v>
      </c>
      <c r="Q701" s="50">
        <f>IF((L702=""),"",MAX(D703:P703))</f>
        <v>5622.82</v>
      </c>
      <c r="R701" s="50">
        <f>IF(L702="","",MIN(D703:L703))</f>
        <v>5425.16</v>
      </c>
      <c r="S701" s="53">
        <f>IF((P703=""),"",AVERAGE(D703:P703))</f>
        <v>5534.8553846153845</v>
      </c>
      <c r="T701" s="52">
        <f>IF((L702=""),"",(Q701-R701)/(Q701+R701)*100)</f>
        <v>1.7891053387135012</v>
      </c>
      <c r="U701" s="50">
        <f>STDEV(D703:P703)</f>
        <v>71.769602271828205</v>
      </c>
      <c r="V701" s="273" t="str">
        <f>IF(P702="","",IF(T701&lt;2.7,IF(S701&gt;5150,IF(S701&lt;5600,"Pass","Fail"),"Fail"),"Fail"))</f>
        <v>Pass</v>
      </c>
      <c r="W701" s="50">
        <v>1335</v>
      </c>
      <c r="X701" s="73" t="s">
        <v>219</v>
      </c>
    </row>
    <row r="702" spans="1:31" x14ac:dyDescent="0.25">
      <c r="A702" s="49"/>
      <c r="B702" s="47"/>
      <c r="C702" s="47" t="s">
        <v>204</v>
      </c>
      <c r="D702" s="35">
        <v>4043.13</v>
      </c>
      <c r="E702" s="35">
        <v>4157.2700000000004</v>
      </c>
      <c r="F702" s="35">
        <v>3957.23</v>
      </c>
      <c r="G702" s="35">
        <v>3969.48</v>
      </c>
      <c r="H702" s="35">
        <v>3963.33</v>
      </c>
      <c r="I702" s="35">
        <v>3917.72</v>
      </c>
      <c r="J702" s="35">
        <v>3989.31</v>
      </c>
      <c r="K702" s="35">
        <v>3933.57</v>
      </c>
      <c r="L702" s="35">
        <v>3963.66</v>
      </c>
      <c r="M702" s="35">
        <v>3953.66</v>
      </c>
      <c r="N702" s="35">
        <v>4179.54</v>
      </c>
      <c r="O702" s="35">
        <v>3918.95</v>
      </c>
      <c r="P702" s="35">
        <v>3859.21</v>
      </c>
      <c r="Q702" s="47"/>
      <c r="R702" s="47"/>
      <c r="S702" s="47"/>
      <c r="T702" s="47"/>
      <c r="U702" s="47"/>
      <c r="V702" s="274"/>
      <c r="W702" s="47"/>
      <c r="X702" s="73"/>
    </row>
    <row r="703" spans="1:31" ht="22.75" thickBot="1" x14ac:dyDescent="0.3">
      <c r="A703" s="45"/>
      <c r="B703" s="42"/>
      <c r="C703" s="42" t="s">
        <v>203</v>
      </c>
      <c r="D703" s="44">
        <f t="shared" ref="D703:P703" si="230">IF(((D701="")*AND(D702="")),"",(D701-D702)*2)</f>
        <v>5426.9400000000005</v>
      </c>
      <c r="E703" s="44">
        <f t="shared" si="230"/>
        <v>5437.66</v>
      </c>
      <c r="F703" s="44">
        <f t="shared" si="230"/>
        <v>5501.64</v>
      </c>
      <c r="G703" s="44">
        <f t="shared" si="230"/>
        <v>5581.4800000000005</v>
      </c>
      <c r="H703" s="44">
        <f t="shared" si="230"/>
        <v>5425.16</v>
      </c>
      <c r="I703" s="44">
        <f t="shared" si="230"/>
        <v>5592.04</v>
      </c>
      <c r="J703" s="44">
        <f t="shared" si="230"/>
        <v>5601.12</v>
      </c>
      <c r="K703" s="44">
        <f t="shared" si="230"/>
        <v>5609.94</v>
      </c>
      <c r="L703" s="44">
        <f t="shared" si="230"/>
        <v>5520.74</v>
      </c>
      <c r="M703" s="44">
        <f t="shared" si="230"/>
        <v>5622.82</v>
      </c>
      <c r="N703" s="44">
        <f t="shared" si="230"/>
        <v>5493.8799999999992</v>
      </c>
      <c r="O703" s="44">
        <f t="shared" si="230"/>
        <v>5574.52</v>
      </c>
      <c r="P703" s="44">
        <f t="shared" si="230"/>
        <v>5565.18</v>
      </c>
      <c r="Q703" s="42"/>
      <c r="R703" s="42"/>
      <c r="S703" s="42"/>
      <c r="T703" s="42"/>
      <c r="U703" s="42"/>
      <c r="V703" s="275"/>
      <c r="W703" s="42"/>
      <c r="X703" s="72"/>
    </row>
    <row r="704" spans="1:31" x14ac:dyDescent="0.25">
      <c r="A704" s="67">
        <v>43528</v>
      </c>
      <c r="B704" s="57" t="s">
        <v>208</v>
      </c>
      <c r="C704" s="61" t="s">
        <v>205</v>
      </c>
      <c r="D704" s="35">
        <v>6037.07</v>
      </c>
      <c r="E704" s="35">
        <v>6092.62</v>
      </c>
      <c r="F704" s="35">
        <v>6184.58</v>
      </c>
      <c r="G704" s="35">
        <v>6018.33</v>
      </c>
      <c r="H704" s="35">
        <v>6083.49</v>
      </c>
      <c r="I704" s="35">
        <v>6224.97</v>
      </c>
      <c r="J704" s="35">
        <v>6103.47</v>
      </c>
      <c r="K704" s="35">
        <v>6184.94</v>
      </c>
      <c r="L704" s="35">
        <v>6058.19</v>
      </c>
      <c r="M704" s="60"/>
      <c r="N704" s="60"/>
      <c r="O704" s="60"/>
      <c r="P704" s="60"/>
      <c r="Q704" s="57">
        <f>IF((L705=""),"",MAX(D706:L706))</f>
        <v>8447.2799999999988</v>
      </c>
      <c r="R704" s="57">
        <f>IF(L705="","",MIN(D706:L706))</f>
        <v>7235.01</v>
      </c>
      <c r="S704" s="59">
        <f>IF((L706=""),"",AVERAGE(D706:L706))</f>
        <v>7531</v>
      </c>
      <c r="T704" s="53">
        <f>IF((L705=""),"",(Q704-R704)/(Q704+R704)*100)</f>
        <v>7.7301848135699487</v>
      </c>
      <c r="U704" s="57">
        <f>STDEV(D706:P706)</f>
        <v>379.3838362727119</v>
      </c>
      <c r="V704" s="276" t="str">
        <f>IF(L705="","",IF(T704&lt;9.8,IF(S704&gt;5100,IF(S704&lt;8300,"Pass","Fail"),"Fail"),"Fail"))</f>
        <v>Pass</v>
      </c>
      <c r="W704" s="57">
        <v>74</v>
      </c>
      <c r="X704" s="68" t="s">
        <v>218</v>
      </c>
    </row>
    <row r="705" spans="1:25" x14ac:dyDescent="0.25">
      <c r="A705" s="49"/>
      <c r="B705" s="47"/>
      <c r="C705" s="56" t="s">
        <v>204</v>
      </c>
      <c r="D705" s="35">
        <v>3221.31</v>
      </c>
      <c r="E705" s="35">
        <v>3680.95</v>
      </c>
      <c r="F705" s="35">
        <v>3721.33</v>
      </c>
      <c r="G705" s="35">
        <v>3422.62</v>
      </c>
      <c r="H705" s="35">
        <v>3619.61</v>
      </c>
      <c r="I705" s="35">
        <v>3727.67</v>
      </c>
      <c r="J705" s="35">
        <v>3669.94</v>
      </c>
      <c r="K705" s="35">
        <v>3703.77</v>
      </c>
      <c r="L705" s="35">
        <v>3627.46</v>
      </c>
      <c r="M705" s="55"/>
      <c r="N705" s="55"/>
      <c r="O705" s="55"/>
      <c r="P705" s="55"/>
      <c r="Q705" s="47"/>
      <c r="R705" s="47"/>
      <c r="S705" s="47"/>
      <c r="T705" s="47"/>
      <c r="U705" s="47"/>
      <c r="V705" s="274"/>
      <c r="W705" s="47"/>
      <c r="X705" s="46"/>
    </row>
    <row r="706" spans="1:25" ht="22.75" thickBot="1" x14ac:dyDescent="0.3">
      <c r="A706" s="49"/>
      <c r="B706" s="47"/>
      <c r="C706" s="50" t="s">
        <v>203</v>
      </c>
      <c r="D706" s="54">
        <f t="shared" ref="D706:L706" si="231">IF(((D704="")*AND(D705="")),"",(D704-D705)*3)</f>
        <v>8447.2799999999988</v>
      </c>
      <c r="E706" s="54">
        <f t="shared" si="231"/>
        <v>7235.01</v>
      </c>
      <c r="F706" s="54">
        <f t="shared" si="231"/>
        <v>7389.75</v>
      </c>
      <c r="G706" s="54">
        <f t="shared" si="231"/>
        <v>7787.13</v>
      </c>
      <c r="H706" s="54">
        <f t="shared" si="231"/>
        <v>7391.6399999999994</v>
      </c>
      <c r="I706" s="54">
        <f t="shared" si="231"/>
        <v>7491.9000000000005</v>
      </c>
      <c r="J706" s="54">
        <f t="shared" si="231"/>
        <v>7300.59</v>
      </c>
      <c r="K706" s="54">
        <f t="shared" si="231"/>
        <v>7443.5099999999984</v>
      </c>
      <c r="L706" s="54">
        <f t="shared" si="231"/>
        <v>7292.1899999999987</v>
      </c>
      <c r="M706" s="54"/>
      <c r="N706" s="54"/>
      <c r="O706" s="54"/>
      <c r="P706" s="54" t="str">
        <f>IF(((P704="")*AND(P705="")),"",(P704-P705)*2)</f>
        <v/>
      </c>
      <c r="Q706" s="47"/>
      <c r="R706" s="47"/>
      <c r="S706" s="47"/>
      <c r="T706" s="47"/>
      <c r="U706" s="47"/>
      <c r="V706" s="274"/>
      <c r="W706" s="47"/>
      <c r="X706" s="46"/>
    </row>
    <row r="707" spans="1:25" x14ac:dyDescent="0.25">
      <c r="A707" s="67">
        <v>43528</v>
      </c>
      <c r="B707" s="50" t="s">
        <v>206</v>
      </c>
      <c r="C707" s="50" t="s">
        <v>205</v>
      </c>
      <c r="D707" s="35">
        <v>6877.11</v>
      </c>
      <c r="E707" s="35">
        <v>6996.7</v>
      </c>
      <c r="F707" s="35">
        <v>6829.09</v>
      </c>
      <c r="G707" s="35">
        <v>6862.92</v>
      </c>
      <c r="H707" s="35">
        <v>6811.1</v>
      </c>
      <c r="I707" s="35">
        <v>6833.92</v>
      </c>
      <c r="J707" s="35">
        <v>6895</v>
      </c>
      <c r="K707" s="35">
        <v>6845.77</v>
      </c>
      <c r="L707" s="35">
        <v>6846.02</v>
      </c>
      <c r="M707" s="35">
        <v>6879.76</v>
      </c>
      <c r="N707" s="35">
        <v>7051.51</v>
      </c>
      <c r="O707" s="35">
        <v>6833.19</v>
      </c>
      <c r="P707" s="35">
        <v>6775.4</v>
      </c>
      <c r="Q707" s="50">
        <f>IF((L708=""),"",MAX(D709:P709))</f>
        <v>5490.34</v>
      </c>
      <c r="R707" s="50">
        <f>IF(L708="","",MIN(D709:L709))</f>
        <v>5385.58</v>
      </c>
      <c r="S707" s="53">
        <f>IF((P709=""),"",AVERAGE(D709:P709))</f>
        <v>5433.9323076923083</v>
      </c>
      <c r="T707" s="52">
        <f>IF((L708=""),"",(Q707-R707)/(Q707+R707)*100)</f>
        <v>0.9632288578805307</v>
      </c>
      <c r="U707" s="50">
        <f>STDEV(D709:P709)</f>
        <v>32.524700909167088</v>
      </c>
      <c r="V707" s="273" t="str">
        <f>IF(P708="","",IF(T707&lt;2.7,IF(S707&gt;5150,IF(S707&lt;5600,"Pass","Fail"),"Fail"),"Fail"))</f>
        <v>Pass</v>
      </c>
      <c r="W707" s="50">
        <v>74</v>
      </c>
      <c r="X707" s="46" t="s">
        <v>218</v>
      </c>
    </row>
    <row r="708" spans="1:25" x14ac:dyDescent="0.25">
      <c r="A708" s="49"/>
      <c r="B708" s="47"/>
      <c r="C708" s="47" t="s">
        <v>204</v>
      </c>
      <c r="D708" s="35">
        <v>4184.32</v>
      </c>
      <c r="E708" s="35">
        <v>4287.5200000000004</v>
      </c>
      <c r="F708" s="35">
        <v>4135.93</v>
      </c>
      <c r="G708" s="35">
        <v>4144.2</v>
      </c>
      <c r="H708" s="35">
        <v>4093.28</v>
      </c>
      <c r="I708" s="35">
        <v>4098.05</v>
      </c>
      <c r="J708" s="35">
        <v>4165.71</v>
      </c>
      <c r="K708" s="35">
        <v>4112.68</v>
      </c>
      <c r="L708" s="35">
        <v>4148.72</v>
      </c>
      <c r="M708" s="35">
        <v>4134.59</v>
      </c>
      <c r="N708" s="35">
        <v>4336.57</v>
      </c>
      <c r="O708" s="35">
        <v>4115.54</v>
      </c>
      <c r="P708" s="35">
        <v>4059.82</v>
      </c>
      <c r="Q708" s="47"/>
      <c r="R708" s="47"/>
      <c r="S708" s="47"/>
      <c r="T708" s="47"/>
      <c r="U708" s="47"/>
      <c r="V708" s="274"/>
      <c r="W708" s="47"/>
      <c r="X708" s="46"/>
    </row>
    <row r="709" spans="1:25" ht="22.75" thickBot="1" x14ac:dyDescent="0.3">
      <c r="A709" s="45"/>
      <c r="B709" s="42"/>
      <c r="C709" s="42" t="s">
        <v>203</v>
      </c>
      <c r="D709" s="44">
        <f t="shared" ref="D709:P709" si="232">IF(((D707="")*AND(D708="")),"",(D707-D708)*2)</f>
        <v>5385.58</v>
      </c>
      <c r="E709" s="44">
        <f t="shared" si="232"/>
        <v>5418.3599999999988</v>
      </c>
      <c r="F709" s="44">
        <f t="shared" si="232"/>
        <v>5386.32</v>
      </c>
      <c r="G709" s="44">
        <f t="shared" si="232"/>
        <v>5437.4400000000005</v>
      </c>
      <c r="H709" s="44">
        <f t="shared" si="232"/>
        <v>5435.64</v>
      </c>
      <c r="I709" s="44">
        <f t="shared" si="232"/>
        <v>5471.74</v>
      </c>
      <c r="J709" s="44">
        <f t="shared" si="232"/>
        <v>5458.58</v>
      </c>
      <c r="K709" s="44">
        <f t="shared" si="232"/>
        <v>5466.18</v>
      </c>
      <c r="L709" s="44">
        <f t="shared" si="232"/>
        <v>5394.6</v>
      </c>
      <c r="M709" s="44">
        <f t="shared" si="232"/>
        <v>5490.34</v>
      </c>
      <c r="N709" s="44">
        <f t="shared" si="232"/>
        <v>5429.880000000001</v>
      </c>
      <c r="O709" s="44">
        <f t="shared" si="232"/>
        <v>5435.2999999999993</v>
      </c>
      <c r="P709" s="44">
        <f t="shared" si="232"/>
        <v>5431.1599999999989</v>
      </c>
      <c r="Q709" s="42"/>
      <c r="R709" s="42"/>
      <c r="S709" s="42"/>
      <c r="T709" s="42"/>
      <c r="U709" s="42"/>
      <c r="V709" s="275"/>
      <c r="W709" s="42"/>
      <c r="X709" s="41"/>
    </row>
    <row r="710" spans="1:25" x14ac:dyDescent="0.25">
      <c r="A710" s="67">
        <v>43535</v>
      </c>
      <c r="B710" s="57" t="s">
        <v>208</v>
      </c>
      <c r="C710" s="61" t="s">
        <v>205</v>
      </c>
      <c r="D710" s="35">
        <v>6042.58</v>
      </c>
      <c r="E710" s="35">
        <v>6051.46</v>
      </c>
      <c r="F710" s="35">
        <v>6030.65</v>
      </c>
      <c r="G710" s="35">
        <v>6063.4</v>
      </c>
      <c r="H710" s="35">
        <v>6051.74</v>
      </c>
      <c r="I710" s="35">
        <v>6056.83</v>
      </c>
      <c r="J710" s="35">
        <v>6049.95</v>
      </c>
      <c r="K710" s="35">
        <v>6045.11</v>
      </c>
      <c r="L710" s="35">
        <v>6047.09</v>
      </c>
      <c r="M710" s="60"/>
      <c r="N710" s="60"/>
      <c r="O710" s="60"/>
      <c r="P710" s="60"/>
      <c r="Q710" s="57">
        <f>IF((L711=""),"",MAX(D712:L712))</f>
        <v>8723.9699999999993</v>
      </c>
      <c r="R710" s="57">
        <f>IF(L711="","",MIN(D712:L712))</f>
        <v>6876.1799999999985</v>
      </c>
      <c r="S710" s="59">
        <f>IF((L712=""),"",AVERAGE(D712:L712))</f>
        <v>7371.1466666666674</v>
      </c>
      <c r="T710" s="53">
        <f>IF((L711=""),"",(Q710-R710)/(Q710+R710)*100)</f>
        <v>11.844693801021151</v>
      </c>
      <c r="U710" s="57">
        <f>STDEV(D712:P712)</f>
        <v>719.77541941914069</v>
      </c>
      <c r="V710" s="276" t="str">
        <f>IF(L711="","",IF(T710&lt;9.8,IF(S710&gt;5100,IF(S710&lt;8300,"Pass","Fail"),"Fail"),"Fail"))</f>
        <v>Fail</v>
      </c>
      <c r="W710" s="57">
        <v>1534</v>
      </c>
      <c r="X710" s="260"/>
      <c r="Y710" s="68"/>
    </row>
    <row r="711" spans="1:25" x14ac:dyDescent="0.25">
      <c r="A711" s="49"/>
      <c r="B711" s="47"/>
      <c r="C711" s="56" t="s">
        <v>204</v>
      </c>
      <c r="D711" s="35">
        <v>3134.59</v>
      </c>
      <c r="E711" s="35">
        <v>3693.06</v>
      </c>
      <c r="F711" s="35">
        <v>3738.59</v>
      </c>
      <c r="G711" s="35">
        <v>3218.11</v>
      </c>
      <c r="H711" s="35">
        <v>3667.72</v>
      </c>
      <c r="I711" s="35">
        <v>3751.61</v>
      </c>
      <c r="J711" s="35">
        <v>3701.76</v>
      </c>
      <c r="K711" s="35">
        <v>3710.52</v>
      </c>
      <c r="L711" s="35">
        <v>3709.41</v>
      </c>
      <c r="M711" s="55"/>
      <c r="N711" s="55"/>
      <c r="O711" s="55"/>
      <c r="P711" s="55"/>
      <c r="Q711" s="47"/>
      <c r="R711" s="47"/>
      <c r="S711" s="47"/>
      <c r="T711" s="47"/>
      <c r="U711" s="47"/>
      <c r="V711" s="274"/>
      <c r="W711" s="47"/>
      <c r="X711" s="260"/>
      <c r="Y711" s="46"/>
    </row>
    <row r="712" spans="1:25" ht="22.75" thickBot="1" x14ac:dyDescent="0.3">
      <c r="A712" s="49"/>
      <c r="B712" s="47"/>
      <c r="C712" s="50" t="s">
        <v>203</v>
      </c>
      <c r="D712" s="54">
        <f t="shared" ref="D712:L712" si="233">IF(((D710="")*AND(D711="")),"",(D710-D711)*3)</f>
        <v>8723.9699999999993</v>
      </c>
      <c r="E712" s="54">
        <f t="shared" si="233"/>
        <v>7075.2000000000007</v>
      </c>
      <c r="F712" s="54">
        <f t="shared" si="233"/>
        <v>6876.1799999999985</v>
      </c>
      <c r="G712" s="54">
        <f t="shared" si="233"/>
        <v>8535.869999999999</v>
      </c>
      <c r="H712" s="54">
        <f t="shared" si="233"/>
        <v>7152.0599999999995</v>
      </c>
      <c r="I712" s="54">
        <f t="shared" si="233"/>
        <v>6915.66</v>
      </c>
      <c r="J712" s="54">
        <f t="shared" si="233"/>
        <v>7044.5699999999988</v>
      </c>
      <c r="K712" s="54">
        <f t="shared" si="233"/>
        <v>7003.7699999999986</v>
      </c>
      <c r="L712" s="54">
        <f t="shared" si="233"/>
        <v>7013.0400000000009</v>
      </c>
      <c r="M712" s="54"/>
      <c r="N712" s="54"/>
      <c r="O712" s="54"/>
      <c r="P712" s="54" t="str">
        <f>IF(((P710="")*AND(P711="")),"",(P710-P711)*2)</f>
        <v/>
      </c>
      <c r="Q712" s="47"/>
      <c r="R712" s="47"/>
      <c r="S712" s="47"/>
      <c r="T712" s="47"/>
      <c r="U712" s="47"/>
      <c r="V712" s="274"/>
      <c r="W712" s="47"/>
      <c r="X712" s="260"/>
      <c r="Y712" s="46"/>
    </row>
    <row r="713" spans="1:25" x14ac:dyDescent="0.25">
      <c r="A713" s="67">
        <v>43535</v>
      </c>
      <c r="B713" s="50" t="s">
        <v>206</v>
      </c>
      <c r="C713" s="50" t="s">
        <v>205</v>
      </c>
      <c r="D713" s="35">
        <v>6705.7</v>
      </c>
      <c r="E713" s="35">
        <v>6821.45</v>
      </c>
      <c r="F713" s="35">
        <v>6656.01</v>
      </c>
      <c r="G713" s="35">
        <v>6706.18</v>
      </c>
      <c r="H713" s="35">
        <v>6630.15</v>
      </c>
      <c r="I713" s="35">
        <v>6660.85</v>
      </c>
      <c r="J713" s="35">
        <v>6737.05</v>
      </c>
      <c r="K713" s="35">
        <v>6687.56</v>
      </c>
      <c r="L713" s="35">
        <v>6670.26</v>
      </c>
      <c r="M713" s="35">
        <v>6715.36</v>
      </c>
      <c r="N713" s="35">
        <v>6869.63</v>
      </c>
      <c r="O713" s="35">
        <v>6656.86</v>
      </c>
      <c r="P713" s="35">
        <v>6593.29</v>
      </c>
      <c r="Q713" s="50">
        <f>IF((L714=""),"",MAX(D715:P715))</f>
        <v>5414.9999999999991</v>
      </c>
      <c r="R713" s="50">
        <f>IF(L714="","",MIN(D715:L715))</f>
        <v>5337.22</v>
      </c>
      <c r="S713" s="53">
        <f>IF((P715=""),"",AVERAGE(D715:P715))</f>
        <v>5375.4030769230776</v>
      </c>
      <c r="T713" s="52">
        <f>IF((L714=""),"",(Q713-R713)/(Q713+R713)*100)</f>
        <v>0.72338549620449399</v>
      </c>
      <c r="U713" s="50">
        <f>STDEV(D715:P715)</f>
        <v>24.549274050575452</v>
      </c>
      <c r="V713" s="273" t="str">
        <f>IF(P714="","",IF(T713&lt;2.7,IF(S713&gt;5150,IF(S713&lt;5600,"Pass","Fail"),"Fail"),"Fail"))</f>
        <v>Pass</v>
      </c>
      <c r="W713" s="50">
        <v>1534</v>
      </c>
      <c r="X713" s="46" t="s">
        <v>217</v>
      </c>
    </row>
    <row r="714" spans="1:25" x14ac:dyDescent="0.25">
      <c r="A714" s="49"/>
      <c r="B714" s="47"/>
      <c r="C714" s="47" t="s">
        <v>204</v>
      </c>
      <c r="D714" s="35">
        <v>4017.78</v>
      </c>
      <c r="E714" s="35">
        <v>4119.99</v>
      </c>
      <c r="F714" s="35">
        <v>3985.78</v>
      </c>
      <c r="G714" s="35">
        <v>4026.17</v>
      </c>
      <c r="H714" s="35">
        <v>3922.65</v>
      </c>
      <c r="I714" s="35">
        <v>3963.12</v>
      </c>
      <c r="J714" s="35">
        <v>4056.44</v>
      </c>
      <c r="K714" s="35">
        <v>3998.27</v>
      </c>
      <c r="L714" s="35">
        <v>4001.65</v>
      </c>
      <c r="M714" s="35">
        <v>4028.25</v>
      </c>
      <c r="N714" s="35">
        <v>4166.9799999999996</v>
      </c>
      <c r="O714" s="35">
        <v>3979.89</v>
      </c>
      <c r="P714" s="35">
        <v>3903.26</v>
      </c>
      <c r="Q714" s="47"/>
      <c r="R714" s="47"/>
      <c r="S714" s="47"/>
      <c r="T714" s="47"/>
      <c r="U714" s="47"/>
      <c r="V714" s="274"/>
      <c r="W714" s="47"/>
      <c r="X714" s="46"/>
    </row>
    <row r="715" spans="1:25" ht="22.75" thickBot="1" x14ac:dyDescent="0.3">
      <c r="A715" s="45"/>
      <c r="B715" s="42"/>
      <c r="C715" s="42" t="s">
        <v>203</v>
      </c>
      <c r="D715" s="44">
        <f t="shared" ref="D715:P715" si="234">IF(((D713="")*AND(D714="")),"",(D713-D714)*2)</f>
        <v>5375.8399999999992</v>
      </c>
      <c r="E715" s="44">
        <f t="shared" si="234"/>
        <v>5402.92</v>
      </c>
      <c r="F715" s="44">
        <f t="shared" si="234"/>
        <v>5340.46</v>
      </c>
      <c r="G715" s="44">
        <f t="shared" si="234"/>
        <v>5360.02</v>
      </c>
      <c r="H715" s="44">
        <f t="shared" si="234"/>
        <v>5414.9999999999991</v>
      </c>
      <c r="I715" s="44">
        <f t="shared" si="234"/>
        <v>5395.4600000000009</v>
      </c>
      <c r="J715" s="44">
        <f t="shared" si="234"/>
        <v>5361.22</v>
      </c>
      <c r="K715" s="44">
        <f t="shared" si="234"/>
        <v>5378.5800000000008</v>
      </c>
      <c r="L715" s="44">
        <f t="shared" si="234"/>
        <v>5337.22</v>
      </c>
      <c r="M715" s="44">
        <f t="shared" si="234"/>
        <v>5374.2199999999993</v>
      </c>
      <c r="N715" s="44">
        <f t="shared" si="234"/>
        <v>5405.3000000000011</v>
      </c>
      <c r="O715" s="44">
        <f t="shared" si="234"/>
        <v>5353.94</v>
      </c>
      <c r="P715" s="44">
        <f t="shared" si="234"/>
        <v>5380.0599999999995</v>
      </c>
      <c r="Q715" s="42"/>
      <c r="R715" s="42"/>
      <c r="S715" s="42"/>
      <c r="T715" s="42"/>
      <c r="U715" s="42"/>
      <c r="V715" s="275"/>
      <c r="W715" s="42"/>
      <c r="X715" s="41"/>
    </row>
    <row r="716" spans="1:25" x14ac:dyDescent="0.25">
      <c r="A716" s="67">
        <v>43535</v>
      </c>
      <c r="B716" s="57" t="s">
        <v>208</v>
      </c>
      <c r="C716" s="61" t="s">
        <v>205</v>
      </c>
      <c r="D716" s="35">
        <v>6016</v>
      </c>
      <c r="E716" s="35">
        <v>6039.34</v>
      </c>
      <c r="F716" s="35">
        <v>6099.39</v>
      </c>
      <c r="G716" s="35">
        <v>6060.51</v>
      </c>
      <c r="H716" s="35">
        <v>6071.05</v>
      </c>
      <c r="I716" s="35">
        <v>6063.89</v>
      </c>
      <c r="J716" s="35">
        <v>6050.5</v>
      </c>
      <c r="K716" s="35">
        <v>6076.39</v>
      </c>
      <c r="L716" s="35">
        <v>6025.18</v>
      </c>
      <c r="M716" s="60"/>
      <c r="N716" s="60"/>
      <c r="O716" s="60"/>
      <c r="P716" s="60"/>
      <c r="Q716" s="57">
        <f>IF((L717=""),"",MAX(D718:L718))</f>
        <v>8459.07</v>
      </c>
      <c r="R716" s="57">
        <f>IF(L717="","",MIN(D718:L718))</f>
        <v>7095.6900000000005</v>
      </c>
      <c r="S716" s="59">
        <f>IF((L718=""),"",AVERAGE(D718:L718))</f>
        <v>7465.796666666668</v>
      </c>
      <c r="T716" s="53">
        <f>IF((L717=""),"",(Q716-R716)/(Q716+R716)*100)</f>
        <v>8.7650339831665622</v>
      </c>
      <c r="U716" s="57">
        <f>STDEV(D718:P718)</f>
        <v>480.38554003529237</v>
      </c>
      <c r="V716" s="276" t="str">
        <f>IF(L717="","",IF(T716&lt;9.8,IF(S716&gt;5100,IF(S716&lt;8300,"Pass","Fail"),"Fail"),"Fail"))</f>
        <v>Pass</v>
      </c>
      <c r="W716" s="57">
        <v>1428</v>
      </c>
      <c r="X716" s="38" t="s">
        <v>217</v>
      </c>
    </row>
    <row r="717" spans="1:25" x14ac:dyDescent="0.25">
      <c r="A717" s="49"/>
      <c r="B717" s="47"/>
      <c r="C717" s="56" t="s">
        <v>204</v>
      </c>
      <c r="D717" s="35">
        <v>3310.65</v>
      </c>
      <c r="E717" s="35">
        <v>3674.11</v>
      </c>
      <c r="F717" s="35">
        <v>3675.68</v>
      </c>
      <c r="G717" s="35">
        <v>3240.82</v>
      </c>
      <c r="H717" s="35">
        <v>3628.19</v>
      </c>
      <c r="I717" s="35">
        <v>3675.1</v>
      </c>
      <c r="J717" s="35">
        <v>3604.28</v>
      </c>
      <c r="K717" s="35">
        <v>3657.6</v>
      </c>
      <c r="L717" s="35">
        <v>3638.43</v>
      </c>
      <c r="M717" s="55"/>
      <c r="N717" s="55"/>
      <c r="O717" s="55"/>
      <c r="P717" s="55"/>
      <c r="Q717" s="47"/>
      <c r="R717" s="47"/>
      <c r="S717" s="47"/>
      <c r="T717" s="47"/>
      <c r="U717" s="47"/>
      <c r="V717" s="274"/>
      <c r="W717" s="47"/>
    </row>
    <row r="718" spans="1:25" ht="22.75" thickBot="1" x14ac:dyDescent="0.3">
      <c r="A718" s="49"/>
      <c r="B718" s="47"/>
      <c r="C718" s="50" t="s">
        <v>203</v>
      </c>
      <c r="D718" s="54">
        <f t="shared" ref="D718:L718" si="235">IF(((D716="")*AND(D717="")),"",(D716-D717)*3)</f>
        <v>8116.0499999999993</v>
      </c>
      <c r="E718" s="54">
        <f t="shared" si="235"/>
        <v>7095.6900000000005</v>
      </c>
      <c r="F718" s="54">
        <f t="shared" si="235"/>
        <v>7271.130000000001</v>
      </c>
      <c r="G718" s="54">
        <f t="shared" si="235"/>
        <v>8459.07</v>
      </c>
      <c r="H718" s="54">
        <f t="shared" si="235"/>
        <v>7328.58</v>
      </c>
      <c r="I718" s="54">
        <f t="shared" si="235"/>
        <v>7166.3700000000008</v>
      </c>
      <c r="J718" s="54">
        <f t="shared" si="235"/>
        <v>7338.66</v>
      </c>
      <c r="K718" s="54">
        <f t="shared" si="235"/>
        <v>7256.3700000000008</v>
      </c>
      <c r="L718" s="54">
        <f t="shared" si="235"/>
        <v>7160.2500000000018</v>
      </c>
      <c r="M718" s="54"/>
      <c r="N718" s="54"/>
      <c r="O718" s="54"/>
      <c r="P718" s="54" t="str">
        <f>IF(((P716="")*AND(P717="")),"",(P716-P717)*2)</f>
        <v/>
      </c>
      <c r="Q718" s="47"/>
      <c r="R718" s="47"/>
      <c r="S718" s="47"/>
      <c r="T718" s="47"/>
      <c r="U718" s="47"/>
      <c r="V718" s="274"/>
      <c r="W718" s="47"/>
    </row>
    <row r="719" spans="1:25" x14ac:dyDescent="0.25">
      <c r="A719" s="40">
        <v>43538</v>
      </c>
      <c r="B719" s="57" t="s">
        <v>208</v>
      </c>
      <c r="C719" s="61" t="s">
        <v>205</v>
      </c>
      <c r="D719" s="35">
        <v>3325.29</v>
      </c>
      <c r="E719" s="35">
        <v>3704.2</v>
      </c>
      <c r="F719" s="35">
        <v>3713.86</v>
      </c>
      <c r="G719" s="35">
        <v>3132.61</v>
      </c>
      <c r="H719" s="35">
        <v>3640.91</v>
      </c>
      <c r="I719" s="35">
        <v>3697.1</v>
      </c>
      <c r="J719" s="35">
        <v>3629.37</v>
      </c>
      <c r="K719" s="35">
        <v>3670.67</v>
      </c>
      <c r="L719" s="35">
        <v>3639.14</v>
      </c>
      <c r="M719" s="60"/>
      <c r="N719" s="60"/>
      <c r="O719" s="60"/>
      <c r="P719" s="60"/>
      <c r="Q719" s="57">
        <f>IF((L720=""),"",MAX(D721:L721))</f>
        <v>6914.0999999999995</v>
      </c>
      <c r="R719" s="57">
        <f>IF(L720="","",MIN(D721:L721))</f>
        <v>6491.82</v>
      </c>
      <c r="S719" s="59">
        <f>IF((L721=""),"",AVERAGE(D721:L721))</f>
        <v>6806.2799999999988</v>
      </c>
      <c r="T719" s="53">
        <f>IF((L720=""),"",(Q719-R719)/(Q719+R719)*100)</f>
        <v>3.1499516631458326</v>
      </c>
      <c r="U719" s="57">
        <f>STDEV(D721:P721)</f>
        <v>131.99583317286965</v>
      </c>
      <c r="V719" s="276" t="str">
        <f>IF(L720="","",IF(T719&lt;9.8,IF(S719&gt;5100,IF(S719&lt;8300,"Pass","Fail"),"Fail"),"Fail"))</f>
        <v>Pass</v>
      </c>
      <c r="W719" s="57">
        <v>121</v>
      </c>
      <c r="X719" s="68" t="s">
        <v>216</v>
      </c>
    </row>
    <row r="720" spans="1:25" x14ac:dyDescent="0.25">
      <c r="A720" s="49"/>
      <c r="B720" s="47"/>
      <c r="C720" s="56" t="s">
        <v>204</v>
      </c>
      <c r="D720" s="35">
        <v>1082.3900000000001</v>
      </c>
      <c r="E720" s="35">
        <v>1418.53</v>
      </c>
      <c r="F720" s="35">
        <v>1424.92</v>
      </c>
      <c r="G720" s="35">
        <v>968.67</v>
      </c>
      <c r="H720" s="35">
        <v>1384.51</v>
      </c>
      <c r="I720" s="35">
        <v>1398.72</v>
      </c>
      <c r="J720" s="35">
        <v>1324.67</v>
      </c>
      <c r="K720" s="35">
        <v>1381.27</v>
      </c>
      <c r="L720" s="35">
        <v>1350.63</v>
      </c>
      <c r="M720" s="55"/>
      <c r="N720" s="55"/>
      <c r="O720" s="55"/>
      <c r="P720" s="55"/>
      <c r="Q720" s="47"/>
      <c r="R720" s="47"/>
      <c r="S720" s="47"/>
      <c r="T720" s="47"/>
      <c r="U720" s="47"/>
      <c r="V720" s="274"/>
      <c r="W720" s="47"/>
      <c r="X720" s="46"/>
    </row>
    <row r="721" spans="1:24" ht="22.75" thickBot="1" x14ac:dyDescent="0.3">
      <c r="A721" s="49"/>
      <c r="B721" s="47"/>
      <c r="C721" s="50" t="s">
        <v>203</v>
      </c>
      <c r="D721" s="54">
        <f t="shared" ref="D721:L721" si="236">IF(((D719="")*AND(D720="")),"",(D719-D720)*3)</f>
        <v>6728.6999999999989</v>
      </c>
      <c r="E721" s="54">
        <f t="shared" si="236"/>
        <v>6857.01</v>
      </c>
      <c r="F721" s="54">
        <f t="shared" si="236"/>
        <v>6866.82</v>
      </c>
      <c r="G721" s="54">
        <f t="shared" si="236"/>
        <v>6491.82</v>
      </c>
      <c r="H721" s="54">
        <f t="shared" si="236"/>
        <v>6769.1999999999989</v>
      </c>
      <c r="I721" s="54">
        <f t="shared" si="236"/>
        <v>6895.14</v>
      </c>
      <c r="J721" s="54">
        <f t="shared" si="236"/>
        <v>6914.0999999999995</v>
      </c>
      <c r="K721" s="54">
        <f t="shared" si="236"/>
        <v>6868.2000000000007</v>
      </c>
      <c r="L721" s="54">
        <f t="shared" si="236"/>
        <v>6865.5299999999988</v>
      </c>
      <c r="M721" s="54"/>
      <c r="N721" s="54"/>
      <c r="O721" s="54"/>
      <c r="P721" s="54" t="str">
        <f>IF(((P719="")*AND(P720="")),"",(P719-P720)*2)</f>
        <v/>
      </c>
      <c r="Q721" s="47"/>
      <c r="R721" s="47"/>
      <c r="S721" s="47"/>
      <c r="T721" s="47"/>
      <c r="U721" s="47"/>
      <c r="V721" s="274"/>
      <c r="W721" s="47"/>
      <c r="X721" s="46"/>
    </row>
    <row r="722" spans="1:24" x14ac:dyDescent="0.25">
      <c r="A722" s="40">
        <v>43538</v>
      </c>
      <c r="B722" s="50" t="s">
        <v>206</v>
      </c>
      <c r="C722" s="50" t="s">
        <v>205</v>
      </c>
      <c r="D722" s="35">
        <v>4044.22</v>
      </c>
      <c r="E722" s="35">
        <v>4163.7</v>
      </c>
      <c r="F722" s="35">
        <v>3963.75</v>
      </c>
      <c r="G722" s="35">
        <v>3977.22</v>
      </c>
      <c r="H722" s="35">
        <v>3970.74</v>
      </c>
      <c r="I722" s="35">
        <v>3925.75</v>
      </c>
      <c r="J722" s="35">
        <v>3997.12</v>
      </c>
      <c r="K722" s="35">
        <v>3941.36</v>
      </c>
      <c r="L722" s="35">
        <v>3971.36</v>
      </c>
      <c r="M722" s="35">
        <v>3961.98</v>
      </c>
      <c r="N722" s="35">
        <v>4185.17</v>
      </c>
      <c r="O722" s="35">
        <v>3927.1</v>
      </c>
      <c r="P722" s="35">
        <v>3864.75</v>
      </c>
      <c r="Q722" s="50">
        <f>IF((L723=""),"",MAX(D724:P724))</f>
        <v>5522.08</v>
      </c>
      <c r="R722" s="50">
        <f>IF(L723="","",MIN(D724:L724))</f>
        <v>5422.58</v>
      </c>
      <c r="S722" s="53">
        <f>IF((P724=""),"",AVERAGE(D724:P724))</f>
        <v>5475.5138461538463</v>
      </c>
      <c r="T722" s="52">
        <f>IF((L723=""),"",(Q722-R722)/(Q722+R722)*100)</f>
        <v>0.90911915034363799</v>
      </c>
      <c r="U722" s="50">
        <f>STDEV(D724:P724)</f>
        <v>35.357194821436615</v>
      </c>
      <c r="V722" s="273" t="str">
        <f>IF(P723="","",IF(T722&lt;2.7,IF(S722&gt;5150,IF(S722&lt;5600,"Pass","Fail"),"Fail"),"Fail"))</f>
        <v>Pass</v>
      </c>
      <c r="W722" s="50">
        <v>121</v>
      </c>
      <c r="X722" s="46" t="s">
        <v>216</v>
      </c>
    </row>
    <row r="723" spans="1:24" x14ac:dyDescent="0.25">
      <c r="A723" s="49"/>
      <c r="B723" s="47"/>
      <c r="C723" s="47" t="s">
        <v>204</v>
      </c>
      <c r="D723" s="35">
        <v>1332.93</v>
      </c>
      <c r="E723" s="35">
        <v>1449.96</v>
      </c>
      <c r="F723" s="35">
        <v>1242.94</v>
      </c>
      <c r="G723" s="35">
        <v>1229.3599999999999</v>
      </c>
      <c r="H723" s="35">
        <v>1251.67</v>
      </c>
      <c r="I723" s="35">
        <v>1164.71</v>
      </c>
      <c r="J723" s="35">
        <v>1239.8</v>
      </c>
      <c r="K723" s="35">
        <v>1190.3599999999999</v>
      </c>
      <c r="L723" s="35">
        <v>1245.26</v>
      </c>
      <c r="M723" s="35">
        <v>1203.69</v>
      </c>
      <c r="N723" s="35">
        <v>1447.72</v>
      </c>
      <c r="O723" s="35">
        <v>1186.1500000000001</v>
      </c>
      <c r="P723" s="35">
        <v>1118.83</v>
      </c>
      <c r="Q723" s="47"/>
      <c r="R723" s="47"/>
      <c r="S723" s="47"/>
      <c r="T723" s="47"/>
      <c r="U723" s="47"/>
      <c r="V723" s="274"/>
      <c r="W723" s="47"/>
      <c r="X723" s="46"/>
    </row>
    <row r="724" spans="1:24" ht="22.75" thickBot="1" x14ac:dyDescent="0.3">
      <c r="A724" s="45"/>
      <c r="B724" s="42"/>
      <c r="C724" s="42" t="s">
        <v>203</v>
      </c>
      <c r="D724" s="44">
        <f t="shared" ref="D724:P724" si="237">IF(((D722="")*AND(D723="")),"",(D722-D723)*2)</f>
        <v>5422.58</v>
      </c>
      <c r="E724" s="44">
        <f t="shared" si="237"/>
        <v>5427.48</v>
      </c>
      <c r="F724" s="44">
        <f t="shared" si="237"/>
        <v>5441.62</v>
      </c>
      <c r="G724" s="44">
        <f t="shared" si="237"/>
        <v>5495.7199999999993</v>
      </c>
      <c r="H724" s="44">
        <f t="shared" si="237"/>
        <v>5438.1399999999994</v>
      </c>
      <c r="I724" s="44">
        <f t="shared" si="237"/>
        <v>5522.08</v>
      </c>
      <c r="J724" s="44">
        <f t="shared" si="237"/>
        <v>5514.6399999999994</v>
      </c>
      <c r="K724" s="44">
        <f t="shared" si="237"/>
        <v>5502</v>
      </c>
      <c r="L724" s="44">
        <f t="shared" si="237"/>
        <v>5452.2000000000007</v>
      </c>
      <c r="M724" s="44">
        <f t="shared" si="237"/>
        <v>5516.58</v>
      </c>
      <c r="N724" s="44">
        <f t="shared" si="237"/>
        <v>5474.9</v>
      </c>
      <c r="O724" s="44">
        <f t="shared" si="237"/>
        <v>5481.9</v>
      </c>
      <c r="P724" s="44">
        <f t="shared" si="237"/>
        <v>5491.84</v>
      </c>
      <c r="Q724" s="42"/>
      <c r="R724" s="42"/>
      <c r="S724" s="42"/>
      <c r="T724" s="42"/>
      <c r="U724" s="42"/>
      <c r="V724" s="275"/>
      <c r="W724" s="42"/>
      <c r="X724" s="41"/>
    </row>
    <row r="725" spans="1:24" x14ac:dyDescent="0.25">
      <c r="A725" s="40">
        <v>43542</v>
      </c>
      <c r="B725" s="57" t="s">
        <v>208</v>
      </c>
      <c r="C725" s="61" t="s">
        <v>205</v>
      </c>
      <c r="D725" s="35">
        <v>5998.61</v>
      </c>
      <c r="E725" s="35">
        <v>6030.73</v>
      </c>
      <c r="F725" s="35">
        <v>6066.75</v>
      </c>
      <c r="G725" s="35">
        <v>6071.65</v>
      </c>
      <c r="H725" s="35">
        <v>6042.19</v>
      </c>
      <c r="I725" s="35">
        <v>6064.37</v>
      </c>
      <c r="J725" s="35">
        <v>6050.82</v>
      </c>
      <c r="K725" s="35">
        <v>6092.94</v>
      </c>
      <c r="L725" s="35">
        <v>6045.5</v>
      </c>
      <c r="M725" s="60"/>
      <c r="N725" s="60"/>
      <c r="O725" s="60"/>
      <c r="P725" s="60"/>
      <c r="Q725" s="57">
        <f>IF((L726=""),"",MAX(D727:L727))</f>
        <v>7390.829999999999</v>
      </c>
      <c r="R725" s="57">
        <f>IF(L726="","",MIN(D727:L727))</f>
        <v>6807.2999999999993</v>
      </c>
      <c r="S725" s="59">
        <f>IF((L727=""),"",AVERAGE(D727:L727))</f>
        <v>7002.0133333333315</v>
      </c>
      <c r="T725" s="53">
        <f>IF((L726=""),"",(Q725-R725)/(Q725+R725)*100)</f>
        <v>4.1099074314716084</v>
      </c>
      <c r="U725" s="57">
        <f>STDEV(D727:P727)</f>
        <v>206.78722984023946</v>
      </c>
      <c r="V725" s="276" t="str">
        <f>IF(L726="","",IF(T725&lt;9.8,IF(S725&gt;5100,IF(S725&lt;8300,"Pass","Fail"),"Fail"),"Fail"))</f>
        <v>Pass</v>
      </c>
      <c r="W725" s="57">
        <v>1428</v>
      </c>
      <c r="X725" s="68" t="s">
        <v>215</v>
      </c>
    </row>
    <row r="726" spans="1:24" x14ac:dyDescent="0.25">
      <c r="A726" s="49"/>
      <c r="B726" s="47"/>
      <c r="C726" s="56" t="s">
        <v>204</v>
      </c>
      <c r="D726" s="35">
        <v>3535</v>
      </c>
      <c r="E726" s="35">
        <v>3758.94</v>
      </c>
      <c r="F726" s="35">
        <v>3761.4</v>
      </c>
      <c r="G726" s="35">
        <v>3635.1</v>
      </c>
      <c r="H726" s="35">
        <v>3739.77</v>
      </c>
      <c r="I726" s="35">
        <v>3754.24</v>
      </c>
      <c r="J726" s="35">
        <v>3728.99</v>
      </c>
      <c r="K726" s="35">
        <v>3767.68</v>
      </c>
      <c r="L726" s="35">
        <v>3776.4</v>
      </c>
      <c r="M726" s="55"/>
      <c r="N726" s="55"/>
      <c r="O726" s="55"/>
      <c r="P726" s="55"/>
      <c r="Q726" s="47"/>
      <c r="R726" s="47"/>
      <c r="S726" s="47"/>
      <c r="T726" s="47"/>
      <c r="U726" s="47"/>
      <c r="V726" s="274"/>
      <c r="W726" s="47"/>
      <c r="X726" s="46"/>
    </row>
    <row r="727" spans="1:24" ht="22.75" thickBot="1" x14ac:dyDescent="0.3">
      <c r="A727" s="49"/>
      <c r="B727" s="47"/>
      <c r="C727" s="50" t="s">
        <v>203</v>
      </c>
      <c r="D727" s="54">
        <f t="shared" ref="D727:L727" si="238">IF(((D725="")*AND(D726="")),"",(D725-D726)*3)</f>
        <v>7390.829999999999</v>
      </c>
      <c r="E727" s="54">
        <f t="shared" si="238"/>
        <v>6815.369999999999</v>
      </c>
      <c r="F727" s="54">
        <f t="shared" si="238"/>
        <v>6916.0499999999993</v>
      </c>
      <c r="G727" s="54">
        <f t="shared" si="238"/>
        <v>7309.65</v>
      </c>
      <c r="H727" s="54">
        <f t="shared" si="238"/>
        <v>6907.2599999999984</v>
      </c>
      <c r="I727" s="54">
        <f t="shared" si="238"/>
        <v>6930.39</v>
      </c>
      <c r="J727" s="54">
        <f t="shared" si="238"/>
        <v>6965.49</v>
      </c>
      <c r="K727" s="54">
        <f t="shared" si="238"/>
        <v>6975.7799999999988</v>
      </c>
      <c r="L727" s="54">
        <f t="shared" si="238"/>
        <v>6807.2999999999993</v>
      </c>
      <c r="M727" s="54"/>
      <c r="N727" s="54"/>
      <c r="O727" s="54"/>
      <c r="P727" s="54" t="str">
        <f>IF(((P725="")*AND(P726="")),"",(P725-P726)*2)</f>
        <v/>
      </c>
      <c r="Q727" s="47"/>
      <c r="R727" s="47"/>
      <c r="S727" s="47"/>
      <c r="T727" s="47"/>
      <c r="U727" s="47"/>
      <c r="V727" s="274"/>
      <c r="W727" s="47"/>
      <c r="X727" s="46"/>
    </row>
    <row r="728" spans="1:24" x14ac:dyDescent="0.25">
      <c r="A728" s="40">
        <v>43542</v>
      </c>
      <c r="B728" s="50" t="s">
        <v>206</v>
      </c>
      <c r="C728" s="50" t="s">
        <v>205</v>
      </c>
      <c r="D728" s="35">
        <v>6725.38</v>
      </c>
      <c r="E728" s="35">
        <v>6847.86</v>
      </c>
      <c r="F728" s="35">
        <v>6668.32</v>
      </c>
      <c r="G728" s="35">
        <v>6705</v>
      </c>
      <c r="H728" s="35">
        <v>6665.31</v>
      </c>
      <c r="I728" s="35">
        <v>6679.91</v>
      </c>
      <c r="J728" s="35">
        <v>6733.66</v>
      </c>
      <c r="K728" s="35">
        <v>6682.25</v>
      </c>
      <c r="L728" s="35">
        <v>6685.05</v>
      </c>
      <c r="M728" s="35">
        <v>6715.83</v>
      </c>
      <c r="N728" s="35">
        <v>6903.85</v>
      </c>
      <c r="O728" s="35">
        <v>6670.93</v>
      </c>
      <c r="P728" s="35">
        <v>6626.63</v>
      </c>
      <c r="Q728" s="50">
        <f>IF((L729=""),"",MAX(D730:P730))</f>
        <v>5459.84</v>
      </c>
      <c r="R728" s="50">
        <f>IF(L729="","",MIN(D730:L730))</f>
        <v>5339.76</v>
      </c>
      <c r="S728" s="53">
        <f>IF((P730=""),"",AVERAGE(D730:P730))</f>
        <v>5398.7384615384617</v>
      </c>
      <c r="T728" s="52">
        <f>IF((L729=""),"",(Q728-R728)/(Q728+R728)*100)</f>
        <v>1.1118930330752983</v>
      </c>
      <c r="U728" s="50">
        <f>STDEV(D730:P730)</f>
        <v>40.562147758337808</v>
      </c>
      <c r="V728" s="273" t="str">
        <f>IF(P729="","",IF(T728&lt;2.7,IF(S728&gt;5150,IF(S728&lt;5600,"Pass","Fail"),"Fail"),"Fail"))</f>
        <v>Pass</v>
      </c>
      <c r="W728" s="50">
        <v>1428</v>
      </c>
      <c r="X728" s="46" t="s">
        <v>215</v>
      </c>
    </row>
    <row r="729" spans="1:24" x14ac:dyDescent="0.25">
      <c r="A729" s="49"/>
      <c r="B729" s="47"/>
      <c r="C729" s="47" t="s">
        <v>204</v>
      </c>
      <c r="D729" s="35">
        <v>4055.5</v>
      </c>
      <c r="E729" s="35">
        <v>4162.6400000000003</v>
      </c>
      <c r="F729" s="35">
        <v>3996.68</v>
      </c>
      <c r="G729" s="35">
        <v>3996.65</v>
      </c>
      <c r="H729" s="35">
        <v>3975</v>
      </c>
      <c r="I729" s="35">
        <v>3958.23</v>
      </c>
      <c r="J729" s="35">
        <v>4013.92</v>
      </c>
      <c r="K729" s="35">
        <v>3959.21</v>
      </c>
      <c r="L729" s="35">
        <v>4008.57</v>
      </c>
      <c r="M729" s="35">
        <v>3985.91</v>
      </c>
      <c r="N729" s="35">
        <v>4205.87</v>
      </c>
      <c r="O729" s="35">
        <v>3971.29</v>
      </c>
      <c r="P729" s="35">
        <v>3928.71</v>
      </c>
      <c r="Q729" s="47"/>
      <c r="R729" s="47"/>
      <c r="S729" s="47"/>
      <c r="T729" s="47"/>
      <c r="U729" s="47"/>
      <c r="V729" s="274"/>
      <c r="W729" s="47"/>
      <c r="X729" s="46"/>
    </row>
    <row r="730" spans="1:24" ht="22.75" thickBot="1" x14ac:dyDescent="0.3">
      <c r="A730" s="45"/>
      <c r="B730" s="42"/>
      <c r="C730" s="42" t="s">
        <v>203</v>
      </c>
      <c r="D730" s="44">
        <f t="shared" ref="D730:P730" si="239">IF(((D728="")*AND(D729="")),"",(D728-D729)*2)</f>
        <v>5339.76</v>
      </c>
      <c r="E730" s="44">
        <f t="shared" si="239"/>
        <v>5370.4399999999987</v>
      </c>
      <c r="F730" s="44">
        <f t="shared" si="239"/>
        <v>5343.28</v>
      </c>
      <c r="G730" s="44">
        <f t="shared" si="239"/>
        <v>5416.7</v>
      </c>
      <c r="H730" s="44">
        <f t="shared" si="239"/>
        <v>5380.6200000000008</v>
      </c>
      <c r="I730" s="44">
        <f t="shared" si="239"/>
        <v>5443.36</v>
      </c>
      <c r="J730" s="44">
        <f t="shared" si="239"/>
        <v>5439.48</v>
      </c>
      <c r="K730" s="44">
        <f t="shared" si="239"/>
        <v>5446.08</v>
      </c>
      <c r="L730" s="44">
        <f t="shared" si="239"/>
        <v>5352.96</v>
      </c>
      <c r="M730" s="44">
        <f t="shared" si="239"/>
        <v>5459.84</v>
      </c>
      <c r="N730" s="44">
        <f t="shared" si="239"/>
        <v>5395.9600000000009</v>
      </c>
      <c r="O730" s="44">
        <f t="shared" si="239"/>
        <v>5399.2800000000007</v>
      </c>
      <c r="P730" s="44">
        <f t="shared" si="239"/>
        <v>5395.84</v>
      </c>
      <c r="Q730" s="42"/>
      <c r="R730" s="42"/>
      <c r="S730" s="42"/>
      <c r="T730" s="42"/>
      <c r="U730" s="42"/>
      <c r="V730" s="275"/>
      <c r="W730" s="42"/>
      <c r="X730" s="41"/>
    </row>
    <row r="731" spans="1:24" x14ac:dyDescent="0.25">
      <c r="A731" s="40">
        <v>43546</v>
      </c>
      <c r="B731" s="57" t="s">
        <v>208</v>
      </c>
      <c r="C731" s="61" t="s">
        <v>205</v>
      </c>
      <c r="D731" s="35">
        <v>3535</v>
      </c>
      <c r="E731" s="35">
        <v>3758.94</v>
      </c>
      <c r="F731" s="35">
        <v>3761.4</v>
      </c>
      <c r="G731" s="35">
        <v>3635.1</v>
      </c>
      <c r="H731" s="35">
        <v>3739.77</v>
      </c>
      <c r="I731" s="35">
        <v>3754.24</v>
      </c>
      <c r="J731" s="35">
        <v>3728.99</v>
      </c>
      <c r="K731" s="35">
        <v>3767.68</v>
      </c>
      <c r="L731" s="35">
        <v>3776.4</v>
      </c>
      <c r="M731" s="60"/>
      <c r="N731" s="60"/>
      <c r="O731" s="60"/>
      <c r="P731" s="60"/>
      <c r="Q731" s="57">
        <f>IF((L732=""),"",MAX(D733:L733))</f>
        <v>7359.9000000000005</v>
      </c>
      <c r="R731" s="57">
        <f>IF(L732="","",MIN(D733:L733))</f>
        <v>6648.42</v>
      </c>
      <c r="S731" s="59">
        <f>IF((L733=""),"",AVERAGE(D733:L733))</f>
        <v>6912.6799999999994</v>
      </c>
      <c r="T731" s="53">
        <f>IF((L732=""),"",(Q731-R731)/(Q731+R731)*100)</f>
        <v>5.0789816337719333</v>
      </c>
      <c r="U731" s="57">
        <f>STDEV(D733:P733)</f>
        <v>259.6114997452928</v>
      </c>
      <c r="V731" s="276" t="str">
        <f>IF(L732="","",IF(T731&lt;9.8,IF(S731&gt;5100,IF(S731&lt;8300,"Pass","Fail"),"Fail"),"Fail"))</f>
        <v>Pass</v>
      </c>
      <c r="W731" s="57">
        <v>1428</v>
      </c>
      <c r="X731" s="68"/>
    </row>
    <row r="732" spans="1:24" x14ac:dyDescent="0.25">
      <c r="A732" s="49"/>
      <c r="B732" s="47"/>
      <c r="C732" s="56" t="s">
        <v>204</v>
      </c>
      <c r="D732" s="35">
        <v>1081.7</v>
      </c>
      <c r="E732" s="35">
        <v>1462.46</v>
      </c>
      <c r="F732" s="35">
        <v>1528.17</v>
      </c>
      <c r="G732" s="35">
        <v>1202.8</v>
      </c>
      <c r="H732" s="35">
        <v>1523.63</v>
      </c>
      <c r="I732" s="35">
        <v>1511.97</v>
      </c>
      <c r="J732" s="35">
        <v>1452.36</v>
      </c>
      <c r="K732" s="35">
        <v>1516.31</v>
      </c>
      <c r="L732" s="35">
        <v>1440.08</v>
      </c>
      <c r="M732" s="55"/>
      <c r="N732" s="55"/>
      <c r="O732" s="55"/>
      <c r="P732" s="55"/>
      <c r="Q732" s="47"/>
      <c r="R732" s="47"/>
      <c r="S732" s="47"/>
      <c r="T732" s="47"/>
      <c r="U732" s="47"/>
      <c r="V732" s="274"/>
      <c r="W732" s="47"/>
      <c r="X732" s="46"/>
    </row>
    <row r="733" spans="1:24" ht="22.75" thickBot="1" x14ac:dyDescent="0.3">
      <c r="A733" s="49"/>
      <c r="B733" s="47"/>
      <c r="C733" s="50" t="s">
        <v>203</v>
      </c>
      <c r="D733" s="54">
        <f t="shared" ref="D733:L733" si="240">IF(((D731="")*AND(D732="")),"",(D731-D732)*3)</f>
        <v>7359.9000000000005</v>
      </c>
      <c r="E733" s="54">
        <f t="shared" si="240"/>
        <v>6889.4400000000005</v>
      </c>
      <c r="F733" s="54">
        <f t="shared" si="240"/>
        <v>6699.6900000000005</v>
      </c>
      <c r="G733" s="54">
        <f t="shared" si="240"/>
        <v>7296.9000000000005</v>
      </c>
      <c r="H733" s="54">
        <f t="shared" si="240"/>
        <v>6648.42</v>
      </c>
      <c r="I733" s="54">
        <f t="shared" si="240"/>
        <v>6726.8099999999986</v>
      </c>
      <c r="J733" s="54">
        <f t="shared" si="240"/>
        <v>6829.89</v>
      </c>
      <c r="K733" s="54">
        <f t="shared" si="240"/>
        <v>6754.11</v>
      </c>
      <c r="L733" s="54">
        <f t="shared" si="240"/>
        <v>7008.9600000000009</v>
      </c>
      <c r="M733" s="54"/>
      <c r="N733" s="54"/>
      <c r="O733" s="54"/>
      <c r="P733" s="54" t="str">
        <f>IF(((P731="")*AND(P732="")),"",(P731-P732)*2)</f>
        <v/>
      </c>
      <c r="Q733" s="47"/>
      <c r="R733" s="47"/>
      <c r="S733" s="47"/>
      <c r="T733" s="47"/>
      <c r="U733" s="47"/>
      <c r="V733" s="274"/>
      <c r="W733" s="47"/>
      <c r="X733" s="46"/>
    </row>
    <row r="734" spans="1:24" x14ac:dyDescent="0.25">
      <c r="A734" s="40">
        <v>43546</v>
      </c>
      <c r="B734" s="50" t="s">
        <v>206</v>
      </c>
      <c r="C734" s="50" t="s">
        <v>205</v>
      </c>
      <c r="D734" s="35">
        <v>4055.5</v>
      </c>
      <c r="E734" s="35">
        <v>4162.6400000000003</v>
      </c>
      <c r="F734" s="35">
        <v>3996.68</v>
      </c>
      <c r="G734" s="35">
        <v>3996.65</v>
      </c>
      <c r="H734" s="35">
        <v>3975</v>
      </c>
      <c r="I734" s="35">
        <v>3958.23</v>
      </c>
      <c r="J734" s="35">
        <v>4013.92</v>
      </c>
      <c r="K734" s="35">
        <v>3959.21</v>
      </c>
      <c r="L734" s="35">
        <v>4008.57</v>
      </c>
      <c r="M734" s="35">
        <v>3985.91</v>
      </c>
      <c r="N734" s="35">
        <v>4205.87</v>
      </c>
      <c r="O734" s="35">
        <v>3971.29</v>
      </c>
      <c r="P734" s="35">
        <v>3928.71</v>
      </c>
      <c r="Q734" s="50">
        <f>IF((L735=""),"",MAX(D736:P736))</f>
        <v>5468.42</v>
      </c>
      <c r="R734" s="50">
        <f>IF(L735="","",MIN(D736:L736))</f>
        <v>5373.0599999999995</v>
      </c>
      <c r="S734" s="53">
        <f>IF((P736=""),"",AVERAGE(D736:P736))</f>
        <v>5419.8907692307685</v>
      </c>
      <c r="T734" s="52">
        <f>IF((L735=""),"",(Q734-R734)/(Q734+R734)*100)</f>
        <v>0.87958470614713669</v>
      </c>
      <c r="U734" s="50">
        <f>STDEV(D736:P736)</f>
        <v>36.175108952044702</v>
      </c>
      <c r="V734" s="273" t="str">
        <f>IF(P735="","",IF(T734&lt;2.7,IF(S734&gt;5150,IF(S734&lt;5600,"Pass","Fail"),"Fail"),"Fail"))</f>
        <v>Pass</v>
      </c>
      <c r="W734" s="50">
        <v>1428</v>
      </c>
      <c r="X734" s="46"/>
    </row>
    <row r="735" spans="1:24" x14ac:dyDescent="0.25">
      <c r="A735" s="49"/>
      <c r="B735" s="47"/>
      <c r="C735" s="47" t="s">
        <v>204</v>
      </c>
      <c r="D735" s="35">
        <v>1367.49</v>
      </c>
      <c r="E735" s="35">
        <v>1464.06</v>
      </c>
      <c r="F735" s="35">
        <v>1310.1500000000001</v>
      </c>
      <c r="G735" s="35">
        <v>1274.28</v>
      </c>
      <c r="H735" s="35">
        <v>1268.3599999999999</v>
      </c>
      <c r="I735" s="35">
        <v>1229.1099999999999</v>
      </c>
      <c r="J735" s="35">
        <v>1279.71</v>
      </c>
      <c r="K735" s="35">
        <v>1229.28</v>
      </c>
      <c r="L735" s="35">
        <v>1321.29</v>
      </c>
      <c r="M735" s="35">
        <v>1252.2</v>
      </c>
      <c r="N735" s="35">
        <v>1506.83</v>
      </c>
      <c r="O735" s="35">
        <v>1260.44</v>
      </c>
      <c r="P735" s="35">
        <v>1225.69</v>
      </c>
      <c r="Q735" s="47"/>
      <c r="R735" s="47"/>
      <c r="S735" s="47"/>
      <c r="T735" s="47"/>
      <c r="U735" s="47"/>
      <c r="V735" s="274"/>
      <c r="W735" s="47"/>
      <c r="X735" s="46"/>
    </row>
    <row r="736" spans="1:24" ht="22.75" thickBot="1" x14ac:dyDescent="0.3">
      <c r="A736" s="45"/>
      <c r="B736" s="42"/>
      <c r="C736" s="42" t="s">
        <v>203</v>
      </c>
      <c r="D736" s="44">
        <f t="shared" ref="D736:P736" si="241">IF(((D734="")*AND(D735="")),"",(D734-D735)*2)</f>
        <v>5376.02</v>
      </c>
      <c r="E736" s="44">
        <f t="shared" si="241"/>
        <v>5397.1600000000008</v>
      </c>
      <c r="F736" s="44">
        <f t="shared" si="241"/>
        <v>5373.0599999999995</v>
      </c>
      <c r="G736" s="44">
        <f t="shared" si="241"/>
        <v>5444.74</v>
      </c>
      <c r="H736" s="44">
        <f t="shared" si="241"/>
        <v>5413.2800000000007</v>
      </c>
      <c r="I736" s="44">
        <f t="shared" si="241"/>
        <v>5458.24</v>
      </c>
      <c r="J736" s="44">
        <f t="shared" si="241"/>
        <v>5468.42</v>
      </c>
      <c r="K736" s="44">
        <f t="shared" si="241"/>
        <v>5459.8600000000006</v>
      </c>
      <c r="L736" s="44">
        <f t="shared" si="241"/>
        <v>5374.56</v>
      </c>
      <c r="M736" s="44">
        <f t="shared" si="241"/>
        <v>5467.42</v>
      </c>
      <c r="N736" s="44">
        <f t="shared" si="241"/>
        <v>5398.08</v>
      </c>
      <c r="O736" s="44">
        <f t="shared" si="241"/>
        <v>5421.7</v>
      </c>
      <c r="P736" s="44">
        <f t="shared" si="241"/>
        <v>5406.04</v>
      </c>
      <c r="Q736" s="42"/>
      <c r="R736" s="42"/>
      <c r="S736" s="42"/>
      <c r="T736" s="42"/>
      <c r="U736" s="42"/>
      <c r="V736" s="275"/>
      <c r="W736" s="42"/>
      <c r="X736" s="41"/>
    </row>
    <row r="737" spans="1:25" x14ac:dyDescent="0.25">
      <c r="A737" s="40">
        <v>43549</v>
      </c>
      <c r="B737" s="57" t="s">
        <v>208</v>
      </c>
      <c r="C737" s="61" t="s">
        <v>205</v>
      </c>
      <c r="D737" s="35">
        <v>6054.07</v>
      </c>
      <c r="E737" s="35">
        <v>6051.94</v>
      </c>
      <c r="F737" s="35">
        <v>6073.9</v>
      </c>
      <c r="G737" s="35">
        <v>6068.24</v>
      </c>
      <c r="H737" s="35">
        <v>6069.32</v>
      </c>
      <c r="I737" s="35">
        <v>6100.22</v>
      </c>
      <c r="J737" s="35">
        <v>6043.83</v>
      </c>
      <c r="K737" s="35">
        <v>6069.66</v>
      </c>
      <c r="L737" s="35">
        <v>6046.14</v>
      </c>
      <c r="M737" s="60"/>
      <c r="N737" s="60"/>
      <c r="O737" s="60"/>
      <c r="P737" s="60"/>
      <c r="Q737" s="57">
        <f>IF((L738=""),"",MAX(D739:L739))</f>
        <v>8198.0099999999984</v>
      </c>
      <c r="R737" s="57">
        <f>IF(L738="","",MIN(D739:L739))</f>
        <v>6866.0700000000015</v>
      </c>
      <c r="S737" s="59">
        <f>IF((L739=""),"",AVERAGE(D739:L739))</f>
        <v>7115.0933333333332</v>
      </c>
      <c r="T737" s="53">
        <f>IF((L738=""),"",(Q737-R737)/(Q737+R737)*100)</f>
        <v>8.8418277120142541</v>
      </c>
      <c r="U737" s="57">
        <f>STDEV(D739:P739)</f>
        <v>443.12583458313458</v>
      </c>
      <c r="V737" s="276" t="str">
        <f>IF(L738="","",IF(T737&lt;9.8,IF(S737&gt;5100,IF(S737&lt;8300,"Pass","Fail"),"Fail"),"Fail"))</f>
        <v>Pass</v>
      </c>
      <c r="W737" s="57">
        <v>1159</v>
      </c>
      <c r="X737" s="68" t="s">
        <v>214</v>
      </c>
    </row>
    <row r="738" spans="1:25" x14ac:dyDescent="0.25">
      <c r="A738" s="49"/>
      <c r="B738" s="47"/>
      <c r="C738" s="56" t="s">
        <v>204</v>
      </c>
      <c r="D738" s="35">
        <v>3575.16</v>
      </c>
      <c r="E738" s="35">
        <v>3754.81</v>
      </c>
      <c r="F738" s="35">
        <v>3774.85</v>
      </c>
      <c r="G738" s="35">
        <v>3335.57</v>
      </c>
      <c r="H738" s="35">
        <v>3734.37</v>
      </c>
      <c r="I738" s="35">
        <v>3784.92</v>
      </c>
      <c r="J738" s="35">
        <v>3743.53</v>
      </c>
      <c r="K738" s="35">
        <v>3771.38</v>
      </c>
      <c r="L738" s="35">
        <v>3757.45</v>
      </c>
      <c r="M738" s="55"/>
      <c r="N738" s="55"/>
      <c r="O738" s="55"/>
      <c r="P738" s="55"/>
      <c r="Q738" s="47"/>
      <c r="R738" s="47"/>
      <c r="S738" s="47"/>
      <c r="T738" s="47"/>
      <c r="U738" s="47"/>
      <c r="V738" s="274"/>
      <c r="W738" s="47"/>
      <c r="X738" s="46"/>
    </row>
    <row r="739" spans="1:25" ht="22.75" thickBot="1" x14ac:dyDescent="0.3">
      <c r="A739" s="49"/>
      <c r="B739" s="47"/>
      <c r="C739" s="50" t="s">
        <v>203</v>
      </c>
      <c r="D739" s="54">
        <f t="shared" ref="D739:L739" si="242">IF(((D737="")*AND(D738="")),"",(D737-D738)*3)</f>
        <v>7436.73</v>
      </c>
      <c r="E739" s="54">
        <f t="shared" si="242"/>
        <v>6891.3899999999994</v>
      </c>
      <c r="F739" s="54">
        <f t="shared" si="242"/>
        <v>6897.15</v>
      </c>
      <c r="G739" s="54">
        <f t="shared" si="242"/>
        <v>8198.0099999999984</v>
      </c>
      <c r="H739" s="54">
        <f t="shared" si="242"/>
        <v>7004.8499999999995</v>
      </c>
      <c r="I739" s="54">
        <f t="shared" si="242"/>
        <v>6945.9000000000005</v>
      </c>
      <c r="J739" s="54">
        <f t="shared" si="242"/>
        <v>6900.9</v>
      </c>
      <c r="K739" s="54">
        <f t="shared" si="242"/>
        <v>6894.8399999999992</v>
      </c>
      <c r="L739" s="54">
        <f t="shared" si="242"/>
        <v>6866.0700000000015</v>
      </c>
      <c r="M739" s="54"/>
      <c r="N739" s="54"/>
      <c r="O739" s="54"/>
      <c r="P739" s="54" t="str">
        <f>IF(((P737="")*AND(P738="")),"",(P737-P738)*2)</f>
        <v/>
      </c>
      <c r="Q739" s="47"/>
      <c r="R739" s="47"/>
      <c r="S739" s="47"/>
      <c r="T739" s="47"/>
      <c r="U739" s="47"/>
      <c r="V739" s="274"/>
      <c r="W739" s="47"/>
      <c r="X739" s="46"/>
    </row>
    <row r="740" spans="1:25" x14ac:dyDescent="0.25">
      <c r="A740" s="40">
        <v>43549</v>
      </c>
      <c r="B740" s="50" t="s">
        <v>206</v>
      </c>
      <c r="C740" s="50" t="s">
        <v>205</v>
      </c>
      <c r="D740" s="35">
        <v>6755.56</v>
      </c>
      <c r="E740" s="35">
        <v>6872.02</v>
      </c>
      <c r="F740" s="35">
        <v>6711.71</v>
      </c>
      <c r="G740" s="35">
        <v>6758.98</v>
      </c>
      <c r="H740" s="35">
        <v>6676.24</v>
      </c>
      <c r="I740" s="35">
        <v>6712.59</v>
      </c>
      <c r="J740" s="35">
        <v>6792.8</v>
      </c>
      <c r="K740" s="35">
        <v>6744.39</v>
      </c>
      <c r="L740" s="35">
        <v>6727.26</v>
      </c>
      <c r="M740" s="35">
        <v>6773.29</v>
      </c>
      <c r="N740" s="35">
        <v>6926.32</v>
      </c>
      <c r="O740" s="35">
        <v>6714.31</v>
      </c>
      <c r="P740" s="35">
        <v>6646.79</v>
      </c>
      <c r="Q740" s="50">
        <f>IF((L741=""),"",MAX(D742:P742))</f>
        <v>5461.0599999999995</v>
      </c>
      <c r="R740" s="50">
        <f>IF(L741="","",MIN(D742:L742))</f>
        <v>5348.76</v>
      </c>
      <c r="S740" s="53">
        <f>IF((P742=""),"",AVERAGE(D742:P742))</f>
        <v>5404.9523076923078</v>
      </c>
      <c r="T740" s="52">
        <f>IF((L741=""),"",(Q740-R740)/(Q740+R740)*100)</f>
        <v>1.0388702124549649</v>
      </c>
      <c r="U740" s="50">
        <f>STDEV(D742:P742)</f>
        <v>34.345762997747251</v>
      </c>
      <c r="V740" s="273" t="str">
        <f>IF(P741="","",IF(T740&lt;2.7,IF(S740&gt;5150,IF(S740&lt;5600,"Pass","Fail"),"Fail"),"Fail"))</f>
        <v>Pass</v>
      </c>
      <c r="W740" s="50">
        <v>1159</v>
      </c>
      <c r="X740" s="46" t="s">
        <v>214</v>
      </c>
    </row>
    <row r="741" spans="1:25" x14ac:dyDescent="0.25">
      <c r="A741" s="49"/>
      <c r="B741" s="47"/>
      <c r="C741" s="47" t="s">
        <v>204</v>
      </c>
      <c r="D741" s="35">
        <v>4075.19</v>
      </c>
      <c r="E741" s="35">
        <v>4170.66</v>
      </c>
      <c r="F741" s="35">
        <v>4036.52</v>
      </c>
      <c r="G741" s="35">
        <v>4052.4</v>
      </c>
      <c r="H741" s="35">
        <v>3972.45</v>
      </c>
      <c r="I741" s="35">
        <v>3996.01</v>
      </c>
      <c r="J741" s="35">
        <v>4079.74</v>
      </c>
      <c r="K741" s="35">
        <v>4023.61</v>
      </c>
      <c r="L741" s="35">
        <v>4052.88</v>
      </c>
      <c r="M741" s="35">
        <v>4042.76</v>
      </c>
      <c r="N741" s="35">
        <v>4216.87</v>
      </c>
      <c r="O741" s="35">
        <v>4012.99</v>
      </c>
      <c r="P741" s="35">
        <v>3947.99</v>
      </c>
      <c r="Q741" s="47"/>
      <c r="R741" s="47"/>
      <c r="S741" s="47"/>
      <c r="T741" s="47"/>
      <c r="U741" s="47"/>
      <c r="V741" s="274"/>
      <c r="W741" s="47"/>
      <c r="X741" s="46"/>
    </row>
    <row r="742" spans="1:25" ht="22.75" thickBot="1" x14ac:dyDescent="0.3">
      <c r="A742" s="45"/>
      <c r="B742" s="42"/>
      <c r="C742" s="42" t="s">
        <v>203</v>
      </c>
      <c r="D742" s="44">
        <f t="shared" ref="D742:P742" si="243">IF(((D740="")*AND(D741="")),"",(D740-D741)*2)</f>
        <v>5360.7400000000007</v>
      </c>
      <c r="E742" s="44">
        <f t="shared" si="243"/>
        <v>5402.7200000000012</v>
      </c>
      <c r="F742" s="44">
        <f t="shared" si="243"/>
        <v>5350.38</v>
      </c>
      <c r="G742" s="44">
        <f t="shared" si="243"/>
        <v>5413.1599999999989</v>
      </c>
      <c r="H742" s="44">
        <f t="shared" si="243"/>
        <v>5407.58</v>
      </c>
      <c r="I742" s="44">
        <f t="shared" si="243"/>
        <v>5433.16</v>
      </c>
      <c r="J742" s="44">
        <f t="shared" si="243"/>
        <v>5426.1200000000008</v>
      </c>
      <c r="K742" s="44">
        <f t="shared" si="243"/>
        <v>5441.56</v>
      </c>
      <c r="L742" s="44">
        <f t="shared" si="243"/>
        <v>5348.76</v>
      </c>
      <c r="M742" s="44">
        <f t="shared" si="243"/>
        <v>5461.0599999999995</v>
      </c>
      <c r="N742" s="44">
        <f t="shared" si="243"/>
        <v>5418.9</v>
      </c>
      <c r="O742" s="44">
        <f t="shared" si="243"/>
        <v>5402.6400000000012</v>
      </c>
      <c r="P742" s="44">
        <f t="shared" si="243"/>
        <v>5397.6</v>
      </c>
      <c r="Q742" s="42"/>
      <c r="R742" s="42"/>
      <c r="S742" s="42"/>
      <c r="T742" s="42"/>
      <c r="U742" s="42"/>
      <c r="V742" s="275"/>
      <c r="W742" s="42"/>
      <c r="X742" s="41"/>
    </row>
    <row r="743" spans="1:25" x14ac:dyDescent="0.25">
      <c r="A743" s="40">
        <v>43556</v>
      </c>
      <c r="B743" s="57" t="s">
        <v>208</v>
      </c>
      <c r="C743" s="61" t="s">
        <v>205</v>
      </c>
      <c r="D743" s="35">
        <v>6009.25</v>
      </c>
      <c r="E743" s="35">
        <v>6052.75</v>
      </c>
      <c r="F743" s="35">
        <v>6057.58</v>
      </c>
      <c r="G743" s="35">
        <v>6048.21</v>
      </c>
      <c r="H743" s="35">
        <v>6071.2</v>
      </c>
      <c r="I743" s="35">
        <v>6060.05</v>
      </c>
      <c r="J743" s="35">
        <v>6045.01</v>
      </c>
      <c r="K743" s="35">
        <v>6071.31</v>
      </c>
      <c r="L743" s="35">
        <v>6018.12</v>
      </c>
      <c r="M743" s="60"/>
      <c r="N743" s="60"/>
      <c r="O743" s="60"/>
      <c r="P743" s="60"/>
      <c r="Q743" s="57">
        <f>IF((L744=""),"",MAX(D745:L745))</f>
        <v>7466.4000000000005</v>
      </c>
      <c r="R743" s="57">
        <f>IF(L744="","",MIN(D745:L745))</f>
        <v>6592.23</v>
      </c>
      <c r="S743" s="59">
        <f>IF((L745=""),"",AVERAGE(D745:L745))</f>
        <v>6796.1833333333325</v>
      </c>
      <c r="T743" s="53">
        <f>IF((L744=""),"",(Q743-R743)/(Q743+R743)*100)</f>
        <v>6.2180312021868485</v>
      </c>
      <c r="U743" s="57">
        <f>STDEV(D745:P745)</f>
        <v>267.64012414060795</v>
      </c>
      <c r="V743" s="276" t="str">
        <f>IF(L744="","",IF(T743&lt;9.8,IF(S743&gt;5100,IF(S743&lt;8300,"Pass","Fail"),"Fail"),"Fail"))</f>
        <v>Pass</v>
      </c>
      <c r="W743" s="57">
        <v>1159</v>
      </c>
      <c r="X743" s="260"/>
      <c r="Y743" s="68"/>
    </row>
    <row r="744" spans="1:25" x14ac:dyDescent="0.25">
      <c r="A744" s="49"/>
      <c r="B744" s="47"/>
      <c r="C744" s="56" t="s">
        <v>204</v>
      </c>
      <c r="D744" s="35">
        <v>3739.97</v>
      </c>
      <c r="E744" s="35">
        <v>3832.13</v>
      </c>
      <c r="F744" s="35">
        <v>3828.47</v>
      </c>
      <c r="G744" s="35">
        <v>3559.41</v>
      </c>
      <c r="H744" s="35">
        <v>3788.15</v>
      </c>
      <c r="I744" s="35">
        <v>3854.74</v>
      </c>
      <c r="J744" s="35">
        <v>3772.62</v>
      </c>
      <c r="K744" s="35">
        <v>3848.73</v>
      </c>
      <c r="L744" s="35">
        <v>3820.71</v>
      </c>
      <c r="M744" s="55"/>
      <c r="N744" s="55"/>
      <c r="O744" s="55"/>
      <c r="P744" s="55"/>
      <c r="Q744" s="47"/>
      <c r="R744" s="47"/>
      <c r="S744" s="47"/>
      <c r="T744" s="47"/>
      <c r="U744" s="47"/>
      <c r="V744" s="274"/>
      <c r="W744" s="47"/>
      <c r="X744" s="260"/>
      <c r="Y744" s="46"/>
    </row>
    <row r="745" spans="1:25" ht="22.75" thickBot="1" x14ac:dyDescent="0.3">
      <c r="A745" s="49"/>
      <c r="B745" s="47"/>
      <c r="C745" s="50" t="s">
        <v>203</v>
      </c>
      <c r="D745" s="54">
        <f t="shared" ref="D745:L745" si="244">IF(((D743="")*AND(D744="")),"",(D743-D744)*3)</f>
        <v>6807.84</v>
      </c>
      <c r="E745" s="54">
        <f t="shared" si="244"/>
        <v>6661.86</v>
      </c>
      <c r="F745" s="54">
        <f t="shared" si="244"/>
        <v>6687.33</v>
      </c>
      <c r="G745" s="54">
        <f t="shared" si="244"/>
        <v>7466.4000000000005</v>
      </c>
      <c r="H745" s="54">
        <f t="shared" si="244"/>
        <v>6849.15</v>
      </c>
      <c r="I745" s="54">
        <f t="shared" si="244"/>
        <v>6615.9300000000012</v>
      </c>
      <c r="J745" s="54">
        <f t="shared" si="244"/>
        <v>6817.170000000001</v>
      </c>
      <c r="K745" s="54">
        <f t="shared" si="244"/>
        <v>6667.7400000000016</v>
      </c>
      <c r="L745" s="54">
        <f t="shared" si="244"/>
        <v>6592.23</v>
      </c>
      <c r="M745" s="54"/>
      <c r="N745" s="54"/>
      <c r="O745" s="54"/>
      <c r="P745" s="54" t="str">
        <f>IF(((P743="")*AND(P744="")),"",(P743-P744)*2)</f>
        <v/>
      </c>
      <c r="Q745" s="47"/>
      <c r="R745" s="47"/>
      <c r="S745" s="47"/>
      <c r="T745" s="47"/>
      <c r="U745" s="47"/>
      <c r="V745" s="274"/>
      <c r="W745" s="47"/>
      <c r="X745" s="260"/>
      <c r="Y745" s="46"/>
    </row>
    <row r="746" spans="1:25" x14ac:dyDescent="0.25">
      <c r="A746" s="40">
        <v>43556</v>
      </c>
      <c r="B746" s="50" t="s">
        <v>206</v>
      </c>
      <c r="C746" s="50" t="s">
        <v>205</v>
      </c>
      <c r="D746" s="35">
        <v>6893.95</v>
      </c>
      <c r="E746" s="35">
        <v>7013.52</v>
      </c>
      <c r="F746" s="35">
        <v>6841.96</v>
      </c>
      <c r="G746" s="35">
        <v>6879.36</v>
      </c>
      <c r="H746" s="35">
        <v>6822.35</v>
      </c>
      <c r="I746" s="35">
        <v>6845.87</v>
      </c>
      <c r="J746" s="35">
        <v>6906.25</v>
      </c>
      <c r="K746" s="35">
        <v>6854.73</v>
      </c>
      <c r="L746" s="35">
        <v>6850.82</v>
      </c>
      <c r="M746" s="35">
        <v>6885.43</v>
      </c>
      <c r="N746" s="35">
        <v>7058.09</v>
      </c>
      <c r="O746" s="35">
        <v>6836.12</v>
      </c>
      <c r="P746" s="35">
        <v>6777.36</v>
      </c>
      <c r="Q746" s="50">
        <f>IF((L747=""),"",MAX(D748:P748))</f>
        <v>5423.74</v>
      </c>
      <c r="R746" s="50">
        <f>IF(L747="","",MIN(D748:L748))</f>
        <v>5369.2799999999988</v>
      </c>
      <c r="S746" s="53">
        <f>IF((P748=""),"",AVERAGE(D748:P748))</f>
        <v>5395.8553846153845</v>
      </c>
      <c r="T746" s="52">
        <f>IF((L747=""),"",(Q746-R746)/(Q746+R746)*100)</f>
        <v>0.50458537091565614</v>
      </c>
      <c r="U746" s="50">
        <f>STDEV(D748:P748)</f>
        <v>17.763704857276487</v>
      </c>
      <c r="V746" s="273" t="str">
        <f>IF(P747="","",IF(T746&lt;2.7,IF(S746&gt;5150,IF(S746&lt;5600,"Pass","Fail"),"Fail"),"Fail"))</f>
        <v>Pass</v>
      </c>
      <c r="W746" s="50">
        <v>1159</v>
      </c>
      <c r="X746" s="260"/>
      <c r="Y746" s="46"/>
    </row>
    <row r="747" spans="1:25" x14ac:dyDescent="0.25">
      <c r="A747" s="49"/>
      <c r="B747" s="47"/>
      <c r="C747" s="47" t="s">
        <v>204</v>
      </c>
      <c r="D747" s="35">
        <v>4195.3900000000003</v>
      </c>
      <c r="E747" s="35">
        <v>4311.3999999999996</v>
      </c>
      <c r="F747" s="35">
        <v>4154.5600000000004</v>
      </c>
      <c r="G747" s="35">
        <v>4193.0600000000004</v>
      </c>
      <c r="H747" s="35">
        <v>4123.1899999999996</v>
      </c>
      <c r="I747" s="35">
        <v>4139.91</v>
      </c>
      <c r="J747" s="35">
        <v>4217.01</v>
      </c>
      <c r="K747" s="35">
        <v>4156.03</v>
      </c>
      <c r="L747" s="35">
        <v>4166.18</v>
      </c>
      <c r="M747" s="35">
        <v>4179.7</v>
      </c>
      <c r="N747" s="35">
        <v>4346.22</v>
      </c>
      <c r="O747" s="35">
        <v>4140.7700000000004</v>
      </c>
      <c r="P747" s="35">
        <v>4069.33</v>
      </c>
      <c r="Q747" s="47"/>
      <c r="R747" s="47"/>
      <c r="S747" s="47"/>
      <c r="T747" s="47"/>
      <c r="U747" s="47"/>
      <c r="V747" s="274"/>
      <c r="W747" s="47"/>
      <c r="X747" s="260"/>
      <c r="Y747" s="46"/>
    </row>
    <row r="748" spans="1:25" ht="22.75" thickBot="1" x14ac:dyDescent="0.3">
      <c r="A748" s="45"/>
      <c r="B748" s="42"/>
      <c r="C748" s="42" t="s">
        <v>203</v>
      </c>
      <c r="D748" s="44">
        <f t="shared" ref="D748:P748" si="245">IF(((D746="")*AND(D747="")),"",(D746-D747)*2)</f>
        <v>5397.119999999999</v>
      </c>
      <c r="E748" s="44">
        <f t="shared" si="245"/>
        <v>5404.2400000000016</v>
      </c>
      <c r="F748" s="44">
        <f t="shared" si="245"/>
        <v>5374.7999999999993</v>
      </c>
      <c r="G748" s="44">
        <f t="shared" si="245"/>
        <v>5372.5999999999985</v>
      </c>
      <c r="H748" s="44">
        <f t="shared" si="245"/>
        <v>5398.3200000000015</v>
      </c>
      <c r="I748" s="44">
        <f t="shared" si="245"/>
        <v>5411.92</v>
      </c>
      <c r="J748" s="44">
        <f t="shared" si="245"/>
        <v>5378.48</v>
      </c>
      <c r="K748" s="44">
        <f t="shared" si="245"/>
        <v>5397.4</v>
      </c>
      <c r="L748" s="44">
        <f t="shared" si="245"/>
        <v>5369.2799999999988</v>
      </c>
      <c r="M748" s="44">
        <f t="shared" si="245"/>
        <v>5411.4600000000009</v>
      </c>
      <c r="N748" s="44">
        <f t="shared" si="245"/>
        <v>5423.74</v>
      </c>
      <c r="O748" s="44">
        <f t="shared" si="245"/>
        <v>5390.6999999999989</v>
      </c>
      <c r="P748" s="44">
        <f t="shared" si="245"/>
        <v>5416.0599999999995</v>
      </c>
      <c r="Q748" s="42"/>
      <c r="R748" s="42"/>
      <c r="S748" s="42"/>
      <c r="T748" s="42"/>
      <c r="U748" s="42"/>
      <c r="V748" s="275"/>
      <c r="W748" s="42"/>
      <c r="X748" s="260"/>
      <c r="Y748" s="41"/>
    </row>
    <row r="749" spans="1:25" x14ac:dyDescent="0.25">
      <c r="A749" s="40">
        <v>43559</v>
      </c>
      <c r="B749" s="57" t="s">
        <v>208</v>
      </c>
      <c r="C749" s="61" t="s">
        <v>205</v>
      </c>
      <c r="D749" s="66">
        <v>6189</v>
      </c>
      <c r="E749" s="66">
        <v>6329</v>
      </c>
      <c r="F749" s="35">
        <v>6343</v>
      </c>
      <c r="G749" s="66">
        <v>6306</v>
      </c>
      <c r="H749" s="66">
        <v>6101</v>
      </c>
      <c r="I749" s="66">
        <v>5873</v>
      </c>
      <c r="J749" s="66">
        <v>6280</v>
      </c>
      <c r="K749" s="66">
        <v>6313</v>
      </c>
      <c r="L749" s="66">
        <v>6162</v>
      </c>
      <c r="M749" s="60"/>
      <c r="N749" s="60"/>
      <c r="O749" s="60"/>
      <c r="P749" s="60"/>
      <c r="Q749" s="57">
        <f>IF((L750=""),"",MAX(D751:L751))</f>
        <v>7605</v>
      </c>
      <c r="R749" s="57">
        <f>IF(L750="","",MIN(D751:L751))</f>
        <v>7200</v>
      </c>
      <c r="S749" s="59">
        <f>IF((L751=""),"",AVERAGE(D751:L751))</f>
        <v>7347</v>
      </c>
      <c r="T749" s="53">
        <f>IF((L750=""),"",(Q749-R749)/(Q749+R749)*100)</f>
        <v>2.735562310030395</v>
      </c>
      <c r="U749" s="57">
        <f>STDEV(D751:P751)</f>
        <v>137.4609035326045</v>
      </c>
      <c r="V749" s="276" t="str">
        <f>IF(L750="","",IF(T749&lt;9.8,IF(S749&gt;5100,IF(S749&lt;8300,"Pass","Fail"),"Fail"),"Fail"))</f>
        <v>Pass</v>
      </c>
      <c r="W749" s="57">
        <v>1340</v>
      </c>
      <c r="X749" s="68" t="s">
        <v>201</v>
      </c>
    </row>
    <row r="750" spans="1:25" x14ac:dyDescent="0.25">
      <c r="A750" s="49"/>
      <c r="B750" s="47"/>
      <c r="C750" s="56" t="s">
        <v>204</v>
      </c>
      <c r="D750" s="66">
        <v>3740</v>
      </c>
      <c r="E750" s="66">
        <v>3929</v>
      </c>
      <c r="F750" s="35">
        <v>3912</v>
      </c>
      <c r="G750" s="35">
        <v>3872</v>
      </c>
      <c r="H750" s="35">
        <v>3566</v>
      </c>
      <c r="I750" s="66">
        <v>3356</v>
      </c>
      <c r="J750" s="66">
        <v>3852</v>
      </c>
      <c r="K750" s="66">
        <v>3883</v>
      </c>
      <c r="L750" s="66">
        <v>3745</v>
      </c>
      <c r="M750" s="55"/>
      <c r="N750" s="55"/>
      <c r="O750" s="55"/>
      <c r="P750" s="55"/>
      <c r="Q750" s="47"/>
      <c r="R750" s="47"/>
      <c r="S750" s="47"/>
      <c r="T750" s="47"/>
      <c r="U750" s="47"/>
      <c r="V750" s="274"/>
      <c r="W750" s="47"/>
      <c r="X750" s="46"/>
    </row>
    <row r="751" spans="1:25" ht="22.75" thickBot="1" x14ac:dyDescent="0.3">
      <c r="A751" s="49"/>
      <c r="B751" s="47"/>
      <c r="C751" s="50" t="s">
        <v>203</v>
      </c>
      <c r="D751" s="54">
        <f t="shared" ref="D751:L751" si="246">IF(((D749="")*AND(D750="")),"",(D749-D750)*3)</f>
        <v>7347</v>
      </c>
      <c r="E751" s="54">
        <f t="shared" si="246"/>
        <v>7200</v>
      </c>
      <c r="F751" s="54">
        <f t="shared" si="246"/>
        <v>7293</v>
      </c>
      <c r="G751" s="54">
        <f t="shared" si="246"/>
        <v>7302</v>
      </c>
      <c r="H751" s="54">
        <f t="shared" si="246"/>
        <v>7605</v>
      </c>
      <c r="I751" s="54">
        <f t="shared" si="246"/>
        <v>7551</v>
      </c>
      <c r="J751" s="54">
        <f t="shared" si="246"/>
        <v>7284</v>
      </c>
      <c r="K751" s="54">
        <f t="shared" si="246"/>
        <v>7290</v>
      </c>
      <c r="L751" s="54">
        <f t="shared" si="246"/>
        <v>7251</v>
      </c>
      <c r="M751" s="54"/>
      <c r="N751" s="54"/>
      <c r="O751" s="54"/>
      <c r="P751" s="54" t="str">
        <f>IF(((P749="")*AND(P750="")),"",(P749-P750)*2)</f>
        <v/>
      </c>
      <c r="Q751" s="47"/>
      <c r="R751" s="47"/>
      <c r="S751" s="47"/>
      <c r="T751" s="47"/>
      <c r="U751" s="47"/>
      <c r="V751" s="274"/>
      <c r="W751" s="47"/>
      <c r="X751" s="46"/>
    </row>
    <row r="752" spans="1:25" x14ac:dyDescent="0.25">
      <c r="A752" s="40">
        <v>43559</v>
      </c>
      <c r="B752" s="50" t="s">
        <v>206</v>
      </c>
      <c r="C752" s="50" t="s">
        <v>205</v>
      </c>
      <c r="D752" s="35">
        <v>4199.91</v>
      </c>
      <c r="E752" s="35">
        <v>4177</v>
      </c>
      <c r="F752" s="35">
        <v>4177</v>
      </c>
      <c r="G752" s="35">
        <v>4197.41</v>
      </c>
      <c r="H752" s="35">
        <v>4076.91</v>
      </c>
      <c r="I752" s="35">
        <v>4144.18</v>
      </c>
      <c r="J752" s="35">
        <v>4222.72</v>
      </c>
      <c r="K752" s="35">
        <v>4177</v>
      </c>
      <c r="L752" s="35">
        <v>4177</v>
      </c>
      <c r="M752" s="35">
        <v>4183.3</v>
      </c>
      <c r="N752" s="35">
        <v>4352.8</v>
      </c>
      <c r="O752" s="35">
        <v>4146.9399999999996</v>
      </c>
      <c r="P752" s="35">
        <v>4072.95</v>
      </c>
      <c r="Q752" s="50">
        <f>IF((L753=""),"",MAX(D754:P754))</f>
        <v>5470.34</v>
      </c>
      <c r="R752" s="50">
        <f>IF(L753="","",MIN(D754:L754))</f>
        <v>5184</v>
      </c>
      <c r="S752" s="53">
        <f>IF((P754=""),"",AVERAGE(D754:P754))</f>
        <v>5401.1692307692301</v>
      </c>
      <c r="T752" s="52">
        <f>IF((L753=""),"",(Q752-R752)/(Q752+R752)*100)</f>
        <v>2.6875432922170694</v>
      </c>
      <c r="U752" s="50">
        <f>STDEV(D754:P754)</f>
        <v>75.101820046913488</v>
      </c>
      <c r="V752" s="273" t="str">
        <f>IF(P753="","",IF(T752&lt;2.7,IF(S752&gt;5150,IF(S752&lt;5600,"Pass","Fail"),"Fail"),"Fail"))</f>
        <v>Pass</v>
      </c>
      <c r="W752" s="50">
        <v>1340</v>
      </c>
      <c r="X752" s="46" t="s">
        <v>201</v>
      </c>
    </row>
    <row r="753" spans="1:25" x14ac:dyDescent="0.25">
      <c r="A753" s="49"/>
      <c r="B753" s="47"/>
      <c r="C753" s="47" t="s">
        <v>204</v>
      </c>
      <c r="D753" s="35">
        <v>1487.07</v>
      </c>
      <c r="E753" s="35">
        <v>1585</v>
      </c>
      <c r="F753" s="35">
        <v>1458.33</v>
      </c>
      <c r="G753" s="35">
        <v>1495.43</v>
      </c>
      <c r="H753" s="35">
        <v>1421.49</v>
      </c>
      <c r="I753" s="35">
        <v>1425.74</v>
      </c>
      <c r="J753" s="35">
        <v>1516.4</v>
      </c>
      <c r="K753" s="35">
        <v>1450.73</v>
      </c>
      <c r="L753" s="35">
        <v>1471.6</v>
      </c>
      <c r="M753" s="35">
        <v>1469.29</v>
      </c>
      <c r="N753" s="35">
        <v>1617.63</v>
      </c>
      <c r="O753" s="35">
        <v>1437.38</v>
      </c>
      <c r="P753" s="35">
        <v>1361.43</v>
      </c>
      <c r="Q753" s="47"/>
      <c r="R753" s="47"/>
      <c r="S753" s="47"/>
      <c r="T753" s="47"/>
      <c r="U753" s="47"/>
      <c r="V753" s="274"/>
      <c r="W753" s="47"/>
      <c r="X753" s="46"/>
    </row>
    <row r="754" spans="1:25" ht="22.75" thickBot="1" x14ac:dyDescent="0.3">
      <c r="A754" s="45"/>
      <c r="B754" s="42"/>
      <c r="C754" s="42" t="s">
        <v>203</v>
      </c>
      <c r="D754" s="44">
        <f t="shared" ref="D754:P754" si="247">IF(((D752="")*AND(D753="")),"",(D752-D753)*2)</f>
        <v>5425.68</v>
      </c>
      <c r="E754" s="44">
        <f t="shared" si="247"/>
        <v>5184</v>
      </c>
      <c r="F754" s="44">
        <f t="shared" si="247"/>
        <v>5437.34</v>
      </c>
      <c r="G754" s="44">
        <f t="shared" si="247"/>
        <v>5403.9599999999991</v>
      </c>
      <c r="H754" s="44">
        <f t="shared" si="247"/>
        <v>5310.84</v>
      </c>
      <c r="I754" s="44">
        <f t="shared" si="247"/>
        <v>5436.880000000001</v>
      </c>
      <c r="J754" s="44">
        <f t="shared" si="247"/>
        <v>5412.64</v>
      </c>
      <c r="K754" s="44">
        <f t="shared" si="247"/>
        <v>5452.54</v>
      </c>
      <c r="L754" s="44">
        <f t="shared" si="247"/>
        <v>5410.8</v>
      </c>
      <c r="M754" s="44">
        <f t="shared" si="247"/>
        <v>5428.02</v>
      </c>
      <c r="N754" s="44">
        <f t="shared" si="247"/>
        <v>5470.34</v>
      </c>
      <c r="O754" s="44">
        <f t="shared" si="247"/>
        <v>5419.119999999999</v>
      </c>
      <c r="P754" s="44">
        <f t="shared" si="247"/>
        <v>5423.0399999999991</v>
      </c>
      <c r="Q754" s="42"/>
      <c r="R754" s="42"/>
      <c r="S754" s="42"/>
      <c r="T754" s="42"/>
      <c r="U754" s="42"/>
      <c r="V754" s="275"/>
      <c r="W754" s="42"/>
      <c r="X754" s="41"/>
    </row>
    <row r="755" spans="1:25" x14ac:dyDescent="0.25">
      <c r="A755" s="40">
        <v>43564</v>
      </c>
      <c r="B755" s="57" t="s">
        <v>208</v>
      </c>
      <c r="C755" s="61" t="s">
        <v>205</v>
      </c>
      <c r="D755" s="64">
        <v>6015</v>
      </c>
      <c r="E755" s="64">
        <v>6295</v>
      </c>
      <c r="F755" s="62">
        <v>6353</v>
      </c>
      <c r="G755" s="64">
        <v>6326</v>
      </c>
      <c r="H755" s="64">
        <v>6089</v>
      </c>
      <c r="I755" s="64">
        <v>6089</v>
      </c>
      <c r="J755" s="64">
        <v>6278</v>
      </c>
      <c r="K755" s="64">
        <v>6369</v>
      </c>
      <c r="L755" s="64">
        <v>6193</v>
      </c>
      <c r="M755" s="60"/>
      <c r="N755" s="60"/>
      <c r="O755" s="60"/>
      <c r="P755" s="60"/>
      <c r="Q755" s="57">
        <f>IF((L756=""),"",MAX(D757:L757))</f>
        <v>8541</v>
      </c>
      <c r="R755" s="57">
        <f>IF(L756="","",MIN(D757:L757))</f>
        <v>7419</v>
      </c>
      <c r="S755" s="59">
        <f>IF((L757=""),"",AVERAGE(D757:L757))</f>
        <v>7791.666666666667</v>
      </c>
      <c r="T755" s="53">
        <f>IF((L756=""),"",(Q755-R755)/(Q755+R755)*100)</f>
        <v>7.030075187969925</v>
      </c>
      <c r="U755" s="57">
        <f>STDEV(D757:P757)</f>
        <v>510.86788898892445</v>
      </c>
      <c r="V755" s="276" t="str">
        <f>IF(L756="","",IF(T755&lt;9.8,IF(S755&gt;5100,IF(S755&lt;8300,"Pass","Fail"),"Fail"),"Fail"))</f>
        <v>Pass</v>
      </c>
      <c r="W755" s="57">
        <v>1428</v>
      </c>
      <c r="X755" s="38" t="s">
        <v>213</v>
      </c>
    </row>
    <row r="756" spans="1:25" x14ac:dyDescent="0.25">
      <c r="A756" s="49"/>
      <c r="B756" s="47"/>
      <c r="C756" s="56" t="s">
        <v>204</v>
      </c>
      <c r="D756" s="64">
        <v>3242</v>
      </c>
      <c r="E756" s="64">
        <v>3822</v>
      </c>
      <c r="F756" s="62">
        <v>3868</v>
      </c>
      <c r="G756" s="62">
        <v>3834</v>
      </c>
      <c r="H756" s="62">
        <v>3242</v>
      </c>
      <c r="I756" s="64">
        <v>3242</v>
      </c>
      <c r="J756" s="64">
        <v>3786</v>
      </c>
      <c r="K756" s="64">
        <v>3891</v>
      </c>
      <c r="L756" s="64">
        <v>3705</v>
      </c>
      <c r="M756" s="55"/>
      <c r="N756" s="55"/>
      <c r="O756" s="55"/>
      <c r="P756" s="55"/>
      <c r="Q756" s="47"/>
      <c r="R756" s="47"/>
      <c r="S756" s="47"/>
      <c r="T756" s="47"/>
      <c r="U756" s="47"/>
      <c r="V756" s="274"/>
      <c r="W756" s="47"/>
    </row>
    <row r="757" spans="1:25" ht="22.75" thickBot="1" x14ac:dyDescent="0.3">
      <c r="A757" s="49"/>
      <c r="B757" s="47"/>
      <c r="C757" s="50" t="s">
        <v>203</v>
      </c>
      <c r="D757" s="54">
        <f t="shared" ref="D757:L757" si="248">IF(((D755="")*AND(D756="")),"",(D755-D756)*3)</f>
        <v>8319</v>
      </c>
      <c r="E757" s="54">
        <f t="shared" si="248"/>
        <v>7419</v>
      </c>
      <c r="F757" s="54">
        <f t="shared" si="248"/>
        <v>7455</v>
      </c>
      <c r="G757" s="54">
        <f t="shared" si="248"/>
        <v>7476</v>
      </c>
      <c r="H757" s="54">
        <f t="shared" si="248"/>
        <v>8541</v>
      </c>
      <c r="I757" s="54">
        <f t="shared" si="248"/>
        <v>8541</v>
      </c>
      <c r="J757" s="54">
        <f t="shared" si="248"/>
        <v>7476</v>
      </c>
      <c r="K757" s="54">
        <f t="shared" si="248"/>
        <v>7434</v>
      </c>
      <c r="L757" s="54">
        <f t="shared" si="248"/>
        <v>7464</v>
      </c>
      <c r="M757" s="54"/>
      <c r="N757" s="54"/>
      <c r="O757" s="54"/>
      <c r="P757" s="54" t="str">
        <f>IF(((P755="")*AND(P756="")),"",(P755-P756)*2)</f>
        <v/>
      </c>
      <c r="Q757" s="47"/>
      <c r="R757" s="47"/>
      <c r="S757" s="47"/>
      <c r="T757" s="47"/>
      <c r="U757" s="47"/>
      <c r="V757" s="274"/>
      <c r="W757" s="47"/>
    </row>
    <row r="758" spans="1:25" x14ac:dyDescent="0.25">
      <c r="A758" s="40">
        <v>43564</v>
      </c>
      <c r="B758" s="50" t="s">
        <v>206</v>
      </c>
      <c r="C758" s="50" t="s">
        <v>205</v>
      </c>
      <c r="D758" s="62">
        <v>6740</v>
      </c>
      <c r="E758" s="62">
        <v>6864</v>
      </c>
      <c r="F758" s="62">
        <v>6688</v>
      </c>
      <c r="G758" s="62">
        <v>6721</v>
      </c>
      <c r="H758" s="62">
        <v>6677</v>
      </c>
      <c r="I758" s="62">
        <v>6698</v>
      </c>
      <c r="J758" s="62">
        <v>6749</v>
      </c>
      <c r="K758" s="62">
        <v>6698</v>
      </c>
      <c r="L758" s="62">
        <v>6698</v>
      </c>
      <c r="M758" s="62">
        <v>6721</v>
      </c>
      <c r="N758" s="62">
        <v>6688</v>
      </c>
      <c r="O758" s="62">
        <v>6864</v>
      </c>
      <c r="P758" s="62">
        <v>6740</v>
      </c>
      <c r="Q758" s="50">
        <f>IF((L759=""),"",MAX(D760:P760))</f>
        <v>5438</v>
      </c>
      <c r="R758" s="50">
        <f>IF(L759="","",MIN(D760:L760))</f>
        <v>5346</v>
      </c>
      <c r="S758" s="53">
        <f>IF((P760=""),"",AVERAGE(D760:P760))</f>
        <v>5360.7692307692305</v>
      </c>
      <c r="T758" s="52">
        <f>IF((L759=""),"",(Q758-R758)/(Q758+R758)*100)</f>
        <v>0.85311572700296734</v>
      </c>
      <c r="U758" s="50">
        <f>STDEV(D760:P760)</f>
        <v>92.985799853305423</v>
      </c>
      <c r="V758" s="273" t="str">
        <f>IF(P759="","",IF(T758&lt;2.7,IF(S758&gt;5150,IF(S758&lt;5600,"Pass","Fail"),"Fail"),"Fail"))</f>
        <v>Pass</v>
      </c>
      <c r="W758" s="50">
        <v>1428</v>
      </c>
      <c r="X758" s="38" t="s">
        <v>213</v>
      </c>
    </row>
    <row r="759" spans="1:25" x14ac:dyDescent="0.25">
      <c r="A759" s="49"/>
      <c r="B759" s="47"/>
      <c r="C759" s="47" t="s">
        <v>204</v>
      </c>
      <c r="D759" s="62">
        <v>4062</v>
      </c>
      <c r="E759" s="62">
        <v>4173</v>
      </c>
      <c r="F759" s="62">
        <v>4015</v>
      </c>
      <c r="G759" s="62">
        <v>4018</v>
      </c>
      <c r="H759" s="62">
        <v>3989</v>
      </c>
      <c r="I759" s="62">
        <v>3980</v>
      </c>
      <c r="J759" s="62">
        <v>4033</v>
      </c>
      <c r="K759" s="62">
        <v>3979</v>
      </c>
      <c r="L759" s="62">
        <v>4022</v>
      </c>
      <c r="M759" s="62">
        <v>4173</v>
      </c>
      <c r="N759" s="62">
        <v>4053</v>
      </c>
      <c r="O759" s="62">
        <v>4182</v>
      </c>
      <c r="P759" s="62">
        <v>4022</v>
      </c>
      <c r="Q759" s="47"/>
      <c r="R759" s="47"/>
      <c r="S759" s="47"/>
      <c r="T759" s="47"/>
      <c r="U759" s="47"/>
      <c r="V759" s="274"/>
      <c r="W759" s="47"/>
    </row>
    <row r="760" spans="1:25" ht="22.75" thickBot="1" x14ac:dyDescent="0.3">
      <c r="A760" s="45"/>
      <c r="B760" s="42"/>
      <c r="C760" s="42" t="s">
        <v>203</v>
      </c>
      <c r="D760" s="44">
        <f t="shared" ref="D760:P760" si="249">IF(((D758="")*AND(D759="")),"",(D758-D759)*2)</f>
        <v>5356</v>
      </c>
      <c r="E760" s="44">
        <f t="shared" si="249"/>
        <v>5382</v>
      </c>
      <c r="F760" s="44">
        <f t="shared" si="249"/>
        <v>5346</v>
      </c>
      <c r="G760" s="44">
        <f t="shared" si="249"/>
        <v>5406</v>
      </c>
      <c r="H760" s="44">
        <f t="shared" si="249"/>
        <v>5376</v>
      </c>
      <c r="I760" s="44">
        <f t="shared" si="249"/>
        <v>5436</v>
      </c>
      <c r="J760" s="44">
        <f t="shared" si="249"/>
        <v>5432</v>
      </c>
      <c r="K760" s="44">
        <f t="shared" si="249"/>
        <v>5438</v>
      </c>
      <c r="L760" s="44">
        <f t="shared" si="249"/>
        <v>5352</v>
      </c>
      <c r="M760" s="44">
        <f t="shared" si="249"/>
        <v>5096</v>
      </c>
      <c r="N760" s="44">
        <f t="shared" si="249"/>
        <v>5270</v>
      </c>
      <c r="O760" s="44">
        <f t="shared" si="249"/>
        <v>5364</v>
      </c>
      <c r="P760" s="44">
        <f t="shared" si="249"/>
        <v>5436</v>
      </c>
      <c r="Q760" s="42"/>
      <c r="R760" s="42"/>
      <c r="S760" s="42"/>
      <c r="T760" s="42"/>
      <c r="U760" s="42"/>
      <c r="V760" s="275"/>
      <c r="W760" s="42"/>
    </row>
    <row r="761" spans="1:25" x14ac:dyDescent="0.25">
      <c r="A761" s="40">
        <v>43564</v>
      </c>
      <c r="B761" s="50" t="s">
        <v>206</v>
      </c>
      <c r="C761" s="50" t="s">
        <v>205</v>
      </c>
      <c r="D761" s="62">
        <v>6725.38</v>
      </c>
      <c r="E761" s="62">
        <v>6847.86</v>
      </c>
      <c r="F761" s="62">
        <v>6668.32</v>
      </c>
      <c r="G761" s="62">
        <v>6705</v>
      </c>
      <c r="H761" s="62">
        <v>6665.31</v>
      </c>
      <c r="I761" s="62">
        <v>6679.91</v>
      </c>
      <c r="J761" s="62">
        <v>6733.66</v>
      </c>
      <c r="K761" s="62">
        <v>6682.25</v>
      </c>
      <c r="L761" s="62">
        <v>6685.05</v>
      </c>
      <c r="M761" s="62">
        <v>6715.83</v>
      </c>
      <c r="N761" s="62">
        <v>6903.85</v>
      </c>
      <c r="O761" s="62">
        <v>6670.93</v>
      </c>
      <c r="P761" s="62">
        <v>6626.63</v>
      </c>
      <c r="Q761" s="50">
        <f>IF((L762=""),"",MAX(D763:P763))</f>
        <v>5459.84</v>
      </c>
      <c r="R761" s="50">
        <f>IF(L762="","",MIN(D763:L763))</f>
        <v>5339.76</v>
      </c>
      <c r="S761" s="53">
        <f>IF((P763=""),"",AVERAGE(D763:P763))</f>
        <v>5398.7384615384617</v>
      </c>
      <c r="T761" s="52">
        <f>IF((L762=""),"",(Q761-R761)/(Q761+R761)*100)</f>
        <v>1.1118930330752983</v>
      </c>
      <c r="U761" s="50">
        <f>STDEV(D763:P763)</f>
        <v>40.562147758337808</v>
      </c>
      <c r="V761" s="273" t="str">
        <f>IF(P762="","",IF(T761&lt;2.7,IF(S761&gt;5150,IF(S761&lt;5600,"Pass","Fail"),"Fail"),"Fail"))</f>
        <v>Pass</v>
      </c>
      <c r="W761" s="50">
        <v>1428</v>
      </c>
      <c r="X761" s="38" t="s">
        <v>212</v>
      </c>
    </row>
    <row r="762" spans="1:25" x14ac:dyDescent="0.25">
      <c r="A762" s="49"/>
      <c r="B762" s="47"/>
      <c r="C762" s="47" t="s">
        <v>204</v>
      </c>
      <c r="D762" s="62">
        <v>4055.5</v>
      </c>
      <c r="E762" s="62">
        <v>4162.6400000000003</v>
      </c>
      <c r="F762" s="62">
        <v>3996.68</v>
      </c>
      <c r="G762" s="62">
        <v>3996.65</v>
      </c>
      <c r="H762" s="62">
        <v>3975</v>
      </c>
      <c r="I762" s="62">
        <v>3958.23</v>
      </c>
      <c r="J762" s="62">
        <v>4013.92</v>
      </c>
      <c r="K762" s="62">
        <v>3959.21</v>
      </c>
      <c r="L762" s="62">
        <v>4008.57</v>
      </c>
      <c r="M762" s="62">
        <v>3985.91</v>
      </c>
      <c r="N762" s="62">
        <v>4205.87</v>
      </c>
      <c r="O762" s="62">
        <v>3971.29</v>
      </c>
      <c r="P762" s="62">
        <v>3928.71</v>
      </c>
      <c r="Q762" s="47"/>
      <c r="R762" s="47"/>
      <c r="S762" s="47"/>
      <c r="T762" s="47"/>
      <c r="U762" s="47"/>
      <c r="V762" s="274"/>
      <c r="W762" s="47"/>
    </row>
    <row r="763" spans="1:25" ht="22.75" thickBot="1" x14ac:dyDescent="0.3">
      <c r="A763" s="45"/>
      <c r="B763" s="42"/>
      <c r="C763" s="42" t="s">
        <v>203</v>
      </c>
      <c r="D763" s="44">
        <f t="shared" ref="D763:P763" si="250">IF(((D761="")*AND(D762="")),"",(D761-D762)*2)</f>
        <v>5339.76</v>
      </c>
      <c r="E763" s="44">
        <f t="shared" si="250"/>
        <v>5370.4399999999987</v>
      </c>
      <c r="F763" s="44">
        <f t="shared" si="250"/>
        <v>5343.28</v>
      </c>
      <c r="G763" s="44">
        <f t="shared" si="250"/>
        <v>5416.7</v>
      </c>
      <c r="H763" s="44">
        <f t="shared" si="250"/>
        <v>5380.6200000000008</v>
      </c>
      <c r="I763" s="44">
        <f t="shared" si="250"/>
        <v>5443.36</v>
      </c>
      <c r="J763" s="44">
        <f t="shared" si="250"/>
        <v>5439.48</v>
      </c>
      <c r="K763" s="44">
        <f t="shared" si="250"/>
        <v>5446.08</v>
      </c>
      <c r="L763" s="44">
        <f t="shared" si="250"/>
        <v>5352.96</v>
      </c>
      <c r="M763" s="44">
        <f t="shared" si="250"/>
        <v>5459.84</v>
      </c>
      <c r="N763" s="44">
        <f t="shared" si="250"/>
        <v>5395.9600000000009</v>
      </c>
      <c r="O763" s="44">
        <f t="shared" si="250"/>
        <v>5399.2800000000007</v>
      </c>
      <c r="P763" s="44">
        <f t="shared" si="250"/>
        <v>5395.84</v>
      </c>
      <c r="Q763" s="42"/>
      <c r="R763" s="42"/>
      <c r="S763" s="42"/>
      <c r="T763" s="42"/>
      <c r="U763" s="42"/>
      <c r="V763" s="275"/>
      <c r="W763" s="42"/>
    </row>
    <row r="764" spans="1:25" x14ac:dyDescent="0.25">
      <c r="A764" s="283">
        <v>43568</v>
      </c>
      <c r="B764" s="57" t="s">
        <v>208</v>
      </c>
      <c r="C764" s="61" t="s">
        <v>205</v>
      </c>
      <c r="D764" s="64">
        <v>6006.3</v>
      </c>
      <c r="E764" s="64">
        <v>6280.09</v>
      </c>
      <c r="F764" s="62">
        <v>6338.5</v>
      </c>
      <c r="G764" s="64">
        <v>6311.35</v>
      </c>
      <c r="H764" s="64">
        <v>6036.44</v>
      </c>
      <c r="I764" s="64">
        <v>5864.99</v>
      </c>
      <c r="J764" s="64">
        <v>6264.81</v>
      </c>
      <c r="K764" s="64">
        <v>6355.59</v>
      </c>
      <c r="L764" s="64">
        <v>6177.03</v>
      </c>
      <c r="M764" s="60"/>
      <c r="N764" s="60"/>
      <c r="O764" s="60"/>
      <c r="P764" s="60"/>
      <c r="Q764" s="57">
        <f>IF((L765=""),"",MAX(D766:L766))</f>
        <v>8466.09</v>
      </c>
      <c r="R764" s="57">
        <f>IF(L765="","",MIN(D766:L766))</f>
        <v>7923.3600000000006</v>
      </c>
      <c r="S764" s="59">
        <f>IF((L766=""),"",AVERAGE(D766:L766))</f>
        <v>8092.8266666666668</v>
      </c>
      <c r="T764" s="53">
        <f>IF((L765=""),"",(Q764-R764)/(Q764+R764)*100)</f>
        <v>3.3114595059626746</v>
      </c>
      <c r="U764" s="57">
        <f>STDEV(D766:P766)</f>
        <v>217.166101003356</v>
      </c>
      <c r="V764" s="276" t="str">
        <f>IF(L765="","",IF(T764&lt;9.8,IF(S764&gt;5100,IF(S764&lt;8300,"Pass","Fail"),"Fail"),"Fail"))</f>
        <v>Pass</v>
      </c>
      <c r="W764" s="57">
        <v>1428</v>
      </c>
      <c r="X764" s="263" t="s">
        <v>211</v>
      </c>
    </row>
    <row r="765" spans="1:25" x14ac:dyDescent="0.25">
      <c r="A765" s="284"/>
      <c r="B765" s="47"/>
      <c r="C765" s="56" t="s">
        <v>204</v>
      </c>
      <c r="D765" s="64">
        <v>3354.65</v>
      </c>
      <c r="E765" s="64">
        <v>3638.97</v>
      </c>
      <c r="F765" s="62">
        <v>3681</v>
      </c>
      <c r="G765" s="62">
        <v>3639</v>
      </c>
      <c r="H765" s="62">
        <v>3329</v>
      </c>
      <c r="I765" s="64">
        <v>3046</v>
      </c>
      <c r="J765" s="64">
        <v>3601</v>
      </c>
      <c r="K765" s="64">
        <v>3712</v>
      </c>
      <c r="L765" s="64">
        <v>3355</v>
      </c>
      <c r="M765" s="55"/>
      <c r="N765" s="55"/>
      <c r="O765" s="55"/>
      <c r="P765" s="55"/>
      <c r="Q765" s="47"/>
      <c r="R765" s="47"/>
      <c r="S765" s="47"/>
      <c r="T765" s="47"/>
      <c r="U765" s="47"/>
      <c r="V765" s="274"/>
      <c r="W765" s="47"/>
      <c r="X765" s="263"/>
    </row>
    <row r="766" spans="1:25" ht="22.75" thickBot="1" x14ac:dyDescent="0.3">
      <c r="A766" s="284"/>
      <c r="B766" s="47"/>
      <c r="C766" s="50" t="s">
        <v>203</v>
      </c>
      <c r="D766" s="54">
        <f t="shared" ref="D766:L766" si="251">IF(((D764="")*AND(D765="")),"",(D764-D765)*3)</f>
        <v>7954.9500000000007</v>
      </c>
      <c r="E766" s="54">
        <f t="shared" si="251"/>
        <v>7923.3600000000006</v>
      </c>
      <c r="F766" s="54">
        <f t="shared" si="251"/>
        <v>7972.5</v>
      </c>
      <c r="G766" s="54">
        <f t="shared" si="251"/>
        <v>8017.0500000000011</v>
      </c>
      <c r="H766" s="54">
        <f t="shared" si="251"/>
        <v>8122.3199999999988</v>
      </c>
      <c r="I766" s="54">
        <f t="shared" si="251"/>
        <v>8456.9699999999993</v>
      </c>
      <c r="J766" s="54">
        <f t="shared" si="251"/>
        <v>7991.4300000000012</v>
      </c>
      <c r="K766" s="54">
        <f t="shared" si="251"/>
        <v>7930.77</v>
      </c>
      <c r="L766" s="54">
        <f t="shared" si="251"/>
        <v>8466.09</v>
      </c>
      <c r="M766" s="54"/>
      <c r="N766" s="54"/>
      <c r="O766" s="54"/>
      <c r="P766" s="54" t="str">
        <f>IF(((P764="")*AND(P765="")),"",(P764-P765)*2)</f>
        <v/>
      </c>
      <c r="Q766" s="47"/>
      <c r="R766" s="47"/>
      <c r="S766" s="47"/>
      <c r="T766" s="47"/>
      <c r="U766" s="47"/>
      <c r="V766" s="274"/>
      <c r="W766" s="47"/>
      <c r="X766" s="263"/>
    </row>
    <row r="767" spans="1:25" x14ac:dyDescent="0.25">
      <c r="A767" s="285">
        <v>43568</v>
      </c>
      <c r="B767" s="50" t="s">
        <v>206</v>
      </c>
      <c r="C767" s="50" t="s">
        <v>205</v>
      </c>
      <c r="D767" s="62">
        <v>4074</v>
      </c>
      <c r="E767" s="62">
        <v>4187</v>
      </c>
      <c r="F767" s="62">
        <v>4027</v>
      </c>
      <c r="G767" s="62">
        <v>4030</v>
      </c>
      <c r="H767" s="62">
        <v>4001</v>
      </c>
      <c r="I767" s="62">
        <v>3992</v>
      </c>
      <c r="J767" s="62">
        <v>4045</v>
      </c>
      <c r="K767" s="62">
        <v>3991</v>
      </c>
      <c r="L767" s="62">
        <v>4032</v>
      </c>
      <c r="M767" s="62">
        <v>4074</v>
      </c>
      <c r="N767" s="62">
        <v>4187</v>
      </c>
      <c r="O767" s="62">
        <v>4027</v>
      </c>
      <c r="P767" s="62">
        <v>4030</v>
      </c>
      <c r="Q767" s="50">
        <f>IF((L768=""),"",MAX(D769:P769))</f>
        <v>5518</v>
      </c>
      <c r="R767" s="50">
        <f>IF(L768="","",MIN(D769:L769))</f>
        <v>5376</v>
      </c>
      <c r="S767" s="53">
        <f>IF((P769=""),"",AVERAGE(D769:P769))</f>
        <v>5429.2307692307695</v>
      </c>
      <c r="T767" s="52">
        <f>IF((L768=""),"",(Q767-R767)/(Q767+R767)*100)</f>
        <v>1.3034697998898475</v>
      </c>
      <c r="U767" s="50">
        <f>STDEV(D769:P769)</f>
        <v>45.508522729546392</v>
      </c>
      <c r="V767" s="273" t="str">
        <f>IF(P768="","",IF(T767&lt;2.7,IF(S767&gt;5150,IF(S767&lt;5600,"Pass","Fail"),"Fail"),"Fail"))</f>
        <v>Pass</v>
      </c>
      <c r="W767" s="50">
        <v>1428</v>
      </c>
      <c r="X767" s="263" t="s">
        <v>211</v>
      </c>
    </row>
    <row r="768" spans="1:25" x14ac:dyDescent="0.25">
      <c r="A768" s="284"/>
      <c r="B768" s="47"/>
      <c r="C768" s="47" t="s">
        <v>204</v>
      </c>
      <c r="D768" s="62">
        <v>1374</v>
      </c>
      <c r="E768" s="62">
        <v>1465</v>
      </c>
      <c r="F768" s="62">
        <v>1339</v>
      </c>
      <c r="G768" s="62">
        <v>1317</v>
      </c>
      <c r="H768" s="62">
        <v>1285</v>
      </c>
      <c r="I768" s="62">
        <v>1233</v>
      </c>
      <c r="J768" s="62">
        <v>1318</v>
      </c>
      <c r="K768" s="62">
        <v>1238</v>
      </c>
      <c r="L768" s="62">
        <v>1343</v>
      </c>
      <c r="M768" s="62">
        <v>1374</v>
      </c>
      <c r="N768" s="62">
        <v>1465</v>
      </c>
      <c r="O768" s="62">
        <v>1339</v>
      </c>
      <c r="P768" s="62">
        <v>1317</v>
      </c>
      <c r="Q768" s="47"/>
      <c r="R768" s="47"/>
      <c r="S768" s="47"/>
      <c r="T768" s="47"/>
      <c r="U768" s="47"/>
      <c r="V768" s="274"/>
      <c r="W768" s="47"/>
      <c r="X768" s="259"/>
      <c r="Y768" s="65"/>
    </row>
    <row r="769" spans="1:25" ht="22.75" thickBot="1" x14ac:dyDescent="0.3">
      <c r="A769" s="286"/>
      <c r="B769" s="42"/>
      <c r="C769" s="42" t="s">
        <v>203</v>
      </c>
      <c r="D769" s="44">
        <f t="shared" ref="D769:P769" si="252">IF(((D767="")*AND(D768="")),"",(D767-D768)*2)</f>
        <v>5400</v>
      </c>
      <c r="E769" s="44">
        <f t="shared" si="252"/>
        <v>5444</v>
      </c>
      <c r="F769" s="44">
        <f t="shared" si="252"/>
        <v>5376</v>
      </c>
      <c r="G769" s="44">
        <f t="shared" si="252"/>
        <v>5426</v>
      </c>
      <c r="H769" s="44">
        <f t="shared" si="252"/>
        <v>5432</v>
      </c>
      <c r="I769" s="44">
        <f t="shared" si="252"/>
        <v>5518</v>
      </c>
      <c r="J769" s="44">
        <f t="shared" si="252"/>
        <v>5454</v>
      </c>
      <c r="K769" s="44">
        <f t="shared" si="252"/>
        <v>5506</v>
      </c>
      <c r="L769" s="44">
        <f t="shared" si="252"/>
        <v>5378</v>
      </c>
      <c r="M769" s="44">
        <f t="shared" si="252"/>
        <v>5400</v>
      </c>
      <c r="N769" s="44">
        <f t="shared" si="252"/>
        <v>5444</v>
      </c>
      <c r="O769" s="44">
        <f t="shared" si="252"/>
        <v>5376</v>
      </c>
      <c r="P769" s="44">
        <f t="shared" si="252"/>
        <v>5426</v>
      </c>
      <c r="Q769" s="42"/>
      <c r="R769" s="42"/>
      <c r="S769" s="42"/>
      <c r="T769" s="42"/>
      <c r="U769" s="42"/>
      <c r="V769" s="275"/>
      <c r="W769" s="42"/>
      <c r="X769" s="259"/>
      <c r="Y769" s="65"/>
    </row>
    <row r="770" spans="1:25" x14ac:dyDescent="0.25">
      <c r="A770" s="283">
        <v>43578</v>
      </c>
      <c r="B770" s="57" t="s">
        <v>208</v>
      </c>
      <c r="C770" s="61" t="s">
        <v>205</v>
      </c>
      <c r="D770" s="64">
        <v>3744</v>
      </c>
      <c r="E770" s="64">
        <v>3930</v>
      </c>
      <c r="F770" s="62">
        <v>3915</v>
      </c>
      <c r="G770" s="64">
        <v>3875</v>
      </c>
      <c r="H770" s="64">
        <v>3572</v>
      </c>
      <c r="I770" s="64">
        <v>3369</v>
      </c>
      <c r="J770" s="64">
        <v>3855</v>
      </c>
      <c r="K770" s="64">
        <v>3884</v>
      </c>
      <c r="L770" s="64">
        <v>3745</v>
      </c>
      <c r="M770" s="60"/>
      <c r="N770" s="60"/>
      <c r="O770" s="60"/>
      <c r="P770" s="60"/>
      <c r="Q770" s="57">
        <f>IF((L771=""),"",MAX(D772:L772))</f>
        <v>7503</v>
      </c>
      <c r="R770" s="57">
        <f>IF(L771="","",MIN(D772:L772))</f>
        <v>5526</v>
      </c>
      <c r="S770" s="59">
        <f>IF((L772=""),"",AVERAGE(D772:L772))</f>
        <v>6943.666666666667</v>
      </c>
      <c r="T770" s="53">
        <f>IF((L771=""),"",(Q770-R770)/(Q770+R770)*100)</f>
        <v>15.17384296569192</v>
      </c>
      <c r="U770" s="57">
        <f>STDEV(D772:P772)</f>
        <v>587.55233809423316</v>
      </c>
      <c r="V770" s="276" t="str">
        <f>IF(L771="","",IF(T770&lt;9.8,IF(S770&gt;5100,IF(S770&lt;8300,"Pass","Fail"),"Fail"),"Fail"))</f>
        <v>Fail</v>
      </c>
      <c r="W770" s="57" t="s">
        <v>210</v>
      </c>
      <c r="X770" s="261"/>
      <c r="Y770" s="63"/>
    </row>
    <row r="771" spans="1:25" x14ac:dyDescent="0.25">
      <c r="A771" s="284"/>
      <c r="B771" s="47"/>
      <c r="C771" s="56" t="s">
        <v>204</v>
      </c>
      <c r="D771" s="64">
        <v>1374</v>
      </c>
      <c r="E771" s="64">
        <v>1651</v>
      </c>
      <c r="F771" s="62">
        <v>1613</v>
      </c>
      <c r="G771" s="62">
        <v>1547</v>
      </c>
      <c r="H771" s="62">
        <v>1103</v>
      </c>
      <c r="I771" s="64">
        <v>1527</v>
      </c>
      <c r="J771" s="64">
        <v>1569</v>
      </c>
      <c r="K771" s="64">
        <v>1430</v>
      </c>
      <c r="L771" s="64">
        <v>1244</v>
      </c>
      <c r="M771" s="55"/>
      <c r="N771" s="55"/>
      <c r="O771" s="55"/>
      <c r="P771" s="55"/>
      <c r="Q771" s="47"/>
      <c r="R771" s="47"/>
      <c r="S771" s="47"/>
      <c r="T771" s="47"/>
      <c r="U771" s="47"/>
      <c r="V771" s="274"/>
      <c r="W771" s="47"/>
      <c r="X771" s="261"/>
      <c r="Y771" s="63"/>
    </row>
    <row r="772" spans="1:25" ht="22.75" thickBot="1" x14ac:dyDescent="0.3">
      <c r="A772" s="284"/>
      <c r="B772" s="47"/>
      <c r="C772" s="50" t="s">
        <v>203</v>
      </c>
      <c r="D772" s="54">
        <f t="shared" ref="D772:L772" si="253">IF(((D770="")*AND(D771="")),"",(D770-D771)*3)</f>
        <v>7110</v>
      </c>
      <c r="E772" s="54">
        <f t="shared" si="253"/>
        <v>6837</v>
      </c>
      <c r="F772" s="54">
        <f t="shared" si="253"/>
        <v>6906</v>
      </c>
      <c r="G772" s="54">
        <f t="shared" si="253"/>
        <v>6984</v>
      </c>
      <c r="H772" s="54">
        <f t="shared" si="253"/>
        <v>7407</v>
      </c>
      <c r="I772" s="54">
        <f t="shared" si="253"/>
        <v>5526</v>
      </c>
      <c r="J772" s="54">
        <f t="shared" si="253"/>
        <v>6858</v>
      </c>
      <c r="K772" s="54">
        <f t="shared" si="253"/>
        <v>7362</v>
      </c>
      <c r="L772" s="54">
        <f t="shared" si="253"/>
        <v>7503</v>
      </c>
      <c r="M772" s="54"/>
      <c r="N772" s="54"/>
      <c r="O772" s="54"/>
      <c r="P772" s="54" t="str">
        <f>IF(((P770="")*AND(P771="")),"",(P770-P771)*2)</f>
        <v/>
      </c>
      <c r="Q772" s="47"/>
      <c r="R772" s="47"/>
      <c r="S772" s="47"/>
      <c r="T772" s="47"/>
      <c r="U772" s="47"/>
      <c r="V772" s="274"/>
      <c r="W772" s="47"/>
      <c r="X772" s="261"/>
      <c r="Y772" s="63"/>
    </row>
    <row r="773" spans="1:25" x14ac:dyDescent="0.25">
      <c r="A773" s="285">
        <v>43578</v>
      </c>
      <c r="B773" s="50" t="s">
        <v>206</v>
      </c>
      <c r="C773" s="50" t="s">
        <v>205</v>
      </c>
      <c r="D773" s="62">
        <v>6868</v>
      </c>
      <c r="E773" s="62">
        <v>6982</v>
      </c>
      <c r="F773" s="62">
        <v>6818</v>
      </c>
      <c r="G773" s="62">
        <v>6857</v>
      </c>
      <c r="H773" s="62">
        <v>6795</v>
      </c>
      <c r="I773" s="62">
        <v>6819</v>
      </c>
      <c r="J773" s="62">
        <v>6886</v>
      </c>
      <c r="K773" s="62">
        <v>6831</v>
      </c>
      <c r="L773" s="62">
        <v>6827</v>
      </c>
      <c r="M773" s="62">
        <v>6862</v>
      </c>
      <c r="N773" s="62">
        <v>7029</v>
      </c>
      <c r="O773" s="62">
        <v>6810</v>
      </c>
      <c r="P773" s="62">
        <v>6750</v>
      </c>
      <c r="Q773" s="50">
        <f>IF((L774=""),"",MAX(D775:P775))</f>
        <v>5466</v>
      </c>
      <c r="R773" s="50">
        <f>IF(L774="","",MIN(D775:L775))</f>
        <v>5350</v>
      </c>
      <c r="S773" s="53">
        <f>IF((P775=""),"",AVERAGE(D775:P775))</f>
        <v>5399.3846153846152</v>
      </c>
      <c r="T773" s="52">
        <f>IF((L774=""),"",(Q773-R773)/(Q773+R773)*100)</f>
        <v>1.0724852071005917</v>
      </c>
      <c r="U773" s="50">
        <f>STDEV(D775:P775)</f>
        <v>38.474100512635907</v>
      </c>
      <c r="V773" s="273" t="str">
        <f>IF(P774="","",IF(T773&lt;2.7,IF(S773&gt;5150,IF(S773&lt;5600,"Pass","Fail"),"Fail"),"Fail"))</f>
        <v>Pass</v>
      </c>
      <c r="W773" s="50" t="s">
        <v>210</v>
      </c>
      <c r="X773" s="263" t="s">
        <v>209</v>
      </c>
    </row>
    <row r="774" spans="1:25" x14ac:dyDescent="0.25">
      <c r="A774" s="284"/>
      <c r="B774" s="47"/>
      <c r="C774" s="47" t="s">
        <v>204</v>
      </c>
      <c r="D774" s="62">
        <v>4179</v>
      </c>
      <c r="E774" s="62">
        <v>4274</v>
      </c>
      <c r="F774" s="62">
        <v>4143</v>
      </c>
      <c r="G774" s="62">
        <v>4180</v>
      </c>
      <c r="H774" s="62">
        <v>4075</v>
      </c>
      <c r="I774" s="62">
        <v>4095</v>
      </c>
      <c r="J774" s="62">
        <v>4204</v>
      </c>
      <c r="K774" s="62">
        <v>4142</v>
      </c>
      <c r="L774" s="62">
        <v>4148</v>
      </c>
      <c r="M774" s="62">
        <v>4158</v>
      </c>
      <c r="N774" s="62">
        <v>4319</v>
      </c>
      <c r="O774" s="62">
        <v>4104</v>
      </c>
      <c r="P774" s="62">
        <v>4017</v>
      </c>
      <c r="Q774" s="47"/>
      <c r="R774" s="47"/>
      <c r="S774" s="47"/>
      <c r="T774" s="47"/>
      <c r="U774" s="47"/>
      <c r="V774" s="274"/>
      <c r="W774" s="47"/>
      <c r="X774" s="263"/>
    </row>
    <row r="775" spans="1:25" ht="22.75" thickBot="1" x14ac:dyDescent="0.3">
      <c r="A775" s="286"/>
      <c r="B775" s="42"/>
      <c r="C775" s="42" t="s">
        <v>203</v>
      </c>
      <c r="D775" s="44">
        <f t="shared" ref="D775:P775" si="254">IF(((D773="")*AND(D774="")),"",(D773-D774)*2)</f>
        <v>5378</v>
      </c>
      <c r="E775" s="44">
        <f t="shared" si="254"/>
        <v>5416</v>
      </c>
      <c r="F775" s="44">
        <f t="shared" si="254"/>
        <v>5350</v>
      </c>
      <c r="G775" s="44">
        <f t="shared" si="254"/>
        <v>5354</v>
      </c>
      <c r="H775" s="44">
        <f t="shared" si="254"/>
        <v>5440</v>
      </c>
      <c r="I775" s="44">
        <f t="shared" si="254"/>
        <v>5448</v>
      </c>
      <c r="J775" s="44">
        <f t="shared" si="254"/>
        <v>5364</v>
      </c>
      <c r="K775" s="44">
        <f t="shared" si="254"/>
        <v>5378</v>
      </c>
      <c r="L775" s="44">
        <f t="shared" si="254"/>
        <v>5358</v>
      </c>
      <c r="M775" s="44">
        <f t="shared" si="254"/>
        <v>5408</v>
      </c>
      <c r="N775" s="44">
        <f t="shared" si="254"/>
        <v>5420</v>
      </c>
      <c r="O775" s="44">
        <f t="shared" si="254"/>
        <v>5412</v>
      </c>
      <c r="P775" s="44">
        <f t="shared" si="254"/>
        <v>5466</v>
      </c>
      <c r="Q775" s="42"/>
      <c r="R775" s="42"/>
      <c r="S775" s="42"/>
      <c r="T775" s="42"/>
      <c r="U775" s="42"/>
      <c r="V775" s="275"/>
      <c r="W775" s="42"/>
      <c r="X775" s="263"/>
    </row>
    <row r="776" spans="1:25" x14ac:dyDescent="0.25">
      <c r="A776" s="283">
        <v>43578</v>
      </c>
      <c r="B776" s="57" t="s">
        <v>208</v>
      </c>
      <c r="C776" s="61" t="s">
        <v>205</v>
      </c>
      <c r="D776" s="64">
        <v>6102</v>
      </c>
      <c r="E776" s="64">
        <v>6235</v>
      </c>
      <c r="F776" s="62">
        <v>6273</v>
      </c>
      <c r="G776" s="64">
        <v>6252</v>
      </c>
      <c r="H776" s="64">
        <v>6182</v>
      </c>
      <c r="I776" s="64">
        <v>6252</v>
      </c>
      <c r="J776" s="64">
        <v>6223</v>
      </c>
      <c r="K776" s="64">
        <v>6022</v>
      </c>
      <c r="L776" s="64">
        <v>6176</v>
      </c>
      <c r="M776" s="60"/>
      <c r="N776" s="60"/>
      <c r="O776" s="60"/>
      <c r="P776" s="60"/>
      <c r="Q776" s="57">
        <f>IF((L777=""),"",MAX(D778:L778))</f>
        <v>7341</v>
      </c>
      <c r="R776" s="57">
        <f>IF(L777="","",MIN(D778:L778))</f>
        <v>7278</v>
      </c>
      <c r="S776" s="59">
        <f>IF((L778=""),"",AVERAGE(D778:L778))</f>
        <v>7310.666666666667</v>
      </c>
      <c r="T776" s="53">
        <f>IF((L777=""),"",(Q776-R776)/(Q776+R776)*100)</f>
        <v>0.43094602914016011</v>
      </c>
      <c r="U776" s="57">
        <f>STDEV(D778:P778)</f>
        <v>23.595550427993835</v>
      </c>
      <c r="V776" s="276" t="str">
        <f>IF(L777="","",IF(T776&lt;9.8,IF(S776&gt;5100,IF(S776&lt;8300,"Pass","Fail"),"Fail"),"Fail"))</f>
        <v>Pass</v>
      </c>
      <c r="W776" s="57">
        <v>121</v>
      </c>
      <c r="X776" s="263" t="s">
        <v>209</v>
      </c>
    </row>
    <row r="777" spans="1:25" x14ac:dyDescent="0.25">
      <c r="A777" s="284"/>
      <c r="B777" s="47"/>
      <c r="C777" s="56" t="s">
        <v>204</v>
      </c>
      <c r="D777" s="64">
        <v>3657</v>
      </c>
      <c r="E777" s="64">
        <v>3802</v>
      </c>
      <c r="F777" s="62">
        <v>3834</v>
      </c>
      <c r="G777" s="62">
        <v>3814</v>
      </c>
      <c r="H777" s="62">
        <v>3756</v>
      </c>
      <c r="I777" s="64">
        <v>3807</v>
      </c>
      <c r="J777" s="64">
        <v>3791</v>
      </c>
      <c r="K777" s="64">
        <v>3595</v>
      </c>
      <c r="L777" s="64">
        <v>3729</v>
      </c>
      <c r="M777" s="55"/>
      <c r="N777" s="55"/>
      <c r="O777" s="55"/>
      <c r="P777" s="55"/>
      <c r="Q777" s="47"/>
      <c r="R777" s="47"/>
      <c r="S777" s="47"/>
      <c r="T777" s="47"/>
      <c r="U777" s="47"/>
      <c r="V777" s="274"/>
      <c r="W777" s="47"/>
      <c r="X777" s="263"/>
    </row>
    <row r="778" spans="1:25" ht="22.75" thickBot="1" x14ac:dyDescent="0.3">
      <c r="A778" s="284"/>
      <c r="B778" s="47"/>
      <c r="C778" s="50" t="s">
        <v>203</v>
      </c>
      <c r="D778" s="54">
        <f t="shared" ref="D778:L778" si="255">IF(((D776="")*AND(D777="")),"",(D776-D777)*3)</f>
        <v>7335</v>
      </c>
      <c r="E778" s="54">
        <f t="shared" si="255"/>
        <v>7299</v>
      </c>
      <c r="F778" s="54">
        <f t="shared" si="255"/>
        <v>7317</v>
      </c>
      <c r="G778" s="54">
        <f t="shared" si="255"/>
        <v>7314</v>
      </c>
      <c r="H778" s="54">
        <f t="shared" si="255"/>
        <v>7278</v>
      </c>
      <c r="I778" s="54">
        <f t="shared" si="255"/>
        <v>7335</v>
      </c>
      <c r="J778" s="54">
        <f t="shared" si="255"/>
        <v>7296</v>
      </c>
      <c r="K778" s="54">
        <f t="shared" si="255"/>
        <v>7281</v>
      </c>
      <c r="L778" s="54">
        <f t="shared" si="255"/>
        <v>7341</v>
      </c>
      <c r="M778" s="54"/>
      <c r="N778" s="54"/>
      <c r="O778" s="54"/>
      <c r="P778" s="54" t="str">
        <f>IF(((P776="")*AND(P777="")),"",(P776-P777)*2)</f>
        <v/>
      </c>
      <c r="Q778" s="47"/>
      <c r="R778" s="47"/>
      <c r="S778" s="47"/>
      <c r="T778" s="47"/>
      <c r="U778" s="47"/>
      <c r="V778" s="274"/>
      <c r="W778" s="47"/>
      <c r="X778" s="63"/>
    </row>
    <row r="779" spans="1:25" x14ac:dyDescent="0.25">
      <c r="A779" s="285">
        <v>43578</v>
      </c>
      <c r="B779" s="50" t="s">
        <v>206</v>
      </c>
      <c r="C779" s="50" t="s">
        <v>205</v>
      </c>
      <c r="D779" s="62">
        <v>4179</v>
      </c>
      <c r="E779" s="62">
        <v>4274</v>
      </c>
      <c r="F779" s="62">
        <v>4143</v>
      </c>
      <c r="G779" s="62">
        <v>4180</v>
      </c>
      <c r="H779" s="62">
        <v>4075</v>
      </c>
      <c r="I779" s="62">
        <v>4095</v>
      </c>
      <c r="J779" s="62">
        <v>4204</v>
      </c>
      <c r="K779" s="62">
        <v>4142</v>
      </c>
      <c r="L779" s="62">
        <v>4148</v>
      </c>
      <c r="M779" s="62">
        <v>4158</v>
      </c>
      <c r="N779" s="62">
        <v>4319</v>
      </c>
      <c r="O779" s="62">
        <v>4104</v>
      </c>
      <c r="P779" s="62">
        <v>4017</v>
      </c>
      <c r="Q779" s="50">
        <f>IF((L780=""),"",MAX(D781:P781))</f>
        <v>5632</v>
      </c>
      <c r="R779" s="50">
        <f>IF(L780="","",MIN(D781:L781))</f>
        <v>5458</v>
      </c>
      <c r="S779" s="53">
        <f>IF((P781=""),"",AVERAGE(D781:P781))</f>
        <v>5508.1538461538457</v>
      </c>
      <c r="T779" s="52">
        <f>IF((L780=""),"",(Q779-R779)/(Q779+R779)*100)</f>
        <v>1.5689810640216411</v>
      </c>
      <c r="U779" s="50">
        <f>STDEV(D781:P781)</f>
        <v>44.245237321558413</v>
      </c>
      <c r="V779" s="273" t="str">
        <f>IF(P780="","",IF(T779&lt;2.7,IF(S779&gt;5150,IF(S779&lt;5600,"Pass","Fail"),"Fail"),"Fail"))</f>
        <v>Pass</v>
      </c>
      <c r="W779" s="50">
        <v>1340</v>
      </c>
      <c r="X779" s="38" t="s">
        <v>209</v>
      </c>
    </row>
    <row r="780" spans="1:25" x14ac:dyDescent="0.25">
      <c r="A780" s="284"/>
      <c r="B780" s="47"/>
      <c r="C780" s="47" t="s">
        <v>204</v>
      </c>
      <c r="D780" s="62">
        <v>1432</v>
      </c>
      <c r="E780" s="62">
        <v>1506</v>
      </c>
      <c r="F780" s="62">
        <v>1414</v>
      </c>
      <c r="G780" s="62">
        <v>1438</v>
      </c>
      <c r="H780" s="62">
        <v>1311</v>
      </c>
      <c r="I780" s="62">
        <v>1329</v>
      </c>
      <c r="J780" s="62">
        <v>1458</v>
      </c>
      <c r="K780" s="62">
        <v>1400</v>
      </c>
      <c r="L780" s="62">
        <v>1417</v>
      </c>
      <c r="M780" s="62">
        <v>1407</v>
      </c>
      <c r="N780" s="62">
        <v>1569</v>
      </c>
      <c r="O780" s="62">
        <v>1353</v>
      </c>
      <c r="P780" s="62">
        <v>1201</v>
      </c>
      <c r="Q780" s="47"/>
      <c r="R780" s="47"/>
      <c r="S780" s="47"/>
      <c r="T780" s="47"/>
      <c r="U780" s="47"/>
      <c r="V780" s="274"/>
      <c r="W780" s="47"/>
    </row>
    <row r="781" spans="1:25" ht="22.75" thickBot="1" x14ac:dyDescent="0.3">
      <c r="A781" s="286"/>
      <c r="B781" s="42"/>
      <c r="C781" s="42" t="s">
        <v>203</v>
      </c>
      <c r="D781" s="44">
        <f t="shared" ref="D781:P781" si="256">IF(((D779="")*AND(D780="")),"",(D779-D780)*2)</f>
        <v>5494</v>
      </c>
      <c r="E781" s="44">
        <f t="shared" si="256"/>
        <v>5536</v>
      </c>
      <c r="F781" s="44">
        <f t="shared" si="256"/>
        <v>5458</v>
      </c>
      <c r="G781" s="44">
        <f t="shared" si="256"/>
        <v>5484</v>
      </c>
      <c r="H781" s="44">
        <f t="shared" si="256"/>
        <v>5528</v>
      </c>
      <c r="I781" s="44">
        <f t="shared" si="256"/>
        <v>5532</v>
      </c>
      <c r="J781" s="44">
        <f t="shared" si="256"/>
        <v>5492</v>
      </c>
      <c r="K781" s="44">
        <f t="shared" si="256"/>
        <v>5484</v>
      </c>
      <c r="L781" s="44">
        <f t="shared" si="256"/>
        <v>5462</v>
      </c>
      <c r="M781" s="44">
        <f t="shared" si="256"/>
        <v>5502</v>
      </c>
      <c r="N781" s="44">
        <f t="shared" si="256"/>
        <v>5500</v>
      </c>
      <c r="O781" s="44">
        <f t="shared" si="256"/>
        <v>5502</v>
      </c>
      <c r="P781" s="44">
        <f t="shared" si="256"/>
        <v>5632</v>
      </c>
      <c r="Q781" s="42"/>
      <c r="R781" s="42"/>
      <c r="S781" s="42"/>
      <c r="T781" s="42"/>
      <c r="U781" s="42"/>
      <c r="V781" s="275"/>
      <c r="W781" s="42"/>
    </row>
    <row r="782" spans="1:25" x14ac:dyDescent="0.25">
      <c r="A782" s="40">
        <v>43588</v>
      </c>
      <c r="B782" s="57" t="s">
        <v>208</v>
      </c>
      <c r="C782" s="61" t="s">
        <v>205</v>
      </c>
      <c r="D782" s="35">
        <v>3722.94</v>
      </c>
      <c r="E782" s="35">
        <v>3855.84</v>
      </c>
      <c r="F782" s="35">
        <v>3845.44</v>
      </c>
      <c r="G782" s="35">
        <v>3836.08</v>
      </c>
      <c r="H782" s="35">
        <v>3733.89</v>
      </c>
      <c r="I782" s="35">
        <v>3634.53</v>
      </c>
      <c r="J782" s="35">
        <v>3808.1</v>
      </c>
      <c r="K782" s="35">
        <v>3857.41</v>
      </c>
      <c r="L782" s="35">
        <v>3836.28</v>
      </c>
      <c r="M782" s="60"/>
      <c r="N782" s="60"/>
      <c r="O782" s="60"/>
      <c r="P782" s="60"/>
      <c r="Q782" s="57">
        <f>IF((L783=""),"",MAX(D784:L784))</f>
        <v>7424.61</v>
      </c>
      <c r="R782" s="57">
        <f>IF(L783="","",MIN(D784:L784))</f>
        <v>6706.38</v>
      </c>
      <c r="S782" s="59">
        <f>IF((L784=""),"",AVERAGE(D784:L784))</f>
        <v>6855.2233333333334</v>
      </c>
      <c r="T782" s="53">
        <f>IF((L783=""),"",(Q782-R782)/(Q782+R782)*100)</f>
        <v>5.082658752146874</v>
      </c>
      <c r="U782" s="57">
        <f>STDEV(D784:P784)</f>
        <v>224.15144796543251</v>
      </c>
      <c r="V782" s="276" t="str">
        <f>IF(L783="","",IF(T782&lt;9.8,IF(S782&gt;5100,IF(S782&lt;8300,"Pass","Fail"),"Fail"),"Fail"))</f>
        <v>Pass</v>
      </c>
      <c r="W782" s="57">
        <v>1159</v>
      </c>
      <c r="X782" s="68" t="s">
        <v>207</v>
      </c>
    </row>
    <row r="783" spans="1:25" x14ac:dyDescent="0.25">
      <c r="A783" s="49"/>
      <c r="B783" s="47"/>
      <c r="C783" s="56" t="s">
        <v>204</v>
      </c>
      <c r="D783" s="35">
        <v>1410.14</v>
      </c>
      <c r="E783" s="35">
        <v>1620.38</v>
      </c>
      <c r="F783" s="35">
        <v>1600.03</v>
      </c>
      <c r="G783" s="35">
        <v>1582.84</v>
      </c>
      <c r="H783" s="35">
        <v>1454.42</v>
      </c>
      <c r="I783" s="35">
        <v>1159.6600000000001</v>
      </c>
      <c r="J783" s="35">
        <v>1556.02</v>
      </c>
      <c r="K783" s="35">
        <v>1605.17</v>
      </c>
      <c r="L783" s="35">
        <v>1576.18</v>
      </c>
      <c r="M783" s="55"/>
      <c r="N783" s="55"/>
      <c r="O783" s="55"/>
      <c r="P783" s="55"/>
      <c r="Q783" s="47"/>
      <c r="R783" s="47"/>
      <c r="S783" s="47"/>
      <c r="T783" s="47"/>
      <c r="U783" s="47"/>
      <c r="V783" s="274"/>
      <c r="W783" s="47"/>
      <c r="X783" s="46"/>
    </row>
    <row r="784" spans="1:25" ht="22.75" thickBot="1" x14ac:dyDescent="0.3">
      <c r="A784" s="49"/>
      <c r="B784" s="47"/>
      <c r="C784" s="50" t="s">
        <v>203</v>
      </c>
      <c r="D784" s="54">
        <f t="shared" ref="D784:L784" si="257">IF(((D782="")*AND(D783="")),"",(D782-D783)*3)</f>
        <v>6938.4000000000005</v>
      </c>
      <c r="E784" s="54">
        <f t="shared" si="257"/>
        <v>6706.38</v>
      </c>
      <c r="F784" s="54">
        <f t="shared" si="257"/>
        <v>6736.23</v>
      </c>
      <c r="G784" s="54">
        <f t="shared" si="257"/>
        <v>6759.7199999999993</v>
      </c>
      <c r="H784" s="54">
        <f t="shared" si="257"/>
        <v>6838.41</v>
      </c>
      <c r="I784" s="54">
        <f t="shared" si="257"/>
        <v>7424.61</v>
      </c>
      <c r="J784" s="54">
        <f t="shared" si="257"/>
        <v>6756.24</v>
      </c>
      <c r="K784" s="54">
        <f t="shared" si="257"/>
        <v>6756.7199999999993</v>
      </c>
      <c r="L784" s="54">
        <f t="shared" si="257"/>
        <v>6780.3000000000011</v>
      </c>
      <c r="M784" s="54"/>
      <c r="N784" s="54"/>
      <c r="O784" s="54"/>
      <c r="P784" s="54" t="str">
        <f>IF(((P782="")*AND(P783="")),"",(P782-P783)*2)</f>
        <v/>
      </c>
      <c r="Q784" s="47"/>
      <c r="R784" s="47"/>
      <c r="S784" s="47"/>
      <c r="T784" s="47"/>
      <c r="U784" s="47"/>
      <c r="V784" s="274"/>
      <c r="W784" s="47"/>
      <c r="X784" s="46"/>
    </row>
    <row r="785" spans="1:25" x14ac:dyDescent="0.25">
      <c r="A785" s="40">
        <v>43588</v>
      </c>
      <c r="B785" s="50" t="s">
        <v>206</v>
      </c>
      <c r="C785" s="50" t="s">
        <v>205</v>
      </c>
      <c r="D785" s="35">
        <v>6819.21</v>
      </c>
      <c r="E785" s="35">
        <v>6946.83</v>
      </c>
      <c r="F785" s="35">
        <v>6815.59</v>
      </c>
      <c r="G785" s="35">
        <v>6826.37</v>
      </c>
      <c r="H785" s="35">
        <v>6779.35</v>
      </c>
      <c r="I785" s="35">
        <v>6830.12</v>
      </c>
      <c r="J785" s="35">
        <v>6845.32</v>
      </c>
      <c r="K785" s="35">
        <v>6820.08</v>
      </c>
      <c r="L785" s="35">
        <v>6802.02</v>
      </c>
      <c r="M785" s="35">
        <v>6843.12</v>
      </c>
      <c r="N785" s="35">
        <v>6974.17</v>
      </c>
      <c r="O785" s="35">
        <v>6814.48</v>
      </c>
      <c r="P785" s="35">
        <v>6740.27</v>
      </c>
      <c r="Q785" s="50">
        <f>IF((L786=""),"",MAX(D787:P787))</f>
        <v>5570.74</v>
      </c>
      <c r="R785" s="50">
        <f>IF(L786="","",MIN(D787:L787))</f>
        <v>5432.2800000000007</v>
      </c>
      <c r="S785" s="53">
        <f>IF((P787=""),"",AVERAGE(D787:P787))</f>
        <v>5501.992307692306</v>
      </c>
      <c r="T785" s="52">
        <f>IF((L786=""),"",(Q785-R785)/(Q785+R785)*100)</f>
        <v>1.2583817897268126</v>
      </c>
      <c r="U785" s="50">
        <f>STDEV(D787:P787)</f>
        <v>48.636200193176634</v>
      </c>
      <c r="V785" s="273" t="str">
        <f>IF(P786="","",IF(T785&lt;2.7,IF(S785&gt;5150,IF(S785&lt;5600,"Pass","Fail"),"Fail"),"Fail"))</f>
        <v>Pass</v>
      </c>
      <c r="W785" s="50">
        <v>1159</v>
      </c>
      <c r="X785" s="68" t="s">
        <v>207</v>
      </c>
    </row>
    <row r="786" spans="1:25" x14ac:dyDescent="0.25">
      <c r="A786" s="49"/>
      <c r="B786" s="47"/>
      <c r="C786" s="47" t="s">
        <v>204</v>
      </c>
      <c r="D786" s="35">
        <v>4099.62</v>
      </c>
      <c r="E786" s="35">
        <v>4230.0200000000004</v>
      </c>
      <c r="F786" s="35">
        <v>4099.45</v>
      </c>
      <c r="G786" s="35">
        <v>4063.1</v>
      </c>
      <c r="H786" s="35">
        <v>4025.7</v>
      </c>
      <c r="I786" s="35">
        <v>4062.83</v>
      </c>
      <c r="J786" s="35">
        <v>4066.02</v>
      </c>
      <c r="K786" s="35">
        <v>4047.44</v>
      </c>
      <c r="L786" s="35">
        <v>4076.83</v>
      </c>
      <c r="M786" s="35">
        <v>4057.75</v>
      </c>
      <c r="N786" s="35">
        <v>4227.37</v>
      </c>
      <c r="O786" s="35">
        <v>4061.39</v>
      </c>
      <c r="P786" s="35">
        <v>3976.46</v>
      </c>
      <c r="Q786" s="47"/>
      <c r="R786" s="47"/>
      <c r="S786" s="47"/>
      <c r="T786" s="47"/>
      <c r="U786" s="47"/>
      <c r="V786" s="274"/>
      <c r="W786" s="47"/>
      <c r="X786" s="260"/>
      <c r="Y786" s="46"/>
    </row>
    <row r="787" spans="1:25" ht="22.75" thickBot="1" x14ac:dyDescent="0.3">
      <c r="A787" s="45"/>
      <c r="B787" s="42"/>
      <c r="C787" s="42" t="s">
        <v>203</v>
      </c>
      <c r="D787" s="44">
        <f t="shared" ref="D787:P787" si="258">IF(((D785="")*AND(D786="")),"",(D785-D786)*2)</f>
        <v>5439.18</v>
      </c>
      <c r="E787" s="44">
        <f t="shared" si="258"/>
        <v>5433.619999999999</v>
      </c>
      <c r="F787" s="44">
        <f t="shared" si="258"/>
        <v>5432.2800000000007</v>
      </c>
      <c r="G787" s="44">
        <f t="shared" si="258"/>
        <v>5526.54</v>
      </c>
      <c r="H787" s="44">
        <f t="shared" si="258"/>
        <v>5507.3000000000011</v>
      </c>
      <c r="I787" s="44">
        <f t="shared" si="258"/>
        <v>5534.58</v>
      </c>
      <c r="J787" s="44">
        <f t="shared" si="258"/>
        <v>5558.5999999999995</v>
      </c>
      <c r="K787" s="44">
        <f t="shared" si="258"/>
        <v>5545.28</v>
      </c>
      <c r="L787" s="44">
        <f t="shared" si="258"/>
        <v>5450.380000000001</v>
      </c>
      <c r="M787" s="44">
        <f t="shared" si="258"/>
        <v>5570.74</v>
      </c>
      <c r="N787" s="44">
        <f t="shared" si="258"/>
        <v>5493.6</v>
      </c>
      <c r="O787" s="44">
        <f t="shared" si="258"/>
        <v>5506.1799999999994</v>
      </c>
      <c r="P787" s="44">
        <f t="shared" si="258"/>
        <v>5527.6200000000008</v>
      </c>
      <c r="Q787" s="42"/>
      <c r="R787" s="42"/>
      <c r="S787" s="42"/>
      <c r="T787" s="42"/>
      <c r="U787" s="42"/>
      <c r="V787" s="275"/>
      <c r="W787" s="42"/>
      <c r="X787" s="260"/>
      <c r="Y787" s="41"/>
    </row>
  </sheetData>
  <mergeCells count="13">
    <mergeCell ref="A764:A766"/>
    <mergeCell ref="A767:A769"/>
    <mergeCell ref="A770:A772"/>
    <mergeCell ref="A773:A775"/>
    <mergeCell ref="A779:A781"/>
    <mergeCell ref="A776:A778"/>
    <mergeCell ref="C9:P9"/>
    <mergeCell ref="Y518:Y520"/>
    <mergeCell ref="Y512:Y517"/>
    <mergeCell ref="Y500:Y505"/>
    <mergeCell ref="Y530:Y532"/>
    <mergeCell ref="Y524:Y526"/>
    <mergeCell ref="Y506:Y511"/>
  </mergeCells>
  <conditionalFormatting sqref="I32:I33 I35:P36 I29:P30 M32:P33 I38:I39 I41:P42 M38:P39 I44:I45 I47:P48 M44:P45 I50:I51 I53:P54 M50:P51 I56:I57 I59:P60 M56:P57 I62:I63 I65:P66 M62:P63 I68:I69 I71:P72 M68:P69 I77:P78 I74:I75 I83:P84 I80:I81 I89:P90 I86:I87 I95:P96 I92:I93 I101:P102 I98:I99 I107:P108 I104:I105 I113:P114 I110:I111 I119:P120 I116:I117 I125:P126 I122:I123 I131:P132 I128:I129 I137:P138 I134:I135 I140:P141 I143:I144 I146:P147 I149:I150 I152:I153 I155:P156 I158:I159 I161:P162 I164:I165 I167:P168 I170:I171 I173:P174 I176:I177 I179:P180 I182:I183 I185:P186 I188:I189 I191:P192 I194:I195 I197:P198 I200:I201 I203:P204 I206:I207 I209:P210 I218:I219 I221:P222 I224:I225 I227:P228 I230:I231 I233:P234 I236:P237 I239:P240 I212:I213 I215:P216 I242:P243 I245:P246 I248:P249 I251:P252 I254:P255 I257:P258 I26:P27 I23:P24 I20:P21 I14:I15 I17:P18 J11:P12 I12 M14:M15 I260:P261 I263:P264 I266:P267 I269:P270 I275:P276 I278:P279 I281:P282 I284:P285 I287:P288 I290:P291 I293:P294 I296:P297 I299:P300 I302:P303 I305:P306 I272:P273 I308:P309 I311:P312 I314:P315 I317:P318 I320:P321 I323:P324 I326:P327 I329:P330 I332:P333 I335:P336 I338:P339 I341:P342 I344:P345 I347:P348 I350:P351 I353:P354 I356:P357 I359:P360 I362:P363 I365:P366 I368:P369 I371:P372 I374:P375 I377:P378 I380:P381 I383:P384 I386:P387 I389:P390 I392:P393 I395:P396 I398:P399 I401:P402 I404:P405 I407:P408 I416:P417 I419:P420 I422:P423 I425:P426 I428:P429 I431:P432 I434:P435 I437:P438 I440:P441 I443:P444 I446:P447 I449:P450 I452:P453 I455:P456 I458:P459 I461:P462 I410:P411 I413:P414 I470:P471 I473:P474 I476:P477 I479:P480 I464:P465 I467:P468 I482:P483 I485:P486 I488:P489 I491:P492 H494:P495 H497:P498 H500:P501 H503:P504 H506:P507 H509:P510 H512:P513 H515:P516 H518:P519 H521:P522 H524:P525 H527:P528 H530:P531 G528 H533:P534 H536:P537 G534 H539:P540 H542:P543 G540 H545:P546 H548:P549 G546 H551:P552 H584:P585 H587:P588 G585 H590:P591 H593:P594 G591 G554:P555 H557:P558 G560:P561 H563:P564 H569:P570 G566:P567 H575:P576 G572:P573 G578:P579 H581:P582 G601:O601 D606:E607 G606:H607 E605 H599:P600 G596:P597 G602:P603 H605 I605:P606">
    <cfRule type="cellIs" dxfId="16928" priority="16857" stopIfTrue="1" operator="equal">
      <formula>"Pass"</formula>
    </cfRule>
    <cfRule type="cellIs" dxfId="16927" priority="16858" stopIfTrue="1" operator="equal">
      <formula>"Fail"</formula>
    </cfRule>
  </conditionalFormatting>
  <conditionalFormatting sqref="U494:V607 V11:V493">
    <cfRule type="cellIs" dxfId="5" priority="16859" stopIfTrue="1" operator="equal">
      <formula>"Fail"</formula>
    </cfRule>
    <cfRule type="cellIs" dxfId="4" priority="16860" stopIfTrue="1" operator="equal">
      <formula>"Pass"</formula>
    </cfRule>
  </conditionalFormatting>
  <conditionalFormatting sqref="D612:E613 G612:H613 E611 G608:P609 H611 I611:P612">
    <cfRule type="cellIs" dxfId="16926" priority="16855" stopIfTrue="1" operator="equal">
      <formula>"Pass"</formula>
    </cfRule>
    <cfRule type="cellIs" dxfId="16925" priority="16856" stopIfTrue="1" operator="equal">
      <formula>"Fail"</formula>
    </cfRule>
  </conditionalFormatting>
  <conditionalFormatting sqref="U608:V613">
    <cfRule type="cellIs" dxfId="16924" priority="16853" stopIfTrue="1" operator="equal">
      <formula>"Fail"</formula>
    </cfRule>
    <cfRule type="cellIs" dxfId="16923" priority="16854" stopIfTrue="1" operator="equal">
      <formula>"Pass"</formula>
    </cfRule>
  </conditionalFormatting>
  <conditionalFormatting sqref="D615:E616 G615:H616 E614 H614 I614:P615">
    <cfRule type="cellIs" dxfId="16922" priority="16851" stopIfTrue="1" operator="equal">
      <formula>"Pass"</formula>
    </cfRule>
    <cfRule type="cellIs" dxfId="16921" priority="16852" stopIfTrue="1" operator="equal">
      <formula>"Fail"</formula>
    </cfRule>
  </conditionalFormatting>
  <conditionalFormatting sqref="U614:V616">
    <cfRule type="cellIs" dxfId="16920" priority="16849" stopIfTrue="1" operator="equal">
      <formula>"Fail"</formula>
    </cfRule>
    <cfRule type="cellIs" dxfId="16919" priority="16850" stopIfTrue="1" operator="equal">
      <formula>"Pass"</formula>
    </cfRule>
  </conditionalFormatting>
  <conditionalFormatting sqref="G617:P618">
    <cfRule type="cellIs" dxfId="16918" priority="16847" stopIfTrue="1" operator="equal">
      <formula>"Pass"</formula>
    </cfRule>
    <cfRule type="cellIs" dxfId="16917" priority="16848" stopIfTrue="1" operator="equal">
      <formula>"Fail"</formula>
    </cfRule>
  </conditionalFormatting>
  <conditionalFormatting sqref="U617:V619">
    <cfRule type="cellIs" dxfId="16916" priority="16845" stopIfTrue="1" operator="equal">
      <formula>"Fail"</formula>
    </cfRule>
    <cfRule type="cellIs" dxfId="16915" priority="16846" stopIfTrue="1" operator="equal">
      <formula>"Pass"</formula>
    </cfRule>
  </conditionalFormatting>
  <conditionalFormatting sqref="D621:E622 G621:H622 E620 H620 I620:P621">
    <cfRule type="cellIs" dxfId="16914" priority="16843" stopIfTrue="1" operator="equal">
      <formula>"Pass"</formula>
    </cfRule>
    <cfRule type="cellIs" dxfId="16913" priority="16844" stopIfTrue="1" operator="equal">
      <formula>"Fail"</formula>
    </cfRule>
  </conditionalFormatting>
  <conditionalFormatting sqref="U620:V622">
    <cfRule type="cellIs" dxfId="16912" priority="16841" stopIfTrue="1" operator="equal">
      <formula>"Fail"</formula>
    </cfRule>
    <cfRule type="cellIs" dxfId="16911" priority="16842" stopIfTrue="1" operator="equal">
      <formula>"Pass"</formula>
    </cfRule>
  </conditionalFormatting>
  <conditionalFormatting sqref="G623:P624">
    <cfRule type="cellIs" dxfId="16910" priority="16839" stopIfTrue="1" operator="equal">
      <formula>"Pass"</formula>
    </cfRule>
    <cfRule type="cellIs" dxfId="16909" priority="16840" stopIfTrue="1" operator="equal">
      <formula>"Fail"</formula>
    </cfRule>
  </conditionalFormatting>
  <conditionalFormatting sqref="U623:V625">
    <cfRule type="cellIs" dxfId="16908" priority="16837" stopIfTrue="1" operator="equal">
      <formula>"Fail"</formula>
    </cfRule>
    <cfRule type="cellIs" dxfId="16907" priority="16838" stopIfTrue="1" operator="equal">
      <formula>"Pass"</formula>
    </cfRule>
  </conditionalFormatting>
  <conditionalFormatting sqref="D627:E628 G627:H628 E626 H626 I626:P627">
    <cfRule type="cellIs" dxfId="16906" priority="16835" stopIfTrue="1" operator="equal">
      <formula>"Pass"</formula>
    </cfRule>
    <cfRule type="cellIs" dxfId="16905" priority="16836" stopIfTrue="1" operator="equal">
      <formula>"Fail"</formula>
    </cfRule>
  </conditionalFormatting>
  <conditionalFormatting sqref="U626:V628">
    <cfRule type="cellIs" dxfId="16904" priority="16833" stopIfTrue="1" operator="equal">
      <formula>"Fail"</formula>
    </cfRule>
    <cfRule type="cellIs" dxfId="16903" priority="16834" stopIfTrue="1" operator="equal">
      <formula>"Pass"</formula>
    </cfRule>
  </conditionalFormatting>
  <conditionalFormatting sqref="G629:P630">
    <cfRule type="cellIs" dxfId="16902" priority="16831" stopIfTrue="1" operator="equal">
      <formula>"Pass"</formula>
    </cfRule>
    <cfRule type="cellIs" dxfId="16901" priority="16832" stopIfTrue="1" operator="equal">
      <formula>"Fail"</formula>
    </cfRule>
  </conditionalFormatting>
  <conditionalFormatting sqref="U629:V631">
    <cfRule type="cellIs" dxfId="16900" priority="16829" stopIfTrue="1" operator="equal">
      <formula>"Fail"</formula>
    </cfRule>
    <cfRule type="cellIs" dxfId="16899" priority="16830" stopIfTrue="1" operator="equal">
      <formula>"Pass"</formula>
    </cfRule>
  </conditionalFormatting>
  <conditionalFormatting sqref="D633:E634 G633:H634 E632 H632 I632:P633">
    <cfRule type="cellIs" dxfId="16898" priority="16827" stopIfTrue="1" operator="equal">
      <formula>"Pass"</formula>
    </cfRule>
    <cfRule type="cellIs" dxfId="16897" priority="16828" stopIfTrue="1" operator="equal">
      <formula>"Fail"</formula>
    </cfRule>
  </conditionalFormatting>
  <conditionalFormatting sqref="U632:V634">
    <cfRule type="cellIs" dxfId="16896" priority="16825" stopIfTrue="1" operator="equal">
      <formula>"Fail"</formula>
    </cfRule>
    <cfRule type="cellIs" dxfId="16895" priority="16826" stopIfTrue="1" operator="equal">
      <formula>"Pass"</formula>
    </cfRule>
  </conditionalFormatting>
  <conditionalFormatting sqref="G635:P636">
    <cfRule type="cellIs" dxfId="16894" priority="16823" stopIfTrue="1" operator="equal">
      <formula>"Pass"</formula>
    </cfRule>
    <cfRule type="cellIs" dxfId="16893" priority="16824" stopIfTrue="1" operator="equal">
      <formula>"Fail"</formula>
    </cfRule>
  </conditionalFormatting>
  <conditionalFormatting sqref="U635:V637">
    <cfRule type="cellIs" dxfId="16892" priority="16821" stopIfTrue="1" operator="equal">
      <formula>"Fail"</formula>
    </cfRule>
    <cfRule type="cellIs" dxfId="16891" priority="16822" stopIfTrue="1" operator="equal">
      <formula>"Pass"</formula>
    </cfRule>
  </conditionalFormatting>
  <conditionalFormatting sqref="D639:E640 G639:H640 E638 H638 I638:P639">
    <cfRule type="cellIs" dxfId="16890" priority="16819" stopIfTrue="1" operator="equal">
      <formula>"Pass"</formula>
    </cfRule>
    <cfRule type="cellIs" dxfId="16889" priority="16820" stopIfTrue="1" operator="equal">
      <formula>"Fail"</formula>
    </cfRule>
  </conditionalFormatting>
  <conditionalFormatting sqref="U638:V640">
    <cfRule type="cellIs" dxfId="16888" priority="16817" stopIfTrue="1" operator="equal">
      <formula>"Fail"</formula>
    </cfRule>
    <cfRule type="cellIs" dxfId="16887" priority="16818" stopIfTrue="1" operator="equal">
      <formula>"Pass"</formula>
    </cfRule>
  </conditionalFormatting>
  <conditionalFormatting sqref="G641:P642">
    <cfRule type="cellIs" dxfId="16886" priority="16815" stopIfTrue="1" operator="equal">
      <formula>"Pass"</formula>
    </cfRule>
    <cfRule type="cellIs" dxfId="16885" priority="16816" stopIfTrue="1" operator="equal">
      <formula>"Fail"</formula>
    </cfRule>
  </conditionalFormatting>
  <conditionalFormatting sqref="U641:V643">
    <cfRule type="cellIs" dxfId="16884" priority="16813" stopIfTrue="1" operator="equal">
      <formula>"Fail"</formula>
    </cfRule>
    <cfRule type="cellIs" dxfId="16883" priority="16814" stopIfTrue="1" operator="equal">
      <formula>"Pass"</formula>
    </cfRule>
  </conditionalFormatting>
  <conditionalFormatting sqref="D615:E616 G615:H616 E614 H614 I614:P615">
    <cfRule type="cellIs" dxfId="16882" priority="16811" stopIfTrue="1" operator="equal">
      <formula>"Pass"</formula>
    </cfRule>
    <cfRule type="cellIs" dxfId="16881" priority="16812" stopIfTrue="1" operator="equal">
      <formula>"Fail"</formula>
    </cfRule>
  </conditionalFormatting>
  <conditionalFormatting sqref="U614:V616">
    <cfRule type="cellIs" dxfId="16880" priority="16809" stopIfTrue="1" operator="equal">
      <formula>"Fail"</formula>
    </cfRule>
    <cfRule type="cellIs" dxfId="16879" priority="16810" stopIfTrue="1" operator="equal">
      <formula>"Pass"</formula>
    </cfRule>
  </conditionalFormatting>
  <conditionalFormatting sqref="G617:P618">
    <cfRule type="cellIs" dxfId="16878" priority="16807" stopIfTrue="1" operator="equal">
      <formula>"Pass"</formula>
    </cfRule>
    <cfRule type="cellIs" dxfId="16877" priority="16808" stopIfTrue="1" operator="equal">
      <formula>"Fail"</formula>
    </cfRule>
  </conditionalFormatting>
  <conditionalFormatting sqref="U617:V619">
    <cfRule type="cellIs" dxfId="16876" priority="16805" stopIfTrue="1" operator="equal">
      <formula>"Fail"</formula>
    </cfRule>
    <cfRule type="cellIs" dxfId="16875" priority="16806" stopIfTrue="1" operator="equal">
      <formula>"Pass"</formula>
    </cfRule>
  </conditionalFormatting>
  <conditionalFormatting sqref="G617:P618">
    <cfRule type="cellIs" dxfId="16874" priority="16803" stopIfTrue="1" operator="equal">
      <formula>"Pass"</formula>
    </cfRule>
    <cfRule type="cellIs" dxfId="16873" priority="16804" stopIfTrue="1" operator="equal">
      <formula>"Fail"</formula>
    </cfRule>
  </conditionalFormatting>
  <conditionalFormatting sqref="U617:V619">
    <cfRule type="cellIs" dxfId="16872" priority="16801" stopIfTrue="1" operator="equal">
      <formula>"Fail"</formula>
    </cfRule>
    <cfRule type="cellIs" dxfId="16871" priority="16802" stopIfTrue="1" operator="equal">
      <formula>"Pass"</formula>
    </cfRule>
  </conditionalFormatting>
  <conditionalFormatting sqref="D621:E622 G621:H622 E620 H620 I620:P621">
    <cfRule type="cellIs" dxfId="16870" priority="16799" stopIfTrue="1" operator="equal">
      <formula>"Pass"</formula>
    </cfRule>
    <cfRule type="cellIs" dxfId="16869" priority="16800" stopIfTrue="1" operator="equal">
      <formula>"Fail"</formula>
    </cfRule>
  </conditionalFormatting>
  <conditionalFormatting sqref="U620:V622">
    <cfRule type="cellIs" dxfId="16868" priority="16797" stopIfTrue="1" operator="equal">
      <formula>"Fail"</formula>
    </cfRule>
    <cfRule type="cellIs" dxfId="16867" priority="16798" stopIfTrue="1" operator="equal">
      <formula>"Pass"</formula>
    </cfRule>
  </conditionalFormatting>
  <conditionalFormatting sqref="D621:E622 G621:H622 E620 H620 I620:P621">
    <cfRule type="cellIs" dxfId="16866" priority="16795" stopIfTrue="1" operator="equal">
      <formula>"Pass"</formula>
    </cfRule>
    <cfRule type="cellIs" dxfId="16865" priority="16796" stopIfTrue="1" operator="equal">
      <formula>"Fail"</formula>
    </cfRule>
  </conditionalFormatting>
  <conditionalFormatting sqref="U620:V622">
    <cfRule type="cellIs" dxfId="16864" priority="16793" stopIfTrue="1" operator="equal">
      <formula>"Fail"</formula>
    </cfRule>
    <cfRule type="cellIs" dxfId="16863" priority="16794" stopIfTrue="1" operator="equal">
      <formula>"Pass"</formula>
    </cfRule>
  </conditionalFormatting>
  <conditionalFormatting sqref="G623:P624">
    <cfRule type="cellIs" dxfId="16862" priority="16791" stopIfTrue="1" operator="equal">
      <formula>"Pass"</formula>
    </cfRule>
    <cfRule type="cellIs" dxfId="16861" priority="16792" stopIfTrue="1" operator="equal">
      <formula>"Fail"</formula>
    </cfRule>
  </conditionalFormatting>
  <conditionalFormatting sqref="U623:V625">
    <cfRule type="cellIs" dxfId="16860" priority="16789" stopIfTrue="1" operator="equal">
      <formula>"Fail"</formula>
    </cfRule>
    <cfRule type="cellIs" dxfId="16859" priority="16790" stopIfTrue="1" operator="equal">
      <formula>"Pass"</formula>
    </cfRule>
  </conditionalFormatting>
  <conditionalFormatting sqref="G623:P624">
    <cfRule type="cellIs" dxfId="16858" priority="16787" stopIfTrue="1" operator="equal">
      <formula>"Pass"</formula>
    </cfRule>
    <cfRule type="cellIs" dxfId="16857" priority="16788" stopIfTrue="1" operator="equal">
      <formula>"Fail"</formula>
    </cfRule>
  </conditionalFormatting>
  <conditionalFormatting sqref="U623:V625">
    <cfRule type="cellIs" dxfId="16856" priority="16785" stopIfTrue="1" operator="equal">
      <formula>"Fail"</formula>
    </cfRule>
    <cfRule type="cellIs" dxfId="16855" priority="16786" stopIfTrue="1" operator="equal">
      <formula>"Pass"</formula>
    </cfRule>
  </conditionalFormatting>
  <conditionalFormatting sqref="G623:P624">
    <cfRule type="cellIs" dxfId="16854" priority="16783" stopIfTrue="1" operator="equal">
      <formula>"Pass"</formula>
    </cfRule>
    <cfRule type="cellIs" dxfId="16853" priority="16784" stopIfTrue="1" operator="equal">
      <formula>"Fail"</formula>
    </cfRule>
  </conditionalFormatting>
  <conditionalFormatting sqref="U623:V625">
    <cfRule type="cellIs" dxfId="16852" priority="16781" stopIfTrue="1" operator="equal">
      <formula>"Fail"</formula>
    </cfRule>
    <cfRule type="cellIs" dxfId="16851" priority="16782" stopIfTrue="1" operator="equal">
      <formula>"Pass"</formula>
    </cfRule>
  </conditionalFormatting>
  <conditionalFormatting sqref="G629:L629">
    <cfRule type="cellIs" dxfId="16850" priority="16779" stopIfTrue="1" operator="equal">
      <formula>"Pass"</formula>
    </cfRule>
    <cfRule type="cellIs" dxfId="16849" priority="16780" stopIfTrue="1" operator="equal">
      <formula>"Fail"</formula>
    </cfRule>
  </conditionalFormatting>
  <conditionalFormatting sqref="G629:L629">
    <cfRule type="cellIs" dxfId="16848" priority="16777" stopIfTrue="1" operator="equal">
      <formula>"Pass"</formula>
    </cfRule>
    <cfRule type="cellIs" dxfId="16847" priority="16778" stopIfTrue="1" operator="equal">
      <formula>"Fail"</formula>
    </cfRule>
  </conditionalFormatting>
  <conditionalFormatting sqref="G629:L629">
    <cfRule type="cellIs" dxfId="16846" priority="16775" stopIfTrue="1" operator="equal">
      <formula>"Pass"</formula>
    </cfRule>
    <cfRule type="cellIs" dxfId="16845" priority="16776" stopIfTrue="1" operator="equal">
      <formula>"Fail"</formula>
    </cfRule>
  </conditionalFormatting>
  <conditionalFormatting sqref="G629:L629">
    <cfRule type="cellIs" dxfId="16844" priority="16773" stopIfTrue="1" operator="equal">
      <formula>"Pass"</formula>
    </cfRule>
    <cfRule type="cellIs" dxfId="16843" priority="16774" stopIfTrue="1" operator="equal">
      <formula>"Fail"</formula>
    </cfRule>
  </conditionalFormatting>
  <conditionalFormatting sqref="D626:E626 G626:P626">
    <cfRule type="cellIs" dxfId="16842" priority="16771" stopIfTrue="1" operator="equal">
      <formula>"Pass"</formula>
    </cfRule>
    <cfRule type="cellIs" dxfId="16841" priority="16772" stopIfTrue="1" operator="equal">
      <formula>"Fail"</formula>
    </cfRule>
  </conditionalFormatting>
  <conditionalFormatting sqref="D626:E626 G626:P626">
    <cfRule type="cellIs" dxfId="16840" priority="16769" stopIfTrue="1" operator="equal">
      <formula>"Pass"</formula>
    </cfRule>
    <cfRule type="cellIs" dxfId="16839" priority="16770" stopIfTrue="1" operator="equal">
      <formula>"Fail"</formula>
    </cfRule>
  </conditionalFormatting>
  <conditionalFormatting sqref="D626:E626 G626:P626">
    <cfRule type="cellIs" dxfId="16838" priority="16767" stopIfTrue="1" operator="equal">
      <formula>"Pass"</formula>
    </cfRule>
    <cfRule type="cellIs" dxfId="16837" priority="16768" stopIfTrue="1" operator="equal">
      <formula>"Fail"</formula>
    </cfRule>
  </conditionalFormatting>
  <conditionalFormatting sqref="D633:E634 G633:H634 E632 H632 I632:P633">
    <cfRule type="cellIs" dxfId="16836" priority="16765" stopIfTrue="1" operator="equal">
      <formula>"Pass"</formula>
    </cfRule>
    <cfRule type="cellIs" dxfId="16835" priority="16766" stopIfTrue="1" operator="equal">
      <formula>"Fail"</formula>
    </cfRule>
  </conditionalFormatting>
  <conditionalFormatting sqref="U632:V634">
    <cfRule type="cellIs" dxfId="16834" priority="16763" stopIfTrue="1" operator="equal">
      <formula>"Fail"</formula>
    </cfRule>
    <cfRule type="cellIs" dxfId="16833" priority="16764" stopIfTrue="1" operator="equal">
      <formula>"Pass"</formula>
    </cfRule>
  </conditionalFormatting>
  <conditionalFormatting sqref="G635:P636">
    <cfRule type="cellIs" dxfId="16832" priority="16761" stopIfTrue="1" operator="equal">
      <formula>"Pass"</formula>
    </cfRule>
    <cfRule type="cellIs" dxfId="16831" priority="16762" stopIfTrue="1" operator="equal">
      <formula>"Fail"</formula>
    </cfRule>
  </conditionalFormatting>
  <conditionalFormatting sqref="U635:V637">
    <cfRule type="cellIs" dxfId="16830" priority="16759" stopIfTrue="1" operator="equal">
      <formula>"Fail"</formula>
    </cfRule>
    <cfRule type="cellIs" dxfId="16829" priority="16760" stopIfTrue="1" operator="equal">
      <formula>"Pass"</formula>
    </cfRule>
  </conditionalFormatting>
  <conditionalFormatting sqref="G635:P636">
    <cfRule type="cellIs" dxfId="16828" priority="16757" stopIfTrue="1" operator="equal">
      <formula>"Pass"</formula>
    </cfRule>
    <cfRule type="cellIs" dxfId="16827" priority="16758" stopIfTrue="1" operator="equal">
      <formula>"Fail"</formula>
    </cfRule>
  </conditionalFormatting>
  <conditionalFormatting sqref="U635:V637">
    <cfRule type="cellIs" dxfId="16826" priority="16755" stopIfTrue="1" operator="equal">
      <formula>"Fail"</formula>
    </cfRule>
    <cfRule type="cellIs" dxfId="16825" priority="16756" stopIfTrue="1" operator="equal">
      <formula>"Pass"</formula>
    </cfRule>
  </conditionalFormatting>
  <conditionalFormatting sqref="G635:P636">
    <cfRule type="cellIs" dxfId="16824" priority="16753" stopIfTrue="1" operator="equal">
      <formula>"Pass"</formula>
    </cfRule>
    <cfRule type="cellIs" dxfId="16823" priority="16754" stopIfTrue="1" operator="equal">
      <formula>"Fail"</formula>
    </cfRule>
  </conditionalFormatting>
  <conditionalFormatting sqref="U635:V637">
    <cfRule type="cellIs" dxfId="16822" priority="16751" stopIfTrue="1" operator="equal">
      <formula>"Fail"</formula>
    </cfRule>
    <cfRule type="cellIs" dxfId="16821" priority="16752" stopIfTrue="1" operator="equal">
      <formula>"Pass"</formula>
    </cfRule>
  </conditionalFormatting>
  <conditionalFormatting sqref="D639:E640 G639:H640 E638 H638 I638:P639">
    <cfRule type="cellIs" dxfId="16820" priority="16749" stopIfTrue="1" operator="equal">
      <formula>"Pass"</formula>
    </cfRule>
    <cfRule type="cellIs" dxfId="16819" priority="16750" stopIfTrue="1" operator="equal">
      <formula>"Fail"</formula>
    </cfRule>
  </conditionalFormatting>
  <conditionalFormatting sqref="U638:V640">
    <cfRule type="cellIs" dxfId="16818" priority="16747" stopIfTrue="1" operator="equal">
      <formula>"Fail"</formula>
    </cfRule>
    <cfRule type="cellIs" dxfId="16817" priority="16748" stopIfTrue="1" operator="equal">
      <formula>"Pass"</formula>
    </cfRule>
  </conditionalFormatting>
  <conditionalFormatting sqref="D639:E640 G639:H640 E638 H638 I638:P639">
    <cfRule type="cellIs" dxfId="16816" priority="16745" stopIfTrue="1" operator="equal">
      <formula>"Pass"</formula>
    </cfRule>
    <cfRule type="cellIs" dxfId="16815" priority="16746" stopIfTrue="1" operator="equal">
      <formula>"Fail"</formula>
    </cfRule>
  </conditionalFormatting>
  <conditionalFormatting sqref="U638:V640">
    <cfRule type="cellIs" dxfId="16814" priority="16743" stopIfTrue="1" operator="equal">
      <formula>"Fail"</formula>
    </cfRule>
    <cfRule type="cellIs" dxfId="16813" priority="16744" stopIfTrue="1" operator="equal">
      <formula>"Pass"</formula>
    </cfRule>
  </conditionalFormatting>
  <conditionalFormatting sqref="G641:P642">
    <cfRule type="cellIs" dxfId="16812" priority="16741" stopIfTrue="1" operator="equal">
      <formula>"Pass"</formula>
    </cfRule>
    <cfRule type="cellIs" dxfId="16811" priority="16742" stopIfTrue="1" operator="equal">
      <formula>"Fail"</formula>
    </cfRule>
  </conditionalFormatting>
  <conditionalFormatting sqref="U641:V643">
    <cfRule type="cellIs" dxfId="16810" priority="16739" stopIfTrue="1" operator="equal">
      <formula>"Fail"</formula>
    </cfRule>
    <cfRule type="cellIs" dxfId="16809" priority="16740" stopIfTrue="1" operator="equal">
      <formula>"Pass"</formula>
    </cfRule>
  </conditionalFormatting>
  <conditionalFormatting sqref="G641:P642">
    <cfRule type="cellIs" dxfId="16808" priority="16737" stopIfTrue="1" operator="equal">
      <formula>"Pass"</formula>
    </cfRule>
    <cfRule type="cellIs" dxfId="16807" priority="16738" stopIfTrue="1" operator="equal">
      <formula>"Fail"</formula>
    </cfRule>
  </conditionalFormatting>
  <conditionalFormatting sqref="U641:V643">
    <cfRule type="cellIs" dxfId="16806" priority="16735" stopIfTrue="1" operator="equal">
      <formula>"Fail"</formula>
    </cfRule>
    <cfRule type="cellIs" dxfId="16805" priority="16736" stopIfTrue="1" operator="equal">
      <formula>"Pass"</formula>
    </cfRule>
  </conditionalFormatting>
  <conditionalFormatting sqref="G641:P642">
    <cfRule type="cellIs" dxfId="16804" priority="16733" stopIfTrue="1" operator="equal">
      <formula>"Pass"</formula>
    </cfRule>
    <cfRule type="cellIs" dxfId="16803" priority="16734" stopIfTrue="1" operator="equal">
      <formula>"Fail"</formula>
    </cfRule>
  </conditionalFormatting>
  <conditionalFormatting sqref="U641:V643">
    <cfRule type="cellIs" dxfId="16802" priority="16731" stopIfTrue="1" operator="equal">
      <formula>"Fail"</formula>
    </cfRule>
    <cfRule type="cellIs" dxfId="16801" priority="16732" stopIfTrue="1" operator="equal">
      <formula>"Pass"</formula>
    </cfRule>
  </conditionalFormatting>
  <conditionalFormatting sqref="G641:P642">
    <cfRule type="cellIs" dxfId="16800" priority="16729" stopIfTrue="1" operator="equal">
      <formula>"Pass"</formula>
    </cfRule>
    <cfRule type="cellIs" dxfId="16799" priority="16730" stopIfTrue="1" operator="equal">
      <formula>"Fail"</formula>
    </cfRule>
  </conditionalFormatting>
  <conditionalFormatting sqref="U641:V643">
    <cfRule type="cellIs" dxfId="16798" priority="16727" stopIfTrue="1" operator="equal">
      <formula>"Fail"</formula>
    </cfRule>
    <cfRule type="cellIs" dxfId="16797" priority="16728" stopIfTrue="1" operator="equal">
      <formula>"Pass"</formula>
    </cfRule>
  </conditionalFormatting>
  <conditionalFormatting sqref="D645:E646 G645:H646 E644 H644 I644:P645">
    <cfRule type="cellIs" dxfId="16796" priority="16725" stopIfTrue="1" operator="equal">
      <formula>"Pass"</formula>
    </cfRule>
    <cfRule type="cellIs" dxfId="16795" priority="16726" stopIfTrue="1" operator="equal">
      <formula>"Fail"</formula>
    </cfRule>
  </conditionalFormatting>
  <conditionalFormatting sqref="U644:V646">
    <cfRule type="cellIs" dxfId="16794" priority="16723" stopIfTrue="1" operator="equal">
      <formula>"Fail"</formula>
    </cfRule>
    <cfRule type="cellIs" dxfId="16793" priority="16724" stopIfTrue="1" operator="equal">
      <formula>"Pass"</formula>
    </cfRule>
  </conditionalFormatting>
  <conditionalFormatting sqref="G647:P648">
    <cfRule type="cellIs" dxfId="16792" priority="16721" stopIfTrue="1" operator="equal">
      <formula>"Pass"</formula>
    </cfRule>
    <cfRule type="cellIs" dxfId="16791" priority="16722" stopIfTrue="1" operator="equal">
      <formula>"Fail"</formula>
    </cfRule>
  </conditionalFormatting>
  <conditionalFormatting sqref="U647:V649">
    <cfRule type="cellIs" dxfId="16790" priority="16719" stopIfTrue="1" operator="equal">
      <formula>"Fail"</formula>
    </cfRule>
    <cfRule type="cellIs" dxfId="16789" priority="16720" stopIfTrue="1" operator="equal">
      <formula>"Pass"</formula>
    </cfRule>
  </conditionalFormatting>
  <conditionalFormatting sqref="D645:E646 G645:H646 E644 H644 I644:P645">
    <cfRule type="cellIs" dxfId="16788" priority="16717" stopIfTrue="1" operator="equal">
      <formula>"Pass"</formula>
    </cfRule>
    <cfRule type="cellIs" dxfId="16787" priority="16718" stopIfTrue="1" operator="equal">
      <formula>"Fail"</formula>
    </cfRule>
  </conditionalFormatting>
  <conditionalFormatting sqref="U644:V646">
    <cfRule type="cellIs" dxfId="16786" priority="16715" stopIfTrue="1" operator="equal">
      <formula>"Fail"</formula>
    </cfRule>
    <cfRule type="cellIs" dxfId="16785" priority="16716" stopIfTrue="1" operator="equal">
      <formula>"Pass"</formula>
    </cfRule>
  </conditionalFormatting>
  <conditionalFormatting sqref="D645:E646 G645:H646 E644 H644 I644:P645">
    <cfRule type="cellIs" dxfId="16784" priority="16713" stopIfTrue="1" operator="equal">
      <formula>"Pass"</formula>
    </cfRule>
    <cfRule type="cellIs" dxfId="16783" priority="16714" stopIfTrue="1" operator="equal">
      <formula>"Fail"</formula>
    </cfRule>
  </conditionalFormatting>
  <conditionalFormatting sqref="U644:V646">
    <cfRule type="cellIs" dxfId="16782" priority="16711" stopIfTrue="1" operator="equal">
      <formula>"Fail"</formula>
    </cfRule>
    <cfRule type="cellIs" dxfId="16781" priority="16712" stopIfTrue="1" operator="equal">
      <formula>"Pass"</formula>
    </cfRule>
  </conditionalFormatting>
  <conditionalFormatting sqref="G647:P648">
    <cfRule type="cellIs" dxfId="16780" priority="16709" stopIfTrue="1" operator="equal">
      <formula>"Pass"</formula>
    </cfRule>
    <cfRule type="cellIs" dxfId="16779" priority="16710" stopIfTrue="1" operator="equal">
      <formula>"Fail"</formula>
    </cfRule>
  </conditionalFormatting>
  <conditionalFormatting sqref="U647:V649">
    <cfRule type="cellIs" dxfId="16778" priority="16707" stopIfTrue="1" operator="equal">
      <formula>"Fail"</formula>
    </cfRule>
    <cfRule type="cellIs" dxfId="16777" priority="16708" stopIfTrue="1" operator="equal">
      <formula>"Pass"</formula>
    </cfRule>
  </conditionalFormatting>
  <conditionalFormatting sqref="G647:P648">
    <cfRule type="cellIs" dxfId="16776" priority="16705" stopIfTrue="1" operator="equal">
      <formula>"Pass"</formula>
    </cfRule>
    <cfRule type="cellIs" dxfId="16775" priority="16706" stopIfTrue="1" operator="equal">
      <formula>"Fail"</formula>
    </cfRule>
  </conditionalFormatting>
  <conditionalFormatting sqref="U647:V649">
    <cfRule type="cellIs" dxfId="16774" priority="16703" stopIfTrue="1" operator="equal">
      <formula>"Fail"</formula>
    </cfRule>
    <cfRule type="cellIs" dxfId="16773" priority="16704" stopIfTrue="1" operator="equal">
      <formula>"Pass"</formula>
    </cfRule>
  </conditionalFormatting>
  <conditionalFormatting sqref="G647:P648">
    <cfRule type="cellIs" dxfId="16772" priority="16701" stopIfTrue="1" operator="equal">
      <formula>"Pass"</formula>
    </cfRule>
    <cfRule type="cellIs" dxfId="16771" priority="16702" stopIfTrue="1" operator="equal">
      <formula>"Fail"</formula>
    </cfRule>
  </conditionalFormatting>
  <conditionalFormatting sqref="U647:V649">
    <cfRule type="cellIs" dxfId="16770" priority="16699" stopIfTrue="1" operator="equal">
      <formula>"Fail"</formula>
    </cfRule>
    <cfRule type="cellIs" dxfId="16769" priority="16700" stopIfTrue="1" operator="equal">
      <formula>"Pass"</formula>
    </cfRule>
  </conditionalFormatting>
  <conditionalFormatting sqref="G647:P648">
    <cfRule type="cellIs" dxfId="16768" priority="16697" stopIfTrue="1" operator="equal">
      <formula>"Pass"</formula>
    </cfRule>
    <cfRule type="cellIs" dxfId="16767" priority="16698" stopIfTrue="1" operator="equal">
      <formula>"Fail"</formula>
    </cfRule>
  </conditionalFormatting>
  <conditionalFormatting sqref="U647:V649">
    <cfRule type="cellIs" dxfId="16766" priority="16695" stopIfTrue="1" operator="equal">
      <formula>"Fail"</formula>
    </cfRule>
    <cfRule type="cellIs" dxfId="16765" priority="16696" stopIfTrue="1" operator="equal">
      <formula>"Pass"</formula>
    </cfRule>
  </conditionalFormatting>
  <conditionalFormatting sqref="D651:E652 G651:H652 E650 H650 I650:P651">
    <cfRule type="cellIs" dxfId="16764" priority="16693" stopIfTrue="1" operator="equal">
      <formula>"Pass"</formula>
    </cfRule>
    <cfRule type="cellIs" dxfId="16763" priority="16694" stopIfTrue="1" operator="equal">
      <formula>"Fail"</formula>
    </cfRule>
  </conditionalFormatting>
  <conditionalFormatting sqref="U650:V652">
    <cfRule type="cellIs" dxfId="16762" priority="16691" stopIfTrue="1" operator="equal">
      <formula>"Fail"</formula>
    </cfRule>
    <cfRule type="cellIs" dxfId="16761" priority="16692" stopIfTrue="1" operator="equal">
      <formula>"Pass"</formula>
    </cfRule>
  </conditionalFormatting>
  <conditionalFormatting sqref="G653:P654">
    <cfRule type="cellIs" dxfId="16760" priority="16689" stopIfTrue="1" operator="equal">
      <formula>"Pass"</formula>
    </cfRule>
    <cfRule type="cellIs" dxfId="16759" priority="16690" stopIfTrue="1" operator="equal">
      <formula>"Fail"</formula>
    </cfRule>
  </conditionalFormatting>
  <conditionalFormatting sqref="U653:V655">
    <cfRule type="cellIs" dxfId="16758" priority="16687" stopIfTrue="1" operator="equal">
      <formula>"Fail"</formula>
    </cfRule>
    <cfRule type="cellIs" dxfId="16757" priority="16688" stopIfTrue="1" operator="equal">
      <formula>"Pass"</formula>
    </cfRule>
  </conditionalFormatting>
  <conditionalFormatting sqref="D651:E652 G651:H652 E650 H650 I650:P651">
    <cfRule type="cellIs" dxfId="16756" priority="16685" stopIfTrue="1" operator="equal">
      <formula>"Pass"</formula>
    </cfRule>
    <cfRule type="cellIs" dxfId="16755" priority="16686" stopIfTrue="1" operator="equal">
      <formula>"Fail"</formula>
    </cfRule>
  </conditionalFormatting>
  <conditionalFormatting sqref="U650:V652">
    <cfRule type="cellIs" dxfId="16754" priority="16683" stopIfTrue="1" operator="equal">
      <formula>"Fail"</formula>
    </cfRule>
    <cfRule type="cellIs" dxfId="16753" priority="16684" stopIfTrue="1" operator="equal">
      <formula>"Pass"</formula>
    </cfRule>
  </conditionalFormatting>
  <conditionalFormatting sqref="D651:E652 G651:H652 E650 H650 I650:P651">
    <cfRule type="cellIs" dxfId="16752" priority="16681" stopIfTrue="1" operator="equal">
      <formula>"Pass"</formula>
    </cfRule>
    <cfRule type="cellIs" dxfId="16751" priority="16682" stopIfTrue="1" operator="equal">
      <formula>"Fail"</formula>
    </cfRule>
  </conditionalFormatting>
  <conditionalFormatting sqref="U650:V652">
    <cfRule type="cellIs" dxfId="16750" priority="16679" stopIfTrue="1" operator="equal">
      <formula>"Fail"</formula>
    </cfRule>
    <cfRule type="cellIs" dxfId="16749" priority="16680" stopIfTrue="1" operator="equal">
      <formula>"Pass"</formula>
    </cfRule>
  </conditionalFormatting>
  <conditionalFormatting sqref="G653:P654">
    <cfRule type="cellIs" dxfId="16748" priority="16677" stopIfTrue="1" operator="equal">
      <formula>"Pass"</formula>
    </cfRule>
    <cfRule type="cellIs" dxfId="16747" priority="16678" stopIfTrue="1" operator="equal">
      <formula>"Fail"</formula>
    </cfRule>
  </conditionalFormatting>
  <conditionalFormatting sqref="U653:V655">
    <cfRule type="cellIs" dxfId="16746" priority="16675" stopIfTrue="1" operator="equal">
      <formula>"Fail"</formula>
    </cfRule>
    <cfRule type="cellIs" dxfId="16745" priority="16676" stopIfTrue="1" operator="equal">
      <formula>"Pass"</formula>
    </cfRule>
  </conditionalFormatting>
  <conditionalFormatting sqref="G653:P654">
    <cfRule type="cellIs" dxfId="16744" priority="16673" stopIfTrue="1" operator="equal">
      <formula>"Pass"</formula>
    </cfRule>
    <cfRule type="cellIs" dxfId="16743" priority="16674" stopIfTrue="1" operator="equal">
      <formula>"Fail"</formula>
    </cfRule>
  </conditionalFormatting>
  <conditionalFormatting sqref="U653:V655">
    <cfRule type="cellIs" dxfId="16742" priority="16671" stopIfTrue="1" operator="equal">
      <formula>"Fail"</formula>
    </cfRule>
    <cfRule type="cellIs" dxfId="16741" priority="16672" stopIfTrue="1" operator="equal">
      <formula>"Pass"</formula>
    </cfRule>
  </conditionalFormatting>
  <conditionalFormatting sqref="G653:P654">
    <cfRule type="cellIs" dxfId="16740" priority="16669" stopIfTrue="1" operator="equal">
      <formula>"Pass"</formula>
    </cfRule>
    <cfRule type="cellIs" dxfId="16739" priority="16670" stopIfTrue="1" operator="equal">
      <formula>"Fail"</formula>
    </cfRule>
  </conditionalFormatting>
  <conditionalFormatting sqref="U653:V655">
    <cfRule type="cellIs" dxfId="16738" priority="16667" stopIfTrue="1" operator="equal">
      <formula>"Fail"</formula>
    </cfRule>
    <cfRule type="cellIs" dxfId="16737" priority="16668" stopIfTrue="1" operator="equal">
      <formula>"Pass"</formula>
    </cfRule>
  </conditionalFormatting>
  <conditionalFormatting sqref="G653:P654">
    <cfRule type="cellIs" dxfId="16736" priority="16665" stopIfTrue="1" operator="equal">
      <formula>"Pass"</formula>
    </cfRule>
    <cfRule type="cellIs" dxfId="16735" priority="16666" stopIfTrue="1" operator="equal">
      <formula>"Fail"</formula>
    </cfRule>
  </conditionalFormatting>
  <conditionalFormatting sqref="U653:V655">
    <cfRule type="cellIs" dxfId="16734" priority="16663" stopIfTrue="1" operator="equal">
      <formula>"Fail"</formula>
    </cfRule>
    <cfRule type="cellIs" dxfId="16733" priority="16664" stopIfTrue="1" operator="equal">
      <formula>"Pass"</formula>
    </cfRule>
  </conditionalFormatting>
  <conditionalFormatting sqref="D660:E661 G660:H661 E659 G656:P657 H659 I659:P660">
    <cfRule type="cellIs" dxfId="16732" priority="16661" stopIfTrue="1" operator="equal">
      <formula>"Pass"</formula>
    </cfRule>
    <cfRule type="cellIs" dxfId="16731" priority="16662" stopIfTrue="1" operator="equal">
      <formula>"Fail"</formula>
    </cfRule>
  </conditionalFormatting>
  <conditionalFormatting sqref="U656:V661">
    <cfRule type="cellIs" dxfId="16730" priority="16659" stopIfTrue="1" operator="equal">
      <formula>"Fail"</formula>
    </cfRule>
    <cfRule type="cellIs" dxfId="16729" priority="16660" stopIfTrue="1" operator="equal">
      <formula>"Pass"</formula>
    </cfRule>
  </conditionalFormatting>
  <conditionalFormatting sqref="D666:E667 G666:H667 E665 G662:P663 H665 I665:P666">
    <cfRule type="cellIs" dxfId="16728" priority="16657" stopIfTrue="1" operator="equal">
      <formula>"Pass"</formula>
    </cfRule>
    <cfRule type="cellIs" dxfId="16727" priority="16658" stopIfTrue="1" operator="equal">
      <formula>"Fail"</formula>
    </cfRule>
  </conditionalFormatting>
  <conditionalFormatting sqref="U662:V667">
    <cfRule type="cellIs" dxfId="16726" priority="16655" stopIfTrue="1" operator="equal">
      <formula>"Fail"</formula>
    </cfRule>
    <cfRule type="cellIs" dxfId="16725" priority="16656" stopIfTrue="1" operator="equal">
      <formula>"Pass"</formula>
    </cfRule>
  </conditionalFormatting>
  <conditionalFormatting sqref="D672:E673 G672:H673 E671 G668:P669 H671 I671:P672">
    <cfRule type="cellIs" dxfId="16724" priority="16653" stopIfTrue="1" operator="equal">
      <formula>"Pass"</formula>
    </cfRule>
    <cfRule type="cellIs" dxfId="16723" priority="16654" stopIfTrue="1" operator="equal">
      <formula>"Fail"</formula>
    </cfRule>
  </conditionalFormatting>
  <conditionalFormatting sqref="U668:V673">
    <cfRule type="cellIs" dxfId="16722" priority="16651" stopIfTrue="1" operator="equal">
      <formula>"Fail"</formula>
    </cfRule>
    <cfRule type="cellIs" dxfId="16721" priority="16652" stopIfTrue="1" operator="equal">
      <formula>"Pass"</formula>
    </cfRule>
  </conditionalFormatting>
  <conditionalFormatting sqref="D678:E679 G678:H679 E677 G674:P675 H677 I677:P678">
    <cfRule type="cellIs" dxfId="16720" priority="16649" stopIfTrue="1" operator="equal">
      <formula>"Pass"</formula>
    </cfRule>
    <cfRule type="cellIs" dxfId="16719" priority="16650" stopIfTrue="1" operator="equal">
      <formula>"Fail"</formula>
    </cfRule>
  </conditionalFormatting>
  <conditionalFormatting sqref="U674:V679">
    <cfRule type="cellIs" dxfId="16718" priority="16647" stopIfTrue="1" operator="equal">
      <formula>"Fail"</formula>
    </cfRule>
    <cfRule type="cellIs" dxfId="16717" priority="16648" stopIfTrue="1" operator="equal">
      <formula>"Pass"</formula>
    </cfRule>
  </conditionalFormatting>
  <conditionalFormatting sqref="D684:E685 G684:H685 E683 G680:P681 H683 I683:P684">
    <cfRule type="cellIs" dxfId="16716" priority="16645" stopIfTrue="1" operator="equal">
      <formula>"Pass"</formula>
    </cfRule>
    <cfRule type="cellIs" dxfId="16715" priority="16646" stopIfTrue="1" operator="equal">
      <formula>"Fail"</formula>
    </cfRule>
  </conditionalFormatting>
  <conditionalFormatting sqref="U680:V685">
    <cfRule type="cellIs" dxfId="16714" priority="16643" stopIfTrue="1" operator="equal">
      <formula>"Fail"</formula>
    </cfRule>
    <cfRule type="cellIs" dxfId="16713" priority="16644" stopIfTrue="1" operator="equal">
      <formula>"Pass"</formula>
    </cfRule>
  </conditionalFormatting>
  <conditionalFormatting sqref="D690:E691 G690:H691 E689 G686:P687 H689 I689:P690">
    <cfRule type="cellIs" dxfId="16712" priority="16641" stopIfTrue="1" operator="equal">
      <formula>"Pass"</formula>
    </cfRule>
    <cfRule type="cellIs" dxfId="16711" priority="16642" stopIfTrue="1" operator="equal">
      <formula>"Fail"</formula>
    </cfRule>
  </conditionalFormatting>
  <conditionalFormatting sqref="U686:V691">
    <cfRule type="cellIs" dxfId="16710" priority="16639" stopIfTrue="1" operator="equal">
      <formula>"Fail"</formula>
    </cfRule>
    <cfRule type="cellIs" dxfId="16709" priority="16640" stopIfTrue="1" operator="equal">
      <formula>"Pass"</formula>
    </cfRule>
  </conditionalFormatting>
  <conditionalFormatting sqref="D696:E697 G696:H697 E695 G692:P693 H695 I695:P696">
    <cfRule type="cellIs" dxfId="16708" priority="16637" stopIfTrue="1" operator="equal">
      <formula>"Pass"</formula>
    </cfRule>
    <cfRule type="cellIs" dxfId="16707" priority="16638" stopIfTrue="1" operator="equal">
      <formula>"Fail"</formula>
    </cfRule>
  </conditionalFormatting>
  <conditionalFormatting sqref="U692:V697">
    <cfRule type="cellIs" dxfId="16706" priority="16635" stopIfTrue="1" operator="equal">
      <formula>"Fail"</formula>
    </cfRule>
    <cfRule type="cellIs" dxfId="16705" priority="16636" stopIfTrue="1" operator="equal">
      <formula>"Pass"</formula>
    </cfRule>
  </conditionalFormatting>
  <conditionalFormatting sqref="D702:E703 G702:H703 E701 G698:P699 H701 I701:P702">
    <cfRule type="cellIs" dxfId="16704" priority="16633" stopIfTrue="1" operator="equal">
      <formula>"Pass"</formula>
    </cfRule>
    <cfRule type="cellIs" dxfId="16703" priority="16634" stopIfTrue="1" operator="equal">
      <formula>"Fail"</formula>
    </cfRule>
  </conditionalFormatting>
  <conditionalFormatting sqref="U698:V703">
    <cfRule type="cellIs" dxfId="16702" priority="16631" stopIfTrue="1" operator="equal">
      <formula>"Fail"</formula>
    </cfRule>
    <cfRule type="cellIs" dxfId="16701" priority="16632" stopIfTrue="1" operator="equal">
      <formula>"Pass"</formula>
    </cfRule>
  </conditionalFormatting>
  <conditionalFormatting sqref="D708:E709 G708:H709 E707 G704:P705 H707 I707:P708">
    <cfRule type="cellIs" dxfId="16700" priority="16629" stopIfTrue="1" operator="equal">
      <formula>"Pass"</formula>
    </cfRule>
    <cfRule type="cellIs" dxfId="16699" priority="16630" stopIfTrue="1" operator="equal">
      <formula>"Fail"</formula>
    </cfRule>
  </conditionalFormatting>
  <conditionalFormatting sqref="U704:V709">
    <cfRule type="cellIs" dxfId="16698" priority="16627" stopIfTrue="1" operator="equal">
      <formula>"Fail"</formula>
    </cfRule>
    <cfRule type="cellIs" dxfId="16697" priority="16628" stopIfTrue="1" operator="equal">
      <formula>"Pass"</formula>
    </cfRule>
  </conditionalFormatting>
  <conditionalFormatting sqref="D714:E715 G714:H715 E713 G710:P711 H713 I713:P714">
    <cfRule type="cellIs" dxfId="16696" priority="16625" stopIfTrue="1" operator="equal">
      <formula>"Pass"</formula>
    </cfRule>
    <cfRule type="cellIs" dxfId="16695" priority="16626" stopIfTrue="1" operator="equal">
      <formula>"Fail"</formula>
    </cfRule>
  </conditionalFormatting>
  <conditionalFormatting sqref="U710:V715">
    <cfRule type="cellIs" dxfId="16694" priority="16623" stopIfTrue="1" operator="equal">
      <formula>"Fail"</formula>
    </cfRule>
    <cfRule type="cellIs" dxfId="16693" priority="16624" stopIfTrue="1" operator="equal">
      <formula>"Pass"</formula>
    </cfRule>
  </conditionalFormatting>
  <conditionalFormatting sqref="G716:P717">
    <cfRule type="cellIs" dxfId="16692" priority="16621" stopIfTrue="1" operator="equal">
      <formula>"Pass"</formula>
    </cfRule>
    <cfRule type="cellIs" dxfId="16691" priority="16622" stopIfTrue="1" operator="equal">
      <formula>"Fail"</formula>
    </cfRule>
  </conditionalFormatting>
  <conditionalFormatting sqref="U716:V718">
    <cfRule type="cellIs" dxfId="16690" priority="16619" stopIfTrue="1" operator="equal">
      <formula>"Fail"</formula>
    </cfRule>
    <cfRule type="cellIs" dxfId="16689" priority="16620" stopIfTrue="1" operator="equal">
      <formula>"Pass"</formula>
    </cfRule>
  </conditionalFormatting>
  <conditionalFormatting sqref="D723:E724 G723:H724 E722 G719:P720 H722 I722:P723">
    <cfRule type="cellIs" dxfId="16688" priority="16617" stopIfTrue="1" operator="equal">
      <formula>"Pass"</formula>
    </cfRule>
    <cfRule type="cellIs" dxfId="16687" priority="16618" stopIfTrue="1" operator="equal">
      <formula>"Fail"</formula>
    </cfRule>
  </conditionalFormatting>
  <conditionalFormatting sqref="U719:V724">
    <cfRule type="cellIs" dxfId="16686" priority="16615" stopIfTrue="1" operator="equal">
      <formula>"Fail"</formula>
    </cfRule>
    <cfRule type="cellIs" dxfId="16685" priority="16616" stopIfTrue="1" operator="equal">
      <formula>"Pass"</formula>
    </cfRule>
  </conditionalFormatting>
  <conditionalFormatting sqref="D729:E730 G729:H730 E728 G725:P726 H728 I728:P729">
    <cfRule type="cellIs" dxfId="16684" priority="16613" stopIfTrue="1" operator="equal">
      <formula>"Pass"</formula>
    </cfRule>
    <cfRule type="cellIs" dxfId="16683" priority="16614" stopIfTrue="1" operator="equal">
      <formula>"Fail"</formula>
    </cfRule>
  </conditionalFormatting>
  <conditionalFormatting sqref="U725:V730">
    <cfRule type="cellIs" dxfId="16682" priority="16611" stopIfTrue="1" operator="equal">
      <formula>"Fail"</formula>
    </cfRule>
    <cfRule type="cellIs" dxfId="16681" priority="16612" stopIfTrue="1" operator="equal">
      <formula>"Pass"</formula>
    </cfRule>
  </conditionalFormatting>
  <conditionalFormatting sqref="D735:E736 G735:H736 E734 G731:P732 H734 I734:P735">
    <cfRule type="cellIs" dxfId="16680" priority="16609" stopIfTrue="1" operator="equal">
      <formula>"Pass"</formula>
    </cfRule>
    <cfRule type="cellIs" dxfId="16679" priority="16610" stopIfTrue="1" operator="equal">
      <formula>"Fail"</formula>
    </cfRule>
  </conditionalFormatting>
  <conditionalFormatting sqref="U731:V736">
    <cfRule type="cellIs" dxfId="16678" priority="16607" stopIfTrue="1" operator="equal">
      <formula>"Fail"</formula>
    </cfRule>
    <cfRule type="cellIs" dxfId="16677" priority="16608" stopIfTrue="1" operator="equal">
      <formula>"Pass"</formula>
    </cfRule>
  </conditionalFormatting>
  <conditionalFormatting sqref="D741:E742 G741:H742 E740 G737:P738 H740 I740:P741">
    <cfRule type="cellIs" dxfId="16676" priority="16605" stopIfTrue="1" operator="equal">
      <formula>"Pass"</formula>
    </cfRule>
    <cfRule type="cellIs" dxfId="16675" priority="16606" stopIfTrue="1" operator="equal">
      <formula>"Fail"</formula>
    </cfRule>
  </conditionalFormatting>
  <conditionalFormatting sqref="U737:V742">
    <cfRule type="cellIs" dxfId="16674" priority="16603" stopIfTrue="1" operator="equal">
      <formula>"Fail"</formula>
    </cfRule>
    <cfRule type="cellIs" dxfId="16673" priority="16604" stopIfTrue="1" operator="equal">
      <formula>"Pass"</formula>
    </cfRule>
  </conditionalFormatting>
  <conditionalFormatting sqref="G747:H748 E746 G743:P744 H746 I746:P747 D747:E750">
    <cfRule type="cellIs" dxfId="16672" priority="16601" stopIfTrue="1" operator="equal">
      <formula>"Pass"</formula>
    </cfRule>
    <cfRule type="cellIs" dxfId="16671" priority="16602" stopIfTrue="1" operator="equal">
      <formula>"Fail"</formula>
    </cfRule>
  </conditionalFormatting>
  <conditionalFormatting sqref="U743:V748">
    <cfRule type="cellIs" dxfId="16670" priority="16599" stopIfTrue="1" operator="equal">
      <formula>"Fail"</formula>
    </cfRule>
    <cfRule type="cellIs" dxfId="16669" priority="16600" stopIfTrue="1" operator="equal">
      <formula>"Pass"</formula>
    </cfRule>
  </conditionalFormatting>
  <conditionalFormatting sqref="D753:E754 G753:H754 E752 G749:P750 H752 I752:P753">
    <cfRule type="cellIs" dxfId="16668" priority="16597" stopIfTrue="1" operator="equal">
      <formula>"Pass"</formula>
    </cfRule>
    <cfRule type="cellIs" dxfId="16667" priority="16598" stopIfTrue="1" operator="equal">
      <formula>"Fail"</formula>
    </cfRule>
  </conditionalFormatting>
  <conditionalFormatting sqref="U749:V754">
    <cfRule type="cellIs" dxfId="16666" priority="16595" stopIfTrue="1" operator="equal">
      <formula>"Fail"</formula>
    </cfRule>
    <cfRule type="cellIs" dxfId="16665" priority="16596" stopIfTrue="1" operator="equal">
      <formula>"Pass"</formula>
    </cfRule>
  </conditionalFormatting>
  <conditionalFormatting sqref="D755:E756">
    <cfRule type="cellIs" dxfId="16664" priority="16593" stopIfTrue="1" operator="equal">
      <formula>"Pass"</formula>
    </cfRule>
    <cfRule type="cellIs" dxfId="16663" priority="16594" stopIfTrue="1" operator="equal">
      <formula>"Fail"</formula>
    </cfRule>
  </conditionalFormatting>
  <conditionalFormatting sqref="D759:E760 G759:H760 E758 G755:P756 H758 I758:P759">
    <cfRule type="cellIs" dxfId="16662" priority="16591" stopIfTrue="1" operator="equal">
      <formula>"Pass"</formula>
    </cfRule>
    <cfRule type="cellIs" dxfId="16661" priority="16592" stopIfTrue="1" operator="equal">
      <formula>"Fail"</formula>
    </cfRule>
  </conditionalFormatting>
  <conditionalFormatting sqref="U755:V760">
    <cfRule type="cellIs" dxfId="16660" priority="16589" stopIfTrue="1" operator="equal">
      <formula>"Fail"</formula>
    </cfRule>
    <cfRule type="cellIs" dxfId="16659" priority="16590" stopIfTrue="1" operator="equal">
      <formula>"Pass"</formula>
    </cfRule>
  </conditionalFormatting>
  <conditionalFormatting sqref="H758:P758">
    <cfRule type="cellIs" dxfId="16658" priority="16587" stopIfTrue="1" operator="equal">
      <formula>"Pass"</formula>
    </cfRule>
    <cfRule type="cellIs" dxfId="16657" priority="16588" stopIfTrue="1" operator="equal">
      <formula>"Fail"</formula>
    </cfRule>
  </conditionalFormatting>
  <conditionalFormatting sqref="H758:P758">
    <cfRule type="cellIs" dxfId="16656" priority="16585" stopIfTrue="1" operator="equal">
      <formula>"Pass"</formula>
    </cfRule>
    <cfRule type="cellIs" dxfId="16655" priority="16586" stopIfTrue="1" operator="equal">
      <formula>"Fail"</formula>
    </cfRule>
  </conditionalFormatting>
  <conditionalFormatting sqref="H758:P758">
    <cfRule type="cellIs" dxfId="16654" priority="16583" stopIfTrue="1" operator="equal">
      <formula>"Pass"</formula>
    </cfRule>
    <cfRule type="cellIs" dxfId="16653" priority="16584" stopIfTrue="1" operator="equal">
      <formula>"Fail"</formula>
    </cfRule>
  </conditionalFormatting>
  <conditionalFormatting sqref="I758:P758">
    <cfRule type="cellIs" dxfId="16652" priority="16581" stopIfTrue="1" operator="equal">
      <formula>"Pass"</formula>
    </cfRule>
    <cfRule type="cellIs" dxfId="16651" priority="16582" stopIfTrue="1" operator="equal">
      <formula>"Fail"</formula>
    </cfRule>
  </conditionalFormatting>
  <conditionalFormatting sqref="I758:P758">
    <cfRule type="cellIs" dxfId="16650" priority="16579" stopIfTrue="1" operator="equal">
      <formula>"Pass"</formula>
    </cfRule>
    <cfRule type="cellIs" dxfId="16649" priority="16580" stopIfTrue="1" operator="equal">
      <formula>"Fail"</formula>
    </cfRule>
  </conditionalFormatting>
  <conditionalFormatting sqref="I758:P758">
    <cfRule type="cellIs" dxfId="16648" priority="16577" stopIfTrue="1" operator="equal">
      <formula>"Pass"</formula>
    </cfRule>
    <cfRule type="cellIs" dxfId="16647" priority="16578" stopIfTrue="1" operator="equal">
      <formula>"Fail"</formula>
    </cfRule>
  </conditionalFormatting>
  <conditionalFormatting sqref="I758:P758">
    <cfRule type="cellIs" dxfId="16646" priority="16575" stopIfTrue="1" operator="equal">
      <formula>"Pass"</formula>
    </cfRule>
    <cfRule type="cellIs" dxfId="16645" priority="16576" stopIfTrue="1" operator="equal">
      <formula>"Fail"</formula>
    </cfRule>
  </conditionalFormatting>
  <conditionalFormatting sqref="H758:P758">
    <cfRule type="cellIs" dxfId="16644" priority="16573" stopIfTrue="1" operator="equal">
      <formula>"Pass"</formula>
    </cfRule>
    <cfRule type="cellIs" dxfId="16643" priority="16574" stopIfTrue="1" operator="equal">
      <formula>"Fail"</formula>
    </cfRule>
  </conditionalFormatting>
  <conditionalFormatting sqref="H758:P758">
    <cfRule type="cellIs" dxfId="16642" priority="16571" stopIfTrue="1" operator="equal">
      <formula>"Pass"</formula>
    </cfRule>
    <cfRule type="cellIs" dxfId="16641" priority="16572" stopIfTrue="1" operator="equal">
      <formula>"Fail"</formula>
    </cfRule>
  </conditionalFormatting>
  <conditionalFormatting sqref="I758:P758">
    <cfRule type="cellIs" dxfId="16640" priority="16569" stopIfTrue="1" operator="equal">
      <formula>"Pass"</formula>
    </cfRule>
    <cfRule type="cellIs" dxfId="16639" priority="16570" stopIfTrue="1" operator="equal">
      <formula>"Fail"</formula>
    </cfRule>
  </conditionalFormatting>
  <conditionalFormatting sqref="I758:P758">
    <cfRule type="cellIs" dxfId="16638" priority="16567" stopIfTrue="1" operator="equal">
      <formula>"Pass"</formula>
    </cfRule>
    <cfRule type="cellIs" dxfId="16637" priority="16568" stopIfTrue="1" operator="equal">
      <formula>"Fail"</formula>
    </cfRule>
  </conditionalFormatting>
  <conditionalFormatting sqref="I758:P758">
    <cfRule type="cellIs" dxfId="16636" priority="16565" stopIfTrue="1" operator="equal">
      <formula>"Pass"</formula>
    </cfRule>
    <cfRule type="cellIs" dxfId="16635" priority="16566" stopIfTrue="1" operator="equal">
      <formula>"Fail"</formula>
    </cfRule>
  </conditionalFormatting>
  <conditionalFormatting sqref="I758:P758">
    <cfRule type="cellIs" dxfId="16634" priority="16563" stopIfTrue="1" operator="equal">
      <formula>"Pass"</formula>
    </cfRule>
    <cfRule type="cellIs" dxfId="16633" priority="16564" stopIfTrue="1" operator="equal">
      <formula>"Fail"</formula>
    </cfRule>
  </conditionalFormatting>
  <conditionalFormatting sqref="H758:P758">
    <cfRule type="cellIs" dxfId="16632" priority="16561" stopIfTrue="1" operator="equal">
      <formula>"Pass"</formula>
    </cfRule>
    <cfRule type="cellIs" dxfId="16631" priority="16562" stopIfTrue="1" operator="equal">
      <formula>"Fail"</formula>
    </cfRule>
  </conditionalFormatting>
  <conditionalFormatting sqref="H758:P758">
    <cfRule type="cellIs" dxfId="16630" priority="16559" stopIfTrue="1" operator="equal">
      <formula>"Pass"</formula>
    </cfRule>
    <cfRule type="cellIs" dxfId="16629" priority="16560" stopIfTrue="1" operator="equal">
      <formula>"Fail"</formula>
    </cfRule>
  </conditionalFormatting>
  <conditionalFormatting sqref="I758:P758">
    <cfRule type="cellIs" dxfId="16628" priority="16557" stopIfTrue="1" operator="equal">
      <formula>"Pass"</formula>
    </cfRule>
    <cfRule type="cellIs" dxfId="16627" priority="16558" stopIfTrue="1" operator="equal">
      <formula>"Fail"</formula>
    </cfRule>
  </conditionalFormatting>
  <conditionalFormatting sqref="I758:P758">
    <cfRule type="cellIs" dxfId="16626" priority="16555" stopIfTrue="1" operator="equal">
      <formula>"Pass"</formula>
    </cfRule>
    <cfRule type="cellIs" dxfId="16625" priority="16556" stopIfTrue="1" operator="equal">
      <formula>"Fail"</formula>
    </cfRule>
  </conditionalFormatting>
  <conditionalFormatting sqref="I758:P758">
    <cfRule type="cellIs" dxfId="16624" priority="16553" stopIfTrue="1" operator="equal">
      <formula>"Pass"</formula>
    </cfRule>
    <cfRule type="cellIs" dxfId="16623" priority="16554" stopIfTrue="1" operator="equal">
      <formula>"Fail"</formula>
    </cfRule>
  </conditionalFormatting>
  <conditionalFormatting sqref="I758:P758">
    <cfRule type="cellIs" dxfId="16622" priority="16551" stopIfTrue="1" operator="equal">
      <formula>"Pass"</formula>
    </cfRule>
    <cfRule type="cellIs" dxfId="16621" priority="16552" stopIfTrue="1" operator="equal">
      <formula>"Fail"</formula>
    </cfRule>
  </conditionalFormatting>
  <conditionalFormatting sqref="H758:P758">
    <cfRule type="cellIs" dxfId="16620" priority="16549" stopIfTrue="1" operator="equal">
      <formula>"Pass"</formula>
    </cfRule>
    <cfRule type="cellIs" dxfId="16619" priority="16550" stopIfTrue="1" operator="equal">
      <formula>"Fail"</formula>
    </cfRule>
  </conditionalFormatting>
  <conditionalFormatting sqref="H758:P758">
    <cfRule type="cellIs" dxfId="16618" priority="16547" stopIfTrue="1" operator="equal">
      <formula>"Pass"</formula>
    </cfRule>
    <cfRule type="cellIs" dxfId="16617" priority="16548" stopIfTrue="1" operator="equal">
      <formula>"Fail"</formula>
    </cfRule>
  </conditionalFormatting>
  <conditionalFormatting sqref="I758:P758">
    <cfRule type="cellIs" dxfId="16616" priority="16545" stopIfTrue="1" operator="equal">
      <formula>"Pass"</formula>
    </cfRule>
    <cfRule type="cellIs" dxfId="16615" priority="16546" stopIfTrue="1" operator="equal">
      <formula>"Fail"</formula>
    </cfRule>
  </conditionalFormatting>
  <conditionalFormatting sqref="I758:P758">
    <cfRule type="cellIs" dxfId="16614" priority="16543" stopIfTrue="1" operator="equal">
      <formula>"Pass"</formula>
    </cfRule>
    <cfRule type="cellIs" dxfId="16613" priority="16544" stopIfTrue="1" operator="equal">
      <formula>"Fail"</formula>
    </cfRule>
  </conditionalFormatting>
  <conditionalFormatting sqref="I758:P758">
    <cfRule type="cellIs" dxfId="16612" priority="16541" stopIfTrue="1" operator="equal">
      <formula>"Pass"</formula>
    </cfRule>
    <cfRule type="cellIs" dxfId="16611" priority="16542" stopIfTrue="1" operator="equal">
      <formula>"Fail"</formula>
    </cfRule>
  </conditionalFormatting>
  <conditionalFormatting sqref="I758:P758">
    <cfRule type="cellIs" dxfId="16610" priority="16539" stopIfTrue="1" operator="equal">
      <formula>"Pass"</formula>
    </cfRule>
    <cfRule type="cellIs" dxfId="16609" priority="16540" stopIfTrue="1" operator="equal">
      <formula>"Fail"</formula>
    </cfRule>
  </conditionalFormatting>
  <conditionalFormatting sqref="H758:P758">
    <cfRule type="cellIs" dxfId="16608" priority="16537" stopIfTrue="1" operator="equal">
      <formula>"Pass"</formula>
    </cfRule>
    <cfRule type="cellIs" dxfId="16607" priority="16538" stopIfTrue="1" operator="equal">
      <formula>"Fail"</formula>
    </cfRule>
  </conditionalFormatting>
  <conditionalFormatting sqref="H758:P758">
    <cfRule type="cellIs" dxfId="16606" priority="16535" stopIfTrue="1" operator="equal">
      <formula>"Pass"</formula>
    </cfRule>
    <cfRule type="cellIs" dxfId="16605" priority="16536" stopIfTrue="1" operator="equal">
      <formula>"Fail"</formula>
    </cfRule>
  </conditionalFormatting>
  <conditionalFormatting sqref="I758:P758">
    <cfRule type="cellIs" dxfId="16604" priority="16533" stopIfTrue="1" operator="equal">
      <formula>"Pass"</formula>
    </cfRule>
    <cfRule type="cellIs" dxfId="16603" priority="16534" stopIfTrue="1" operator="equal">
      <formula>"Fail"</formula>
    </cfRule>
  </conditionalFormatting>
  <conditionalFormatting sqref="I758:P758">
    <cfRule type="cellIs" dxfId="16602" priority="16531" stopIfTrue="1" operator="equal">
      <formula>"Pass"</formula>
    </cfRule>
    <cfRule type="cellIs" dxfId="16601" priority="16532" stopIfTrue="1" operator="equal">
      <formula>"Fail"</formula>
    </cfRule>
  </conditionalFormatting>
  <conditionalFormatting sqref="I758:P758">
    <cfRule type="cellIs" dxfId="16600" priority="16529" stopIfTrue="1" operator="equal">
      <formula>"Pass"</formula>
    </cfRule>
    <cfRule type="cellIs" dxfId="16599" priority="16530" stopIfTrue="1" operator="equal">
      <formula>"Fail"</formula>
    </cfRule>
  </conditionalFormatting>
  <conditionalFormatting sqref="I758:P758">
    <cfRule type="cellIs" dxfId="16598" priority="16527" stopIfTrue="1" operator="equal">
      <formula>"Pass"</formula>
    </cfRule>
    <cfRule type="cellIs" dxfId="16597" priority="16528" stopIfTrue="1" operator="equal">
      <formula>"Fail"</formula>
    </cfRule>
  </conditionalFormatting>
  <conditionalFormatting sqref="H758:P758">
    <cfRule type="cellIs" dxfId="16596" priority="16525" stopIfTrue="1" operator="equal">
      <formula>"Pass"</formula>
    </cfRule>
    <cfRule type="cellIs" dxfId="16595" priority="16526" stopIfTrue="1" operator="equal">
      <formula>"Fail"</formula>
    </cfRule>
  </conditionalFormatting>
  <conditionalFormatting sqref="H758:P758">
    <cfRule type="cellIs" dxfId="16594" priority="16523" stopIfTrue="1" operator="equal">
      <formula>"Pass"</formula>
    </cfRule>
    <cfRule type="cellIs" dxfId="16593" priority="16524" stopIfTrue="1" operator="equal">
      <formula>"Fail"</formula>
    </cfRule>
  </conditionalFormatting>
  <conditionalFormatting sqref="I758:P758">
    <cfRule type="cellIs" dxfId="16592" priority="16521" stopIfTrue="1" operator="equal">
      <formula>"Pass"</formula>
    </cfRule>
    <cfRule type="cellIs" dxfId="16591" priority="16522" stopIfTrue="1" operator="equal">
      <formula>"Fail"</formula>
    </cfRule>
  </conditionalFormatting>
  <conditionalFormatting sqref="I758:P758">
    <cfRule type="cellIs" dxfId="16590" priority="16519" stopIfTrue="1" operator="equal">
      <formula>"Pass"</formula>
    </cfRule>
    <cfRule type="cellIs" dxfId="16589" priority="16520" stopIfTrue="1" operator="equal">
      <formula>"Fail"</formula>
    </cfRule>
  </conditionalFormatting>
  <conditionalFormatting sqref="I758:P758">
    <cfRule type="cellIs" dxfId="16588" priority="16517" stopIfTrue="1" operator="equal">
      <formula>"Pass"</formula>
    </cfRule>
    <cfRule type="cellIs" dxfId="16587" priority="16518" stopIfTrue="1" operator="equal">
      <formula>"Fail"</formula>
    </cfRule>
  </conditionalFormatting>
  <conditionalFormatting sqref="I758:P758">
    <cfRule type="cellIs" dxfId="16586" priority="16515" stopIfTrue="1" operator="equal">
      <formula>"Pass"</formula>
    </cfRule>
    <cfRule type="cellIs" dxfId="16585" priority="16516" stopIfTrue="1" operator="equal">
      <formula>"Fail"</formula>
    </cfRule>
  </conditionalFormatting>
  <conditionalFormatting sqref="H758:P758">
    <cfRule type="cellIs" dxfId="16584" priority="16513" stopIfTrue="1" operator="equal">
      <formula>"Pass"</formula>
    </cfRule>
    <cfRule type="cellIs" dxfId="16583" priority="16514" stopIfTrue="1" operator="equal">
      <formula>"Fail"</formula>
    </cfRule>
  </conditionalFormatting>
  <conditionalFormatting sqref="H758:P758">
    <cfRule type="cellIs" dxfId="16582" priority="16511" stopIfTrue="1" operator="equal">
      <formula>"Pass"</formula>
    </cfRule>
    <cfRule type="cellIs" dxfId="16581" priority="16512" stopIfTrue="1" operator="equal">
      <formula>"Fail"</formula>
    </cfRule>
  </conditionalFormatting>
  <conditionalFormatting sqref="I758:P758">
    <cfRule type="cellIs" dxfId="16580" priority="16509" stopIfTrue="1" operator="equal">
      <formula>"Pass"</formula>
    </cfRule>
    <cfRule type="cellIs" dxfId="16579" priority="16510" stopIfTrue="1" operator="equal">
      <formula>"Fail"</formula>
    </cfRule>
  </conditionalFormatting>
  <conditionalFormatting sqref="I758:P758">
    <cfRule type="cellIs" dxfId="16578" priority="16507" stopIfTrue="1" operator="equal">
      <formula>"Pass"</formula>
    </cfRule>
    <cfRule type="cellIs" dxfId="16577" priority="16508" stopIfTrue="1" operator="equal">
      <formula>"Fail"</formula>
    </cfRule>
  </conditionalFormatting>
  <conditionalFormatting sqref="I758:P758">
    <cfRule type="cellIs" dxfId="16576" priority="16505" stopIfTrue="1" operator="equal">
      <formula>"Pass"</formula>
    </cfRule>
    <cfRule type="cellIs" dxfId="16575" priority="16506" stopIfTrue="1" operator="equal">
      <formula>"Fail"</formula>
    </cfRule>
  </conditionalFormatting>
  <conditionalFormatting sqref="I758:P758">
    <cfRule type="cellIs" dxfId="16574" priority="16503" stopIfTrue="1" operator="equal">
      <formula>"Pass"</formula>
    </cfRule>
    <cfRule type="cellIs" dxfId="16573" priority="16504" stopIfTrue="1" operator="equal">
      <formula>"Fail"</formula>
    </cfRule>
  </conditionalFormatting>
  <conditionalFormatting sqref="H758:P758">
    <cfRule type="cellIs" dxfId="16572" priority="16501" stopIfTrue="1" operator="equal">
      <formula>"Pass"</formula>
    </cfRule>
    <cfRule type="cellIs" dxfId="16571" priority="16502" stopIfTrue="1" operator="equal">
      <formula>"Fail"</formula>
    </cfRule>
  </conditionalFormatting>
  <conditionalFormatting sqref="H758:P758">
    <cfRule type="cellIs" dxfId="16570" priority="16499" stopIfTrue="1" operator="equal">
      <formula>"Pass"</formula>
    </cfRule>
    <cfRule type="cellIs" dxfId="16569" priority="16500" stopIfTrue="1" operator="equal">
      <formula>"Fail"</formula>
    </cfRule>
  </conditionalFormatting>
  <conditionalFormatting sqref="I758:P758">
    <cfRule type="cellIs" dxfId="16568" priority="16497" stopIfTrue="1" operator="equal">
      <formula>"Pass"</formula>
    </cfRule>
    <cfRule type="cellIs" dxfId="16567" priority="16498" stopIfTrue="1" operator="equal">
      <formula>"Fail"</formula>
    </cfRule>
  </conditionalFormatting>
  <conditionalFormatting sqref="I758:P758">
    <cfRule type="cellIs" dxfId="16566" priority="16495" stopIfTrue="1" operator="equal">
      <formula>"Pass"</formula>
    </cfRule>
    <cfRule type="cellIs" dxfId="16565" priority="16496" stopIfTrue="1" operator="equal">
      <formula>"Fail"</formula>
    </cfRule>
  </conditionalFormatting>
  <conditionalFormatting sqref="I758:P758">
    <cfRule type="cellIs" dxfId="16564" priority="16493" stopIfTrue="1" operator="equal">
      <formula>"Pass"</formula>
    </cfRule>
    <cfRule type="cellIs" dxfId="16563" priority="16494" stopIfTrue="1" operator="equal">
      <formula>"Fail"</formula>
    </cfRule>
  </conditionalFormatting>
  <conditionalFormatting sqref="I758:P758">
    <cfRule type="cellIs" dxfId="16562" priority="16491" stopIfTrue="1" operator="equal">
      <formula>"Pass"</formula>
    </cfRule>
    <cfRule type="cellIs" dxfId="16561" priority="16492" stopIfTrue="1" operator="equal">
      <formula>"Fail"</formula>
    </cfRule>
  </conditionalFormatting>
  <conditionalFormatting sqref="H758:O758">
    <cfRule type="cellIs" dxfId="16560" priority="16489" stopIfTrue="1" operator="equal">
      <formula>"Pass"</formula>
    </cfRule>
    <cfRule type="cellIs" dxfId="16559" priority="16490" stopIfTrue="1" operator="equal">
      <formula>"Fail"</formula>
    </cfRule>
  </conditionalFormatting>
  <conditionalFormatting sqref="H758:O758">
    <cfRule type="cellIs" dxfId="16558" priority="16487" stopIfTrue="1" operator="equal">
      <formula>"Pass"</formula>
    </cfRule>
    <cfRule type="cellIs" dxfId="16557" priority="16488" stopIfTrue="1" operator="equal">
      <formula>"Fail"</formula>
    </cfRule>
  </conditionalFormatting>
  <conditionalFormatting sqref="I758:P758">
    <cfRule type="cellIs" dxfId="16556" priority="16485" stopIfTrue="1" operator="equal">
      <formula>"Pass"</formula>
    </cfRule>
    <cfRule type="cellIs" dxfId="16555" priority="16486" stopIfTrue="1" operator="equal">
      <formula>"Fail"</formula>
    </cfRule>
  </conditionalFormatting>
  <conditionalFormatting sqref="I758:P758">
    <cfRule type="cellIs" dxfId="16554" priority="16483" stopIfTrue="1" operator="equal">
      <formula>"Pass"</formula>
    </cfRule>
    <cfRule type="cellIs" dxfId="16553" priority="16484" stopIfTrue="1" operator="equal">
      <formula>"Fail"</formula>
    </cfRule>
  </conditionalFormatting>
  <conditionalFormatting sqref="I758:P758">
    <cfRule type="cellIs" dxfId="16552" priority="16481" stopIfTrue="1" operator="equal">
      <formula>"Pass"</formula>
    </cfRule>
    <cfRule type="cellIs" dxfId="16551" priority="16482" stopIfTrue="1" operator="equal">
      <formula>"Fail"</formula>
    </cfRule>
  </conditionalFormatting>
  <conditionalFormatting sqref="I758:P758">
    <cfRule type="cellIs" dxfId="16550" priority="16479" stopIfTrue="1" operator="equal">
      <formula>"Pass"</formula>
    </cfRule>
    <cfRule type="cellIs" dxfId="16549" priority="16480" stopIfTrue="1" operator="equal">
      <formula>"Fail"</formula>
    </cfRule>
  </conditionalFormatting>
  <conditionalFormatting sqref="H758:O758">
    <cfRule type="cellIs" dxfId="16548" priority="16477" stopIfTrue="1" operator="equal">
      <formula>"Pass"</formula>
    </cfRule>
    <cfRule type="cellIs" dxfId="16547" priority="16478" stopIfTrue="1" operator="equal">
      <formula>"Fail"</formula>
    </cfRule>
  </conditionalFormatting>
  <conditionalFormatting sqref="H758:O758">
    <cfRule type="cellIs" dxfId="16546" priority="16475" stopIfTrue="1" operator="equal">
      <formula>"Pass"</formula>
    </cfRule>
    <cfRule type="cellIs" dxfId="16545" priority="16476" stopIfTrue="1" operator="equal">
      <formula>"Fail"</formula>
    </cfRule>
  </conditionalFormatting>
  <conditionalFormatting sqref="I758:P758">
    <cfRule type="cellIs" dxfId="16544" priority="16473" stopIfTrue="1" operator="equal">
      <formula>"Pass"</formula>
    </cfRule>
    <cfRule type="cellIs" dxfId="16543" priority="16474" stopIfTrue="1" operator="equal">
      <formula>"Fail"</formula>
    </cfRule>
  </conditionalFormatting>
  <conditionalFormatting sqref="I758:P758">
    <cfRule type="cellIs" dxfId="16542" priority="16471" stopIfTrue="1" operator="equal">
      <formula>"Pass"</formula>
    </cfRule>
    <cfRule type="cellIs" dxfId="16541" priority="16472" stopIfTrue="1" operator="equal">
      <formula>"Fail"</formula>
    </cfRule>
  </conditionalFormatting>
  <conditionalFormatting sqref="I758:P758">
    <cfRule type="cellIs" dxfId="16540" priority="16469" stopIfTrue="1" operator="equal">
      <formula>"Pass"</formula>
    </cfRule>
    <cfRule type="cellIs" dxfId="16539" priority="16470" stopIfTrue="1" operator="equal">
      <formula>"Fail"</formula>
    </cfRule>
  </conditionalFormatting>
  <conditionalFormatting sqref="I758:P758">
    <cfRule type="cellIs" dxfId="16538" priority="16467" stopIfTrue="1" operator="equal">
      <formula>"Pass"</formula>
    </cfRule>
    <cfRule type="cellIs" dxfId="16537" priority="16468" stopIfTrue="1" operator="equal">
      <formula>"Fail"</formula>
    </cfRule>
  </conditionalFormatting>
  <conditionalFormatting sqref="H758:P758">
    <cfRule type="cellIs" dxfId="16536" priority="16465" stopIfTrue="1" operator="equal">
      <formula>"Pass"</formula>
    </cfRule>
    <cfRule type="cellIs" dxfId="16535" priority="16466" stopIfTrue="1" operator="equal">
      <formula>"Fail"</formula>
    </cfRule>
  </conditionalFormatting>
  <conditionalFormatting sqref="H758:P758">
    <cfRule type="cellIs" dxfId="16534" priority="16463" stopIfTrue="1" operator="equal">
      <formula>"Pass"</formula>
    </cfRule>
    <cfRule type="cellIs" dxfId="16533" priority="16464" stopIfTrue="1" operator="equal">
      <formula>"Fail"</formula>
    </cfRule>
  </conditionalFormatting>
  <conditionalFormatting sqref="I758:P758">
    <cfRule type="cellIs" dxfId="16532" priority="16461" stopIfTrue="1" operator="equal">
      <formula>"Pass"</formula>
    </cfRule>
    <cfRule type="cellIs" dxfId="16531" priority="16462" stopIfTrue="1" operator="equal">
      <formula>"Fail"</formula>
    </cfRule>
  </conditionalFormatting>
  <conditionalFormatting sqref="I758:P758">
    <cfRule type="cellIs" dxfId="16530" priority="16459" stopIfTrue="1" operator="equal">
      <formula>"Pass"</formula>
    </cfRule>
    <cfRule type="cellIs" dxfId="16529" priority="16460" stopIfTrue="1" operator="equal">
      <formula>"Fail"</formula>
    </cfRule>
  </conditionalFormatting>
  <conditionalFormatting sqref="I758:P758">
    <cfRule type="cellIs" dxfId="16528" priority="16457" stopIfTrue="1" operator="equal">
      <formula>"Pass"</formula>
    </cfRule>
    <cfRule type="cellIs" dxfId="16527" priority="16458" stopIfTrue="1" operator="equal">
      <formula>"Fail"</formula>
    </cfRule>
  </conditionalFormatting>
  <conditionalFormatting sqref="I758:P758">
    <cfRule type="cellIs" dxfId="16526" priority="16455" stopIfTrue="1" operator="equal">
      <formula>"Pass"</formula>
    </cfRule>
    <cfRule type="cellIs" dxfId="16525" priority="16456" stopIfTrue="1" operator="equal">
      <formula>"Fail"</formula>
    </cfRule>
  </conditionalFormatting>
  <conditionalFormatting sqref="H758:P758">
    <cfRule type="cellIs" dxfId="16524" priority="16453" stopIfTrue="1" operator="equal">
      <formula>"Pass"</formula>
    </cfRule>
    <cfRule type="cellIs" dxfId="16523" priority="16454" stopIfTrue="1" operator="equal">
      <formula>"Fail"</formula>
    </cfRule>
  </conditionalFormatting>
  <conditionalFormatting sqref="H758:P758">
    <cfRule type="cellIs" dxfId="16522" priority="16451" stopIfTrue="1" operator="equal">
      <formula>"Pass"</formula>
    </cfRule>
    <cfRule type="cellIs" dxfId="16521" priority="16452" stopIfTrue="1" operator="equal">
      <formula>"Fail"</formula>
    </cfRule>
  </conditionalFormatting>
  <conditionalFormatting sqref="I758:P758">
    <cfRule type="cellIs" dxfId="16520" priority="16449" stopIfTrue="1" operator="equal">
      <formula>"Pass"</formula>
    </cfRule>
    <cfRule type="cellIs" dxfId="16519" priority="16450" stopIfTrue="1" operator="equal">
      <formula>"Fail"</formula>
    </cfRule>
  </conditionalFormatting>
  <conditionalFormatting sqref="I758:P758">
    <cfRule type="cellIs" dxfId="16518" priority="16447" stopIfTrue="1" operator="equal">
      <formula>"Pass"</formula>
    </cfRule>
    <cfRule type="cellIs" dxfId="16517" priority="16448" stopIfTrue="1" operator="equal">
      <formula>"Fail"</formula>
    </cfRule>
  </conditionalFormatting>
  <conditionalFormatting sqref="I758:P758">
    <cfRule type="cellIs" dxfId="16516" priority="16445" stopIfTrue="1" operator="equal">
      <formula>"Pass"</formula>
    </cfRule>
    <cfRule type="cellIs" dxfId="16515" priority="16446" stopIfTrue="1" operator="equal">
      <formula>"Fail"</formula>
    </cfRule>
  </conditionalFormatting>
  <conditionalFormatting sqref="I758:P758">
    <cfRule type="cellIs" dxfId="16514" priority="16443" stopIfTrue="1" operator="equal">
      <formula>"Pass"</formula>
    </cfRule>
    <cfRule type="cellIs" dxfId="16513" priority="16444" stopIfTrue="1" operator="equal">
      <formula>"Fail"</formula>
    </cfRule>
  </conditionalFormatting>
  <conditionalFormatting sqref="H758:P758">
    <cfRule type="cellIs" dxfId="16512" priority="16441" stopIfTrue="1" operator="equal">
      <formula>"Pass"</formula>
    </cfRule>
    <cfRule type="cellIs" dxfId="16511" priority="16442" stopIfTrue="1" operator="equal">
      <formula>"Fail"</formula>
    </cfRule>
  </conditionalFormatting>
  <conditionalFormatting sqref="H758:P758">
    <cfRule type="cellIs" dxfId="16510" priority="16439" stopIfTrue="1" operator="equal">
      <formula>"Pass"</formula>
    </cfRule>
    <cfRule type="cellIs" dxfId="16509" priority="16440" stopIfTrue="1" operator="equal">
      <formula>"Fail"</formula>
    </cfRule>
  </conditionalFormatting>
  <conditionalFormatting sqref="I758:P758">
    <cfRule type="cellIs" dxfId="16508" priority="16437" stopIfTrue="1" operator="equal">
      <formula>"Pass"</formula>
    </cfRule>
    <cfRule type="cellIs" dxfId="16507" priority="16438" stopIfTrue="1" operator="equal">
      <formula>"Fail"</formula>
    </cfRule>
  </conditionalFormatting>
  <conditionalFormatting sqref="I758:P758">
    <cfRule type="cellIs" dxfId="16506" priority="16435" stopIfTrue="1" operator="equal">
      <formula>"Pass"</formula>
    </cfRule>
    <cfRule type="cellIs" dxfId="16505" priority="16436" stopIfTrue="1" operator="equal">
      <formula>"Fail"</formula>
    </cfRule>
  </conditionalFormatting>
  <conditionalFormatting sqref="I758:P758">
    <cfRule type="cellIs" dxfId="16504" priority="16433" stopIfTrue="1" operator="equal">
      <formula>"Pass"</formula>
    </cfRule>
    <cfRule type="cellIs" dxfId="16503" priority="16434" stopIfTrue="1" operator="equal">
      <formula>"Fail"</formula>
    </cfRule>
  </conditionalFormatting>
  <conditionalFormatting sqref="I758:P758">
    <cfRule type="cellIs" dxfId="16502" priority="16431" stopIfTrue="1" operator="equal">
      <formula>"Pass"</formula>
    </cfRule>
    <cfRule type="cellIs" dxfId="16501" priority="16432" stopIfTrue="1" operator="equal">
      <formula>"Fail"</formula>
    </cfRule>
  </conditionalFormatting>
  <conditionalFormatting sqref="H758:P758">
    <cfRule type="cellIs" dxfId="16500" priority="16429" stopIfTrue="1" operator="equal">
      <formula>"Pass"</formula>
    </cfRule>
    <cfRule type="cellIs" dxfId="16499" priority="16430" stopIfTrue="1" operator="equal">
      <formula>"Fail"</formula>
    </cfRule>
  </conditionalFormatting>
  <conditionalFormatting sqref="H758:P758">
    <cfRule type="cellIs" dxfId="16498" priority="16427" stopIfTrue="1" operator="equal">
      <formula>"Pass"</formula>
    </cfRule>
    <cfRule type="cellIs" dxfId="16497" priority="16428" stopIfTrue="1" operator="equal">
      <formula>"Fail"</formula>
    </cfRule>
  </conditionalFormatting>
  <conditionalFormatting sqref="I758:P758">
    <cfRule type="cellIs" dxfId="16496" priority="16425" stopIfTrue="1" operator="equal">
      <formula>"Pass"</formula>
    </cfRule>
    <cfRule type="cellIs" dxfId="16495" priority="16426" stopIfTrue="1" operator="equal">
      <formula>"Fail"</formula>
    </cfRule>
  </conditionalFormatting>
  <conditionalFormatting sqref="I758:P758">
    <cfRule type="cellIs" dxfId="16494" priority="16423" stopIfTrue="1" operator="equal">
      <formula>"Pass"</formula>
    </cfRule>
    <cfRule type="cellIs" dxfId="16493" priority="16424" stopIfTrue="1" operator="equal">
      <formula>"Fail"</formula>
    </cfRule>
  </conditionalFormatting>
  <conditionalFormatting sqref="I758:P758">
    <cfRule type="cellIs" dxfId="16492" priority="16421" stopIfTrue="1" operator="equal">
      <formula>"Pass"</formula>
    </cfRule>
    <cfRule type="cellIs" dxfId="16491" priority="16422" stopIfTrue="1" operator="equal">
      <formula>"Fail"</formula>
    </cfRule>
  </conditionalFormatting>
  <conditionalFormatting sqref="I758:P758">
    <cfRule type="cellIs" dxfId="16490" priority="16419" stopIfTrue="1" operator="equal">
      <formula>"Pass"</formula>
    </cfRule>
    <cfRule type="cellIs" dxfId="16489" priority="16420" stopIfTrue="1" operator="equal">
      <formula>"Fail"</formula>
    </cfRule>
  </conditionalFormatting>
  <conditionalFormatting sqref="H758:P758">
    <cfRule type="cellIs" dxfId="16488" priority="16417" stopIfTrue="1" operator="equal">
      <formula>"Pass"</formula>
    </cfRule>
    <cfRule type="cellIs" dxfId="16487" priority="16418" stopIfTrue="1" operator="equal">
      <formula>"Fail"</formula>
    </cfRule>
  </conditionalFormatting>
  <conditionalFormatting sqref="H758:P758">
    <cfRule type="cellIs" dxfId="16486" priority="16415" stopIfTrue="1" operator="equal">
      <formula>"Pass"</formula>
    </cfRule>
    <cfRule type="cellIs" dxfId="16485" priority="16416" stopIfTrue="1" operator="equal">
      <formula>"Fail"</formula>
    </cfRule>
  </conditionalFormatting>
  <conditionalFormatting sqref="I758:P758">
    <cfRule type="cellIs" dxfId="16484" priority="16413" stopIfTrue="1" operator="equal">
      <formula>"Pass"</formula>
    </cfRule>
    <cfRule type="cellIs" dxfId="16483" priority="16414" stopIfTrue="1" operator="equal">
      <formula>"Fail"</formula>
    </cfRule>
  </conditionalFormatting>
  <conditionalFormatting sqref="I758:P758">
    <cfRule type="cellIs" dxfId="16482" priority="16411" stopIfTrue="1" operator="equal">
      <formula>"Pass"</formula>
    </cfRule>
    <cfRule type="cellIs" dxfId="16481" priority="16412" stopIfTrue="1" operator="equal">
      <formula>"Fail"</formula>
    </cfRule>
  </conditionalFormatting>
  <conditionalFormatting sqref="I758:P758">
    <cfRule type="cellIs" dxfId="16480" priority="16409" stopIfTrue="1" operator="equal">
      <formula>"Pass"</formula>
    </cfRule>
    <cfRule type="cellIs" dxfId="16479" priority="16410" stopIfTrue="1" operator="equal">
      <formula>"Fail"</formula>
    </cfRule>
  </conditionalFormatting>
  <conditionalFormatting sqref="I758:P758">
    <cfRule type="cellIs" dxfId="16478" priority="16407" stopIfTrue="1" operator="equal">
      <formula>"Pass"</formula>
    </cfRule>
    <cfRule type="cellIs" dxfId="16477" priority="16408" stopIfTrue="1" operator="equal">
      <formula>"Fail"</formula>
    </cfRule>
  </conditionalFormatting>
  <conditionalFormatting sqref="H758:P758">
    <cfRule type="cellIs" dxfId="16476" priority="16405" stopIfTrue="1" operator="equal">
      <formula>"Pass"</formula>
    </cfRule>
    <cfRule type="cellIs" dxfId="16475" priority="16406" stopIfTrue="1" operator="equal">
      <formula>"Fail"</formula>
    </cfRule>
  </conditionalFormatting>
  <conditionalFormatting sqref="H758:P758">
    <cfRule type="cellIs" dxfId="16474" priority="16403" stopIfTrue="1" operator="equal">
      <formula>"Pass"</formula>
    </cfRule>
    <cfRule type="cellIs" dxfId="16473" priority="16404" stopIfTrue="1" operator="equal">
      <formula>"Fail"</formula>
    </cfRule>
  </conditionalFormatting>
  <conditionalFormatting sqref="I758:P758">
    <cfRule type="cellIs" dxfId="16472" priority="16401" stopIfTrue="1" operator="equal">
      <formula>"Pass"</formula>
    </cfRule>
    <cfRule type="cellIs" dxfId="16471" priority="16402" stopIfTrue="1" operator="equal">
      <formula>"Fail"</formula>
    </cfRule>
  </conditionalFormatting>
  <conditionalFormatting sqref="I758:P758">
    <cfRule type="cellIs" dxfId="16470" priority="16399" stopIfTrue="1" operator="equal">
      <formula>"Pass"</formula>
    </cfRule>
    <cfRule type="cellIs" dxfId="16469" priority="16400" stopIfTrue="1" operator="equal">
      <formula>"Fail"</formula>
    </cfRule>
  </conditionalFormatting>
  <conditionalFormatting sqref="I758:P758">
    <cfRule type="cellIs" dxfId="16468" priority="16397" stopIfTrue="1" operator="equal">
      <formula>"Pass"</formula>
    </cfRule>
    <cfRule type="cellIs" dxfId="16467" priority="16398" stopIfTrue="1" operator="equal">
      <formula>"Fail"</formula>
    </cfRule>
  </conditionalFormatting>
  <conditionalFormatting sqref="I758:P758">
    <cfRule type="cellIs" dxfId="16466" priority="16395" stopIfTrue="1" operator="equal">
      <formula>"Pass"</formula>
    </cfRule>
    <cfRule type="cellIs" dxfId="16465" priority="16396" stopIfTrue="1" operator="equal">
      <formula>"Fail"</formula>
    </cfRule>
  </conditionalFormatting>
  <conditionalFormatting sqref="H758:P758">
    <cfRule type="cellIs" dxfId="16464" priority="16393" stopIfTrue="1" operator="equal">
      <formula>"Pass"</formula>
    </cfRule>
    <cfRule type="cellIs" dxfId="16463" priority="16394" stopIfTrue="1" operator="equal">
      <formula>"Fail"</formula>
    </cfRule>
  </conditionalFormatting>
  <conditionalFormatting sqref="H758:P758">
    <cfRule type="cellIs" dxfId="16462" priority="16391" stopIfTrue="1" operator="equal">
      <formula>"Pass"</formula>
    </cfRule>
    <cfRule type="cellIs" dxfId="16461" priority="16392" stopIfTrue="1" operator="equal">
      <formula>"Fail"</formula>
    </cfRule>
  </conditionalFormatting>
  <conditionalFormatting sqref="I758:P758">
    <cfRule type="cellIs" dxfId="16460" priority="16389" stopIfTrue="1" operator="equal">
      <formula>"Pass"</formula>
    </cfRule>
    <cfRule type="cellIs" dxfId="16459" priority="16390" stopIfTrue="1" operator="equal">
      <formula>"Fail"</formula>
    </cfRule>
  </conditionalFormatting>
  <conditionalFormatting sqref="I758:P758">
    <cfRule type="cellIs" dxfId="16458" priority="16387" stopIfTrue="1" operator="equal">
      <formula>"Pass"</formula>
    </cfRule>
    <cfRule type="cellIs" dxfId="16457" priority="16388" stopIfTrue="1" operator="equal">
      <formula>"Fail"</formula>
    </cfRule>
  </conditionalFormatting>
  <conditionalFormatting sqref="I758:P758">
    <cfRule type="cellIs" dxfId="16456" priority="16385" stopIfTrue="1" operator="equal">
      <formula>"Pass"</formula>
    </cfRule>
    <cfRule type="cellIs" dxfId="16455" priority="16386" stopIfTrue="1" operator="equal">
      <formula>"Fail"</formula>
    </cfRule>
  </conditionalFormatting>
  <conditionalFormatting sqref="I758:P758">
    <cfRule type="cellIs" dxfId="16454" priority="16383" stopIfTrue="1" operator="equal">
      <formula>"Pass"</formula>
    </cfRule>
    <cfRule type="cellIs" dxfId="16453" priority="16384" stopIfTrue="1" operator="equal">
      <formula>"Fail"</formula>
    </cfRule>
  </conditionalFormatting>
  <conditionalFormatting sqref="H758:P758">
    <cfRule type="cellIs" dxfId="16452" priority="16381" stopIfTrue="1" operator="equal">
      <formula>"Pass"</formula>
    </cfRule>
    <cfRule type="cellIs" dxfId="16451" priority="16382" stopIfTrue="1" operator="equal">
      <formula>"Fail"</formula>
    </cfRule>
  </conditionalFormatting>
  <conditionalFormatting sqref="H758:P758">
    <cfRule type="cellIs" dxfId="16450" priority="16379" stopIfTrue="1" operator="equal">
      <formula>"Pass"</formula>
    </cfRule>
    <cfRule type="cellIs" dxfId="16449" priority="16380" stopIfTrue="1" operator="equal">
      <formula>"Fail"</formula>
    </cfRule>
  </conditionalFormatting>
  <conditionalFormatting sqref="I758:P758">
    <cfRule type="cellIs" dxfId="16448" priority="16377" stopIfTrue="1" operator="equal">
      <formula>"Pass"</formula>
    </cfRule>
    <cfRule type="cellIs" dxfId="16447" priority="16378" stopIfTrue="1" operator="equal">
      <formula>"Fail"</formula>
    </cfRule>
  </conditionalFormatting>
  <conditionalFormatting sqref="I758:P758">
    <cfRule type="cellIs" dxfId="16446" priority="16375" stopIfTrue="1" operator="equal">
      <formula>"Pass"</formula>
    </cfRule>
    <cfRule type="cellIs" dxfId="16445" priority="16376" stopIfTrue="1" operator="equal">
      <formula>"Fail"</formula>
    </cfRule>
  </conditionalFormatting>
  <conditionalFormatting sqref="I758:P758">
    <cfRule type="cellIs" dxfId="16444" priority="16373" stopIfTrue="1" operator="equal">
      <formula>"Pass"</formula>
    </cfRule>
    <cfRule type="cellIs" dxfId="16443" priority="16374" stopIfTrue="1" operator="equal">
      <formula>"Fail"</formula>
    </cfRule>
  </conditionalFormatting>
  <conditionalFormatting sqref="I758:P758">
    <cfRule type="cellIs" dxfId="16442" priority="16371" stopIfTrue="1" operator="equal">
      <formula>"Pass"</formula>
    </cfRule>
    <cfRule type="cellIs" dxfId="16441" priority="16372" stopIfTrue="1" operator="equal">
      <formula>"Fail"</formula>
    </cfRule>
  </conditionalFormatting>
  <conditionalFormatting sqref="H758:P758">
    <cfRule type="cellIs" dxfId="16440" priority="16369" stopIfTrue="1" operator="equal">
      <formula>"Pass"</formula>
    </cfRule>
    <cfRule type="cellIs" dxfId="16439" priority="16370" stopIfTrue="1" operator="equal">
      <formula>"Fail"</formula>
    </cfRule>
  </conditionalFormatting>
  <conditionalFormatting sqref="H758:P758">
    <cfRule type="cellIs" dxfId="16438" priority="16367" stopIfTrue="1" operator="equal">
      <formula>"Pass"</formula>
    </cfRule>
    <cfRule type="cellIs" dxfId="16437" priority="16368" stopIfTrue="1" operator="equal">
      <formula>"Fail"</formula>
    </cfRule>
  </conditionalFormatting>
  <conditionalFormatting sqref="I758:P758">
    <cfRule type="cellIs" dxfId="16436" priority="16365" stopIfTrue="1" operator="equal">
      <formula>"Pass"</formula>
    </cfRule>
    <cfRule type="cellIs" dxfId="16435" priority="16366" stopIfTrue="1" operator="equal">
      <formula>"Fail"</formula>
    </cfRule>
  </conditionalFormatting>
  <conditionalFormatting sqref="I758:P758">
    <cfRule type="cellIs" dxfId="16434" priority="16363" stopIfTrue="1" operator="equal">
      <formula>"Pass"</formula>
    </cfRule>
    <cfRule type="cellIs" dxfId="16433" priority="16364" stopIfTrue="1" operator="equal">
      <formula>"Fail"</formula>
    </cfRule>
  </conditionalFormatting>
  <conditionalFormatting sqref="I758:P758">
    <cfRule type="cellIs" dxfId="16432" priority="16361" stopIfTrue="1" operator="equal">
      <formula>"Pass"</formula>
    </cfRule>
    <cfRule type="cellIs" dxfId="16431" priority="16362" stopIfTrue="1" operator="equal">
      <formula>"Fail"</formula>
    </cfRule>
  </conditionalFormatting>
  <conditionalFormatting sqref="I758:P758">
    <cfRule type="cellIs" dxfId="16430" priority="16359" stopIfTrue="1" operator="equal">
      <formula>"Pass"</formula>
    </cfRule>
    <cfRule type="cellIs" dxfId="16429" priority="16360" stopIfTrue="1" operator="equal">
      <formula>"Fail"</formula>
    </cfRule>
  </conditionalFormatting>
  <conditionalFormatting sqref="H758:P758">
    <cfRule type="cellIs" dxfId="16428" priority="16357" stopIfTrue="1" operator="equal">
      <formula>"Pass"</formula>
    </cfRule>
    <cfRule type="cellIs" dxfId="16427" priority="16358" stopIfTrue="1" operator="equal">
      <formula>"Fail"</formula>
    </cfRule>
  </conditionalFormatting>
  <conditionalFormatting sqref="H758:P758">
    <cfRule type="cellIs" dxfId="16426" priority="16355" stopIfTrue="1" operator="equal">
      <formula>"Pass"</formula>
    </cfRule>
    <cfRule type="cellIs" dxfId="16425" priority="16356" stopIfTrue="1" operator="equal">
      <formula>"Fail"</formula>
    </cfRule>
  </conditionalFormatting>
  <conditionalFormatting sqref="I758:P758">
    <cfRule type="cellIs" dxfId="16424" priority="16353" stopIfTrue="1" operator="equal">
      <formula>"Pass"</formula>
    </cfRule>
    <cfRule type="cellIs" dxfId="16423" priority="16354" stopIfTrue="1" operator="equal">
      <formula>"Fail"</formula>
    </cfRule>
  </conditionalFormatting>
  <conditionalFormatting sqref="I758:P758">
    <cfRule type="cellIs" dxfId="16422" priority="16351" stopIfTrue="1" operator="equal">
      <formula>"Pass"</formula>
    </cfRule>
    <cfRule type="cellIs" dxfId="16421" priority="16352" stopIfTrue="1" operator="equal">
      <formula>"Fail"</formula>
    </cfRule>
  </conditionalFormatting>
  <conditionalFormatting sqref="I758:P758">
    <cfRule type="cellIs" dxfId="16420" priority="16349" stopIfTrue="1" operator="equal">
      <formula>"Pass"</formula>
    </cfRule>
    <cfRule type="cellIs" dxfId="16419" priority="16350" stopIfTrue="1" operator="equal">
      <formula>"Fail"</formula>
    </cfRule>
  </conditionalFormatting>
  <conditionalFormatting sqref="I758:P758">
    <cfRule type="cellIs" dxfId="16418" priority="16347" stopIfTrue="1" operator="equal">
      <formula>"Pass"</formula>
    </cfRule>
    <cfRule type="cellIs" dxfId="16417" priority="16348" stopIfTrue="1" operator="equal">
      <formula>"Fail"</formula>
    </cfRule>
  </conditionalFormatting>
  <conditionalFormatting sqref="H758:P758">
    <cfRule type="cellIs" dxfId="16416" priority="16345" stopIfTrue="1" operator="equal">
      <formula>"Pass"</formula>
    </cfRule>
    <cfRule type="cellIs" dxfId="16415" priority="16346" stopIfTrue="1" operator="equal">
      <formula>"Fail"</formula>
    </cfRule>
  </conditionalFormatting>
  <conditionalFormatting sqref="H758:P758">
    <cfRule type="cellIs" dxfId="16414" priority="16343" stopIfTrue="1" operator="equal">
      <formula>"Pass"</formula>
    </cfRule>
    <cfRule type="cellIs" dxfId="16413" priority="16344" stopIfTrue="1" operator="equal">
      <formula>"Fail"</formula>
    </cfRule>
  </conditionalFormatting>
  <conditionalFormatting sqref="I758:P758">
    <cfRule type="cellIs" dxfId="16412" priority="16341" stopIfTrue="1" operator="equal">
      <formula>"Pass"</formula>
    </cfRule>
    <cfRule type="cellIs" dxfId="16411" priority="16342" stopIfTrue="1" operator="equal">
      <formula>"Fail"</formula>
    </cfRule>
  </conditionalFormatting>
  <conditionalFormatting sqref="I758:P758">
    <cfRule type="cellIs" dxfId="16410" priority="16339" stopIfTrue="1" operator="equal">
      <formula>"Pass"</formula>
    </cfRule>
    <cfRule type="cellIs" dxfId="16409" priority="16340" stopIfTrue="1" operator="equal">
      <formula>"Fail"</formula>
    </cfRule>
  </conditionalFormatting>
  <conditionalFormatting sqref="I758:P758">
    <cfRule type="cellIs" dxfId="16408" priority="16337" stopIfTrue="1" operator="equal">
      <formula>"Pass"</formula>
    </cfRule>
    <cfRule type="cellIs" dxfId="16407" priority="16338" stopIfTrue="1" operator="equal">
      <formula>"Fail"</formula>
    </cfRule>
  </conditionalFormatting>
  <conditionalFormatting sqref="I758:P758">
    <cfRule type="cellIs" dxfId="16406" priority="16335" stopIfTrue="1" operator="equal">
      <formula>"Pass"</formula>
    </cfRule>
    <cfRule type="cellIs" dxfId="16405" priority="16336" stopIfTrue="1" operator="equal">
      <formula>"Fail"</formula>
    </cfRule>
  </conditionalFormatting>
  <conditionalFormatting sqref="H758:P758">
    <cfRule type="cellIs" dxfId="16404" priority="16333" stopIfTrue="1" operator="equal">
      <formula>"Pass"</formula>
    </cfRule>
    <cfRule type="cellIs" dxfId="16403" priority="16334" stopIfTrue="1" operator="equal">
      <formula>"Fail"</formula>
    </cfRule>
  </conditionalFormatting>
  <conditionalFormatting sqref="H758:P758">
    <cfRule type="cellIs" dxfId="16402" priority="16331" stopIfTrue="1" operator="equal">
      <formula>"Pass"</formula>
    </cfRule>
    <cfRule type="cellIs" dxfId="16401" priority="16332" stopIfTrue="1" operator="equal">
      <formula>"Fail"</formula>
    </cfRule>
  </conditionalFormatting>
  <conditionalFormatting sqref="I758:P758">
    <cfRule type="cellIs" dxfId="16400" priority="16329" stopIfTrue="1" operator="equal">
      <formula>"Pass"</formula>
    </cfRule>
    <cfRule type="cellIs" dxfId="16399" priority="16330" stopIfTrue="1" operator="equal">
      <formula>"Fail"</formula>
    </cfRule>
  </conditionalFormatting>
  <conditionalFormatting sqref="I758:P758">
    <cfRule type="cellIs" dxfId="16398" priority="16327" stopIfTrue="1" operator="equal">
      <formula>"Pass"</formula>
    </cfRule>
    <cfRule type="cellIs" dxfId="16397" priority="16328" stopIfTrue="1" operator="equal">
      <formula>"Fail"</formula>
    </cfRule>
  </conditionalFormatting>
  <conditionalFormatting sqref="I758:P758">
    <cfRule type="cellIs" dxfId="16396" priority="16325" stopIfTrue="1" operator="equal">
      <formula>"Pass"</formula>
    </cfRule>
    <cfRule type="cellIs" dxfId="16395" priority="16326" stopIfTrue="1" operator="equal">
      <formula>"Fail"</formula>
    </cfRule>
  </conditionalFormatting>
  <conditionalFormatting sqref="I758:P758">
    <cfRule type="cellIs" dxfId="16394" priority="16323" stopIfTrue="1" operator="equal">
      <formula>"Pass"</formula>
    </cfRule>
    <cfRule type="cellIs" dxfId="16393" priority="16324" stopIfTrue="1" operator="equal">
      <formula>"Fail"</formula>
    </cfRule>
  </conditionalFormatting>
  <conditionalFormatting sqref="E758">
    <cfRule type="cellIs" dxfId="16392" priority="16321" stopIfTrue="1" operator="equal">
      <formula>"Pass"</formula>
    </cfRule>
    <cfRule type="cellIs" dxfId="16391" priority="16322" stopIfTrue="1" operator="equal">
      <formula>"Fail"</formula>
    </cfRule>
  </conditionalFormatting>
  <conditionalFormatting sqref="E758">
    <cfRule type="cellIs" dxfId="16390" priority="16319" stopIfTrue="1" operator="equal">
      <formula>"Pass"</formula>
    </cfRule>
    <cfRule type="cellIs" dxfId="16389" priority="16320" stopIfTrue="1" operator="equal">
      <formula>"Fail"</formula>
    </cfRule>
  </conditionalFormatting>
  <conditionalFormatting sqref="E758">
    <cfRule type="cellIs" dxfId="16388" priority="16317" stopIfTrue="1" operator="equal">
      <formula>"Pass"</formula>
    </cfRule>
    <cfRule type="cellIs" dxfId="16387" priority="16318" stopIfTrue="1" operator="equal">
      <formula>"Fail"</formula>
    </cfRule>
  </conditionalFormatting>
  <conditionalFormatting sqref="E758">
    <cfRule type="cellIs" dxfId="16386" priority="16315" stopIfTrue="1" operator="equal">
      <formula>"Pass"</formula>
    </cfRule>
    <cfRule type="cellIs" dxfId="16385" priority="16316" stopIfTrue="1" operator="equal">
      <formula>"Fail"</formula>
    </cfRule>
  </conditionalFormatting>
  <conditionalFormatting sqref="E758">
    <cfRule type="cellIs" dxfId="16384" priority="16313" stopIfTrue="1" operator="equal">
      <formula>"Pass"</formula>
    </cfRule>
    <cfRule type="cellIs" dxfId="16383" priority="16314" stopIfTrue="1" operator="equal">
      <formula>"Fail"</formula>
    </cfRule>
  </conditionalFormatting>
  <conditionalFormatting sqref="E758">
    <cfRule type="cellIs" dxfId="16382" priority="16311" stopIfTrue="1" operator="equal">
      <formula>"Pass"</formula>
    </cfRule>
    <cfRule type="cellIs" dxfId="16381" priority="16312" stopIfTrue="1" operator="equal">
      <formula>"Fail"</formula>
    </cfRule>
  </conditionalFormatting>
  <conditionalFormatting sqref="H758:P758">
    <cfRule type="cellIs" dxfId="16380" priority="16309" stopIfTrue="1" operator="equal">
      <formula>"Pass"</formula>
    </cfRule>
    <cfRule type="cellIs" dxfId="16379" priority="16310" stopIfTrue="1" operator="equal">
      <formula>"Fail"</formula>
    </cfRule>
  </conditionalFormatting>
  <conditionalFormatting sqref="H758:P758">
    <cfRule type="cellIs" dxfId="16378" priority="16307" stopIfTrue="1" operator="equal">
      <formula>"Pass"</formula>
    </cfRule>
    <cfRule type="cellIs" dxfId="16377" priority="16308" stopIfTrue="1" operator="equal">
      <formula>"Fail"</formula>
    </cfRule>
  </conditionalFormatting>
  <conditionalFormatting sqref="I758:P758">
    <cfRule type="cellIs" dxfId="16376" priority="16305" stopIfTrue="1" operator="equal">
      <formula>"Pass"</formula>
    </cfRule>
    <cfRule type="cellIs" dxfId="16375" priority="16306" stopIfTrue="1" operator="equal">
      <formula>"Fail"</formula>
    </cfRule>
  </conditionalFormatting>
  <conditionalFormatting sqref="I758:P758">
    <cfRule type="cellIs" dxfId="16374" priority="16303" stopIfTrue="1" operator="equal">
      <formula>"Pass"</formula>
    </cfRule>
    <cfRule type="cellIs" dxfId="16373" priority="16304" stopIfTrue="1" operator="equal">
      <formula>"Fail"</formula>
    </cfRule>
  </conditionalFormatting>
  <conditionalFormatting sqref="I758:P758">
    <cfRule type="cellIs" dxfId="16372" priority="16301" stopIfTrue="1" operator="equal">
      <formula>"Pass"</formula>
    </cfRule>
    <cfRule type="cellIs" dxfId="16371" priority="16302" stopIfTrue="1" operator="equal">
      <formula>"Fail"</formula>
    </cfRule>
  </conditionalFormatting>
  <conditionalFormatting sqref="I758:P758">
    <cfRule type="cellIs" dxfId="16370" priority="16299" stopIfTrue="1" operator="equal">
      <formula>"Pass"</formula>
    </cfRule>
    <cfRule type="cellIs" dxfId="16369" priority="16300" stopIfTrue="1" operator="equal">
      <formula>"Fail"</formula>
    </cfRule>
  </conditionalFormatting>
  <conditionalFormatting sqref="H758:P758">
    <cfRule type="cellIs" dxfId="16368" priority="16297" stopIfTrue="1" operator="equal">
      <formula>"Pass"</formula>
    </cfRule>
    <cfRule type="cellIs" dxfId="16367" priority="16298" stopIfTrue="1" operator="equal">
      <formula>"Fail"</formula>
    </cfRule>
  </conditionalFormatting>
  <conditionalFormatting sqref="H758:P758">
    <cfRule type="cellIs" dxfId="16366" priority="16295" stopIfTrue="1" operator="equal">
      <formula>"Pass"</formula>
    </cfRule>
    <cfRule type="cellIs" dxfId="16365" priority="16296" stopIfTrue="1" operator="equal">
      <formula>"Fail"</formula>
    </cfRule>
  </conditionalFormatting>
  <conditionalFormatting sqref="I758:P758">
    <cfRule type="cellIs" dxfId="16364" priority="16293" stopIfTrue="1" operator="equal">
      <formula>"Pass"</formula>
    </cfRule>
    <cfRule type="cellIs" dxfId="16363" priority="16294" stopIfTrue="1" operator="equal">
      <formula>"Fail"</formula>
    </cfRule>
  </conditionalFormatting>
  <conditionalFormatting sqref="I758:P758">
    <cfRule type="cellIs" dxfId="16362" priority="16291" stopIfTrue="1" operator="equal">
      <formula>"Pass"</formula>
    </cfRule>
    <cfRule type="cellIs" dxfId="16361" priority="16292" stopIfTrue="1" operator="equal">
      <formula>"Fail"</formula>
    </cfRule>
  </conditionalFormatting>
  <conditionalFormatting sqref="I758:P758">
    <cfRule type="cellIs" dxfId="16360" priority="16289" stopIfTrue="1" operator="equal">
      <formula>"Pass"</formula>
    </cfRule>
    <cfRule type="cellIs" dxfId="16359" priority="16290" stopIfTrue="1" operator="equal">
      <formula>"Fail"</formula>
    </cfRule>
  </conditionalFormatting>
  <conditionalFormatting sqref="I758:P758">
    <cfRule type="cellIs" dxfId="16358" priority="16287" stopIfTrue="1" operator="equal">
      <formula>"Pass"</formula>
    </cfRule>
    <cfRule type="cellIs" dxfId="16357" priority="16288" stopIfTrue="1" operator="equal">
      <formula>"Fail"</formula>
    </cfRule>
  </conditionalFormatting>
  <conditionalFormatting sqref="H758:P758">
    <cfRule type="cellIs" dxfId="16356" priority="16285" stopIfTrue="1" operator="equal">
      <formula>"Pass"</formula>
    </cfRule>
    <cfRule type="cellIs" dxfId="16355" priority="16286" stopIfTrue="1" operator="equal">
      <formula>"Fail"</formula>
    </cfRule>
  </conditionalFormatting>
  <conditionalFormatting sqref="H758:P758">
    <cfRule type="cellIs" dxfId="16354" priority="16283" stopIfTrue="1" operator="equal">
      <formula>"Pass"</formula>
    </cfRule>
    <cfRule type="cellIs" dxfId="16353" priority="16284" stopIfTrue="1" operator="equal">
      <formula>"Fail"</formula>
    </cfRule>
  </conditionalFormatting>
  <conditionalFormatting sqref="I758:P758">
    <cfRule type="cellIs" dxfId="16352" priority="16281" stopIfTrue="1" operator="equal">
      <formula>"Pass"</formula>
    </cfRule>
    <cfRule type="cellIs" dxfId="16351" priority="16282" stopIfTrue="1" operator="equal">
      <formula>"Fail"</formula>
    </cfRule>
  </conditionalFormatting>
  <conditionalFormatting sqref="I758:P758">
    <cfRule type="cellIs" dxfId="16350" priority="16279" stopIfTrue="1" operator="equal">
      <formula>"Pass"</formula>
    </cfRule>
    <cfRule type="cellIs" dxfId="16349" priority="16280" stopIfTrue="1" operator="equal">
      <formula>"Fail"</formula>
    </cfRule>
  </conditionalFormatting>
  <conditionalFormatting sqref="I758:P758">
    <cfRule type="cellIs" dxfId="16348" priority="16277" stopIfTrue="1" operator="equal">
      <formula>"Pass"</formula>
    </cfRule>
    <cfRule type="cellIs" dxfId="16347" priority="16278" stopIfTrue="1" operator="equal">
      <formula>"Fail"</formula>
    </cfRule>
  </conditionalFormatting>
  <conditionalFormatting sqref="I758:P758">
    <cfRule type="cellIs" dxfId="16346" priority="16275" stopIfTrue="1" operator="equal">
      <formula>"Pass"</formula>
    </cfRule>
    <cfRule type="cellIs" dxfId="16345" priority="16276" stopIfTrue="1" operator="equal">
      <formula>"Fail"</formula>
    </cfRule>
  </conditionalFormatting>
  <conditionalFormatting sqref="H758:P758">
    <cfRule type="cellIs" dxfId="16344" priority="16273" stopIfTrue="1" operator="equal">
      <formula>"Pass"</formula>
    </cfRule>
    <cfRule type="cellIs" dxfId="16343" priority="16274" stopIfTrue="1" operator="equal">
      <formula>"Fail"</formula>
    </cfRule>
  </conditionalFormatting>
  <conditionalFormatting sqref="H758:P758">
    <cfRule type="cellIs" dxfId="16342" priority="16271" stopIfTrue="1" operator="equal">
      <formula>"Pass"</formula>
    </cfRule>
    <cfRule type="cellIs" dxfId="16341" priority="16272" stopIfTrue="1" operator="equal">
      <formula>"Fail"</formula>
    </cfRule>
  </conditionalFormatting>
  <conditionalFormatting sqref="I758:P758">
    <cfRule type="cellIs" dxfId="16340" priority="16269" stopIfTrue="1" operator="equal">
      <formula>"Pass"</formula>
    </cfRule>
    <cfRule type="cellIs" dxfId="16339" priority="16270" stopIfTrue="1" operator="equal">
      <formula>"Fail"</formula>
    </cfRule>
  </conditionalFormatting>
  <conditionalFormatting sqref="I758:P758">
    <cfRule type="cellIs" dxfId="16338" priority="16267" stopIfTrue="1" operator="equal">
      <formula>"Pass"</formula>
    </cfRule>
    <cfRule type="cellIs" dxfId="16337" priority="16268" stopIfTrue="1" operator="equal">
      <formula>"Fail"</formula>
    </cfRule>
  </conditionalFormatting>
  <conditionalFormatting sqref="I758:P758">
    <cfRule type="cellIs" dxfId="16336" priority="16265" stopIfTrue="1" operator="equal">
      <formula>"Pass"</formula>
    </cfRule>
    <cfRule type="cellIs" dxfId="16335" priority="16266" stopIfTrue="1" operator="equal">
      <formula>"Fail"</formula>
    </cfRule>
  </conditionalFormatting>
  <conditionalFormatting sqref="I758:P758">
    <cfRule type="cellIs" dxfId="16334" priority="16263" stopIfTrue="1" operator="equal">
      <formula>"Pass"</formula>
    </cfRule>
    <cfRule type="cellIs" dxfId="16333" priority="16264" stopIfTrue="1" operator="equal">
      <formula>"Fail"</formula>
    </cfRule>
  </conditionalFormatting>
  <conditionalFormatting sqref="H758:P758">
    <cfRule type="cellIs" dxfId="16332" priority="16261" stopIfTrue="1" operator="equal">
      <formula>"Pass"</formula>
    </cfRule>
    <cfRule type="cellIs" dxfId="16331" priority="16262" stopIfTrue="1" operator="equal">
      <formula>"Fail"</formula>
    </cfRule>
  </conditionalFormatting>
  <conditionalFormatting sqref="H758:P758">
    <cfRule type="cellIs" dxfId="16330" priority="16259" stopIfTrue="1" operator="equal">
      <formula>"Pass"</formula>
    </cfRule>
    <cfRule type="cellIs" dxfId="16329" priority="16260" stopIfTrue="1" operator="equal">
      <formula>"Fail"</formula>
    </cfRule>
  </conditionalFormatting>
  <conditionalFormatting sqref="I758:P758">
    <cfRule type="cellIs" dxfId="16328" priority="16257" stopIfTrue="1" operator="equal">
      <formula>"Pass"</formula>
    </cfRule>
    <cfRule type="cellIs" dxfId="16327" priority="16258" stopIfTrue="1" operator="equal">
      <formula>"Fail"</formula>
    </cfRule>
  </conditionalFormatting>
  <conditionalFormatting sqref="I758:P758">
    <cfRule type="cellIs" dxfId="16326" priority="16255" stopIfTrue="1" operator="equal">
      <formula>"Pass"</formula>
    </cfRule>
    <cfRule type="cellIs" dxfId="16325" priority="16256" stopIfTrue="1" operator="equal">
      <formula>"Fail"</formula>
    </cfRule>
  </conditionalFormatting>
  <conditionalFormatting sqref="I758:P758">
    <cfRule type="cellIs" dxfId="16324" priority="16253" stopIfTrue="1" operator="equal">
      <formula>"Pass"</formula>
    </cfRule>
    <cfRule type="cellIs" dxfId="16323" priority="16254" stopIfTrue="1" operator="equal">
      <formula>"Fail"</formula>
    </cfRule>
  </conditionalFormatting>
  <conditionalFormatting sqref="I758:P758">
    <cfRule type="cellIs" dxfId="16322" priority="16251" stopIfTrue="1" operator="equal">
      <formula>"Pass"</formula>
    </cfRule>
    <cfRule type="cellIs" dxfId="16321" priority="16252" stopIfTrue="1" operator="equal">
      <formula>"Fail"</formula>
    </cfRule>
  </conditionalFormatting>
  <conditionalFormatting sqref="H758:P758">
    <cfRule type="cellIs" dxfId="16320" priority="16249" stopIfTrue="1" operator="equal">
      <formula>"Pass"</formula>
    </cfRule>
    <cfRule type="cellIs" dxfId="16319" priority="16250" stopIfTrue="1" operator="equal">
      <formula>"Fail"</formula>
    </cfRule>
  </conditionalFormatting>
  <conditionalFormatting sqref="H758:P758">
    <cfRule type="cellIs" dxfId="16318" priority="16247" stopIfTrue="1" operator="equal">
      <formula>"Pass"</formula>
    </cfRule>
    <cfRule type="cellIs" dxfId="16317" priority="16248" stopIfTrue="1" operator="equal">
      <formula>"Fail"</formula>
    </cfRule>
  </conditionalFormatting>
  <conditionalFormatting sqref="I758:P758">
    <cfRule type="cellIs" dxfId="16316" priority="16245" stopIfTrue="1" operator="equal">
      <formula>"Pass"</formula>
    </cfRule>
    <cfRule type="cellIs" dxfId="16315" priority="16246" stopIfTrue="1" operator="equal">
      <formula>"Fail"</formula>
    </cfRule>
  </conditionalFormatting>
  <conditionalFormatting sqref="I758:P758">
    <cfRule type="cellIs" dxfId="16314" priority="16243" stopIfTrue="1" operator="equal">
      <formula>"Pass"</formula>
    </cfRule>
    <cfRule type="cellIs" dxfId="16313" priority="16244" stopIfTrue="1" operator="equal">
      <formula>"Fail"</formula>
    </cfRule>
  </conditionalFormatting>
  <conditionalFormatting sqref="I758:P758">
    <cfRule type="cellIs" dxfId="16312" priority="16241" stopIfTrue="1" operator="equal">
      <formula>"Pass"</formula>
    </cfRule>
    <cfRule type="cellIs" dxfId="16311" priority="16242" stopIfTrue="1" operator="equal">
      <formula>"Fail"</formula>
    </cfRule>
  </conditionalFormatting>
  <conditionalFormatting sqref="I758:P758">
    <cfRule type="cellIs" dxfId="16310" priority="16239" stopIfTrue="1" operator="equal">
      <formula>"Pass"</formula>
    </cfRule>
    <cfRule type="cellIs" dxfId="16309" priority="16240" stopIfTrue="1" operator="equal">
      <formula>"Fail"</formula>
    </cfRule>
  </conditionalFormatting>
  <conditionalFormatting sqref="H758:P758">
    <cfRule type="cellIs" dxfId="16308" priority="16237" stopIfTrue="1" operator="equal">
      <formula>"Pass"</formula>
    </cfRule>
    <cfRule type="cellIs" dxfId="16307" priority="16238" stopIfTrue="1" operator="equal">
      <formula>"Fail"</formula>
    </cfRule>
  </conditionalFormatting>
  <conditionalFormatting sqref="H758:P758">
    <cfRule type="cellIs" dxfId="16306" priority="16235" stopIfTrue="1" operator="equal">
      <formula>"Pass"</formula>
    </cfRule>
    <cfRule type="cellIs" dxfId="16305" priority="16236" stopIfTrue="1" operator="equal">
      <formula>"Fail"</formula>
    </cfRule>
  </conditionalFormatting>
  <conditionalFormatting sqref="I758:P758">
    <cfRule type="cellIs" dxfId="16304" priority="16233" stopIfTrue="1" operator="equal">
      <formula>"Pass"</formula>
    </cfRule>
    <cfRule type="cellIs" dxfId="16303" priority="16234" stopIfTrue="1" operator="equal">
      <formula>"Fail"</formula>
    </cfRule>
  </conditionalFormatting>
  <conditionalFormatting sqref="I758:P758">
    <cfRule type="cellIs" dxfId="16302" priority="16231" stopIfTrue="1" operator="equal">
      <formula>"Pass"</formula>
    </cfRule>
    <cfRule type="cellIs" dxfId="16301" priority="16232" stopIfTrue="1" operator="equal">
      <formula>"Fail"</formula>
    </cfRule>
  </conditionalFormatting>
  <conditionalFormatting sqref="I758:P758">
    <cfRule type="cellIs" dxfId="16300" priority="16229" stopIfTrue="1" operator="equal">
      <formula>"Pass"</formula>
    </cfRule>
    <cfRule type="cellIs" dxfId="16299" priority="16230" stopIfTrue="1" operator="equal">
      <formula>"Fail"</formula>
    </cfRule>
  </conditionalFormatting>
  <conditionalFormatting sqref="I758:P758">
    <cfRule type="cellIs" dxfId="16298" priority="16227" stopIfTrue="1" operator="equal">
      <formula>"Pass"</formula>
    </cfRule>
    <cfRule type="cellIs" dxfId="16297" priority="16228" stopIfTrue="1" operator="equal">
      <formula>"Fail"</formula>
    </cfRule>
  </conditionalFormatting>
  <conditionalFormatting sqref="H758:P758">
    <cfRule type="cellIs" dxfId="16296" priority="16225" stopIfTrue="1" operator="equal">
      <formula>"Pass"</formula>
    </cfRule>
    <cfRule type="cellIs" dxfId="16295" priority="16226" stopIfTrue="1" operator="equal">
      <formula>"Fail"</formula>
    </cfRule>
  </conditionalFormatting>
  <conditionalFormatting sqref="H758:P758">
    <cfRule type="cellIs" dxfId="16294" priority="16223" stopIfTrue="1" operator="equal">
      <formula>"Pass"</formula>
    </cfRule>
    <cfRule type="cellIs" dxfId="16293" priority="16224" stopIfTrue="1" operator="equal">
      <formula>"Fail"</formula>
    </cfRule>
  </conditionalFormatting>
  <conditionalFormatting sqref="I758:P758">
    <cfRule type="cellIs" dxfId="16292" priority="16221" stopIfTrue="1" operator="equal">
      <formula>"Pass"</formula>
    </cfRule>
    <cfRule type="cellIs" dxfId="16291" priority="16222" stopIfTrue="1" operator="equal">
      <formula>"Fail"</formula>
    </cfRule>
  </conditionalFormatting>
  <conditionalFormatting sqref="I758:P758">
    <cfRule type="cellIs" dxfId="16290" priority="16219" stopIfTrue="1" operator="equal">
      <formula>"Pass"</formula>
    </cfRule>
    <cfRule type="cellIs" dxfId="16289" priority="16220" stopIfTrue="1" operator="equal">
      <formula>"Fail"</formula>
    </cfRule>
  </conditionalFormatting>
  <conditionalFormatting sqref="I758:P758">
    <cfRule type="cellIs" dxfId="16288" priority="16217" stopIfTrue="1" operator="equal">
      <formula>"Pass"</formula>
    </cfRule>
    <cfRule type="cellIs" dxfId="16287" priority="16218" stopIfTrue="1" operator="equal">
      <formula>"Fail"</formula>
    </cfRule>
  </conditionalFormatting>
  <conditionalFormatting sqref="I758:P758">
    <cfRule type="cellIs" dxfId="16286" priority="16215" stopIfTrue="1" operator="equal">
      <formula>"Pass"</formula>
    </cfRule>
    <cfRule type="cellIs" dxfId="16285" priority="16216" stopIfTrue="1" operator="equal">
      <formula>"Fail"</formula>
    </cfRule>
  </conditionalFormatting>
  <conditionalFormatting sqref="H758:O758">
    <cfRule type="cellIs" dxfId="16284" priority="16213" stopIfTrue="1" operator="equal">
      <formula>"Pass"</formula>
    </cfRule>
    <cfRule type="cellIs" dxfId="16283" priority="16214" stopIfTrue="1" operator="equal">
      <formula>"Fail"</formula>
    </cfRule>
  </conditionalFormatting>
  <conditionalFormatting sqref="H758:O758">
    <cfRule type="cellIs" dxfId="16282" priority="16211" stopIfTrue="1" operator="equal">
      <formula>"Pass"</formula>
    </cfRule>
    <cfRule type="cellIs" dxfId="16281" priority="16212" stopIfTrue="1" operator="equal">
      <formula>"Fail"</formula>
    </cfRule>
  </conditionalFormatting>
  <conditionalFormatting sqref="I758:P758">
    <cfRule type="cellIs" dxfId="16280" priority="16209" stopIfTrue="1" operator="equal">
      <formula>"Pass"</formula>
    </cfRule>
    <cfRule type="cellIs" dxfId="16279" priority="16210" stopIfTrue="1" operator="equal">
      <formula>"Fail"</formula>
    </cfRule>
  </conditionalFormatting>
  <conditionalFormatting sqref="I758:P758">
    <cfRule type="cellIs" dxfId="16278" priority="16207" stopIfTrue="1" operator="equal">
      <formula>"Pass"</formula>
    </cfRule>
    <cfRule type="cellIs" dxfId="16277" priority="16208" stopIfTrue="1" operator="equal">
      <formula>"Fail"</formula>
    </cfRule>
  </conditionalFormatting>
  <conditionalFormatting sqref="I758:P758">
    <cfRule type="cellIs" dxfId="16276" priority="16205" stopIfTrue="1" operator="equal">
      <formula>"Pass"</formula>
    </cfRule>
    <cfRule type="cellIs" dxfId="16275" priority="16206" stopIfTrue="1" operator="equal">
      <formula>"Fail"</formula>
    </cfRule>
  </conditionalFormatting>
  <conditionalFormatting sqref="I758:P758">
    <cfRule type="cellIs" dxfId="16274" priority="16203" stopIfTrue="1" operator="equal">
      <formula>"Pass"</formula>
    </cfRule>
    <cfRule type="cellIs" dxfId="16273" priority="16204" stopIfTrue="1" operator="equal">
      <formula>"Fail"</formula>
    </cfRule>
  </conditionalFormatting>
  <conditionalFormatting sqref="H758:O758">
    <cfRule type="cellIs" dxfId="16272" priority="16201" stopIfTrue="1" operator="equal">
      <formula>"Pass"</formula>
    </cfRule>
    <cfRule type="cellIs" dxfId="16271" priority="16202" stopIfTrue="1" operator="equal">
      <formula>"Fail"</formula>
    </cfRule>
  </conditionalFormatting>
  <conditionalFormatting sqref="H758:O758">
    <cfRule type="cellIs" dxfId="16270" priority="16199" stopIfTrue="1" operator="equal">
      <formula>"Pass"</formula>
    </cfRule>
    <cfRule type="cellIs" dxfId="16269" priority="16200" stopIfTrue="1" operator="equal">
      <formula>"Fail"</formula>
    </cfRule>
  </conditionalFormatting>
  <conditionalFormatting sqref="I758:P758">
    <cfRule type="cellIs" dxfId="16268" priority="16197" stopIfTrue="1" operator="equal">
      <formula>"Pass"</formula>
    </cfRule>
    <cfRule type="cellIs" dxfId="16267" priority="16198" stopIfTrue="1" operator="equal">
      <formula>"Fail"</formula>
    </cfRule>
  </conditionalFormatting>
  <conditionalFormatting sqref="I758:P758">
    <cfRule type="cellIs" dxfId="16266" priority="16195" stopIfTrue="1" operator="equal">
      <formula>"Pass"</formula>
    </cfRule>
    <cfRule type="cellIs" dxfId="16265" priority="16196" stopIfTrue="1" operator="equal">
      <formula>"Fail"</formula>
    </cfRule>
  </conditionalFormatting>
  <conditionalFormatting sqref="I758:P758">
    <cfRule type="cellIs" dxfId="16264" priority="16193" stopIfTrue="1" operator="equal">
      <formula>"Pass"</formula>
    </cfRule>
    <cfRule type="cellIs" dxfId="16263" priority="16194" stopIfTrue="1" operator="equal">
      <formula>"Fail"</formula>
    </cfRule>
  </conditionalFormatting>
  <conditionalFormatting sqref="I758:P758">
    <cfRule type="cellIs" dxfId="16262" priority="16191" stopIfTrue="1" operator="equal">
      <formula>"Pass"</formula>
    </cfRule>
    <cfRule type="cellIs" dxfId="16261" priority="16192" stopIfTrue="1" operator="equal">
      <formula>"Fail"</formula>
    </cfRule>
  </conditionalFormatting>
  <conditionalFormatting sqref="H758:P758">
    <cfRule type="cellIs" dxfId="16260" priority="16189" stopIfTrue="1" operator="equal">
      <formula>"Pass"</formula>
    </cfRule>
    <cfRule type="cellIs" dxfId="16259" priority="16190" stopIfTrue="1" operator="equal">
      <formula>"Fail"</formula>
    </cfRule>
  </conditionalFormatting>
  <conditionalFormatting sqref="H758:P758">
    <cfRule type="cellIs" dxfId="16258" priority="16187" stopIfTrue="1" operator="equal">
      <formula>"Pass"</formula>
    </cfRule>
    <cfRule type="cellIs" dxfId="16257" priority="16188" stopIfTrue="1" operator="equal">
      <formula>"Fail"</formula>
    </cfRule>
  </conditionalFormatting>
  <conditionalFormatting sqref="I758:P758">
    <cfRule type="cellIs" dxfId="16256" priority="16185" stopIfTrue="1" operator="equal">
      <formula>"Pass"</formula>
    </cfRule>
    <cfRule type="cellIs" dxfId="16255" priority="16186" stopIfTrue="1" operator="equal">
      <formula>"Fail"</formula>
    </cfRule>
  </conditionalFormatting>
  <conditionalFormatting sqref="I758:P758">
    <cfRule type="cellIs" dxfId="16254" priority="16183" stopIfTrue="1" operator="equal">
      <formula>"Pass"</formula>
    </cfRule>
    <cfRule type="cellIs" dxfId="16253" priority="16184" stopIfTrue="1" operator="equal">
      <formula>"Fail"</formula>
    </cfRule>
  </conditionalFormatting>
  <conditionalFormatting sqref="I758:P758">
    <cfRule type="cellIs" dxfId="16252" priority="16181" stopIfTrue="1" operator="equal">
      <formula>"Pass"</formula>
    </cfRule>
    <cfRule type="cellIs" dxfId="16251" priority="16182" stopIfTrue="1" operator="equal">
      <formula>"Fail"</formula>
    </cfRule>
  </conditionalFormatting>
  <conditionalFormatting sqref="I758:P758">
    <cfRule type="cellIs" dxfId="16250" priority="16179" stopIfTrue="1" operator="equal">
      <formula>"Pass"</formula>
    </cfRule>
    <cfRule type="cellIs" dxfId="16249" priority="16180" stopIfTrue="1" operator="equal">
      <formula>"Fail"</formula>
    </cfRule>
  </conditionalFormatting>
  <conditionalFormatting sqref="H758:P758">
    <cfRule type="cellIs" dxfId="16248" priority="16177" stopIfTrue="1" operator="equal">
      <formula>"Pass"</formula>
    </cfRule>
    <cfRule type="cellIs" dxfId="16247" priority="16178" stopIfTrue="1" operator="equal">
      <formula>"Fail"</formula>
    </cfRule>
  </conditionalFormatting>
  <conditionalFormatting sqref="H758:P758">
    <cfRule type="cellIs" dxfId="16246" priority="16175" stopIfTrue="1" operator="equal">
      <formula>"Pass"</formula>
    </cfRule>
    <cfRule type="cellIs" dxfId="16245" priority="16176" stopIfTrue="1" operator="equal">
      <formula>"Fail"</formula>
    </cfRule>
  </conditionalFormatting>
  <conditionalFormatting sqref="I758:P758">
    <cfRule type="cellIs" dxfId="16244" priority="16173" stopIfTrue="1" operator="equal">
      <formula>"Pass"</formula>
    </cfRule>
    <cfRule type="cellIs" dxfId="16243" priority="16174" stopIfTrue="1" operator="equal">
      <formula>"Fail"</formula>
    </cfRule>
  </conditionalFormatting>
  <conditionalFormatting sqref="I758:P758">
    <cfRule type="cellIs" dxfId="16242" priority="16171" stopIfTrue="1" operator="equal">
      <formula>"Pass"</formula>
    </cfRule>
    <cfRule type="cellIs" dxfId="16241" priority="16172" stopIfTrue="1" operator="equal">
      <formula>"Fail"</formula>
    </cfRule>
  </conditionalFormatting>
  <conditionalFormatting sqref="I758:P758">
    <cfRule type="cellIs" dxfId="16240" priority="16169" stopIfTrue="1" operator="equal">
      <formula>"Pass"</formula>
    </cfRule>
    <cfRule type="cellIs" dxfId="16239" priority="16170" stopIfTrue="1" operator="equal">
      <formula>"Fail"</formula>
    </cfRule>
  </conditionalFormatting>
  <conditionalFormatting sqref="I758:P758">
    <cfRule type="cellIs" dxfId="16238" priority="16167" stopIfTrue="1" operator="equal">
      <formula>"Pass"</formula>
    </cfRule>
    <cfRule type="cellIs" dxfId="16237" priority="16168" stopIfTrue="1" operator="equal">
      <formula>"Fail"</formula>
    </cfRule>
  </conditionalFormatting>
  <conditionalFormatting sqref="H758:P758">
    <cfRule type="cellIs" dxfId="16236" priority="16165" stopIfTrue="1" operator="equal">
      <formula>"Pass"</formula>
    </cfRule>
    <cfRule type="cellIs" dxfId="16235" priority="16166" stopIfTrue="1" operator="equal">
      <formula>"Fail"</formula>
    </cfRule>
  </conditionalFormatting>
  <conditionalFormatting sqref="H758:P758">
    <cfRule type="cellIs" dxfId="16234" priority="16163" stopIfTrue="1" operator="equal">
      <formula>"Pass"</formula>
    </cfRule>
    <cfRule type="cellIs" dxfId="16233" priority="16164" stopIfTrue="1" operator="equal">
      <formula>"Fail"</formula>
    </cfRule>
  </conditionalFormatting>
  <conditionalFormatting sqref="I758:P758">
    <cfRule type="cellIs" dxfId="16232" priority="16161" stopIfTrue="1" operator="equal">
      <formula>"Pass"</formula>
    </cfRule>
    <cfRule type="cellIs" dxfId="16231" priority="16162" stopIfTrue="1" operator="equal">
      <formula>"Fail"</formula>
    </cfRule>
  </conditionalFormatting>
  <conditionalFormatting sqref="I758:P758">
    <cfRule type="cellIs" dxfId="16230" priority="16159" stopIfTrue="1" operator="equal">
      <formula>"Pass"</formula>
    </cfRule>
    <cfRule type="cellIs" dxfId="16229" priority="16160" stopIfTrue="1" operator="equal">
      <formula>"Fail"</formula>
    </cfRule>
  </conditionalFormatting>
  <conditionalFormatting sqref="I758:P758">
    <cfRule type="cellIs" dxfId="16228" priority="16157" stopIfTrue="1" operator="equal">
      <formula>"Pass"</formula>
    </cfRule>
    <cfRule type="cellIs" dxfId="16227" priority="16158" stopIfTrue="1" operator="equal">
      <formula>"Fail"</formula>
    </cfRule>
  </conditionalFormatting>
  <conditionalFormatting sqref="I758:P758">
    <cfRule type="cellIs" dxfId="16226" priority="16155" stopIfTrue="1" operator="equal">
      <formula>"Pass"</formula>
    </cfRule>
    <cfRule type="cellIs" dxfId="16225" priority="16156" stopIfTrue="1" operator="equal">
      <formula>"Fail"</formula>
    </cfRule>
  </conditionalFormatting>
  <conditionalFormatting sqref="H758:P758">
    <cfRule type="cellIs" dxfId="16224" priority="16153" stopIfTrue="1" operator="equal">
      <formula>"Pass"</formula>
    </cfRule>
    <cfRule type="cellIs" dxfId="16223" priority="16154" stopIfTrue="1" operator="equal">
      <formula>"Fail"</formula>
    </cfRule>
  </conditionalFormatting>
  <conditionalFormatting sqref="H758:P758">
    <cfRule type="cellIs" dxfId="16222" priority="16151" stopIfTrue="1" operator="equal">
      <formula>"Pass"</formula>
    </cfRule>
    <cfRule type="cellIs" dxfId="16221" priority="16152" stopIfTrue="1" operator="equal">
      <formula>"Fail"</formula>
    </cfRule>
  </conditionalFormatting>
  <conditionalFormatting sqref="I758:P758">
    <cfRule type="cellIs" dxfId="16220" priority="16149" stopIfTrue="1" operator="equal">
      <formula>"Pass"</formula>
    </cfRule>
    <cfRule type="cellIs" dxfId="16219" priority="16150" stopIfTrue="1" operator="equal">
      <formula>"Fail"</formula>
    </cfRule>
  </conditionalFormatting>
  <conditionalFormatting sqref="I758:P758">
    <cfRule type="cellIs" dxfId="16218" priority="16147" stopIfTrue="1" operator="equal">
      <formula>"Pass"</formula>
    </cfRule>
    <cfRule type="cellIs" dxfId="16217" priority="16148" stopIfTrue="1" operator="equal">
      <formula>"Fail"</formula>
    </cfRule>
  </conditionalFormatting>
  <conditionalFormatting sqref="I758:P758">
    <cfRule type="cellIs" dxfId="16216" priority="16145" stopIfTrue="1" operator="equal">
      <formula>"Pass"</formula>
    </cfRule>
    <cfRule type="cellIs" dxfId="16215" priority="16146" stopIfTrue="1" operator="equal">
      <formula>"Fail"</formula>
    </cfRule>
  </conditionalFormatting>
  <conditionalFormatting sqref="I758:P758">
    <cfRule type="cellIs" dxfId="16214" priority="16143" stopIfTrue="1" operator="equal">
      <formula>"Pass"</formula>
    </cfRule>
    <cfRule type="cellIs" dxfId="16213" priority="16144" stopIfTrue="1" operator="equal">
      <formula>"Fail"</formula>
    </cfRule>
  </conditionalFormatting>
  <conditionalFormatting sqref="E758 H758:P758">
    <cfRule type="cellIs" dxfId="16212" priority="16141" stopIfTrue="1" operator="equal">
      <formula>"Pass"</formula>
    </cfRule>
    <cfRule type="cellIs" dxfId="16211" priority="16142" stopIfTrue="1" operator="equal">
      <formula>"Fail"</formula>
    </cfRule>
  </conditionalFormatting>
  <conditionalFormatting sqref="H758:O758">
    <cfRule type="cellIs" dxfId="16210" priority="16139" stopIfTrue="1" operator="equal">
      <formula>"Pass"</formula>
    </cfRule>
    <cfRule type="cellIs" dxfId="16209" priority="16140" stopIfTrue="1" operator="equal">
      <formula>"Fail"</formula>
    </cfRule>
  </conditionalFormatting>
  <conditionalFormatting sqref="H758:O758">
    <cfRule type="cellIs" dxfId="16208" priority="16137" stopIfTrue="1" operator="equal">
      <formula>"Pass"</formula>
    </cfRule>
    <cfRule type="cellIs" dxfId="16207" priority="16138" stopIfTrue="1" operator="equal">
      <formula>"Fail"</formula>
    </cfRule>
  </conditionalFormatting>
  <conditionalFormatting sqref="I758:P758">
    <cfRule type="cellIs" dxfId="16206" priority="16135" stopIfTrue="1" operator="equal">
      <formula>"Pass"</formula>
    </cfRule>
    <cfRule type="cellIs" dxfId="16205" priority="16136" stopIfTrue="1" operator="equal">
      <formula>"Fail"</formula>
    </cfRule>
  </conditionalFormatting>
  <conditionalFormatting sqref="I758:P758">
    <cfRule type="cellIs" dxfId="16204" priority="16133" stopIfTrue="1" operator="equal">
      <formula>"Pass"</formula>
    </cfRule>
    <cfRule type="cellIs" dxfId="16203" priority="16134" stopIfTrue="1" operator="equal">
      <formula>"Fail"</formula>
    </cfRule>
  </conditionalFormatting>
  <conditionalFormatting sqref="I758:P758">
    <cfRule type="cellIs" dxfId="16202" priority="16131" stopIfTrue="1" operator="equal">
      <formula>"Pass"</formula>
    </cfRule>
    <cfRule type="cellIs" dxfId="16201" priority="16132" stopIfTrue="1" operator="equal">
      <formula>"Fail"</formula>
    </cfRule>
  </conditionalFormatting>
  <conditionalFormatting sqref="I758:P758">
    <cfRule type="cellIs" dxfId="16200" priority="16129" stopIfTrue="1" operator="equal">
      <formula>"Pass"</formula>
    </cfRule>
    <cfRule type="cellIs" dxfId="16199" priority="16130" stopIfTrue="1" operator="equal">
      <formula>"Fail"</formula>
    </cfRule>
  </conditionalFormatting>
  <conditionalFormatting sqref="H758:O758">
    <cfRule type="cellIs" dxfId="16198" priority="16127" stopIfTrue="1" operator="equal">
      <formula>"Pass"</formula>
    </cfRule>
    <cfRule type="cellIs" dxfId="16197" priority="16128" stopIfTrue="1" operator="equal">
      <formula>"Fail"</formula>
    </cfRule>
  </conditionalFormatting>
  <conditionalFormatting sqref="H758:O758">
    <cfRule type="cellIs" dxfId="16196" priority="16125" stopIfTrue="1" operator="equal">
      <formula>"Pass"</formula>
    </cfRule>
    <cfRule type="cellIs" dxfId="16195" priority="16126" stopIfTrue="1" operator="equal">
      <formula>"Fail"</formula>
    </cfRule>
  </conditionalFormatting>
  <conditionalFormatting sqref="I758:P758">
    <cfRule type="cellIs" dxfId="16194" priority="16123" stopIfTrue="1" operator="equal">
      <formula>"Pass"</formula>
    </cfRule>
    <cfRule type="cellIs" dxfId="16193" priority="16124" stopIfTrue="1" operator="equal">
      <formula>"Fail"</formula>
    </cfRule>
  </conditionalFormatting>
  <conditionalFormatting sqref="I758:P758">
    <cfRule type="cellIs" dxfId="16192" priority="16121" stopIfTrue="1" operator="equal">
      <formula>"Pass"</formula>
    </cfRule>
    <cfRule type="cellIs" dxfId="16191" priority="16122" stopIfTrue="1" operator="equal">
      <formula>"Fail"</formula>
    </cfRule>
  </conditionalFormatting>
  <conditionalFormatting sqref="I758:P758">
    <cfRule type="cellIs" dxfId="16190" priority="16119" stopIfTrue="1" operator="equal">
      <formula>"Pass"</formula>
    </cfRule>
    <cfRule type="cellIs" dxfId="16189" priority="16120" stopIfTrue="1" operator="equal">
      <formula>"Fail"</formula>
    </cfRule>
  </conditionalFormatting>
  <conditionalFormatting sqref="I758:P758">
    <cfRule type="cellIs" dxfId="16188" priority="16117" stopIfTrue="1" operator="equal">
      <formula>"Pass"</formula>
    </cfRule>
    <cfRule type="cellIs" dxfId="16187" priority="16118" stopIfTrue="1" operator="equal">
      <formula>"Fail"</formula>
    </cfRule>
  </conditionalFormatting>
  <conditionalFormatting sqref="H758:O758">
    <cfRule type="cellIs" dxfId="16186" priority="16115" stopIfTrue="1" operator="equal">
      <formula>"Pass"</formula>
    </cfRule>
    <cfRule type="cellIs" dxfId="16185" priority="16116" stopIfTrue="1" operator="equal">
      <formula>"Fail"</formula>
    </cfRule>
  </conditionalFormatting>
  <conditionalFormatting sqref="H758:O758">
    <cfRule type="cellIs" dxfId="16184" priority="16113" stopIfTrue="1" operator="equal">
      <formula>"Pass"</formula>
    </cfRule>
    <cfRule type="cellIs" dxfId="16183" priority="16114" stopIfTrue="1" operator="equal">
      <formula>"Fail"</formula>
    </cfRule>
  </conditionalFormatting>
  <conditionalFormatting sqref="I758:P758">
    <cfRule type="cellIs" dxfId="16182" priority="16111" stopIfTrue="1" operator="equal">
      <formula>"Pass"</formula>
    </cfRule>
    <cfRule type="cellIs" dxfId="16181" priority="16112" stopIfTrue="1" operator="equal">
      <formula>"Fail"</formula>
    </cfRule>
  </conditionalFormatting>
  <conditionalFormatting sqref="I758:P758">
    <cfRule type="cellIs" dxfId="16180" priority="16109" stopIfTrue="1" operator="equal">
      <formula>"Pass"</formula>
    </cfRule>
    <cfRule type="cellIs" dxfId="16179" priority="16110" stopIfTrue="1" operator="equal">
      <formula>"Fail"</formula>
    </cfRule>
  </conditionalFormatting>
  <conditionalFormatting sqref="I758:P758">
    <cfRule type="cellIs" dxfId="16178" priority="16107" stopIfTrue="1" operator="equal">
      <formula>"Pass"</formula>
    </cfRule>
    <cfRule type="cellIs" dxfId="16177" priority="16108" stopIfTrue="1" operator="equal">
      <formula>"Fail"</formula>
    </cfRule>
  </conditionalFormatting>
  <conditionalFormatting sqref="I758:P758">
    <cfRule type="cellIs" dxfId="16176" priority="16105" stopIfTrue="1" operator="equal">
      <formula>"Pass"</formula>
    </cfRule>
    <cfRule type="cellIs" dxfId="16175" priority="16106" stopIfTrue="1" operator="equal">
      <formula>"Fail"</formula>
    </cfRule>
  </conditionalFormatting>
  <conditionalFormatting sqref="H758:O758">
    <cfRule type="cellIs" dxfId="16174" priority="16103" stopIfTrue="1" operator="equal">
      <formula>"Pass"</formula>
    </cfRule>
    <cfRule type="cellIs" dxfId="16173" priority="16104" stopIfTrue="1" operator="equal">
      <formula>"Fail"</formula>
    </cfRule>
  </conditionalFormatting>
  <conditionalFormatting sqref="H758:O758">
    <cfRule type="cellIs" dxfId="16172" priority="16101" stopIfTrue="1" operator="equal">
      <formula>"Pass"</formula>
    </cfRule>
    <cfRule type="cellIs" dxfId="16171" priority="16102" stopIfTrue="1" operator="equal">
      <formula>"Fail"</formula>
    </cfRule>
  </conditionalFormatting>
  <conditionalFormatting sqref="I758:P758">
    <cfRule type="cellIs" dxfId="16170" priority="16099" stopIfTrue="1" operator="equal">
      <formula>"Pass"</formula>
    </cfRule>
    <cfRule type="cellIs" dxfId="16169" priority="16100" stopIfTrue="1" operator="equal">
      <formula>"Fail"</formula>
    </cfRule>
  </conditionalFormatting>
  <conditionalFormatting sqref="I758:P758">
    <cfRule type="cellIs" dxfId="16168" priority="16097" stopIfTrue="1" operator="equal">
      <formula>"Pass"</formula>
    </cfRule>
    <cfRule type="cellIs" dxfId="16167" priority="16098" stopIfTrue="1" operator="equal">
      <formula>"Fail"</formula>
    </cfRule>
  </conditionalFormatting>
  <conditionalFormatting sqref="I758:P758">
    <cfRule type="cellIs" dxfId="16166" priority="16095" stopIfTrue="1" operator="equal">
      <formula>"Pass"</formula>
    </cfRule>
    <cfRule type="cellIs" dxfId="16165" priority="16096" stopIfTrue="1" operator="equal">
      <formula>"Fail"</formula>
    </cfRule>
  </conditionalFormatting>
  <conditionalFormatting sqref="I758:P758">
    <cfRule type="cellIs" dxfId="16164" priority="16093" stopIfTrue="1" operator="equal">
      <formula>"Pass"</formula>
    </cfRule>
    <cfRule type="cellIs" dxfId="16163" priority="16094" stopIfTrue="1" operator="equal">
      <formula>"Fail"</formula>
    </cfRule>
  </conditionalFormatting>
  <conditionalFormatting sqref="H758:O758">
    <cfRule type="cellIs" dxfId="16162" priority="16091" stopIfTrue="1" operator="equal">
      <formula>"Pass"</formula>
    </cfRule>
    <cfRule type="cellIs" dxfId="16161" priority="16092" stopIfTrue="1" operator="equal">
      <formula>"Fail"</formula>
    </cfRule>
  </conditionalFormatting>
  <conditionalFormatting sqref="H758:O758">
    <cfRule type="cellIs" dxfId="16160" priority="16089" stopIfTrue="1" operator="equal">
      <formula>"Pass"</formula>
    </cfRule>
    <cfRule type="cellIs" dxfId="16159" priority="16090" stopIfTrue="1" operator="equal">
      <formula>"Fail"</formula>
    </cfRule>
  </conditionalFormatting>
  <conditionalFormatting sqref="I758:P758">
    <cfRule type="cellIs" dxfId="16158" priority="16087" stopIfTrue="1" operator="equal">
      <formula>"Pass"</formula>
    </cfRule>
    <cfRule type="cellIs" dxfId="16157" priority="16088" stopIfTrue="1" operator="equal">
      <formula>"Fail"</formula>
    </cfRule>
  </conditionalFormatting>
  <conditionalFormatting sqref="I758:P758">
    <cfRule type="cellIs" dxfId="16156" priority="16085" stopIfTrue="1" operator="equal">
      <formula>"Pass"</formula>
    </cfRule>
    <cfRule type="cellIs" dxfId="16155" priority="16086" stopIfTrue="1" operator="equal">
      <formula>"Fail"</formula>
    </cfRule>
  </conditionalFormatting>
  <conditionalFormatting sqref="I758:P758">
    <cfRule type="cellIs" dxfId="16154" priority="16083" stopIfTrue="1" operator="equal">
      <formula>"Pass"</formula>
    </cfRule>
    <cfRule type="cellIs" dxfId="16153" priority="16084" stopIfTrue="1" operator="equal">
      <formula>"Fail"</formula>
    </cfRule>
  </conditionalFormatting>
  <conditionalFormatting sqref="I758:P758">
    <cfRule type="cellIs" dxfId="16152" priority="16081" stopIfTrue="1" operator="equal">
      <formula>"Pass"</formula>
    </cfRule>
    <cfRule type="cellIs" dxfId="16151" priority="16082" stopIfTrue="1" operator="equal">
      <formula>"Fail"</formula>
    </cfRule>
  </conditionalFormatting>
  <conditionalFormatting sqref="H758:O758">
    <cfRule type="cellIs" dxfId="16150" priority="16079" stopIfTrue="1" operator="equal">
      <formula>"Pass"</formula>
    </cfRule>
    <cfRule type="cellIs" dxfId="16149" priority="16080" stopIfTrue="1" operator="equal">
      <formula>"Fail"</formula>
    </cfRule>
  </conditionalFormatting>
  <conditionalFormatting sqref="H758:O758">
    <cfRule type="cellIs" dxfId="16148" priority="16077" stopIfTrue="1" operator="equal">
      <formula>"Pass"</formula>
    </cfRule>
    <cfRule type="cellIs" dxfId="16147" priority="16078" stopIfTrue="1" operator="equal">
      <formula>"Fail"</formula>
    </cfRule>
  </conditionalFormatting>
  <conditionalFormatting sqref="I758:P758">
    <cfRule type="cellIs" dxfId="16146" priority="16075" stopIfTrue="1" operator="equal">
      <formula>"Pass"</formula>
    </cfRule>
    <cfRule type="cellIs" dxfId="16145" priority="16076" stopIfTrue="1" operator="equal">
      <formula>"Fail"</formula>
    </cfRule>
  </conditionalFormatting>
  <conditionalFormatting sqref="I758:P758">
    <cfRule type="cellIs" dxfId="16144" priority="16073" stopIfTrue="1" operator="equal">
      <formula>"Pass"</formula>
    </cfRule>
    <cfRule type="cellIs" dxfId="16143" priority="16074" stopIfTrue="1" operator="equal">
      <formula>"Fail"</formula>
    </cfRule>
  </conditionalFormatting>
  <conditionalFormatting sqref="I758:P758">
    <cfRule type="cellIs" dxfId="16142" priority="16071" stopIfTrue="1" operator="equal">
      <formula>"Pass"</formula>
    </cfRule>
    <cfRule type="cellIs" dxfId="16141" priority="16072" stopIfTrue="1" operator="equal">
      <formula>"Fail"</formula>
    </cfRule>
  </conditionalFormatting>
  <conditionalFormatting sqref="I758:P758">
    <cfRule type="cellIs" dxfId="16140" priority="16069" stopIfTrue="1" operator="equal">
      <formula>"Pass"</formula>
    </cfRule>
    <cfRule type="cellIs" dxfId="16139" priority="16070" stopIfTrue="1" operator="equal">
      <formula>"Fail"</formula>
    </cfRule>
  </conditionalFormatting>
  <conditionalFormatting sqref="H758:O758">
    <cfRule type="cellIs" dxfId="16138" priority="16067" stopIfTrue="1" operator="equal">
      <formula>"Pass"</formula>
    </cfRule>
    <cfRule type="cellIs" dxfId="16137" priority="16068" stopIfTrue="1" operator="equal">
      <formula>"Fail"</formula>
    </cfRule>
  </conditionalFormatting>
  <conditionalFormatting sqref="H758:O758">
    <cfRule type="cellIs" dxfId="16136" priority="16065" stopIfTrue="1" operator="equal">
      <formula>"Pass"</formula>
    </cfRule>
    <cfRule type="cellIs" dxfId="16135" priority="16066" stopIfTrue="1" operator="equal">
      <formula>"Fail"</formula>
    </cfRule>
  </conditionalFormatting>
  <conditionalFormatting sqref="I758:P758">
    <cfRule type="cellIs" dxfId="16134" priority="16063" stopIfTrue="1" operator="equal">
      <formula>"Pass"</formula>
    </cfRule>
    <cfRule type="cellIs" dxfId="16133" priority="16064" stopIfTrue="1" operator="equal">
      <formula>"Fail"</formula>
    </cfRule>
  </conditionalFormatting>
  <conditionalFormatting sqref="I758:P758">
    <cfRule type="cellIs" dxfId="16132" priority="16061" stopIfTrue="1" operator="equal">
      <formula>"Pass"</formula>
    </cfRule>
    <cfRule type="cellIs" dxfId="16131" priority="16062" stopIfTrue="1" operator="equal">
      <formula>"Fail"</formula>
    </cfRule>
  </conditionalFormatting>
  <conditionalFormatting sqref="I758:P758">
    <cfRule type="cellIs" dxfId="16130" priority="16059" stopIfTrue="1" operator="equal">
      <formula>"Pass"</formula>
    </cfRule>
    <cfRule type="cellIs" dxfId="16129" priority="16060" stopIfTrue="1" operator="equal">
      <formula>"Fail"</formula>
    </cfRule>
  </conditionalFormatting>
  <conditionalFormatting sqref="I758:P758">
    <cfRule type="cellIs" dxfId="16128" priority="16057" stopIfTrue="1" operator="equal">
      <formula>"Pass"</formula>
    </cfRule>
    <cfRule type="cellIs" dxfId="16127" priority="16058" stopIfTrue="1" operator="equal">
      <formula>"Fail"</formula>
    </cfRule>
  </conditionalFormatting>
  <conditionalFormatting sqref="H758:O758">
    <cfRule type="cellIs" dxfId="16126" priority="16055" stopIfTrue="1" operator="equal">
      <formula>"Pass"</formula>
    </cfRule>
    <cfRule type="cellIs" dxfId="16125" priority="16056" stopIfTrue="1" operator="equal">
      <formula>"Fail"</formula>
    </cfRule>
  </conditionalFormatting>
  <conditionalFormatting sqref="H758:O758">
    <cfRule type="cellIs" dxfId="16124" priority="16053" stopIfTrue="1" operator="equal">
      <formula>"Pass"</formula>
    </cfRule>
    <cfRule type="cellIs" dxfId="16123" priority="16054" stopIfTrue="1" operator="equal">
      <formula>"Fail"</formula>
    </cfRule>
  </conditionalFormatting>
  <conditionalFormatting sqref="I758:P758">
    <cfRule type="cellIs" dxfId="16122" priority="16051" stopIfTrue="1" operator="equal">
      <formula>"Pass"</formula>
    </cfRule>
    <cfRule type="cellIs" dxfId="16121" priority="16052" stopIfTrue="1" operator="equal">
      <formula>"Fail"</formula>
    </cfRule>
  </conditionalFormatting>
  <conditionalFormatting sqref="I758:P758">
    <cfRule type="cellIs" dxfId="16120" priority="16049" stopIfTrue="1" operator="equal">
      <formula>"Pass"</formula>
    </cfRule>
    <cfRule type="cellIs" dxfId="16119" priority="16050" stopIfTrue="1" operator="equal">
      <formula>"Fail"</formula>
    </cfRule>
  </conditionalFormatting>
  <conditionalFormatting sqref="I758:P758">
    <cfRule type="cellIs" dxfId="16118" priority="16047" stopIfTrue="1" operator="equal">
      <formula>"Pass"</formula>
    </cfRule>
    <cfRule type="cellIs" dxfId="16117" priority="16048" stopIfTrue="1" operator="equal">
      <formula>"Fail"</formula>
    </cfRule>
  </conditionalFormatting>
  <conditionalFormatting sqref="I758:P758">
    <cfRule type="cellIs" dxfId="16116" priority="16045" stopIfTrue="1" operator="equal">
      <formula>"Pass"</formula>
    </cfRule>
    <cfRule type="cellIs" dxfId="16115" priority="16046" stopIfTrue="1" operator="equal">
      <formula>"Fail"</formula>
    </cfRule>
  </conditionalFormatting>
  <conditionalFormatting sqref="H758:O758">
    <cfRule type="cellIs" dxfId="16114" priority="16043" stopIfTrue="1" operator="equal">
      <formula>"Pass"</formula>
    </cfRule>
    <cfRule type="cellIs" dxfId="16113" priority="16044" stopIfTrue="1" operator="equal">
      <formula>"Fail"</formula>
    </cfRule>
  </conditionalFormatting>
  <conditionalFormatting sqref="H758:O758">
    <cfRule type="cellIs" dxfId="16112" priority="16041" stopIfTrue="1" operator="equal">
      <formula>"Pass"</formula>
    </cfRule>
    <cfRule type="cellIs" dxfId="16111" priority="16042" stopIfTrue="1" operator="equal">
      <formula>"Fail"</formula>
    </cfRule>
  </conditionalFormatting>
  <conditionalFormatting sqref="I758:P758">
    <cfRule type="cellIs" dxfId="16110" priority="16039" stopIfTrue="1" operator="equal">
      <formula>"Pass"</formula>
    </cfRule>
    <cfRule type="cellIs" dxfId="16109" priority="16040" stopIfTrue="1" operator="equal">
      <formula>"Fail"</formula>
    </cfRule>
  </conditionalFormatting>
  <conditionalFormatting sqref="I758:P758">
    <cfRule type="cellIs" dxfId="16108" priority="16037" stopIfTrue="1" operator="equal">
      <formula>"Pass"</formula>
    </cfRule>
    <cfRule type="cellIs" dxfId="16107" priority="16038" stopIfTrue="1" operator="equal">
      <formula>"Fail"</formula>
    </cfRule>
  </conditionalFormatting>
  <conditionalFormatting sqref="I758:P758">
    <cfRule type="cellIs" dxfId="16106" priority="16035" stopIfTrue="1" operator="equal">
      <formula>"Pass"</formula>
    </cfRule>
    <cfRule type="cellIs" dxfId="16105" priority="16036" stopIfTrue="1" operator="equal">
      <formula>"Fail"</formula>
    </cfRule>
  </conditionalFormatting>
  <conditionalFormatting sqref="I758:P758">
    <cfRule type="cellIs" dxfId="16104" priority="16033" stopIfTrue="1" operator="equal">
      <formula>"Pass"</formula>
    </cfRule>
    <cfRule type="cellIs" dxfId="16103" priority="16034" stopIfTrue="1" operator="equal">
      <formula>"Fail"</formula>
    </cfRule>
  </conditionalFormatting>
  <conditionalFormatting sqref="H758:O758">
    <cfRule type="cellIs" dxfId="16102" priority="16031" stopIfTrue="1" operator="equal">
      <formula>"Pass"</formula>
    </cfRule>
    <cfRule type="cellIs" dxfId="16101" priority="16032" stopIfTrue="1" operator="equal">
      <formula>"Fail"</formula>
    </cfRule>
  </conditionalFormatting>
  <conditionalFormatting sqref="H758:O758">
    <cfRule type="cellIs" dxfId="16100" priority="16029" stopIfTrue="1" operator="equal">
      <formula>"Pass"</formula>
    </cfRule>
    <cfRule type="cellIs" dxfId="16099" priority="16030" stopIfTrue="1" operator="equal">
      <formula>"Fail"</formula>
    </cfRule>
  </conditionalFormatting>
  <conditionalFormatting sqref="I758:P758">
    <cfRule type="cellIs" dxfId="16098" priority="16027" stopIfTrue="1" operator="equal">
      <formula>"Pass"</formula>
    </cfRule>
    <cfRule type="cellIs" dxfId="16097" priority="16028" stopIfTrue="1" operator="equal">
      <formula>"Fail"</formula>
    </cfRule>
  </conditionalFormatting>
  <conditionalFormatting sqref="I758:P758">
    <cfRule type="cellIs" dxfId="16096" priority="16025" stopIfTrue="1" operator="equal">
      <formula>"Pass"</formula>
    </cfRule>
    <cfRule type="cellIs" dxfId="16095" priority="16026" stopIfTrue="1" operator="equal">
      <formula>"Fail"</formula>
    </cfRule>
  </conditionalFormatting>
  <conditionalFormatting sqref="I758:P758">
    <cfRule type="cellIs" dxfId="16094" priority="16023" stopIfTrue="1" operator="equal">
      <formula>"Pass"</formula>
    </cfRule>
    <cfRule type="cellIs" dxfId="16093" priority="16024" stopIfTrue="1" operator="equal">
      <formula>"Fail"</formula>
    </cfRule>
  </conditionalFormatting>
  <conditionalFormatting sqref="I758:P758">
    <cfRule type="cellIs" dxfId="16092" priority="16021" stopIfTrue="1" operator="equal">
      <formula>"Pass"</formula>
    </cfRule>
    <cfRule type="cellIs" dxfId="16091" priority="16022" stopIfTrue="1" operator="equal">
      <formula>"Fail"</formula>
    </cfRule>
  </conditionalFormatting>
  <conditionalFormatting sqref="H758:O758">
    <cfRule type="cellIs" dxfId="16090" priority="16019" stopIfTrue="1" operator="equal">
      <formula>"Pass"</formula>
    </cfRule>
    <cfRule type="cellIs" dxfId="16089" priority="16020" stopIfTrue="1" operator="equal">
      <formula>"Fail"</formula>
    </cfRule>
  </conditionalFormatting>
  <conditionalFormatting sqref="H758:O758">
    <cfRule type="cellIs" dxfId="16088" priority="16017" stopIfTrue="1" operator="equal">
      <formula>"Pass"</formula>
    </cfRule>
    <cfRule type="cellIs" dxfId="16087" priority="16018" stopIfTrue="1" operator="equal">
      <formula>"Fail"</formula>
    </cfRule>
  </conditionalFormatting>
  <conditionalFormatting sqref="I758:P758">
    <cfRule type="cellIs" dxfId="16086" priority="16015" stopIfTrue="1" operator="equal">
      <formula>"Pass"</formula>
    </cfRule>
    <cfRule type="cellIs" dxfId="16085" priority="16016" stopIfTrue="1" operator="equal">
      <formula>"Fail"</formula>
    </cfRule>
  </conditionalFormatting>
  <conditionalFormatting sqref="I758:P758">
    <cfRule type="cellIs" dxfId="16084" priority="16013" stopIfTrue="1" operator="equal">
      <formula>"Pass"</formula>
    </cfRule>
    <cfRule type="cellIs" dxfId="16083" priority="16014" stopIfTrue="1" operator="equal">
      <formula>"Fail"</formula>
    </cfRule>
  </conditionalFormatting>
  <conditionalFormatting sqref="I758:P758">
    <cfRule type="cellIs" dxfId="16082" priority="16011" stopIfTrue="1" operator="equal">
      <formula>"Pass"</formula>
    </cfRule>
    <cfRule type="cellIs" dxfId="16081" priority="16012" stopIfTrue="1" operator="equal">
      <formula>"Fail"</formula>
    </cfRule>
  </conditionalFormatting>
  <conditionalFormatting sqref="I758:P758">
    <cfRule type="cellIs" dxfId="16080" priority="16009" stopIfTrue="1" operator="equal">
      <formula>"Pass"</formula>
    </cfRule>
    <cfRule type="cellIs" dxfId="16079" priority="16010" stopIfTrue="1" operator="equal">
      <formula>"Fail"</formula>
    </cfRule>
  </conditionalFormatting>
  <conditionalFormatting sqref="H758:O758">
    <cfRule type="cellIs" dxfId="16078" priority="16007" stopIfTrue="1" operator="equal">
      <formula>"Pass"</formula>
    </cfRule>
    <cfRule type="cellIs" dxfId="16077" priority="16008" stopIfTrue="1" operator="equal">
      <formula>"Fail"</formula>
    </cfRule>
  </conditionalFormatting>
  <conditionalFormatting sqref="H758:O758">
    <cfRule type="cellIs" dxfId="16076" priority="16005" stopIfTrue="1" operator="equal">
      <formula>"Pass"</formula>
    </cfRule>
    <cfRule type="cellIs" dxfId="16075" priority="16006" stopIfTrue="1" operator="equal">
      <formula>"Fail"</formula>
    </cfRule>
  </conditionalFormatting>
  <conditionalFormatting sqref="I758:P758">
    <cfRule type="cellIs" dxfId="16074" priority="16003" stopIfTrue="1" operator="equal">
      <formula>"Pass"</formula>
    </cfRule>
    <cfRule type="cellIs" dxfId="16073" priority="16004" stopIfTrue="1" operator="equal">
      <formula>"Fail"</formula>
    </cfRule>
  </conditionalFormatting>
  <conditionalFormatting sqref="I758:P758">
    <cfRule type="cellIs" dxfId="16072" priority="16001" stopIfTrue="1" operator="equal">
      <formula>"Pass"</formula>
    </cfRule>
    <cfRule type="cellIs" dxfId="16071" priority="16002" stopIfTrue="1" operator="equal">
      <formula>"Fail"</formula>
    </cfRule>
  </conditionalFormatting>
  <conditionalFormatting sqref="I758:P758">
    <cfRule type="cellIs" dxfId="16070" priority="15999" stopIfTrue="1" operator="equal">
      <formula>"Pass"</formula>
    </cfRule>
    <cfRule type="cellIs" dxfId="16069" priority="16000" stopIfTrue="1" operator="equal">
      <formula>"Fail"</formula>
    </cfRule>
  </conditionalFormatting>
  <conditionalFormatting sqref="I758:P758">
    <cfRule type="cellIs" dxfId="16068" priority="15997" stopIfTrue="1" operator="equal">
      <formula>"Pass"</formula>
    </cfRule>
    <cfRule type="cellIs" dxfId="16067" priority="15998" stopIfTrue="1" operator="equal">
      <formula>"Fail"</formula>
    </cfRule>
  </conditionalFormatting>
  <conditionalFormatting sqref="H758:O758">
    <cfRule type="cellIs" dxfId="16066" priority="15995" stopIfTrue="1" operator="equal">
      <formula>"Pass"</formula>
    </cfRule>
    <cfRule type="cellIs" dxfId="16065" priority="15996" stopIfTrue="1" operator="equal">
      <formula>"Fail"</formula>
    </cfRule>
  </conditionalFormatting>
  <conditionalFormatting sqref="H758:O758">
    <cfRule type="cellIs" dxfId="16064" priority="15993" stopIfTrue="1" operator="equal">
      <formula>"Pass"</formula>
    </cfRule>
    <cfRule type="cellIs" dxfId="16063" priority="15994" stopIfTrue="1" operator="equal">
      <formula>"Fail"</formula>
    </cfRule>
  </conditionalFormatting>
  <conditionalFormatting sqref="I758:P758">
    <cfRule type="cellIs" dxfId="16062" priority="15991" stopIfTrue="1" operator="equal">
      <formula>"Pass"</formula>
    </cfRule>
    <cfRule type="cellIs" dxfId="16061" priority="15992" stopIfTrue="1" operator="equal">
      <formula>"Fail"</formula>
    </cfRule>
  </conditionalFormatting>
  <conditionalFormatting sqref="I758:P758">
    <cfRule type="cellIs" dxfId="16060" priority="15989" stopIfTrue="1" operator="equal">
      <formula>"Pass"</formula>
    </cfRule>
    <cfRule type="cellIs" dxfId="16059" priority="15990" stopIfTrue="1" operator="equal">
      <formula>"Fail"</formula>
    </cfRule>
  </conditionalFormatting>
  <conditionalFormatting sqref="I758:P758">
    <cfRule type="cellIs" dxfId="16058" priority="15987" stopIfTrue="1" operator="equal">
      <formula>"Pass"</formula>
    </cfRule>
    <cfRule type="cellIs" dxfId="16057" priority="15988" stopIfTrue="1" operator="equal">
      <formula>"Fail"</formula>
    </cfRule>
  </conditionalFormatting>
  <conditionalFormatting sqref="I758:P758">
    <cfRule type="cellIs" dxfId="16056" priority="15985" stopIfTrue="1" operator="equal">
      <formula>"Pass"</formula>
    </cfRule>
    <cfRule type="cellIs" dxfId="16055" priority="15986" stopIfTrue="1" operator="equal">
      <formula>"Fail"</formula>
    </cfRule>
  </conditionalFormatting>
  <conditionalFormatting sqref="H758:O758">
    <cfRule type="cellIs" dxfId="16054" priority="15983" stopIfTrue="1" operator="equal">
      <formula>"Pass"</formula>
    </cfRule>
    <cfRule type="cellIs" dxfId="16053" priority="15984" stopIfTrue="1" operator="equal">
      <formula>"Fail"</formula>
    </cfRule>
  </conditionalFormatting>
  <conditionalFormatting sqref="H758:O758">
    <cfRule type="cellIs" dxfId="16052" priority="15981" stopIfTrue="1" operator="equal">
      <formula>"Pass"</formula>
    </cfRule>
    <cfRule type="cellIs" dxfId="16051" priority="15982" stopIfTrue="1" operator="equal">
      <formula>"Fail"</formula>
    </cfRule>
  </conditionalFormatting>
  <conditionalFormatting sqref="I758:P758">
    <cfRule type="cellIs" dxfId="16050" priority="15979" stopIfTrue="1" operator="equal">
      <formula>"Pass"</formula>
    </cfRule>
    <cfRule type="cellIs" dxfId="16049" priority="15980" stopIfTrue="1" operator="equal">
      <formula>"Fail"</formula>
    </cfRule>
  </conditionalFormatting>
  <conditionalFormatting sqref="I758:P758">
    <cfRule type="cellIs" dxfId="16048" priority="15977" stopIfTrue="1" operator="equal">
      <formula>"Pass"</formula>
    </cfRule>
    <cfRule type="cellIs" dxfId="16047" priority="15978" stopIfTrue="1" operator="equal">
      <formula>"Fail"</formula>
    </cfRule>
  </conditionalFormatting>
  <conditionalFormatting sqref="I758:P758">
    <cfRule type="cellIs" dxfId="16046" priority="15975" stopIfTrue="1" operator="equal">
      <formula>"Pass"</formula>
    </cfRule>
    <cfRule type="cellIs" dxfId="16045" priority="15976" stopIfTrue="1" operator="equal">
      <formula>"Fail"</formula>
    </cfRule>
  </conditionalFormatting>
  <conditionalFormatting sqref="I758:P758">
    <cfRule type="cellIs" dxfId="16044" priority="15973" stopIfTrue="1" operator="equal">
      <formula>"Pass"</formula>
    </cfRule>
    <cfRule type="cellIs" dxfId="16043" priority="15974" stopIfTrue="1" operator="equal">
      <formula>"Fail"</formula>
    </cfRule>
  </conditionalFormatting>
  <conditionalFormatting sqref="H758:O758">
    <cfRule type="cellIs" dxfId="16042" priority="15971" stopIfTrue="1" operator="equal">
      <formula>"Pass"</formula>
    </cfRule>
    <cfRule type="cellIs" dxfId="16041" priority="15972" stopIfTrue="1" operator="equal">
      <formula>"Fail"</formula>
    </cfRule>
  </conditionalFormatting>
  <conditionalFormatting sqref="H758:O758">
    <cfRule type="cellIs" dxfId="16040" priority="15969" stopIfTrue="1" operator="equal">
      <formula>"Pass"</formula>
    </cfRule>
    <cfRule type="cellIs" dxfId="16039" priority="15970" stopIfTrue="1" operator="equal">
      <formula>"Fail"</formula>
    </cfRule>
  </conditionalFormatting>
  <conditionalFormatting sqref="I758:P758">
    <cfRule type="cellIs" dxfId="16038" priority="15967" stopIfTrue="1" operator="equal">
      <formula>"Pass"</formula>
    </cfRule>
    <cfRule type="cellIs" dxfId="16037" priority="15968" stopIfTrue="1" operator="equal">
      <formula>"Fail"</formula>
    </cfRule>
  </conditionalFormatting>
  <conditionalFormatting sqref="I758:P758">
    <cfRule type="cellIs" dxfId="16036" priority="15965" stopIfTrue="1" operator="equal">
      <formula>"Pass"</formula>
    </cfRule>
    <cfRule type="cellIs" dxfId="16035" priority="15966" stopIfTrue="1" operator="equal">
      <formula>"Fail"</formula>
    </cfRule>
  </conditionalFormatting>
  <conditionalFormatting sqref="I758:P758">
    <cfRule type="cellIs" dxfId="16034" priority="15963" stopIfTrue="1" operator="equal">
      <formula>"Pass"</formula>
    </cfRule>
    <cfRule type="cellIs" dxfId="16033" priority="15964" stopIfTrue="1" operator="equal">
      <formula>"Fail"</formula>
    </cfRule>
  </conditionalFormatting>
  <conditionalFormatting sqref="I758:P758">
    <cfRule type="cellIs" dxfId="16032" priority="15961" stopIfTrue="1" operator="equal">
      <formula>"Pass"</formula>
    </cfRule>
    <cfRule type="cellIs" dxfId="16031" priority="15962" stopIfTrue="1" operator="equal">
      <formula>"Fail"</formula>
    </cfRule>
  </conditionalFormatting>
  <conditionalFormatting sqref="H758:O758">
    <cfRule type="cellIs" dxfId="16030" priority="15959" stopIfTrue="1" operator="equal">
      <formula>"Pass"</formula>
    </cfRule>
    <cfRule type="cellIs" dxfId="16029" priority="15960" stopIfTrue="1" operator="equal">
      <formula>"Fail"</formula>
    </cfRule>
  </conditionalFormatting>
  <conditionalFormatting sqref="H758:O758">
    <cfRule type="cellIs" dxfId="16028" priority="15957" stopIfTrue="1" operator="equal">
      <formula>"Pass"</formula>
    </cfRule>
    <cfRule type="cellIs" dxfId="16027" priority="15958" stopIfTrue="1" operator="equal">
      <formula>"Fail"</formula>
    </cfRule>
  </conditionalFormatting>
  <conditionalFormatting sqref="I758:P758">
    <cfRule type="cellIs" dxfId="16026" priority="15955" stopIfTrue="1" operator="equal">
      <formula>"Pass"</formula>
    </cfRule>
    <cfRule type="cellIs" dxfId="16025" priority="15956" stopIfTrue="1" operator="equal">
      <formula>"Fail"</formula>
    </cfRule>
  </conditionalFormatting>
  <conditionalFormatting sqref="I758:P758">
    <cfRule type="cellIs" dxfId="16024" priority="15953" stopIfTrue="1" operator="equal">
      <formula>"Pass"</formula>
    </cfRule>
    <cfRule type="cellIs" dxfId="16023" priority="15954" stopIfTrue="1" operator="equal">
      <formula>"Fail"</formula>
    </cfRule>
  </conditionalFormatting>
  <conditionalFormatting sqref="I758:P758">
    <cfRule type="cellIs" dxfId="16022" priority="15951" stopIfTrue="1" operator="equal">
      <formula>"Pass"</formula>
    </cfRule>
    <cfRule type="cellIs" dxfId="16021" priority="15952" stopIfTrue="1" operator="equal">
      <formula>"Fail"</formula>
    </cfRule>
  </conditionalFormatting>
  <conditionalFormatting sqref="I758:P758">
    <cfRule type="cellIs" dxfId="16020" priority="15949" stopIfTrue="1" operator="equal">
      <formula>"Pass"</formula>
    </cfRule>
    <cfRule type="cellIs" dxfId="16019" priority="15950" stopIfTrue="1" operator="equal">
      <formula>"Fail"</formula>
    </cfRule>
  </conditionalFormatting>
  <conditionalFormatting sqref="H758:O758">
    <cfRule type="cellIs" dxfId="16018" priority="15947" stopIfTrue="1" operator="equal">
      <formula>"Pass"</formula>
    </cfRule>
    <cfRule type="cellIs" dxfId="16017" priority="15948" stopIfTrue="1" operator="equal">
      <formula>"Fail"</formula>
    </cfRule>
  </conditionalFormatting>
  <conditionalFormatting sqref="H758:O758">
    <cfRule type="cellIs" dxfId="16016" priority="15945" stopIfTrue="1" operator="equal">
      <formula>"Pass"</formula>
    </cfRule>
    <cfRule type="cellIs" dxfId="16015" priority="15946" stopIfTrue="1" operator="equal">
      <formula>"Fail"</formula>
    </cfRule>
  </conditionalFormatting>
  <conditionalFormatting sqref="I758:P758">
    <cfRule type="cellIs" dxfId="16014" priority="15943" stopIfTrue="1" operator="equal">
      <formula>"Pass"</formula>
    </cfRule>
    <cfRule type="cellIs" dxfId="16013" priority="15944" stopIfTrue="1" operator="equal">
      <formula>"Fail"</formula>
    </cfRule>
  </conditionalFormatting>
  <conditionalFormatting sqref="I758:P758">
    <cfRule type="cellIs" dxfId="16012" priority="15941" stopIfTrue="1" operator="equal">
      <formula>"Pass"</formula>
    </cfRule>
    <cfRule type="cellIs" dxfId="16011" priority="15942" stopIfTrue="1" operator="equal">
      <formula>"Fail"</formula>
    </cfRule>
  </conditionalFormatting>
  <conditionalFormatting sqref="I758:P758">
    <cfRule type="cellIs" dxfId="16010" priority="15939" stopIfTrue="1" operator="equal">
      <formula>"Pass"</formula>
    </cfRule>
    <cfRule type="cellIs" dxfId="16009" priority="15940" stopIfTrue="1" operator="equal">
      <formula>"Fail"</formula>
    </cfRule>
  </conditionalFormatting>
  <conditionalFormatting sqref="I758:P758">
    <cfRule type="cellIs" dxfId="16008" priority="15937" stopIfTrue="1" operator="equal">
      <formula>"Pass"</formula>
    </cfRule>
    <cfRule type="cellIs" dxfId="16007" priority="15938" stopIfTrue="1" operator="equal">
      <formula>"Fail"</formula>
    </cfRule>
  </conditionalFormatting>
  <conditionalFormatting sqref="H758:O758">
    <cfRule type="cellIs" dxfId="16006" priority="15935" stopIfTrue="1" operator="equal">
      <formula>"Pass"</formula>
    </cfRule>
    <cfRule type="cellIs" dxfId="16005" priority="15936" stopIfTrue="1" operator="equal">
      <formula>"Fail"</formula>
    </cfRule>
  </conditionalFormatting>
  <conditionalFormatting sqref="H758:O758">
    <cfRule type="cellIs" dxfId="16004" priority="15933" stopIfTrue="1" operator="equal">
      <formula>"Pass"</formula>
    </cfRule>
    <cfRule type="cellIs" dxfId="16003" priority="15934" stopIfTrue="1" operator="equal">
      <formula>"Fail"</formula>
    </cfRule>
  </conditionalFormatting>
  <conditionalFormatting sqref="I758:P758">
    <cfRule type="cellIs" dxfId="16002" priority="15931" stopIfTrue="1" operator="equal">
      <formula>"Pass"</formula>
    </cfRule>
    <cfRule type="cellIs" dxfId="16001" priority="15932" stopIfTrue="1" operator="equal">
      <formula>"Fail"</formula>
    </cfRule>
  </conditionalFormatting>
  <conditionalFormatting sqref="I758:P758">
    <cfRule type="cellIs" dxfId="16000" priority="15929" stopIfTrue="1" operator="equal">
      <formula>"Pass"</formula>
    </cfRule>
    <cfRule type="cellIs" dxfId="15999" priority="15930" stopIfTrue="1" operator="equal">
      <formula>"Fail"</formula>
    </cfRule>
  </conditionalFormatting>
  <conditionalFormatting sqref="I758:P758">
    <cfRule type="cellIs" dxfId="15998" priority="15927" stopIfTrue="1" operator="equal">
      <formula>"Pass"</formula>
    </cfRule>
    <cfRule type="cellIs" dxfId="15997" priority="15928" stopIfTrue="1" operator="equal">
      <formula>"Fail"</formula>
    </cfRule>
  </conditionalFormatting>
  <conditionalFormatting sqref="I758:P758">
    <cfRule type="cellIs" dxfId="15996" priority="15925" stopIfTrue="1" operator="equal">
      <formula>"Pass"</formula>
    </cfRule>
    <cfRule type="cellIs" dxfId="15995" priority="15926" stopIfTrue="1" operator="equal">
      <formula>"Fail"</formula>
    </cfRule>
  </conditionalFormatting>
  <conditionalFormatting sqref="H758:O758">
    <cfRule type="cellIs" dxfId="15994" priority="15923" stopIfTrue="1" operator="equal">
      <formula>"Pass"</formula>
    </cfRule>
    <cfRule type="cellIs" dxfId="15993" priority="15924" stopIfTrue="1" operator="equal">
      <formula>"Fail"</formula>
    </cfRule>
  </conditionalFormatting>
  <conditionalFormatting sqref="H758:O758">
    <cfRule type="cellIs" dxfId="15992" priority="15921" stopIfTrue="1" operator="equal">
      <formula>"Pass"</formula>
    </cfRule>
    <cfRule type="cellIs" dxfId="15991" priority="15922" stopIfTrue="1" operator="equal">
      <formula>"Fail"</formula>
    </cfRule>
  </conditionalFormatting>
  <conditionalFormatting sqref="I758:P758">
    <cfRule type="cellIs" dxfId="15990" priority="15919" stopIfTrue="1" operator="equal">
      <formula>"Pass"</formula>
    </cfRule>
    <cfRule type="cellIs" dxfId="15989" priority="15920" stopIfTrue="1" operator="equal">
      <formula>"Fail"</formula>
    </cfRule>
  </conditionalFormatting>
  <conditionalFormatting sqref="I758:P758">
    <cfRule type="cellIs" dxfId="15988" priority="15917" stopIfTrue="1" operator="equal">
      <formula>"Pass"</formula>
    </cfRule>
    <cfRule type="cellIs" dxfId="15987" priority="15918" stopIfTrue="1" operator="equal">
      <formula>"Fail"</formula>
    </cfRule>
  </conditionalFormatting>
  <conditionalFormatting sqref="I758:P758">
    <cfRule type="cellIs" dxfId="15986" priority="15915" stopIfTrue="1" operator="equal">
      <formula>"Pass"</formula>
    </cfRule>
    <cfRule type="cellIs" dxfId="15985" priority="15916" stopIfTrue="1" operator="equal">
      <formula>"Fail"</formula>
    </cfRule>
  </conditionalFormatting>
  <conditionalFormatting sqref="I758:P758">
    <cfRule type="cellIs" dxfId="15984" priority="15913" stopIfTrue="1" operator="equal">
      <formula>"Pass"</formula>
    </cfRule>
    <cfRule type="cellIs" dxfId="15983" priority="15914" stopIfTrue="1" operator="equal">
      <formula>"Fail"</formula>
    </cfRule>
  </conditionalFormatting>
  <conditionalFormatting sqref="H758:O758">
    <cfRule type="cellIs" dxfId="15982" priority="15911" stopIfTrue="1" operator="equal">
      <formula>"Pass"</formula>
    </cfRule>
    <cfRule type="cellIs" dxfId="15981" priority="15912" stopIfTrue="1" operator="equal">
      <formula>"Fail"</formula>
    </cfRule>
  </conditionalFormatting>
  <conditionalFormatting sqref="H758:O758">
    <cfRule type="cellIs" dxfId="15980" priority="15909" stopIfTrue="1" operator="equal">
      <formula>"Pass"</formula>
    </cfRule>
    <cfRule type="cellIs" dxfId="15979" priority="15910" stopIfTrue="1" operator="equal">
      <formula>"Fail"</formula>
    </cfRule>
  </conditionalFormatting>
  <conditionalFormatting sqref="I758:P758">
    <cfRule type="cellIs" dxfId="15978" priority="15907" stopIfTrue="1" operator="equal">
      <formula>"Pass"</formula>
    </cfRule>
    <cfRule type="cellIs" dxfId="15977" priority="15908" stopIfTrue="1" operator="equal">
      <formula>"Fail"</formula>
    </cfRule>
  </conditionalFormatting>
  <conditionalFormatting sqref="I758:P758">
    <cfRule type="cellIs" dxfId="15976" priority="15905" stopIfTrue="1" operator="equal">
      <formula>"Pass"</formula>
    </cfRule>
    <cfRule type="cellIs" dxfId="15975" priority="15906" stopIfTrue="1" operator="equal">
      <formula>"Fail"</formula>
    </cfRule>
  </conditionalFormatting>
  <conditionalFormatting sqref="I758:P758">
    <cfRule type="cellIs" dxfId="15974" priority="15903" stopIfTrue="1" operator="equal">
      <formula>"Pass"</formula>
    </cfRule>
    <cfRule type="cellIs" dxfId="15973" priority="15904" stopIfTrue="1" operator="equal">
      <formula>"Fail"</formula>
    </cfRule>
  </conditionalFormatting>
  <conditionalFormatting sqref="I758:P758">
    <cfRule type="cellIs" dxfId="15972" priority="15901" stopIfTrue="1" operator="equal">
      <formula>"Pass"</formula>
    </cfRule>
    <cfRule type="cellIs" dxfId="15971" priority="15902" stopIfTrue="1" operator="equal">
      <formula>"Fail"</formula>
    </cfRule>
  </conditionalFormatting>
  <conditionalFormatting sqref="D758:E758">
    <cfRule type="cellIs" dxfId="15970" priority="15899" stopIfTrue="1" operator="equal">
      <formula>"Pass"</formula>
    </cfRule>
    <cfRule type="cellIs" dxfId="15969" priority="15900" stopIfTrue="1" operator="equal">
      <formula>"Fail"</formula>
    </cfRule>
  </conditionalFormatting>
  <conditionalFormatting sqref="D758:E758">
    <cfRule type="cellIs" dxfId="15968" priority="15897" stopIfTrue="1" operator="equal">
      <formula>"Pass"</formula>
    </cfRule>
    <cfRule type="cellIs" dxfId="15967" priority="15898" stopIfTrue="1" operator="equal">
      <formula>"Fail"</formula>
    </cfRule>
  </conditionalFormatting>
  <conditionalFormatting sqref="G758:H758">
    <cfRule type="cellIs" dxfId="15966" priority="15895" stopIfTrue="1" operator="equal">
      <formula>"Pass"</formula>
    </cfRule>
    <cfRule type="cellIs" dxfId="15965" priority="15896" stopIfTrue="1" operator="equal">
      <formula>"Fail"</formula>
    </cfRule>
  </conditionalFormatting>
  <conditionalFormatting sqref="G758:H758">
    <cfRule type="cellIs" dxfId="15964" priority="15893" stopIfTrue="1" operator="equal">
      <formula>"Pass"</formula>
    </cfRule>
    <cfRule type="cellIs" dxfId="15963" priority="15894" stopIfTrue="1" operator="equal">
      <formula>"Fail"</formula>
    </cfRule>
  </conditionalFormatting>
  <conditionalFormatting sqref="G758:H758">
    <cfRule type="cellIs" dxfId="15962" priority="15891" stopIfTrue="1" operator="equal">
      <formula>"Pass"</formula>
    </cfRule>
    <cfRule type="cellIs" dxfId="15961" priority="15892" stopIfTrue="1" operator="equal">
      <formula>"Fail"</formula>
    </cfRule>
  </conditionalFormatting>
  <conditionalFormatting sqref="G758:H758">
    <cfRule type="cellIs" dxfId="15960" priority="15889" stopIfTrue="1" operator="equal">
      <formula>"Pass"</formula>
    </cfRule>
    <cfRule type="cellIs" dxfId="15959" priority="15890" stopIfTrue="1" operator="equal">
      <formula>"Fail"</formula>
    </cfRule>
  </conditionalFormatting>
  <conditionalFormatting sqref="H758:O758">
    <cfRule type="cellIs" dxfId="15958" priority="15887" stopIfTrue="1" operator="equal">
      <formula>"Pass"</formula>
    </cfRule>
    <cfRule type="cellIs" dxfId="15957" priority="15888" stopIfTrue="1" operator="equal">
      <formula>"Fail"</formula>
    </cfRule>
  </conditionalFormatting>
  <conditionalFormatting sqref="H758:O758">
    <cfRule type="cellIs" dxfId="15956" priority="15885" stopIfTrue="1" operator="equal">
      <formula>"Pass"</formula>
    </cfRule>
    <cfRule type="cellIs" dxfId="15955" priority="15886" stopIfTrue="1" operator="equal">
      <formula>"Fail"</formula>
    </cfRule>
  </conditionalFormatting>
  <conditionalFormatting sqref="I758:P758">
    <cfRule type="cellIs" dxfId="15954" priority="15883" stopIfTrue="1" operator="equal">
      <formula>"Pass"</formula>
    </cfRule>
    <cfRule type="cellIs" dxfId="15953" priority="15884" stopIfTrue="1" operator="equal">
      <formula>"Fail"</formula>
    </cfRule>
  </conditionalFormatting>
  <conditionalFormatting sqref="I758:P758">
    <cfRule type="cellIs" dxfId="15952" priority="15881" stopIfTrue="1" operator="equal">
      <formula>"Pass"</formula>
    </cfRule>
    <cfRule type="cellIs" dxfId="15951" priority="15882" stopIfTrue="1" operator="equal">
      <formula>"Fail"</formula>
    </cfRule>
  </conditionalFormatting>
  <conditionalFormatting sqref="I758:P758">
    <cfRule type="cellIs" dxfId="15950" priority="15879" stopIfTrue="1" operator="equal">
      <formula>"Pass"</formula>
    </cfRule>
    <cfRule type="cellIs" dxfId="15949" priority="15880" stopIfTrue="1" operator="equal">
      <formula>"Fail"</formula>
    </cfRule>
  </conditionalFormatting>
  <conditionalFormatting sqref="I758:P758">
    <cfRule type="cellIs" dxfId="15948" priority="15877" stopIfTrue="1" operator="equal">
      <formula>"Pass"</formula>
    </cfRule>
    <cfRule type="cellIs" dxfId="15947" priority="15878" stopIfTrue="1" operator="equal">
      <formula>"Fail"</formula>
    </cfRule>
  </conditionalFormatting>
  <conditionalFormatting sqref="H758:O758">
    <cfRule type="cellIs" dxfId="15946" priority="15875" stopIfTrue="1" operator="equal">
      <formula>"Pass"</formula>
    </cfRule>
    <cfRule type="cellIs" dxfId="15945" priority="15876" stopIfTrue="1" operator="equal">
      <formula>"Fail"</formula>
    </cfRule>
  </conditionalFormatting>
  <conditionalFormatting sqref="H758:O758">
    <cfRule type="cellIs" dxfId="15944" priority="15873" stopIfTrue="1" operator="equal">
      <formula>"Pass"</formula>
    </cfRule>
    <cfRule type="cellIs" dxfId="15943" priority="15874" stopIfTrue="1" operator="equal">
      <formula>"Fail"</formula>
    </cfRule>
  </conditionalFormatting>
  <conditionalFormatting sqref="I758:P758">
    <cfRule type="cellIs" dxfId="15942" priority="15871" stopIfTrue="1" operator="equal">
      <formula>"Pass"</formula>
    </cfRule>
    <cfRule type="cellIs" dxfId="15941" priority="15872" stopIfTrue="1" operator="equal">
      <formula>"Fail"</formula>
    </cfRule>
  </conditionalFormatting>
  <conditionalFormatting sqref="I758:P758">
    <cfRule type="cellIs" dxfId="15940" priority="15869" stopIfTrue="1" operator="equal">
      <formula>"Pass"</formula>
    </cfRule>
    <cfRule type="cellIs" dxfId="15939" priority="15870" stopIfTrue="1" operator="equal">
      <formula>"Fail"</formula>
    </cfRule>
  </conditionalFormatting>
  <conditionalFormatting sqref="I758:P758">
    <cfRule type="cellIs" dxfId="15938" priority="15867" stopIfTrue="1" operator="equal">
      <formula>"Pass"</formula>
    </cfRule>
    <cfRule type="cellIs" dxfId="15937" priority="15868" stopIfTrue="1" operator="equal">
      <formula>"Fail"</formula>
    </cfRule>
  </conditionalFormatting>
  <conditionalFormatting sqref="I758:P758">
    <cfRule type="cellIs" dxfId="15936" priority="15865" stopIfTrue="1" operator="equal">
      <formula>"Pass"</formula>
    </cfRule>
    <cfRule type="cellIs" dxfId="15935" priority="15866" stopIfTrue="1" operator="equal">
      <formula>"Fail"</formula>
    </cfRule>
  </conditionalFormatting>
  <conditionalFormatting sqref="H758:O758">
    <cfRule type="cellIs" dxfId="15934" priority="15863" stopIfTrue="1" operator="equal">
      <formula>"Pass"</formula>
    </cfRule>
    <cfRule type="cellIs" dxfId="15933" priority="15864" stopIfTrue="1" operator="equal">
      <formula>"Fail"</formula>
    </cfRule>
  </conditionalFormatting>
  <conditionalFormatting sqref="H758:O758">
    <cfRule type="cellIs" dxfId="15932" priority="15861" stopIfTrue="1" operator="equal">
      <formula>"Pass"</formula>
    </cfRule>
    <cfRule type="cellIs" dxfId="15931" priority="15862" stopIfTrue="1" operator="equal">
      <formula>"Fail"</formula>
    </cfRule>
  </conditionalFormatting>
  <conditionalFormatting sqref="I758:P758">
    <cfRule type="cellIs" dxfId="15930" priority="15859" stopIfTrue="1" operator="equal">
      <formula>"Pass"</formula>
    </cfRule>
    <cfRule type="cellIs" dxfId="15929" priority="15860" stopIfTrue="1" operator="equal">
      <formula>"Fail"</formula>
    </cfRule>
  </conditionalFormatting>
  <conditionalFormatting sqref="I758:P758">
    <cfRule type="cellIs" dxfId="15928" priority="15857" stopIfTrue="1" operator="equal">
      <formula>"Pass"</formula>
    </cfRule>
    <cfRule type="cellIs" dxfId="15927" priority="15858" stopIfTrue="1" operator="equal">
      <formula>"Fail"</formula>
    </cfRule>
  </conditionalFormatting>
  <conditionalFormatting sqref="I758:P758">
    <cfRule type="cellIs" dxfId="15926" priority="15855" stopIfTrue="1" operator="equal">
      <formula>"Pass"</formula>
    </cfRule>
    <cfRule type="cellIs" dxfId="15925" priority="15856" stopIfTrue="1" operator="equal">
      <formula>"Fail"</formula>
    </cfRule>
  </conditionalFormatting>
  <conditionalFormatting sqref="I758:P758">
    <cfRule type="cellIs" dxfId="15924" priority="15853" stopIfTrue="1" operator="equal">
      <formula>"Pass"</formula>
    </cfRule>
    <cfRule type="cellIs" dxfId="15923" priority="15854" stopIfTrue="1" operator="equal">
      <formula>"Fail"</formula>
    </cfRule>
  </conditionalFormatting>
  <conditionalFormatting sqref="H758:O758">
    <cfRule type="cellIs" dxfId="15922" priority="15851" stopIfTrue="1" operator="equal">
      <formula>"Pass"</formula>
    </cfRule>
    <cfRule type="cellIs" dxfId="15921" priority="15852" stopIfTrue="1" operator="equal">
      <formula>"Fail"</formula>
    </cfRule>
  </conditionalFormatting>
  <conditionalFormatting sqref="H758:O758">
    <cfRule type="cellIs" dxfId="15920" priority="15849" stopIfTrue="1" operator="equal">
      <formula>"Pass"</formula>
    </cfRule>
    <cfRule type="cellIs" dxfId="15919" priority="15850" stopIfTrue="1" operator="equal">
      <formula>"Fail"</formula>
    </cfRule>
  </conditionalFormatting>
  <conditionalFormatting sqref="I758:P758">
    <cfRule type="cellIs" dxfId="15918" priority="15847" stopIfTrue="1" operator="equal">
      <formula>"Pass"</formula>
    </cfRule>
    <cfRule type="cellIs" dxfId="15917" priority="15848" stopIfTrue="1" operator="equal">
      <formula>"Fail"</formula>
    </cfRule>
  </conditionalFormatting>
  <conditionalFormatting sqref="I758:P758">
    <cfRule type="cellIs" dxfId="15916" priority="15845" stopIfTrue="1" operator="equal">
      <formula>"Pass"</formula>
    </cfRule>
    <cfRule type="cellIs" dxfId="15915" priority="15846" stopIfTrue="1" operator="equal">
      <formula>"Fail"</formula>
    </cfRule>
  </conditionalFormatting>
  <conditionalFormatting sqref="I758:P758">
    <cfRule type="cellIs" dxfId="15914" priority="15843" stopIfTrue="1" operator="equal">
      <formula>"Pass"</formula>
    </cfRule>
    <cfRule type="cellIs" dxfId="15913" priority="15844" stopIfTrue="1" operator="equal">
      <formula>"Fail"</formula>
    </cfRule>
  </conditionalFormatting>
  <conditionalFormatting sqref="I758:P758">
    <cfRule type="cellIs" dxfId="15912" priority="15841" stopIfTrue="1" operator="equal">
      <formula>"Pass"</formula>
    </cfRule>
    <cfRule type="cellIs" dxfId="15911" priority="15842" stopIfTrue="1" operator="equal">
      <formula>"Fail"</formula>
    </cfRule>
  </conditionalFormatting>
  <conditionalFormatting sqref="H758:O758">
    <cfRule type="cellIs" dxfId="15910" priority="15839" stopIfTrue="1" operator="equal">
      <formula>"Pass"</formula>
    </cfRule>
    <cfRule type="cellIs" dxfId="15909" priority="15840" stopIfTrue="1" operator="equal">
      <formula>"Fail"</formula>
    </cfRule>
  </conditionalFormatting>
  <conditionalFormatting sqref="H758:O758">
    <cfRule type="cellIs" dxfId="15908" priority="15837" stopIfTrue="1" operator="equal">
      <formula>"Pass"</formula>
    </cfRule>
    <cfRule type="cellIs" dxfId="15907" priority="15838" stopIfTrue="1" operator="equal">
      <formula>"Fail"</formula>
    </cfRule>
  </conditionalFormatting>
  <conditionalFormatting sqref="I758:P758">
    <cfRule type="cellIs" dxfId="15906" priority="15835" stopIfTrue="1" operator="equal">
      <formula>"Pass"</formula>
    </cfRule>
    <cfRule type="cellIs" dxfId="15905" priority="15836" stopIfTrue="1" operator="equal">
      <formula>"Fail"</formula>
    </cfRule>
  </conditionalFormatting>
  <conditionalFormatting sqref="I758:P758">
    <cfRule type="cellIs" dxfId="15904" priority="15833" stopIfTrue="1" operator="equal">
      <formula>"Pass"</formula>
    </cfRule>
    <cfRule type="cellIs" dxfId="15903" priority="15834" stopIfTrue="1" operator="equal">
      <formula>"Fail"</formula>
    </cfRule>
  </conditionalFormatting>
  <conditionalFormatting sqref="I758:P758">
    <cfRule type="cellIs" dxfId="15902" priority="15831" stopIfTrue="1" operator="equal">
      <formula>"Pass"</formula>
    </cfRule>
    <cfRule type="cellIs" dxfId="15901" priority="15832" stopIfTrue="1" operator="equal">
      <formula>"Fail"</formula>
    </cfRule>
  </conditionalFormatting>
  <conditionalFormatting sqref="I758:P758">
    <cfRule type="cellIs" dxfId="15900" priority="15829" stopIfTrue="1" operator="equal">
      <formula>"Pass"</formula>
    </cfRule>
    <cfRule type="cellIs" dxfId="15899" priority="15830" stopIfTrue="1" operator="equal">
      <formula>"Fail"</formula>
    </cfRule>
  </conditionalFormatting>
  <conditionalFormatting sqref="H758:O758">
    <cfRule type="cellIs" dxfId="15898" priority="15827" stopIfTrue="1" operator="equal">
      <formula>"Pass"</formula>
    </cfRule>
    <cfRule type="cellIs" dxfId="15897" priority="15828" stopIfTrue="1" operator="equal">
      <formula>"Fail"</formula>
    </cfRule>
  </conditionalFormatting>
  <conditionalFormatting sqref="H758:O758">
    <cfRule type="cellIs" dxfId="15896" priority="15825" stopIfTrue="1" operator="equal">
      <formula>"Pass"</formula>
    </cfRule>
    <cfRule type="cellIs" dxfId="15895" priority="15826" stopIfTrue="1" operator="equal">
      <formula>"Fail"</formula>
    </cfRule>
  </conditionalFormatting>
  <conditionalFormatting sqref="I758:P758">
    <cfRule type="cellIs" dxfId="15894" priority="15823" stopIfTrue="1" operator="equal">
      <formula>"Pass"</formula>
    </cfRule>
    <cfRule type="cellIs" dxfId="15893" priority="15824" stopIfTrue="1" operator="equal">
      <formula>"Fail"</formula>
    </cfRule>
  </conditionalFormatting>
  <conditionalFormatting sqref="I758:P758">
    <cfRule type="cellIs" dxfId="15892" priority="15821" stopIfTrue="1" operator="equal">
      <formula>"Pass"</formula>
    </cfRule>
    <cfRule type="cellIs" dxfId="15891" priority="15822" stopIfTrue="1" operator="equal">
      <formula>"Fail"</formula>
    </cfRule>
  </conditionalFormatting>
  <conditionalFormatting sqref="I758:P758">
    <cfRule type="cellIs" dxfId="15890" priority="15819" stopIfTrue="1" operator="equal">
      <formula>"Pass"</formula>
    </cfRule>
    <cfRule type="cellIs" dxfId="15889" priority="15820" stopIfTrue="1" operator="equal">
      <formula>"Fail"</formula>
    </cfRule>
  </conditionalFormatting>
  <conditionalFormatting sqref="I758:P758">
    <cfRule type="cellIs" dxfId="15888" priority="15817" stopIfTrue="1" operator="equal">
      <formula>"Pass"</formula>
    </cfRule>
    <cfRule type="cellIs" dxfId="15887" priority="15818" stopIfTrue="1" operator="equal">
      <formula>"Fail"</formula>
    </cfRule>
  </conditionalFormatting>
  <conditionalFormatting sqref="H758:O758">
    <cfRule type="cellIs" dxfId="15886" priority="15815" stopIfTrue="1" operator="equal">
      <formula>"Pass"</formula>
    </cfRule>
    <cfRule type="cellIs" dxfId="15885" priority="15816" stopIfTrue="1" operator="equal">
      <formula>"Fail"</formula>
    </cfRule>
  </conditionalFormatting>
  <conditionalFormatting sqref="H758:O758">
    <cfRule type="cellIs" dxfId="15884" priority="15813" stopIfTrue="1" operator="equal">
      <formula>"Pass"</formula>
    </cfRule>
    <cfRule type="cellIs" dxfId="15883" priority="15814" stopIfTrue="1" operator="equal">
      <formula>"Fail"</formula>
    </cfRule>
  </conditionalFormatting>
  <conditionalFormatting sqref="I758:P758">
    <cfRule type="cellIs" dxfId="15882" priority="15811" stopIfTrue="1" operator="equal">
      <formula>"Pass"</formula>
    </cfRule>
    <cfRule type="cellIs" dxfId="15881" priority="15812" stopIfTrue="1" operator="equal">
      <formula>"Fail"</formula>
    </cfRule>
  </conditionalFormatting>
  <conditionalFormatting sqref="I758:P758">
    <cfRule type="cellIs" dxfId="15880" priority="15809" stopIfTrue="1" operator="equal">
      <formula>"Pass"</formula>
    </cfRule>
    <cfRule type="cellIs" dxfId="15879" priority="15810" stopIfTrue="1" operator="equal">
      <formula>"Fail"</formula>
    </cfRule>
  </conditionalFormatting>
  <conditionalFormatting sqref="I758:P758">
    <cfRule type="cellIs" dxfId="15878" priority="15807" stopIfTrue="1" operator="equal">
      <formula>"Pass"</formula>
    </cfRule>
    <cfRule type="cellIs" dxfId="15877" priority="15808" stopIfTrue="1" operator="equal">
      <formula>"Fail"</formula>
    </cfRule>
  </conditionalFormatting>
  <conditionalFormatting sqref="I758:P758">
    <cfRule type="cellIs" dxfId="15876" priority="15805" stopIfTrue="1" operator="equal">
      <formula>"Pass"</formula>
    </cfRule>
    <cfRule type="cellIs" dxfId="15875" priority="15806" stopIfTrue="1" operator="equal">
      <formula>"Fail"</formula>
    </cfRule>
  </conditionalFormatting>
  <conditionalFormatting sqref="H758:O758">
    <cfRule type="cellIs" dxfId="15874" priority="15803" stopIfTrue="1" operator="equal">
      <formula>"Pass"</formula>
    </cfRule>
    <cfRule type="cellIs" dxfId="15873" priority="15804" stopIfTrue="1" operator="equal">
      <formula>"Fail"</formula>
    </cfRule>
  </conditionalFormatting>
  <conditionalFormatting sqref="H758:O758">
    <cfRule type="cellIs" dxfId="15872" priority="15801" stopIfTrue="1" operator="equal">
      <formula>"Pass"</formula>
    </cfRule>
    <cfRule type="cellIs" dxfId="15871" priority="15802" stopIfTrue="1" operator="equal">
      <formula>"Fail"</formula>
    </cfRule>
  </conditionalFormatting>
  <conditionalFormatting sqref="I758:P758">
    <cfRule type="cellIs" dxfId="15870" priority="15799" stopIfTrue="1" operator="equal">
      <formula>"Pass"</formula>
    </cfRule>
    <cfRule type="cellIs" dxfId="15869" priority="15800" stopIfTrue="1" operator="equal">
      <formula>"Fail"</formula>
    </cfRule>
  </conditionalFormatting>
  <conditionalFormatting sqref="I758:P758">
    <cfRule type="cellIs" dxfId="15868" priority="15797" stopIfTrue="1" operator="equal">
      <formula>"Pass"</formula>
    </cfRule>
    <cfRule type="cellIs" dxfId="15867" priority="15798" stopIfTrue="1" operator="equal">
      <formula>"Fail"</formula>
    </cfRule>
  </conditionalFormatting>
  <conditionalFormatting sqref="I758:P758">
    <cfRule type="cellIs" dxfId="15866" priority="15795" stopIfTrue="1" operator="equal">
      <formula>"Pass"</formula>
    </cfRule>
    <cfRule type="cellIs" dxfId="15865" priority="15796" stopIfTrue="1" operator="equal">
      <formula>"Fail"</formula>
    </cfRule>
  </conditionalFormatting>
  <conditionalFormatting sqref="I758:P758">
    <cfRule type="cellIs" dxfId="15864" priority="15793" stopIfTrue="1" operator="equal">
      <formula>"Pass"</formula>
    </cfRule>
    <cfRule type="cellIs" dxfId="15863" priority="15794" stopIfTrue="1" operator="equal">
      <formula>"Fail"</formula>
    </cfRule>
  </conditionalFormatting>
  <conditionalFormatting sqref="H758:O758">
    <cfRule type="cellIs" dxfId="15862" priority="15791" stopIfTrue="1" operator="equal">
      <formula>"Pass"</formula>
    </cfRule>
    <cfRule type="cellIs" dxfId="15861" priority="15792" stopIfTrue="1" operator="equal">
      <formula>"Fail"</formula>
    </cfRule>
  </conditionalFormatting>
  <conditionalFormatting sqref="H758:O758">
    <cfRule type="cellIs" dxfId="15860" priority="15789" stopIfTrue="1" operator="equal">
      <formula>"Pass"</formula>
    </cfRule>
    <cfRule type="cellIs" dxfId="15859" priority="15790" stopIfTrue="1" operator="equal">
      <formula>"Fail"</formula>
    </cfRule>
  </conditionalFormatting>
  <conditionalFormatting sqref="I758:P758">
    <cfRule type="cellIs" dxfId="15858" priority="15787" stopIfTrue="1" operator="equal">
      <formula>"Pass"</formula>
    </cfRule>
    <cfRule type="cellIs" dxfId="15857" priority="15788" stopIfTrue="1" operator="equal">
      <formula>"Fail"</formula>
    </cfRule>
  </conditionalFormatting>
  <conditionalFormatting sqref="I758:P758">
    <cfRule type="cellIs" dxfId="15856" priority="15785" stopIfTrue="1" operator="equal">
      <formula>"Pass"</formula>
    </cfRule>
    <cfRule type="cellIs" dxfId="15855" priority="15786" stopIfTrue="1" operator="equal">
      <formula>"Fail"</formula>
    </cfRule>
  </conditionalFormatting>
  <conditionalFormatting sqref="I758:P758">
    <cfRule type="cellIs" dxfId="15854" priority="15783" stopIfTrue="1" operator="equal">
      <formula>"Pass"</formula>
    </cfRule>
    <cfRule type="cellIs" dxfId="15853" priority="15784" stopIfTrue="1" operator="equal">
      <formula>"Fail"</formula>
    </cfRule>
  </conditionalFormatting>
  <conditionalFormatting sqref="I758:P758">
    <cfRule type="cellIs" dxfId="15852" priority="15781" stopIfTrue="1" operator="equal">
      <formula>"Pass"</formula>
    </cfRule>
    <cfRule type="cellIs" dxfId="15851" priority="15782" stopIfTrue="1" operator="equal">
      <formula>"Fail"</formula>
    </cfRule>
  </conditionalFormatting>
  <conditionalFormatting sqref="H758:O758">
    <cfRule type="cellIs" dxfId="15850" priority="15779" stopIfTrue="1" operator="equal">
      <formula>"Pass"</formula>
    </cfRule>
    <cfRule type="cellIs" dxfId="15849" priority="15780" stopIfTrue="1" operator="equal">
      <formula>"Fail"</formula>
    </cfRule>
  </conditionalFormatting>
  <conditionalFormatting sqref="H758:O758">
    <cfRule type="cellIs" dxfId="15848" priority="15777" stopIfTrue="1" operator="equal">
      <formula>"Pass"</formula>
    </cfRule>
    <cfRule type="cellIs" dxfId="15847" priority="15778" stopIfTrue="1" operator="equal">
      <formula>"Fail"</formula>
    </cfRule>
  </conditionalFormatting>
  <conditionalFormatting sqref="I758:P758">
    <cfRule type="cellIs" dxfId="15846" priority="15775" stopIfTrue="1" operator="equal">
      <formula>"Pass"</formula>
    </cfRule>
    <cfRule type="cellIs" dxfId="15845" priority="15776" stopIfTrue="1" operator="equal">
      <formula>"Fail"</formula>
    </cfRule>
  </conditionalFormatting>
  <conditionalFormatting sqref="I758:P758">
    <cfRule type="cellIs" dxfId="15844" priority="15773" stopIfTrue="1" operator="equal">
      <formula>"Pass"</formula>
    </cfRule>
    <cfRule type="cellIs" dxfId="15843" priority="15774" stopIfTrue="1" operator="equal">
      <formula>"Fail"</formula>
    </cfRule>
  </conditionalFormatting>
  <conditionalFormatting sqref="I758:P758">
    <cfRule type="cellIs" dxfId="15842" priority="15771" stopIfTrue="1" operator="equal">
      <formula>"Pass"</formula>
    </cfRule>
    <cfRule type="cellIs" dxfId="15841" priority="15772" stopIfTrue="1" operator="equal">
      <formula>"Fail"</formula>
    </cfRule>
  </conditionalFormatting>
  <conditionalFormatting sqref="I758:P758">
    <cfRule type="cellIs" dxfId="15840" priority="15769" stopIfTrue="1" operator="equal">
      <formula>"Pass"</formula>
    </cfRule>
    <cfRule type="cellIs" dxfId="15839" priority="15770" stopIfTrue="1" operator="equal">
      <formula>"Fail"</formula>
    </cfRule>
  </conditionalFormatting>
  <conditionalFormatting sqref="H758:O758">
    <cfRule type="cellIs" dxfId="15838" priority="15767" stopIfTrue="1" operator="equal">
      <formula>"Pass"</formula>
    </cfRule>
    <cfRule type="cellIs" dxfId="15837" priority="15768" stopIfTrue="1" operator="equal">
      <formula>"Fail"</formula>
    </cfRule>
  </conditionalFormatting>
  <conditionalFormatting sqref="H758:O758">
    <cfRule type="cellIs" dxfId="15836" priority="15765" stopIfTrue="1" operator="equal">
      <formula>"Pass"</formula>
    </cfRule>
    <cfRule type="cellIs" dxfId="15835" priority="15766" stopIfTrue="1" operator="equal">
      <formula>"Fail"</formula>
    </cfRule>
  </conditionalFormatting>
  <conditionalFormatting sqref="I758:P758">
    <cfRule type="cellIs" dxfId="15834" priority="15763" stopIfTrue="1" operator="equal">
      <formula>"Pass"</formula>
    </cfRule>
    <cfRule type="cellIs" dxfId="15833" priority="15764" stopIfTrue="1" operator="equal">
      <formula>"Fail"</formula>
    </cfRule>
  </conditionalFormatting>
  <conditionalFormatting sqref="I758:P758">
    <cfRule type="cellIs" dxfId="15832" priority="15761" stopIfTrue="1" operator="equal">
      <formula>"Pass"</formula>
    </cfRule>
    <cfRule type="cellIs" dxfId="15831" priority="15762" stopIfTrue="1" operator="equal">
      <formula>"Fail"</formula>
    </cfRule>
  </conditionalFormatting>
  <conditionalFormatting sqref="I758:P758">
    <cfRule type="cellIs" dxfId="15830" priority="15759" stopIfTrue="1" operator="equal">
      <formula>"Pass"</formula>
    </cfRule>
    <cfRule type="cellIs" dxfId="15829" priority="15760" stopIfTrue="1" operator="equal">
      <formula>"Fail"</formula>
    </cfRule>
  </conditionalFormatting>
  <conditionalFormatting sqref="I758:P758">
    <cfRule type="cellIs" dxfId="15828" priority="15757" stopIfTrue="1" operator="equal">
      <formula>"Pass"</formula>
    </cfRule>
    <cfRule type="cellIs" dxfId="15827" priority="15758" stopIfTrue="1" operator="equal">
      <formula>"Fail"</formula>
    </cfRule>
  </conditionalFormatting>
  <conditionalFormatting sqref="H758:O758">
    <cfRule type="cellIs" dxfId="15826" priority="15755" stopIfTrue="1" operator="equal">
      <formula>"Pass"</formula>
    </cfRule>
    <cfRule type="cellIs" dxfId="15825" priority="15756" stopIfTrue="1" operator="equal">
      <formula>"Fail"</formula>
    </cfRule>
  </conditionalFormatting>
  <conditionalFormatting sqref="H758:O758">
    <cfRule type="cellIs" dxfId="15824" priority="15753" stopIfTrue="1" operator="equal">
      <formula>"Pass"</formula>
    </cfRule>
    <cfRule type="cellIs" dxfId="15823" priority="15754" stopIfTrue="1" operator="equal">
      <formula>"Fail"</formula>
    </cfRule>
  </conditionalFormatting>
  <conditionalFormatting sqref="I758:P758">
    <cfRule type="cellIs" dxfId="15822" priority="15751" stopIfTrue="1" operator="equal">
      <formula>"Pass"</formula>
    </cfRule>
    <cfRule type="cellIs" dxfId="15821" priority="15752" stopIfTrue="1" operator="equal">
      <formula>"Fail"</formula>
    </cfRule>
  </conditionalFormatting>
  <conditionalFormatting sqref="I758:P758">
    <cfRule type="cellIs" dxfId="15820" priority="15749" stopIfTrue="1" operator="equal">
      <formula>"Pass"</formula>
    </cfRule>
    <cfRule type="cellIs" dxfId="15819" priority="15750" stopIfTrue="1" operator="equal">
      <formula>"Fail"</formula>
    </cfRule>
  </conditionalFormatting>
  <conditionalFormatting sqref="I758:P758">
    <cfRule type="cellIs" dxfId="15818" priority="15747" stopIfTrue="1" operator="equal">
      <formula>"Pass"</formula>
    </cfRule>
    <cfRule type="cellIs" dxfId="15817" priority="15748" stopIfTrue="1" operator="equal">
      <formula>"Fail"</formula>
    </cfRule>
  </conditionalFormatting>
  <conditionalFormatting sqref="I758:P758">
    <cfRule type="cellIs" dxfId="15816" priority="15745" stopIfTrue="1" operator="equal">
      <formula>"Pass"</formula>
    </cfRule>
    <cfRule type="cellIs" dxfId="15815" priority="15746" stopIfTrue="1" operator="equal">
      <formula>"Fail"</formula>
    </cfRule>
  </conditionalFormatting>
  <conditionalFormatting sqref="D758:E758 G758:P758">
    <cfRule type="cellIs" dxfId="15814" priority="15743" stopIfTrue="1" operator="equal">
      <formula>"Pass"</formula>
    </cfRule>
    <cfRule type="cellIs" dxfId="15813" priority="15744" stopIfTrue="1" operator="equal">
      <formula>"Fail"</formula>
    </cfRule>
  </conditionalFormatting>
  <conditionalFormatting sqref="E758 H758:P758">
    <cfRule type="cellIs" dxfId="15812" priority="15741" stopIfTrue="1" operator="equal">
      <formula>"Pass"</formula>
    </cfRule>
    <cfRule type="cellIs" dxfId="15811" priority="15742" stopIfTrue="1" operator="equal">
      <formula>"Fail"</formula>
    </cfRule>
  </conditionalFormatting>
  <conditionalFormatting sqref="E758 H758:P758">
    <cfRule type="cellIs" dxfId="15810" priority="15739" stopIfTrue="1" operator="equal">
      <formula>"Pass"</formula>
    </cfRule>
    <cfRule type="cellIs" dxfId="15809" priority="15740" stopIfTrue="1" operator="equal">
      <formula>"Fail"</formula>
    </cfRule>
  </conditionalFormatting>
  <conditionalFormatting sqref="E758 H758:P758">
    <cfRule type="cellIs" dxfId="15808" priority="15737" stopIfTrue="1" operator="equal">
      <formula>"Pass"</formula>
    </cfRule>
    <cfRule type="cellIs" dxfId="15807" priority="15738" stopIfTrue="1" operator="equal">
      <formula>"Fail"</formula>
    </cfRule>
  </conditionalFormatting>
  <conditionalFormatting sqref="E758 H758:P758">
    <cfRule type="cellIs" dxfId="15806" priority="15735" stopIfTrue="1" operator="equal">
      <formula>"Pass"</formula>
    </cfRule>
    <cfRule type="cellIs" dxfId="15805" priority="15736" stopIfTrue="1" operator="equal">
      <formula>"Fail"</formula>
    </cfRule>
  </conditionalFormatting>
  <conditionalFormatting sqref="E758 H758:P758">
    <cfRule type="cellIs" dxfId="15804" priority="15733" stopIfTrue="1" operator="equal">
      <formula>"Pass"</formula>
    </cfRule>
    <cfRule type="cellIs" dxfId="15803" priority="15734" stopIfTrue="1" operator="equal">
      <formula>"Fail"</formula>
    </cfRule>
  </conditionalFormatting>
  <conditionalFormatting sqref="E758 H758:P758">
    <cfRule type="cellIs" dxfId="15802" priority="15731" stopIfTrue="1" operator="equal">
      <formula>"Pass"</formula>
    </cfRule>
    <cfRule type="cellIs" dxfId="15801" priority="15732" stopIfTrue="1" operator="equal">
      <formula>"Fail"</formula>
    </cfRule>
  </conditionalFormatting>
  <conditionalFormatting sqref="E758 H758:P758">
    <cfRule type="cellIs" dxfId="15800" priority="15729" stopIfTrue="1" operator="equal">
      <formula>"Pass"</formula>
    </cfRule>
    <cfRule type="cellIs" dxfId="15799" priority="15730" stopIfTrue="1" operator="equal">
      <formula>"Fail"</formula>
    </cfRule>
  </conditionalFormatting>
  <conditionalFormatting sqref="E758 H758:P758">
    <cfRule type="cellIs" dxfId="15798" priority="15727" stopIfTrue="1" operator="equal">
      <formula>"Pass"</formula>
    </cfRule>
    <cfRule type="cellIs" dxfId="15797" priority="15728" stopIfTrue="1" operator="equal">
      <formula>"Fail"</formula>
    </cfRule>
  </conditionalFormatting>
  <conditionalFormatting sqref="E758 H758:P758">
    <cfRule type="cellIs" dxfId="15796" priority="15725" stopIfTrue="1" operator="equal">
      <formula>"Pass"</formula>
    </cfRule>
    <cfRule type="cellIs" dxfId="15795" priority="15726" stopIfTrue="1" operator="equal">
      <formula>"Fail"</formula>
    </cfRule>
  </conditionalFormatting>
  <conditionalFormatting sqref="E758 H758:P758">
    <cfRule type="cellIs" dxfId="15794" priority="15723" stopIfTrue="1" operator="equal">
      <formula>"Pass"</formula>
    </cfRule>
    <cfRule type="cellIs" dxfId="15793" priority="15724" stopIfTrue="1" operator="equal">
      <formula>"Fail"</formula>
    </cfRule>
  </conditionalFormatting>
  <conditionalFormatting sqref="E758 H758:P758">
    <cfRule type="cellIs" dxfId="15792" priority="15721" stopIfTrue="1" operator="equal">
      <formula>"Pass"</formula>
    </cfRule>
    <cfRule type="cellIs" dxfId="15791" priority="15722" stopIfTrue="1" operator="equal">
      <formula>"Fail"</formula>
    </cfRule>
  </conditionalFormatting>
  <conditionalFormatting sqref="E758 H758:P758">
    <cfRule type="cellIs" dxfId="15790" priority="15719" stopIfTrue="1" operator="equal">
      <formula>"Pass"</formula>
    </cfRule>
    <cfRule type="cellIs" dxfId="15789" priority="15720" stopIfTrue="1" operator="equal">
      <formula>"Fail"</formula>
    </cfRule>
  </conditionalFormatting>
  <conditionalFormatting sqref="E758 H758:P758">
    <cfRule type="cellIs" dxfId="15788" priority="15717" stopIfTrue="1" operator="equal">
      <formula>"Pass"</formula>
    </cfRule>
    <cfRule type="cellIs" dxfId="15787" priority="15718" stopIfTrue="1" operator="equal">
      <formula>"Fail"</formula>
    </cfRule>
  </conditionalFormatting>
  <conditionalFormatting sqref="E758 H758:P758">
    <cfRule type="cellIs" dxfId="15786" priority="15715" stopIfTrue="1" operator="equal">
      <formula>"Pass"</formula>
    </cfRule>
    <cfRule type="cellIs" dxfId="15785" priority="15716" stopIfTrue="1" operator="equal">
      <formula>"Fail"</formula>
    </cfRule>
  </conditionalFormatting>
  <conditionalFormatting sqref="E758 H758:P758">
    <cfRule type="cellIs" dxfId="15784" priority="15713" stopIfTrue="1" operator="equal">
      <formula>"Pass"</formula>
    </cfRule>
    <cfRule type="cellIs" dxfId="15783" priority="15714" stopIfTrue="1" operator="equal">
      <formula>"Fail"</formula>
    </cfRule>
  </conditionalFormatting>
  <conditionalFormatting sqref="E758 H758:P758">
    <cfRule type="cellIs" dxfId="15782" priority="15711" stopIfTrue="1" operator="equal">
      <formula>"Pass"</formula>
    </cfRule>
    <cfRule type="cellIs" dxfId="15781" priority="15712" stopIfTrue="1" operator="equal">
      <formula>"Fail"</formula>
    </cfRule>
  </conditionalFormatting>
  <conditionalFormatting sqref="E758 H758:P758">
    <cfRule type="cellIs" dxfId="15780" priority="15709" stopIfTrue="1" operator="equal">
      <formula>"Pass"</formula>
    </cfRule>
    <cfRule type="cellIs" dxfId="15779" priority="15710" stopIfTrue="1" operator="equal">
      <formula>"Fail"</formula>
    </cfRule>
  </conditionalFormatting>
  <conditionalFormatting sqref="E758 H758:P758">
    <cfRule type="cellIs" dxfId="15778" priority="15707" stopIfTrue="1" operator="equal">
      <formula>"Pass"</formula>
    </cfRule>
    <cfRule type="cellIs" dxfId="15777" priority="15708" stopIfTrue="1" operator="equal">
      <formula>"Fail"</formula>
    </cfRule>
  </conditionalFormatting>
  <conditionalFormatting sqref="H759:P759">
    <cfRule type="cellIs" dxfId="15776" priority="15705" stopIfTrue="1" operator="equal">
      <formula>"Pass"</formula>
    </cfRule>
    <cfRule type="cellIs" dxfId="15775" priority="15706" stopIfTrue="1" operator="equal">
      <formula>"Fail"</formula>
    </cfRule>
  </conditionalFormatting>
  <conditionalFormatting sqref="H759:O759">
    <cfRule type="cellIs" dxfId="15774" priority="15703" stopIfTrue="1" operator="equal">
      <formula>"Pass"</formula>
    </cfRule>
    <cfRule type="cellIs" dxfId="15773" priority="15704" stopIfTrue="1" operator="equal">
      <formula>"Fail"</formula>
    </cfRule>
  </conditionalFormatting>
  <conditionalFormatting sqref="H759:O759">
    <cfRule type="cellIs" dxfId="15772" priority="15701" stopIfTrue="1" operator="equal">
      <formula>"Pass"</formula>
    </cfRule>
    <cfRule type="cellIs" dxfId="15771" priority="15702" stopIfTrue="1" operator="equal">
      <formula>"Fail"</formula>
    </cfRule>
  </conditionalFormatting>
  <conditionalFormatting sqref="I759:P759">
    <cfRule type="cellIs" dxfId="15770" priority="15699" stopIfTrue="1" operator="equal">
      <formula>"Pass"</formula>
    </cfRule>
    <cfRule type="cellIs" dxfId="15769" priority="15700" stopIfTrue="1" operator="equal">
      <formula>"Fail"</formula>
    </cfRule>
  </conditionalFormatting>
  <conditionalFormatting sqref="I759:P759">
    <cfRule type="cellIs" dxfId="15768" priority="15697" stopIfTrue="1" operator="equal">
      <formula>"Pass"</formula>
    </cfRule>
    <cfRule type="cellIs" dxfId="15767" priority="15698" stopIfTrue="1" operator="equal">
      <formula>"Fail"</formula>
    </cfRule>
  </conditionalFormatting>
  <conditionalFormatting sqref="I759:P759">
    <cfRule type="cellIs" dxfId="15766" priority="15695" stopIfTrue="1" operator="equal">
      <formula>"Pass"</formula>
    </cfRule>
    <cfRule type="cellIs" dxfId="15765" priority="15696" stopIfTrue="1" operator="equal">
      <formula>"Fail"</formula>
    </cfRule>
  </conditionalFormatting>
  <conditionalFormatting sqref="I759:P759">
    <cfRule type="cellIs" dxfId="15764" priority="15693" stopIfTrue="1" operator="equal">
      <formula>"Pass"</formula>
    </cfRule>
    <cfRule type="cellIs" dxfId="15763" priority="15694" stopIfTrue="1" operator="equal">
      <formula>"Fail"</formula>
    </cfRule>
  </conditionalFormatting>
  <conditionalFormatting sqref="H759:O759">
    <cfRule type="cellIs" dxfId="15762" priority="15691" stopIfTrue="1" operator="equal">
      <formula>"Pass"</formula>
    </cfRule>
    <cfRule type="cellIs" dxfId="15761" priority="15692" stopIfTrue="1" operator="equal">
      <formula>"Fail"</formula>
    </cfRule>
  </conditionalFormatting>
  <conditionalFormatting sqref="H759:O759">
    <cfRule type="cellIs" dxfId="15760" priority="15689" stopIfTrue="1" operator="equal">
      <formula>"Pass"</formula>
    </cfRule>
    <cfRule type="cellIs" dxfId="15759" priority="15690" stopIfTrue="1" operator="equal">
      <formula>"Fail"</formula>
    </cfRule>
  </conditionalFormatting>
  <conditionalFormatting sqref="I759:P759">
    <cfRule type="cellIs" dxfId="15758" priority="15687" stopIfTrue="1" operator="equal">
      <formula>"Pass"</formula>
    </cfRule>
    <cfRule type="cellIs" dxfId="15757" priority="15688" stopIfTrue="1" operator="equal">
      <formula>"Fail"</formula>
    </cfRule>
  </conditionalFormatting>
  <conditionalFormatting sqref="I759:P759">
    <cfRule type="cellIs" dxfId="15756" priority="15685" stopIfTrue="1" operator="equal">
      <formula>"Pass"</formula>
    </cfRule>
    <cfRule type="cellIs" dxfId="15755" priority="15686" stopIfTrue="1" operator="equal">
      <formula>"Fail"</formula>
    </cfRule>
  </conditionalFormatting>
  <conditionalFormatting sqref="I759:P759">
    <cfRule type="cellIs" dxfId="15754" priority="15683" stopIfTrue="1" operator="equal">
      <formula>"Pass"</formula>
    </cfRule>
    <cfRule type="cellIs" dxfId="15753" priority="15684" stopIfTrue="1" operator="equal">
      <formula>"Fail"</formula>
    </cfRule>
  </conditionalFormatting>
  <conditionalFormatting sqref="I759:P759">
    <cfRule type="cellIs" dxfId="15752" priority="15681" stopIfTrue="1" operator="equal">
      <formula>"Pass"</formula>
    </cfRule>
    <cfRule type="cellIs" dxfId="15751" priority="15682" stopIfTrue="1" operator="equal">
      <formula>"Fail"</formula>
    </cfRule>
  </conditionalFormatting>
  <conditionalFormatting sqref="H759:O759">
    <cfRule type="cellIs" dxfId="15750" priority="15679" stopIfTrue="1" operator="equal">
      <formula>"Pass"</formula>
    </cfRule>
    <cfRule type="cellIs" dxfId="15749" priority="15680" stopIfTrue="1" operator="equal">
      <formula>"Fail"</formula>
    </cfRule>
  </conditionalFormatting>
  <conditionalFormatting sqref="H759:O759">
    <cfRule type="cellIs" dxfId="15748" priority="15677" stopIfTrue="1" operator="equal">
      <formula>"Pass"</formula>
    </cfRule>
    <cfRule type="cellIs" dxfId="15747" priority="15678" stopIfTrue="1" operator="equal">
      <formula>"Fail"</formula>
    </cfRule>
  </conditionalFormatting>
  <conditionalFormatting sqref="I759:P759">
    <cfRule type="cellIs" dxfId="15746" priority="15675" stopIfTrue="1" operator="equal">
      <formula>"Pass"</formula>
    </cfRule>
    <cfRule type="cellIs" dxfId="15745" priority="15676" stopIfTrue="1" operator="equal">
      <formula>"Fail"</formula>
    </cfRule>
  </conditionalFormatting>
  <conditionalFormatting sqref="I759:P759">
    <cfRule type="cellIs" dxfId="15744" priority="15673" stopIfTrue="1" operator="equal">
      <formula>"Pass"</formula>
    </cfRule>
    <cfRule type="cellIs" dxfId="15743" priority="15674" stopIfTrue="1" operator="equal">
      <formula>"Fail"</formula>
    </cfRule>
  </conditionalFormatting>
  <conditionalFormatting sqref="I759:P759">
    <cfRule type="cellIs" dxfId="15742" priority="15671" stopIfTrue="1" operator="equal">
      <formula>"Pass"</formula>
    </cfRule>
    <cfRule type="cellIs" dxfId="15741" priority="15672" stopIfTrue="1" operator="equal">
      <formula>"Fail"</formula>
    </cfRule>
  </conditionalFormatting>
  <conditionalFormatting sqref="I759:P759">
    <cfRule type="cellIs" dxfId="15740" priority="15669" stopIfTrue="1" operator="equal">
      <formula>"Pass"</formula>
    </cfRule>
    <cfRule type="cellIs" dxfId="15739" priority="15670" stopIfTrue="1" operator="equal">
      <formula>"Fail"</formula>
    </cfRule>
  </conditionalFormatting>
  <conditionalFormatting sqref="H759:O759">
    <cfRule type="cellIs" dxfId="15738" priority="15667" stopIfTrue="1" operator="equal">
      <formula>"Pass"</formula>
    </cfRule>
    <cfRule type="cellIs" dxfId="15737" priority="15668" stopIfTrue="1" operator="equal">
      <formula>"Fail"</formula>
    </cfRule>
  </conditionalFormatting>
  <conditionalFormatting sqref="H759:O759">
    <cfRule type="cellIs" dxfId="15736" priority="15665" stopIfTrue="1" operator="equal">
      <formula>"Pass"</formula>
    </cfRule>
    <cfRule type="cellIs" dxfId="15735" priority="15666" stopIfTrue="1" operator="equal">
      <formula>"Fail"</formula>
    </cfRule>
  </conditionalFormatting>
  <conditionalFormatting sqref="I759:P759">
    <cfRule type="cellIs" dxfId="15734" priority="15663" stopIfTrue="1" operator="equal">
      <formula>"Pass"</formula>
    </cfRule>
    <cfRule type="cellIs" dxfId="15733" priority="15664" stopIfTrue="1" operator="equal">
      <formula>"Fail"</formula>
    </cfRule>
  </conditionalFormatting>
  <conditionalFormatting sqref="I759:P759">
    <cfRule type="cellIs" dxfId="15732" priority="15661" stopIfTrue="1" operator="equal">
      <formula>"Pass"</formula>
    </cfRule>
    <cfRule type="cellIs" dxfId="15731" priority="15662" stopIfTrue="1" operator="equal">
      <formula>"Fail"</formula>
    </cfRule>
  </conditionalFormatting>
  <conditionalFormatting sqref="I759:P759">
    <cfRule type="cellIs" dxfId="15730" priority="15659" stopIfTrue="1" operator="equal">
      <formula>"Pass"</formula>
    </cfRule>
    <cfRule type="cellIs" dxfId="15729" priority="15660" stopIfTrue="1" operator="equal">
      <formula>"Fail"</formula>
    </cfRule>
  </conditionalFormatting>
  <conditionalFormatting sqref="I759:P759">
    <cfRule type="cellIs" dxfId="15728" priority="15657" stopIfTrue="1" operator="equal">
      <formula>"Pass"</formula>
    </cfRule>
    <cfRule type="cellIs" dxfId="15727" priority="15658" stopIfTrue="1" operator="equal">
      <formula>"Fail"</formula>
    </cfRule>
  </conditionalFormatting>
  <conditionalFormatting sqref="H759:O759">
    <cfRule type="cellIs" dxfId="15726" priority="15655" stopIfTrue="1" operator="equal">
      <formula>"Pass"</formula>
    </cfRule>
    <cfRule type="cellIs" dxfId="15725" priority="15656" stopIfTrue="1" operator="equal">
      <formula>"Fail"</formula>
    </cfRule>
  </conditionalFormatting>
  <conditionalFormatting sqref="H759:O759">
    <cfRule type="cellIs" dxfId="15724" priority="15653" stopIfTrue="1" operator="equal">
      <formula>"Pass"</formula>
    </cfRule>
    <cfRule type="cellIs" dxfId="15723" priority="15654" stopIfTrue="1" operator="equal">
      <formula>"Fail"</formula>
    </cfRule>
  </conditionalFormatting>
  <conditionalFormatting sqref="I759:P759">
    <cfRule type="cellIs" dxfId="15722" priority="15651" stopIfTrue="1" operator="equal">
      <formula>"Pass"</formula>
    </cfRule>
    <cfRule type="cellIs" dxfId="15721" priority="15652" stopIfTrue="1" operator="equal">
      <formula>"Fail"</formula>
    </cfRule>
  </conditionalFormatting>
  <conditionalFormatting sqref="I759:P759">
    <cfRule type="cellIs" dxfId="15720" priority="15649" stopIfTrue="1" operator="equal">
      <formula>"Pass"</formula>
    </cfRule>
    <cfRule type="cellIs" dxfId="15719" priority="15650" stopIfTrue="1" operator="equal">
      <formula>"Fail"</formula>
    </cfRule>
  </conditionalFormatting>
  <conditionalFormatting sqref="I759:P759">
    <cfRule type="cellIs" dxfId="15718" priority="15647" stopIfTrue="1" operator="equal">
      <formula>"Pass"</formula>
    </cfRule>
    <cfRule type="cellIs" dxfId="15717" priority="15648" stopIfTrue="1" operator="equal">
      <formula>"Fail"</formula>
    </cfRule>
  </conditionalFormatting>
  <conditionalFormatting sqref="I759:P759">
    <cfRule type="cellIs" dxfId="15716" priority="15645" stopIfTrue="1" operator="equal">
      <formula>"Pass"</formula>
    </cfRule>
    <cfRule type="cellIs" dxfId="15715" priority="15646" stopIfTrue="1" operator="equal">
      <formula>"Fail"</formula>
    </cfRule>
  </conditionalFormatting>
  <conditionalFormatting sqref="H759:O759">
    <cfRule type="cellIs" dxfId="15714" priority="15643" stopIfTrue="1" operator="equal">
      <formula>"Pass"</formula>
    </cfRule>
    <cfRule type="cellIs" dxfId="15713" priority="15644" stopIfTrue="1" operator="equal">
      <formula>"Fail"</formula>
    </cfRule>
  </conditionalFormatting>
  <conditionalFormatting sqref="H759:O759">
    <cfRule type="cellIs" dxfId="15712" priority="15641" stopIfTrue="1" operator="equal">
      <formula>"Pass"</formula>
    </cfRule>
    <cfRule type="cellIs" dxfId="15711" priority="15642" stopIfTrue="1" operator="equal">
      <formula>"Fail"</formula>
    </cfRule>
  </conditionalFormatting>
  <conditionalFormatting sqref="I759:P759">
    <cfRule type="cellIs" dxfId="15710" priority="15639" stopIfTrue="1" operator="equal">
      <formula>"Pass"</formula>
    </cfRule>
    <cfRule type="cellIs" dxfId="15709" priority="15640" stopIfTrue="1" operator="equal">
      <formula>"Fail"</formula>
    </cfRule>
  </conditionalFormatting>
  <conditionalFormatting sqref="I759:P759">
    <cfRule type="cellIs" dxfId="15708" priority="15637" stopIfTrue="1" operator="equal">
      <formula>"Pass"</formula>
    </cfRule>
    <cfRule type="cellIs" dxfId="15707" priority="15638" stopIfTrue="1" operator="equal">
      <formula>"Fail"</formula>
    </cfRule>
  </conditionalFormatting>
  <conditionalFormatting sqref="I759:P759">
    <cfRule type="cellIs" dxfId="15706" priority="15635" stopIfTrue="1" operator="equal">
      <formula>"Pass"</formula>
    </cfRule>
    <cfRule type="cellIs" dxfId="15705" priority="15636" stopIfTrue="1" operator="equal">
      <formula>"Fail"</formula>
    </cfRule>
  </conditionalFormatting>
  <conditionalFormatting sqref="I759:P759">
    <cfRule type="cellIs" dxfId="15704" priority="15633" stopIfTrue="1" operator="equal">
      <formula>"Pass"</formula>
    </cfRule>
    <cfRule type="cellIs" dxfId="15703" priority="15634" stopIfTrue="1" operator="equal">
      <formula>"Fail"</formula>
    </cfRule>
  </conditionalFormatting>
  <conditionalFormatting sqref="H759:O759">
    <cfRule type="cellIs" dxfId="15702" priority="15631" stopIfTrue="1" operator="equal">
      <formula>"Pass"</formula>
    </cfRule>
    <cfRule type="cellIs" dxfId="15701" priority="15632" stopIfTrue="1" operator="equal">
      <formula>"Fail"</formula>
    </cfRule>
  </conditionalFormatting>
  <conditionalFormatting sqref="H759:O759">
    <cfRule type="cellIs" dxfId="15700" priority="15629" stopIfTrue="1" operator="equal">
      <formula>"Pass"</formula>
    </cfRule>
    <cfRule type="cellIs" dxfId="15699" priority="15630" stopIfTrue="1" operator="equal">
      <formula>"Fail"</formula>
    </cfRule>
  </conditionalFormatting>
  <conditionalFormatting sqref="I759:P759">
    <cfRule type="cellIs" dxfId="15698" priority="15627" stopIfTrue="1" operator="equal">
      <formula>"Pass"</formula>
    </cfRule>
    <cfRule type="cellIs" dxfId="15697" priority="15628" stopIfTrue="1" operator="equal">
      <formula>"Fail"</formula>
    </cfRule>
  </conditionalFormatting>
  <conditionalFormatting sqref="I759:P759">
    <cfRule type="cellIs" dxfId="15696" priority="15625" stopIfTrue="1" operator="equal">
      <formula>"Pass"</formula>
    </cfRule>
    <cfRule type="cellIs" dxfId="15695" priority="15626" stopIfTrue="1" operator="equal">
      <formula>"Fail"</formula>
    </cfRule>
  </conditionalFormatting>
  <conditionalFormatting sqref="I759:P759">
    <cfRule type="cellIs" dxfId="15694" priority="15623" stopIfTrue="1" operator="equal">
      <formula>"Pass"</formula>
    </cfRule>
    <cfRule type="cellIs" dxfId="15693" priority="15624" stopIfTrue="1" operator="equal">
      <formula>"Fail"</formula>
    </cfRule>
  </conditionalFormatting>
  <conditionalFormatting sqref="I759:P759">
    <cfRule type="cellIs" dxfId="15692" priority="15621" stopIfTrue="1" operator="equal">
      <formula>"Pass"</formula>
    </cfRule>
    <cfRule type="cellIs" dxfId="15691" priority="15622" stopIfTrue="1" operator="equal">
      <formula>"Fail"</formula>
    </cfRule>
  </conditionalFormatting>
  <conditionalFormatting sqref="H759:O759">
    <cfRule type="cellIs" dxfId="15690" priority="15619" stopIfTrue="1" operator="equal">
      <formula>"Pass"</formula>
    </cfRule>
    <cfRule type="cellIs" dxfId="15689" priority="15620" stopIfTrue="1" operator="equal">
      <formula>"Fail"</formula>
    </cfRule>
  </conditionalFormatting>
  <conditionalFormatting sqref="H759:O759">
    <cfRule type="cellIs" dxfId="15688" priority="15617" stopIfTrue="1" operator="equal">
      <formula>"Pass"</formula>
    </cfRule>
    <cfRule type="cellIs" dxfId="15687" priority="15618" stopIfTrue="1" operator="equal">
      <formula>"Fail"</formula>
    </cfRule>
  </conditionalFormatting>
  <conditionalFormatting sqref="I759:P759">
    <cfRule type="cellIs" dxfId="15686" priority="15615" stopIfTrue="1" operator="equal">
      <formula>"Pass"</formula>
    </cfRule>
    <cfRule type="cellIs" dxfId="15685" priority="15616" stopIfTrue="1" operator="equal">
      <formula>"Fail"</formula>
    </cfRule>
  </conditionalFormatting>
  <conditionalFormatting sqref="I759:P759">
    <cfRule type="cellIs" dxfId="15684" priority="15613" stopIfTrue="1" operator="equal">
      <formula>"Pass"</formula>
    </cfRule>
    <cfRule type="cellIs" dxfId="15683" priority="15614" stopIfTrue="1" operator="equal">
      <formula>"Fail"</formula>
    </cfRule>
  </conditionalFormatting>
  <conditionalFormatting sqref="I759:P759">
    <cfRule type="cellIs" dxfId="15682" priority="15611" stopIfTrue="1" operator="equal">
      <formula>"Pass"</formula>
    </cfRule>
    <cfRule type="cellIs" dxfId="15681" priority="15612" stopIfTrue="1" operator="equal">
      <formula>"Fail"</formula>
    </cfRule>
  </conditionalFormatting>
  <conditionalFormatting sqref="I759:P759">
    <cfRule type="cellIs" dxfId="15680" priority="15609" stopIfTrue="1" operator="equal">
      <formula>"Pass"</formula>
    </cfRule>
    <cfRule type="cellIs" dxfId="15679" priority="15610" stopIfTrue="1" operator="equal">
      <formula>"Fail"</formula>
    </cfRule>
  </conditionalFormatting>
  <conditionalFormatting sqref="H759:O759">
    <cfRule type="cellIs" dxfId="15678" priority="15607" stopIfTrue="1" operator="equal">
      <formula>"Pass"</formula>
    </cfRule>
    <cfRule type="cellIs" dxfId="15677" priority="15608" stopIfTrue="1" operator="equal">
      <formula>"Fail"</formula>
    </cfRule>
  </conditionalFormatting>
  <conditionalFormatting sqref="H759:O759">
    <cfRule type="cellIs" dxfId="15676" priority="15605" stopIfTrue="1" operator="equal">
      <formula>"Pass"</formula>
    </cfRule>
    <cfRule type="cellIs" dxfId="15675" priority="15606" stopIfTrue="1" operator="equal">
      <formula>"Fail"</formula>
    </cfRule>
  </conditionalFormatting>
  <conditionalFormatting sqref="I759:P759">
    <cfRule type="cellIs" dxfId="15674" priority="15603" stopIfTrue="1" operator="equal">
      <formula>"Pass"</formula>
    </cfRule>
    <cfRule type="cellIs" dxfId="15673" priority="15604" stopIfTrue="1" operator="equal">
      <formula>"Fail"</formula>
    </cfRule>
  </conditionalFormatting>
  <conditionalFormatting sqref="I759:P759">
    <cfRule type="cellIs" dxfId="15672" priority="15601" stopIfTrue="1" operator="equal">
      <formula>"Pass"</formula>
    </cfRule>
    <cfRule type="cellIs" dxfId="15671" priority="15602" stopIfTrue="1" operator="equal">
      <formula>"Fail"</formula>
    </cfRule>
  </conditionalFormatting>
  <conditionalFormatting sqref="I759:P759">
    <cfRule type="cellIs" dxfId="15670" priority="15599" stopIfTrue="1" operator="equal">
      <formula>"Pass"</formula>
    </cfRule>
    <cfRule type="cellIs" dxfId="15669" priority="15600" stopIfTrue="1" operator="equal">
      <formula>"Fail"</formula>
    </cfRule>
  </conditionalFormatting>
  <conditionalFormatting sqref="I759:P759">
    <cfRule type="cellIs" dxfId="15668" priority="15597" stopIfTrue="1" operator="equal">
      <formula>"Pass"</formula>
    </cfRule>
    <cfRule type="cellIs" dxfId="15667" priority="15598" stopIfTrue="1" operator="equal">
      <formula>"Fail"</formula>
    </cfRule>
  </conditionalFormatting>
  <conditionalFormatting sqref="H759:O759">
    <cfRule type="cellIs" dxfId="15666" priority="15595" stopIfTrue="1" operator="equal">
      <formula>"Pass"</formula>
    </cfRule>
    <cfRule type="cellIs" dxfId="15665" priority="15596" stopIfTrue="1" operator="equal">
      <formula>"Fail"</formula>
    </cfRule>
  </conditionalFormatting>
  <conditionalFormatting sqref="H759:O759">
    <cfRule type="cellIs" dxfId="15664" priority="15593" stopIfTrue="1" operator="equal">
      <formula>"Pass"</formula>
    </cfRule>
    <cfRule type="cellIs" dxfId="15663" priority="15594" stopIfTrue="1" operator="equal">
      <formula>"Fail"</formula>
    </cfRule>
  </conditionalFormatting>
  <conditionalFormatting sqref="I759:P759">
    <cfRule type="cellIs" dxfId="15662" priority="15591" stopIfTrue="1" operator="equal">
      <formula>"Pass"</formula>
    </cfRule>
    <cfRule type="cellIs" dxfId="15661" priority="15592" stopIfTrue="1" operator="equal">
      <formula>"Fail"</formula>
    </cfRule>
  </conditionalFormatting>
  <conditionalFormatting sqref="I759:P759">
    <cfRule type="cellIs" dxfId="15660" priority="15589" stopIfTrue="1" operator="equal">
      <formula>"Pass"</formula>
    </cfRule>
    <cfRule type="cellIs" dxfId="15659" priority="15590" stopIfTrue="1" operator="equal">
      <formula>"Fail"</formula>
    </cfRule>
  </conditionalFormatting>
  <conditionalFormatting sqref="I759:P759">
    <cfRule type="cellIs" dxfId="15658" priority="15587" stopIfTrue="1" operator="equal">
      <formula>"Pass"</formula>
    </cfRule>
    <cfRule type="cellIs" dxfId="15657" priority="15588" stopIfTrue="1" operator="equal">
      <formula>"Fail"</formula>
    </cfRule>
  </conditionalFormatting>
  <conditionalFormatting sqref="I759:P759">
    <cfRule type="cellIs" dxfId="15656" priority="15585" stopIfTrue="1" operator="equal">
      <formula>"Pass"</formula>
    </cfRule>
    <cfRule type="cellIs" dxfId="15655" priority="15586" stopIfTrue="1" operator="equal">
      <formula>"Fail"</formula>
    </cfRule>
  </conditionalFormatting>
  <conditionalFormatting sqref="H759:O759">
    <cfRule type="cellIs" dxfId="15654" priority="15583" stopIfTrue="1" operator="equal">
      <formula>"Pass"</formula>
    </cfRule>
    <cfRule type="cellIs" dxfId="15653" priority="15584" stopIfTrue="1" operator="equal">
      <formula>"Fail"</formula>
    </cfRule>
  </conditionalFormatting>
  <conditionalFormatting sqref="H759:O759">
    <cfRule type="cellIs" dxfId="15652" priority="15581" stopIfTrue="1" operator="equal">
      <formula>"Pass"</formula>
    </cfRule>
    <cfRule type="cellIs" dxfId="15651" priority="15582" stopIfTrue="1" operator="equal">
      <formula>"Fail"</formula>
    </cfRule>
  </conditionalFormatting>
  <conditionalFormatting sqref="I759:P759">
    <cfRule type="cellIs" dxfId="15650" priority="15579" stopIfTrue="1" operator="equal">
      <formula>"Pass"</formula>
    </cfRule>
    <cfRule type="cellIs" dxfId="15649" priority="15580" stopIfTrue="1" operator="equal">
      <formula>"Fail"</formula>
    </cfRule>
  </conditionalFormatting>
  <conditionalFormatting sqref="I759:P759">
    <cfRule type="cellIs" dxfId="15648" priority="15577" stopIfTrue="1" operator="equal">
      <formula>"Pass"</formula>
    </cfRule>
    <cfRule type="cellIs" dxfId="15647" priority="15578" stopIfTrue="1" operator="equal">
      <formula>"Fail"</formula>
    </cfRule>
  </conditionalFormatting>
  <conditionalFormatting sqref="I759:P759">
    <cfRule type="cellIs" dxfId="15646" priority="15575" stopIfTrue="1" operator="equal">
      <formula>"Pass"</formula>
    </cfRule>
    <cfRule type="cellIs" dxfId="15645" priority="15576" stopIfTrue="1" operator="equal">
      <formula>"Fail"</formula>
    </cfRule>
  </conditionalFormatting>
  <conditionalFormatting sqref="I759:P759">
    <cfRule type="cellIs" dxfId="15644" priority="15573" stopIfTrue="1" operator="equal">
      <formula>"Pass"</formula>
    </cfRule>
    <cfRule type="cellIs" dxfId="15643" priority="15574" stopIfTrue="1" operator="equal">
      <formula>"Fail"</formula>
    </cfRule>
  </conditionalFormatting>
  <conditionalFormatting sqref="H759:O759">
    <cfRule type="cellIs" dxfId="15642" priority="15571" stopIfTrue="1" operator="equal">
      <formula>"Pass"</formula>
    </cfRule>
    <cfRule type="cellIs" dxfId="15641" priority="15572" stopIfTrue="1" operator="equal">
      <formula>"Fail"</formula>
    </cfRule>
  </conditionalFormatting>
  <conditionalFormatting sqref="H759:O759">
    <cfRule type="cellIs" dxfId="15640" priority="15569" stopIfTrue="1" operator="equal">
      <formula>"Pass"</formula>
    </cfRule>
    <cfRule type="cellIs" dxfId="15639" priority="15570" stopIfTrue="1" operator="equal">
      <formula>"Fail"</formula>
    </cfRule>
  </conditionalFormatting>
  <conditionalFormatting sqref="I759:P759">
    <cfRule type="cellIs" dxfId="15638" priority="15567" stopIfTrue="1" operator="equal">
      <formula>"Pass"</formula>
    </cfRule>
    <cfRule type="cellIs" dxfId="15637" priority="15568" stopIfTrue="1" operator="equal">
      <formula>"Fail"</formula>
    </cfRule>
  </conditionalFormatting>
  <conditionalFormatting sqref="I759:P759">
    <cfRule type="cellIs" dxfId="15636" priority="15565" stopIfTrue="1" operator="equal">
      <formula>"Pass"</formula>
    </cfRule>
    <cfRule type="cellIs" dxfId="15635" priority="15566" stopIfTrue="1" operator="equal">
      <formula>"Fail"</formula>
    </cfRule>
  </conditionalFormatting>
  <conditionalFormatting sqref="I759:P759">
    <cfRule type="cellIs" dxfId="15634" priority="15563" stopIfTrue="1" operator="equal">
      <formula>"Pass"</formula>
    </cfRule>
    <cfRule type="cellIs" dxfId="15633" priority="15564" stopIfTrue="1" operator="equal">
      <formula>"Fail"</formula>
    </cfRule>
  </conditionalFormatting>
  <conditionalFormatting sqref="I759:P759">
    <cfRule type="cellIs" dxfId="15632" priority="15561" stopIfTrue="1" operator="equal">
      <formula>"Pass"</formula>
    </cfRule>
    <cfRule type="cellIs" dxfId="15631" priority="15562" stopIfTrue="1" operator="equal">
      <formula>"Fail"</formula>
    </cfRule>
  </conditionalFormatting>
  <conditionalFormatting sqref="H759:O759">
    <cfRule type="cellIs" dxfId="15630" priority="15559" stopIfTrue="1" operator="equal">
      <formula>"Pass"</formula>
    </cfRule>
    <cfRule type="cellIs" dxfId="15629" priority="15560" stopIfTrue="1" operator="equal">
      <formula>"Fail"</formula>
    </cfRule>
  </conditionalFormatting>
  <conditionalFormatting sqref="H759:O759">
    <cfRule type="cellIs" dxfId="15628" priority="15557" stopIfTrue="1" operator="equal">
      <formula>"Pass"</formula>
    </cfRule>
    <cfRule type="cellIs" dxfId="15627" priority="15558" stopIfTrue="1" operator="equal">
      <formula>"Fail"</formula>
    </cfRule>
  </conditionalFormatting>
  <conditionalFormatting sqref="I759:P759">
    <cfRule type="cellIs" dxfId="15626" priority="15555" stopIfTrue="1" operator="equal">
      <formula>"Pass"</formula>
    </cfRule>
    <cfRule type="cellIs" dxfId="15625" priority="15556" stopIfTrue="1" operator="equal">
      <formula>"Fail"</formula>
    </cfRule>
  </conditionalFormatting>
  <conditionalFormatting sqref="I759:P759">
    <cfRule type="cellIs" dxfId="15624" priority="15553" stopIfTrue="1" operator="equal">
      <formula>"Pass"</formula>
    </cfRule>
    <cfRule type="cellIs" dxfId="15623" priority="15554" stopIfTrue="1" operator="equal">
      <formula>"Fail"</formula>
    </cfRule>
  </conditionalFormatting>
  <conditionalFormatting sqref="I759:P759">
    <cfRule type="cellIs" dxfId="15622" priority="15551" stopIfTrue="1" operator="equal">
      <formula>"Pass"</formula>
    </cfRule>
    <cfRule type="cellIs" dxfId="15621" priority="15552" stopIfTrue="1" operator="equal">
      <formula>"Fail"</formula>
    </cfRule>
  </conditionalFormatting>
  <conditionalFormatting sqref="I759:P759">
    <cfRule type="cellIs" dxfId="15620" priority="15549" stopIfTrue="1" operator="equal">
      <formula>"Pass"</formula>
    </cfRule>
    <cfRule type="cellIs" dxfId="15619" priority="15550" stopIfTrue="1" operator="equal">
      <formula>"Fail"</formula>
    </cfRule>
  </conditionalFormatting>
  <conditionalFormatting sqref="H759:O759">
    <cfRule type="cellIs" dxfId="15618" priority="15547" stopIfTrue="1" operator="equal">
      <formula>"Pass"</formula>
    </cfRule>
    <cfRule type="cellIs" dxfId="15617" priority="15548" stopIfTrue="1" operator="equal">
      <formula>"Fail"</formula>
    </cfRule>
  </conditionalFormatting>
  <conditionalFormatting sqref="H759:O759">
    <cfRule type="cellIs" dxfId="15616" priority="15545" stopIfTrue="1" operator="equal">
      <formula>"Pass"</formula>
    </cfRule>
    <cfRule type="cellIs" dxfId="15615" priority="15546" stopIfTrue="1" operator="equal">
      <formula>"Fail"</formula>
    </cfRule>
  </conditionalFormatting>
  <conditionalFormatting sqref="I759:P759">
    <cfRule type="cellIs" dxfId="15614" priority="15543" stopIfTrue="1" operator="equal">
      <formula>"Pass"</formula>
    </cfRule>
    <cfRule type="cellIs" dxfId="15613" priority="15544" stopIfTrue="1" operator="equal">
      <formula>"Fail"</formula>
    </cfRule>
  </conditionalFormatting>
  <conditionalFormatting sqref="I759:P759">
    <cfRule type="cellIs" dxfId="15612" priority="15541" stopIfTrue="1" operator="equal">
      <formula>"Pass"</formula>
    </cfRule>
    <cfRule type="cellIs" dxfId="15611" priority="15542" stopIfTrue="1" operator="equal">
      <formula>"Fail"</formula>
    </cfRule>
  </conditionalFormatting>
  <conditionalFormatting sqref="I759:P759">
    <cfRule type="cellIs" dxfId="15610" priority="15539" stopIfTrue="1" operator="equal">
      <formula>"Pass"</formula>
    </cfRule>
    <cfRule type="cellIs" dxfId="15609" priority="15540" stopIfTrue="1" operator="equal">
      <formula>"Fail"</formula>
    </cfRule>
  </conditionalFormatting>
  <conditionalFormatting sqref="I759:P759">
    <cfRule type="cellIs" dxfId="15608" priority="15537" stopIfTrue="1" operator="equal">
      <formula>"Pass"</formula>
    </cfRule>
    <cfRule type="cellIs" dxfId="15607" priority="15538" stopIfTrue="1" operator="equal">
      <formula>"Fail"</formula>
    </cfRule>
  </conditionalFormatting>
  <conditionalFormatting sqref="H759:O759">
    <cfRule type="cellIs" dxfId="15606" priority="15535" stopIfTrue="1" operator="equal">
      <formula>"Pass"</formula>
    </cfRule>
    <cfRule type="cellIs" dxfId="15605" priority="15536" stopIfTrue="1" operator="equal">
      <formula>"Fail"</formula>
    </cfRule>
  </conditionalFormatting>
  <conditionalFormatting sqref="H759:O759">
    <cfRule type="cellIs" dxfId="15604" priority="15533" stopIfTrue="1" operator="equal">
      <formula>"Pass"</formula>
    </cfRule>
    <cfRule type="cellIs" dxfId="15603" priority="15534" stopIfTrue="1" operator="equal">
      <formula>"Fail"</formula>
    </cfRule>
  </conditionalFormatting>
  <conditionalFormatting sqref="I759:P759">
    <cfRule type="cellIs" dxfId="15602" priority="15531" stopIfTrue="1" operator="equal">
      <formula>"Pass"</formula>
    </cfRule>
    <cfRule type="cellIs" dxfId="15601" priority="15532" stopIfTrue="1" operator="equal">
      <formula>"Fail"</formula>
    </cfRule>
  </conditionalFormatting>
  <conditionalFormatting sqref="I759:P759">
    <cfRule type="cellIs" dxfId="15600" priority="15529" stopIfTrue="1" operator="equal">
      <formula>"Pass"</formula>
    </cfRule>
    <cfRule type="cellIs" dxfId="15599" priority="15530" stopIfTrue="1" operator="equal">
      <formula>"Fail"</formula>
    </cfRule>
  </conditionalFormatting>
  <conditionalFormatting sqref="I759:P759">
    <cfRule type="cellIs" dxfId="15598" priority="15527" stopIfTrue="1" operator="equal">
      <formula>"Pass"</formula>
    </cfRule>
    <cfRule type="cellIs" dxfId="15597" priority="15528" stopIfTrue="1" operator="equal">
      <formula>"Fail"</formula>
    </cfRule>
  </conditionalFormatting>
  <conditionalFormatting sqref="I759:P759">
    <cfRule type="cellIs" dxfId="15596" priority="15525" stopIfTrue="1" operator="equal">
      <formula>"Pass"</formula>
    </cfRule>
    <cfRule type="cellIs" dxfId="15595" priority="15526" stopIfTrue="1" operator="equal">
      <formula>"Fail"</formula>
    </cfRule>
  </conditionalFormatting>
  <conditionalFormatting sqref="H759:O759">
    <cfRule type="cellIs" dxfId="15594" priority="15523" stopIfTrue="1" operator="equal">
      <formula>"Pass"</formula>
    </cfRule>
    <cfRule type="cellIs" dxfId="15593" priority="15524" stopIfTrue="1" operator="equal">
      <formula>"Fail"</formula>
    </cfRule>
  </conditionalFormatting>
  <conditionalFormatting sqref="H759:O759">
    <cfRule type="cellIs" dxfId="15592" priority="15521" stopIfTrue="1" operator="equal">
      <formula>"Pass"</formula>
    </cfRule>
    <cfRule type="cellIs" dxfId="15591" priority="15522" stopIfTrue="1" operator="equal">
      <formula>"Fail"</formula>
    </cfRule>
  </conditionalFormatting>
  <conditionalFormatting sqref="I759:P759">
    <cfRule type="cellIs" dxfId="15590" priority="15519" stopIfTrue="1" operator="equal">
      <formula>"Pass"</formula>
    </cfRule>
    <cfRule type="cellIs" dxfId="15589" priority="15520" stopIfTrue="1" operator="equal">
      <formula>"Fail"</formula>
    </cfRule>
  </conditionalFormatting>
  <conditionalFormatting sqref="I759:P759">
    <cfRule type="cellIs" dxfId="15588" priority="15517" stopIfTrue="1" operator="equal">
      <formula>"Pass"</formula>
    </cfRule>
    <cfRule type="cellIs" dxfId="15587" priority="15518" stopIfTrue="1" operator="equal">
      <formula>"Fail"</formula>
    </cfRule>
  </conditionalFormatting>
  <conditionalFormatting sqref="I759:P759">
    <cfRule type="cellIs" dxfId="15586" priority="15515" stopIfTrue="1" operator="equal">
      <formula>"Pass"</formula>
    </cfRule>
    <cfRule type="cellIs" dxfId="15585" priority="15516" stopIfTrue="1" operator="equal">
      <formula>"Fail"</formula>
    </cfRule>
  </conditionalFormatting>
  <conditionalFormatting sqref="I759:P759">
    <cfRule type="cellIs" dxfId="15584" priority="15513" stopIfTrue="1" operator="equal">
      <formula>"Pass"</formula>
    </cfRule>
    <cfRule type="cellIs" dxfId="15583" priority="15514" stopIfTrue="1" operator="equal">
      <formula>"Fail"</formula>
    </cfRule>
  </conditionalFormatting>
  <conditionalFormatting sqref="H759:O759">
    <cfRule type="cellIs" dxfId="15582" priority="15511" stopIfTrue="1" operator="equal">
      <formula>"Pass"</formula>
    </cfRule>
    <cfRule type="cellIs" dxfId="15581" priority="15512" stopIfTrue="1" operator="equal">
      <formula>"Fail"</formula>
    </cfRule>
  </conditionalFormatting>
  <conditionalFormatting sqref="H759:O759">
    <cfRule type="cellIs" dxfId="15580" priority="15509" stopIfTrue="1" operator="equal">
      <formula>"Pass"</formula>
    </cfRule>
    <cfRule type="cellIs" dxfId="15579" priority="15510" stopIfTrue="1" operator="equal">
      <formula>"Fail"</formula>
    </cfRule>
  </conditionalFormatting>
  <conditionalFormatting sqref="I759:P759">
    <cfRule type="cellIs" dxfId="15578" priority="15507" stopIfTrue="1" operator="equal">
      <formula>"Pass"</formula>
    </cfRule>
    <cfRule type="cellIs" dxfId="15577" priority="15508" stopIfTrue="1" operator="equal">
      <formula>"Fail"</formula>
    </cfRule>
  </conditionalFormatting>
  <conditionalFormatting sqref="I759:P759">
    <cfRule type="cellIs" dxfId="15576" priority="15505" stopIfTrue="1" operator="equal">
      <formula>"Pass"</formula>
    </cfRule>
    <cfRule type="cellIs" dxfId="15575" priority="15506" stopIfTrue="1" operator="equal">
      <formula>"Fail"</formula>
    </cfRule>
  </conditionalFormatting>
  <conditionalFormatting sqref="I759:P759">
    <cfRule type="cellIs" dxfId="15574" priority="15503" stopIfTrue="1" operator="equal">
      <formula>"Pass"</formula>
    </cfRule>
    <cfRule type="cellIs" dxfId="15573" priority="15504" stopIfTrue="1" operator="equal">
      <formula>"Fail"</formula>
    </cfRule>
  </conditionalFormatting>
  <conditionalFormatting sqref="I759:P759">
    <cfRule type="cellIs" dxfId="15572" priority="15501" stopIfTrue="1" operator="equal">
      <formula>"Pass"</formula>
    </cfRule>
    <cfRule type="cellIs" dxfId="15571" priority="15502" stopIfTrue="1" operator="equal">
      <formula>"Fail"</formula>
    </cfRule>
  </conditionalFormatting>
  <conditionalFormatting sqref="H759:O759">
    <cfRule type="cellIs" dxfId="15570" priority="15499" stopIfTrue="1" operator="equal">
      <formula>"Pass"</formula>
    </cfRule>
    <cfRule type="cellIs" dxfId="15569" priority="15500" stopIfTrue="1" operator="equal">
      <formula>"Fail"</formula>
    </cfRule>
  </conditionalFormatting>
  <conditionalFormatting sqref="H759:O759">
    <cfRule type="cellIs" dxfId="15568" priority="15497" stopIfTrue="1" operator="equal">
      <formula>"Pass"</formula>
    </cfRule>
    <cfRule type="cellIs" dxfId="15567" priority="15498" stopIfTrue="1" operator="equal">
      <formula>"Fail"</formula>
    </cfRule>
  </conditionalFormatting>
  <conditionalFormatting sqref="I759:P759">
    <cfRule type="cellIs" dxfId="15566" priority="15495" stopIfTrue="1" operator="equal">
      <formula>"Pass"</formula>
    </cfRule>
    <cfRule type="cellIs" dxfId="15565" priority="15496" stopIfTrue="1" operator="equal">
      <formula>"Fail"</formula>
    </cfRule>
  </conditionalFormatting>
  <conditionalFormatting sqref="I759:P759">
    <cfRule type="cellIs" dxfId="15564" priority="15493" stopIfTrue="1" operator="equal">
      <formula>"Pass"</formula>
    </cfRule>
    <cfRule type="cellIs" dxfId="15563" priority="15494" stopIfTrue="1" operator="equal">
      <formula>"Fail"</formula>
    </cfRule>
  </conditionalFormatting>
  <conditionalFormatting sqref="I759:P759">
    <cfRule type="cellIs" dxfId="15562" priority="15491" stopIfTrue="1" operator="equal">
      <formula>"Pass"</formula>
    </cfRule>
    <cfRule type="cellIs" dxfId="15561" priority="15492" stopIfTrue="1" operator="equal">
      <formula>"Fail"</formula>
    </cfRule>
  </conditionalFormatting>
  <conditionalFormatting sqref="I759:P759">
    <cfRule type="cellIs" dxfId="15560" priority="15489" stopIfTrue="1" operator="equal">
      <formula>"Pass"</formula>
    </cfRule>
    <cfRule type="cellIs" dxfId="15559" priority="15490" stopIfTrue="1" operator="equal">
      <formula>"Fail"</formula>
    </cfRule>
  </conditionalFormatting>
  <conditionalFormatting sqref="H759:O759">
    <cfRule type="cellIs" dxfId="15558" priority="15487" stopIfTrue="1" operator="equal">
      <formula>"Pass"</formula>
    </cfRule>
    <cfRule type="cellIs" dxfId="15557" priority="15488" stopIfTrue="1" operator="equal">
      <formula>"Fail"</formula>
    </cfRule>
  </conditionalFormatting>
  <conditionalFormatting sqref="H759:O759">
    <cfRule type="cellIs" dxfId="15556" priority="15485" stopIfTrue="1" operator="equal">
      <formula>"Pass"</formula>
    </cfRule>
    <cfRule type="cellIs" dxfId="15555" priority="15486" stopIfTrue="1" operator="equal">
      <formula>"Fail"</formula>
    </cfRule>
  </conditionalFormatting>
  <conditionalFormatting sqref="I759:P759">
    <cfRule type="cellIs" dxfId="15554" priority="15483" stopIfTrue="1" operator="equal">
      <formula>"Pass"</formula>
    </cfRule>
    <cfRule type="cellIs" dxfId="15553" priority="15484" stopIfTrue="1" operator="equal">
      <formula>"Fail"</formula>
    </cfRule>
  </conditionalFormatting>
  <conditionalFormatting sqref="I759:P759">
    <cfRule type="cellIs" dxfId="15552" priority="15481" stopIfTrue="1" operator="equal">
      <formula>"Pass"</formula>
    </cfRule>
    <cfRule type="cellIs" dxfId="15551" priority="15482" stopIfTrue="1" operator="equal">
      <formula>"Fail"</formula>
    </cfRule>
  </conditionalFormatting>
  <conditionalFormatting sqref="I759:P759">
    <cfRule type="cellIs" dxfId="15550" priority="15479" stopIfTrue="1" operator="equal">
      <formula>"Pass"</formula>
    </cfRule>
    <cfRule type="cellIs" dxfId="15549" priority="15480" stopIfTrue="1" operator="equal">
      <formula>"Fail"</formula>
    </cfRule>
  </conditionalFormatting>
  <conditionalFormatting sqref="I759:P759">
    <cfRule type="cellIs" dxfId="15548" priority="15477" stopIfTrue="1" operator="equal">
      <formula>"Pass"</formula>
    </cfRule>
    <cfRule type="cellIs" dxfId="15547" priority="15478" stopIfTrue="1" operator="equal">
      <formula>"Fail"</formula>
    </cfRule>
  </conditionalFormatting>
  <conditionalFormatting sqref="H759:O759">
    <cfRule type="cellIs" dxfId="15546" priority="15475" stopIfTrue="1" operator="equal">
      <formula>"Pass"</formula>
    </cfRule>
    <cfRule type="cellIs" dxfId="15545" priority="15476" stopIfTrue="1" operator="equal">
      <formula>"Fail"</formula>
    </cfRule>
  </conditionalFormatting>
  <conditionalFormatting sqref="H759:O759">
    <cfRule type="cellIs" dxfId="15544" priority="15473" stopIfTrue="1" operator="equal">
      <formula>"Pass"</formula>
    </cfRule>
    <cfRule type="cellIs" dxfId="15543" priority="15474" stopIfTrue="1" operator="equal">
      <formula>"Fail"</formula>
    </cfRule>
  </conditionalFormatting>
  <conditionalFormatting sqref="I759:P759">
    <cfRule type="cellIs" dxfId="15542" priority="15471" stopIfTrue="1" operator="equal">
      <formula>"Pass"</formula>
    </cfRule>
    <cfRule type="cellIs" dxfId="15541" priority="15472" stopIfTrue="1" operator="equal">
      <formula>"Fail"</formula>
    </cfRule>
  </conditionalFormatting>
  <conditionalFormatting sqref="I759:P759">
    <cfRule type="cellIs" dxfId="15540" priority="15469" stopIfTrue="1" operator="equal">
      <formula>"Pass"</formula>
    </cfRule>
    <cfRule type="cellIs" dxfId="15539" priority="15470" stopIfTrue="1" operator="equal">
      <formula>"Fail"</formula>
    </cfRule>
  </conditionalFormatting>
  <conditionalFormatting sqref="I759:P759">
    <cfRule type="cellIs" dxfId="15538" priority="15467" stopIfTrue="1" operator="equal">
      <formula>"Pass"</formula>
    </cfRule>
    <cfRule type="cellIs" dxfId="15537" priority="15468" stopIfTrue="1" operator="equal">
      <formula>"Fail"</formula>
    </cfRule>
  </conditionalFormatting>
  <conditionalFormatting sqref="I759:P759">
    <cfRule type="cellIs" dxfId="15536" priority="15465" stopIfTrue="1" operator="equal">
      <formula>"Pass"</formula>
    </cfRule>
    <cfRule type="cellIs" dxfId="15535" priority="15466" stopIfTrue="1" operator="equal">
      <formula>"Fail"</formula>
    </cfRule>
  </conditionalFormatting>
  <conditionalFormatting sqref="D759:E759">
    <cfRule type="cellIs" dxfId="15534" priority="15463" stopIfTrue="1" operator="equal">
      <formula>"Pass"</formula>
    </cfRule>
    <cfRule type="cellIs" dxfId="15533" priority="15464" stopIfTrue="1" operator="equal">
      <formula>"Fail"</formula>
    </cfRule>
  </conditionalFormatting>
  <conditionalFormatting sqref="D759:E759">
    <cfRule type="cellIs" dxfId="15532" priority="15461" stopIfTrue="1" operator="equal">
      <formula>"Pass"</formula>
    </cfRule>
    <cfRule type="cellIs" dxfId="15531" priority="15462" stopIfTrue="1" operator="equal">
      <formula>"Fail"</formula>
    </cfRule>
  </conditionalFormatting>
  <conditionalFormatting sqref="G759:H759">
    <cfRule type="cellIs" dxfId="15530" priority="15459" stopIfTrue="1" operator="equal">
      <formula>"Pass"</formula>
    </cfRule>
    <cfRule type="cellIs" dxfId="15529" priority="15460" stopIfTrue="1" operator="equal">
      <formula>"Fail"</formula>
    </cfRule>
  </conditionalFormatting>
  <conditionalFormatting sqref="G759:H759">
    <cfRule type="cellIs" dxfId="15528" priority="15457" stopIfTrue="1" operator="equal">
      <formula>"Pass"</formula>
    </cfRule>
    <cfRule type="cellIs" dxfId="15527" priority="15458" stopIfTrue="1" operator="equal">
      <formula>"Fail"</formula>
    </cfRule>
  </conditionalFormatting>
  <conditionalFormatting sqref="G759:H759">
    <cfRule type="cellIs" dxfId="15526" priority="15455" stopIfTrue="1" operator="equal">
      <formula>"Pass"</formula>
    </cfRule>
    <cfRule type="cellIs" dxfId="15525" priority="15456" stopIfTrue="1" operator="equal">
      <formula>"Fail"</formula>
    </cfRule>
  </conditionalFormatting>
  <conditionalFormatting sqref="G759:H759">
    <cfRule type="cellIs" dxfId="15524" priority="15453" stopIfTrue="1" operator="equal">
      <formula>"Pass"</formula>
    </cfRule>
    <cfRule type="cellIs" dxfId="15523" priority="15454" stopIfTrue="1" operator="equal">
      <formula>"Fail"</formula>
    </cfRule>
  </conditionalFormatting>
  <conditionalFormatting sqref="H759:O759">
    <cfRule type="cellIs" dxfId="15522" priority="15451" stopIfTrue="1" operator="equal">
      <formula>"Pass"</formula>
    </cfRule>
    <cfRule type="cellIs" dxfId="15521" priority="15452" stopIfTrue="1" operator="equal">
      <formula>"Fail"</formula>
    </cfRule>
  </conditionalFormatting>
  <conditionalFormatting sqref="H759:O759">
    <cfRule type="cellIs" dxfId="15520" priority="15449" stopIfTrue="1" operator="equal">
      <formula>"Pass"</formula>
    </cfRule>
    <cfRule type="cellIs" dxfId="15519" priority="15450" stopIfTrue="1" operator="equal">
      <formula>"Fail"</formula>
    </cfRule>
  </conditionalFormatting>
  <conditionalFormatting sqref="I759:P759">
    <cfRule type="cellIs" dxfId="15518" priority="15447" stopIfTrue="1" operator="equal">
      <formula>"Pass"</formula>
    </cfRule>
    <cfRule type="cellIs" dxfId="15517" priority="15448" stopIfTrue="1" operator="equal">
      <formula>"Fail"</formula>
    </cfRule>
  </conditionalFormatting>
  <conditionalFormatting sqref="I759:P759">
    <cfRule type="cellIs" dxfId="15516" priority="15445" stopIfTrue="1" operator="equal">
      <formula>"Pass"</formula>
    </cfRule>
    <cfRule type="cellIs" dxfId="15515" priority="15446" stopIfTrue="1" operator="equal">
      <formula>"Fail"</formula>
    </cfRule>
  </conditionalFormatting>
  <conditionalFormatting sqref="I759:P759">
    <cfRule type="cellIs" dxfId="15514" priority="15443" stopIfTrue="1" operator="equal">
      <formula>"Pass"</formula>
    </cfRule>
    <cfRule type="cellIs" dxfId="15513" priority="15444" stopIfTrue="1" operator="equal">
      <formula>"Fail"</formula>
    </cfRule>
  </conditionalFormatting>
  <conditionalFormatting sqref="I759:P759">
    <cfRule type="cellIs" dxfId="15512" priority="15441" stopIfTrue="1" operator="equal">
      <formula>"Pass"</formula>
    </cfRule>
    <cfRule type="cellIs" dxfId="15511" priority="15442" stopIfTrue="1" operator="equal">
      <formula>"Fail"</formula>
    </cfRule>
  </conditionalFormatting>
  <conditionalFormatting sqref="H759:O759">
    <cfRule type="cellIs" dxfId="15510" priority="15439" stopIfTrue="1" operator="equal">
      <formula>"Pass"</formula>
    </cfRule>
    <cfRule type="cellIs" dxfId="15509" priority="15440" stopIfTrue="1" operator="equal">
      <formula>"Fail"</formula>
    </cfRule>
  </conditionalFormatting>
  <conditionalFormatting sqref="H759:O759">
    <cfRule type="cellIs" dxfId="15508" priority="15437" stopIfTrue="1" operator="equal">
      <formula>"Pass"</formula>
    </cfRule>
    <cfRule type="cellIs" dxfId="15507" priority="15438" stopIfTrue="1" operator="equal">
      <formula>"Fail"</formula>
    </cfRule>
  </conditionalFormatting>
  <conditionalFormatting sqref="I759:P759">
    <cfRule type="cellIs" dxfId="15506" priority="15435" stopIfTrue="1" operator="equal">
      <formula>"Pass"</formula>
    </cfRule>
    <cfRule type="cellIs" dxfId="15505" priority="15436" stopIfTrue="1" operator="equal">
      <formula>"Fail"</formula>
    </cfRule>
  </conditionalFormatting>
  <conditionalFormatting sqref="I759:P759">
    <cfRule type="cellIs" dxfId="15504" priority="15433" stopIfTrue="1" operator="equal">
      <formula>"Pass"</formula>
    </cfRule>
    <cfRule type="cellIs" dxfId="15503" priority="15434" stopIfTrue="1" operator="equal">
      <formula>"Fail"</formula>
    </cfRule>
  </conditionalFormatting>
  <conditionalFormatting sqref="I759:P759">
    <cfRule type="cellIs" dxfId="15502" priority="15431" stopIfTrue="1" operator="equal">
      <formula>"Pass"</formula>
    </cfRule>
    <cfRule type="cellIs" dxfId="15501" priority="15432" stopIfTrue="1" operator="equal">
      <formula>"Fail"</formula>
    </cfRule>
  </conditionalFormatting>
  <conditionalFormatting sqref="I759:P759">
    <cfRule type="cellIs" dxfId="15500" priority="15429" stopIfTrue="1" operator="equal">
      <formula>"Pass"</formula>
    </cfRule>
    <cfRule type="cellIs" dxfId="15499" priority="15430" stopIfTrue="1" operator="equal">
      <formula>"Fail"</formula>
    </cfRule>
  </conditionalFormatting>
  <conditionalFormatting sqref="H759:O759">
    <cfRule type="cellIs" dxfId="15498" priority="15427" stopIfTrue="1" operator="equal">
      <formula>"Pass"</formula>
    </cfRule>
    <cfRule type="cellIs" dxfId="15497" priority="15428" stopIfTrue="1" operator="equal">
      <formula>"Fail"</formula>
    </cfRule>
  </conditionalFormatting>
  <conditionalFormatting sqref="H759:O759">
    <cfRule type="cellIs" dxfId="15496" priority="15425" stopIfTrue="1" operator="equal">
      <formula>"Pass"</formula>
    </cfRule>
    <cfRule type="cellIs" dxfId="15495" priority="15426" stopIfTrue="1" operator="equal">
      <formula>"Fail"</formula>
    </cfRule>
  </conditionalFormatting>
  <conditionalFormatting sqref="I759:P759">
    <cfRule type="cellIs" dxfId="15494" priority="15423" stopIfTrue="1" operator="equal">
      <formula>"Pass"</formula>
    </cfRule>
    <cfRule type="cellIs" dxfId="15493" priority="15424" stopIfTrue="1" operator="equal">
      <formula>"Fail"</formula>
    </cfRule>
  </conditionalFormatting>
  <conditionalFormatting sqref="I759:P759">
    <cfRule type="cellIs" dxfId="15492" priority="15421" stopIfTrue="1" operator="equal">
      <formula>"Pass"</formula>
    </cfRule>
    <cfRule type="cellIs" dxfId="15491" priority="15422" stopIfTrue="1" operator="equal">
      <formula>"Fail"</formula>
    </cfRule>
  </conditionalFormatting>
  <conditionalFormatting sqref="I759:P759">
    <cfRule type="cellIs" dxfId="15490" priority="15419" stopIfTrue="1" operator="equal">
      <formula>"Pass"</formula>
    </cfRule>
    <cfRule type="cellIs" dxfId="15489" priority="15420" stopIfTrue="1" operator="equal">
      <formula>"Fail"</formula>
    </cfRule>
  </conditionalFormatting>
  <conditionalFormatting sqref="I759:P759">
    <cfRule type="cellIs" dxfId="15488" priority="15417" stopIfTrue="1" operator="equal">
      <formula>"Pass"</formula>
    </cfRule>
    <cfRule type="cellIs" dxfId="15487" priority="15418" stopIfTrue="1" operator="equal">
      <formula>"Fail"</formula>
    </cfRule>
  </conditionalFormatting>
  <conditionalFormatting sqref="H759:O759">
    <cfRule type="cellIs" dxfId="15486" priority="15415" stopIfTrue="1" operator="equal">
      <formula>"Pass"</formula>
    </cfRule>
    <cfRule type="cellIs" dxfId="15485" priority="15416" stopIfTrue="1" operator="equal">
      <formula>"Fail"</formula>
    </cfRule>
  </conditionalFormatting>
  <conditionalFormatting sqref="H759:O759">
    <cfRule type="cellIs" dxfId="15484" priority="15413" stopIfTrue="1" operator="equal">
      <formula>"Pass"</formula>
    </cfRule>
    <cfRule type="cellIs" dxfId="15483" priority="15414" stopIfTrue="1" operator="equal">
      <formula>"Fail"</formula>
    </cfRule>
  </conditionalFormatting>
  <conditionalFormatting sqref="I759:P759">
    <cfRule type="cellIs" dxfId="15482" priority="15411" stopIfTrue="1" operator="equal">
      <formula>"Pass"</formula>
    </cfRule>
    <cfRule type="cellIs" dxfId="15481" priority="15412" stopIfTrue="1" operator="equal">
      <formula>"Fail"</formula>
    </cfRule>
  </conditionalFormatting>
  <conditionalFormatting sqref="I759:P759">
    <cfRule type="cellIs" dxfId="15480" priority="15409" stopIfTrue="1" operator="equal">
      <formula>"Pass"</formula>
    </cfRule>
    <cfRule type="cellIs" dxfId="15479" priority="15410" stopIfTrue="1" operator="equal">
      <formula>"Fail"</formula>
    </cfRule>
  </conditionalFormatting>
  <conditionalFormatting sqref="I759:P759">
    <cfRule type="cellIs" dxfId="15478" priority="15407" stopIfTrue="1" operator="equal">
      <formula>"Pass"</formula>
    </cfRule>
    <cfRule type="cellIs" dxfId="15477" priority="15408" stopIfTrue="1" operator="equal">
      <formula>"Fail"</formula>
    </cfRule>
  </conditionalFormatting>
  <conditionalFormatting sqref="I759:P759">
    <cfRule type="cellIs" dxfId="15476" priority="15405" stopIfTrue="1" operator="equal">
      <formula>"Pass"</formula>
    </cfRule>
    <cfRule type="cellIs" dxfId="15475" priority="15406" stopIfTrue="1" operator="equal">
      <formula>"Fail"</formula>
    </cfRule>
  </conditionalFormatting>
  <conditionalFormatting sqref="H759:O759">
    <cfRule type="cellIs" dxfId="15474" priority="15403" stopIfTrue="1" operator="equal">
      <formula>"Pass"</formula>
    </cfRule>
    <cfRule type="cellIs" dxfId="15473" priority="15404" stopIfTrue="1" operator="equal">
      <formula>"Fail"</formula>
    </cfRule>
  </conditionalFormatting>
  <conditionalFormatting sqref="H759:O759">
    <cfRule type="cellIs" dxfId="15472" priority="15401" stopIfTrue="1" operator="equal">
      <formula>"Pass"</formula>
    </cfRule>
    <cfRule type="cellIs" dxfId="15471" priority="15402" stopIfTrue="1" operator="equal">
      <formula>"Fail"</formula>
    </cfRule>
  </conditionalFormatting>
  <conditionalFormatting sqref="I759:P759">
    <cfRule type="cellIs" dxfId="15470" priority="15399" stopIfTrue="1" operator="equal">
      <formula>"Pass"</formula>
    </cfRule>
    <cfRule type="cellIs" dxfId="15469" priority="15400" stopIfTrue="1" operator="equal">
      <formula>"Fail"</formula>
    </cfRule>
  </conditionalFormatting>
  <conditionalFormatting sqref="I759:P759">
    <cfRule type="cellIs" dxfId="15468" priority="15397" stopIfTrue="1" operator="equal">
      <formula>"Pass"</formula>
    </cfRule>
    <cfRule type="cellIs" dxfId="15467" priority="15398" stopIfTrue="1" operator="equal">
      <formula>"Fail"</formula>
    </cfRule>
  </conditionalFormatting>
  <conditionalFormatting sqref="I759:P759">
    <cfRule type="cellIs" dxfId="15466" priority="15395" stopIfTrue="1" operator="equal">
      <formula>"Pass"</formula>
    </cfRule>
    <cfRule type="cellIs" dxfId="15465" priority="15396" stopIfTrue="1" operator="equal">
      <formula>"Fail"</formula>
    </cfRule>
  </conditionalFormatting>
  <conditionalFormatting sqref="I759:P759">
    <cfRule type="cellIs" dxfId="15464" priority="15393" stopIfTrue="1" operator="equal">
      <formula>"Pass"</formula>
    </cfRule>
    <cfRule type="cellIs" dxfId="15463" priority="15394" stopIfTrue="1" operator="equal">
      <formula>"Fail"</formula>
    </cfRule>
  </conditionalFormatting>
  <conditionalFormatting sqref="H759:O759">
    <cfRule type="cellIs" dxfId="15462" priority="15391" stopIfTrue="1" operator="equal">
      <formula>"Pass"</formula>
    </cfRule>
    <cfRule type="cellIs" dxfId="15461" priority="15392" stopIfTrue="1" operator="equal">
      <formula>"Fail"</formula>
    </cfRule>
  </conditionalFormatting>
  <conditionalFormatting sqref="H759:O759">
    <cfRule type="cellIs" dxfId="15460" priority="15389" stopIfTrue="1" operator="equal">
      <formula>"Pass"</formula>
    </cfRule>
    <cfRule type="cellIs" dxfId="15459" priority="15390" stopIfTrue="1" operator="equal">
      <formula>"Fail"</formula>
    </cfRule>
  </conditionalFormatting>
  <conditionalFormatting sqref="I759:P759">
    <cfRule type="cellIs" dxfId="15458" priority="15387" stopIfTrue="1" operator="equal">
      <formula>"Pass"</formula>
    </cfRule>
    <cfRule type="cellIs" dxfId="15457" priority="15388" stopIfTrue="1" operator="equal">
      <formula>"Fail"</formula>
    </cfRule>
  </conditionalFormatting>
  <conditionalFormatting sqref="I759:P759">
    <cfRule type="cellIs" dxfId="15456" priority="15385" stopIfTrue="1" operator="equal">
      <formula>"Pass"</formula>
    </cfRule>
    <cfRule type="cellIs" dxfId="15455" priority="15386" stopIfTrue="1" operator="equal">
      <formula>"Fail"</formula>
    </cfRule>
  </conditionalFormatting>
  <conditionalFormatting sqref="I759:P759">
    <cfRule type="cellIs" dxfId="15454" priority="15383" stopIfTrue="1" operator="equal">
      <formula>"Pass"</formula>
    </cfRule>
    <cfRule type="cellIs" dxfId="15453" priority="15384" stopIfTrue="1" operator="equal">
      <formula>"Fail"</formula>
    </cfRule>
  </conditionalFormatting>
  <conditionalFormatting sqref="I759:P759">
    <cfRule type="cellIs" dxfId="15452" priority="15381" stopIfTrue="1" operator="equal">
      <formula>"Pass"</formula>
    </cfRule>
    <cfRule type="cellIs" dxfId="15451" priority="15382" stopIfTrue="1" operator="equal">
      <formula>"Fail"</formula>
    </cfRule>
  </conditionalFormatting>
  <conditionalFormatting sqref="H759:O759">
    <cfRule type="cellIs" dxfId="15450" priority="15379" stopIfTrue="1" operator="equal">
      <formula>"Pass"</formula>
    </cfRule>
    <cfRule type="cellIs" dxfId="15449" priority="15380" stopIfTrue="1" operator="equal">
      <formula>"Fail"</formula>
    </cfRule>
  </conditionalFormatting>
  <conditionalFormatting sqref="H759:O759">
    <cfRule type="cellIs" dxfId="15448" priority="15377" stopIfTrue="1" operator="equal">
      <formula>"Pass"</formula>
    </cfRule>
    <cfRule type="cellIs" dxfId="15447" priority="15378" stopIfTrue="1" operator="equal">
      <formula>"Fail"</formula>
    </cfRule>
  </conditionalFormatting>
  <conditionalFormatting sqref="I759:P759">
    <cfRule type="cellIs" dxfId="15446" priority="15375" stopIfTrue="1" operator="equal">
      <formula>"Pass"</formula>
    </cfRule>
    <cfRule type="cellIs" dxfId="15445" priority="15376" stopIfTrue="1" operator="equal">
      <formula>"Fail"</formula>
    </cfRule>
  </conditionalFormatting>
  <conditionalFormatting sqref="I759:P759">
    <cfRule type="cellIs" dxfId="15444" priority="15373" stopIfTrue="1" operator="equal">
      <formula>"Pass"</formula>
    </cfRule>
    <cfRule type="cellIs" dxfId="15443" priority="15374" stopIfTrue="1" operator="equal">
      <formula>"Fail"</formula>
    </cfRule>
  </conditionalFormatting>
  <conditionalFormatting sqref="I759:P759">
    <cfRule type="cellIs" dxfId="15442" priority="15371" stopIfTrue="1" operator="equal">
      <formula>"Pass"</formula>
    </cfRule>
    <cfRule type="cellIs" dxfId="15441" priority="15372" stopIfTrue="1" operator="equal">
      <formula>"Fail"</formula>
    </cfRule>
  </conditionalFormatting>
  <conditionalFormatting sqref="I759:P759">
    <cfRule type="cellIs" dxfId="15440" priority="15369" stopIfTrue="1" operator="equal">
      <formula>"Pass"</formula>
    </cfRule>
    <cfRule type="cellIs" dxfId="15439" priority="15370" stopIfTrue="1" operator="equal">
      <formula>"Fail"</formula>
    </cfRule>
  </conditionalFormatting>
  <conditionalFormatting sqref="H759:O759">
    <cfRule type="cellIs" dxfId="15438" priority="15367" stopIfTrue="1" operator="equal">
      <formula>"Pass"</formula>
    </cfRule>
    <cfRule type="cellIs" dxfId="15437" priority="15368" stopIfTrue="1" operator="equal">
      <formula>"Fail"</formula>
    </cfRule>
  </conditionalFormatting>
  <conditionalFormatting sqref="H759:O759">
    <cfRule type="cellIs" dxfId="15436" priority="15365" stopIfTrue="1" operator="equal">
      <formula>"Pass"</formula>
    </cfRule>
    <cfRule type="cellIs" dxfId="15435" priority="15366" stopIfTrue="1" operator="equal">
      <formula>"Fail"</formula>
    </cfRule>
  </conditionalFormatting>
  <conditionalFormatting sqref="I759:P759">
    <cfRule type="cellIs" dxfId="15434" priority="15363" stopIfTrue="1" operator="equal">
      <formula>"Pass"</formula>
    </cfRule>
    <cfRule type="cellIs" dxfId="15433" priority="15364" stopIfTrue="1" operator="equal">
      <formula>"Fail"</formula>
    </cfRule>
  </conditionalFormatting>
  <conditionalFormatting sqref="I759:P759">
    <cfRule type="cellIs" dxfId="15432" priority="15361" stopIfTrue="1" operator="equal">
      <formula>"Pass"</formula>
    </cfRule>
    <cfRule type="cellIs" dxfId="15431" priority="15362" stopIfTrue="1" operator="equal">
      <formula>"Fail"</formula>
    </cfRule>
  </conditionalFormatting>
  <conditionalFormatting sqref="I759:P759">
    <cfRule type="cellIs" dxfId="15430" priority="15359" stopIfTrue="1" operator="equal">
      <formula>"Pass"</formula>
    </cfRule>
    <cfRule type="cellIs" dxfId="15429" priority="15360" stopIfTrue="1" operator="equal">
      <formula>"Fail"</formula>
    </cfRule>
  </conditionalFormatting>
  <conditionalFormatting sqref="I759:P759">
    <cfRule type="cellIs" dxfId="15428" priority="15357" stopIfTrue="1" operator="equal">
      <formula>"Pass"</formula>
    </cfRule>
    <cfRule type="cellIs" dxfId="15427" priority="15358" stopIfTrue="1" operator="equal">
      <formula>"Fail"</formula>
    </cfRule>
  </conditionalFormatting>
  <conditionalFormatting sqref="H759:O759">
    <cfRule type="cellIs" dxfId="15426" priority="15355" stopIfTrue="1" operator="equal">
      <formula>"Pass"</formula>
    </cfRule>
    <cfRule type="cellIs" dxfId="15425" priority="15356" stopIfTrue="1" operator="equal">
      <formula>"Fail"</formula>
    </cfRule>
  </conditionalFormatting>
  <conditionalFormatting sqref="H759:O759">
    <cfRule type="cellIs" dxfId="15424" priority="15353" stopIfTrue="1" operator="equal">
      <formula>"Pass"</formula>
    </cfRule>
    <cfRule type="cellIs" dxfId="15423" priority="15354" stopIfTrue="1" operator="equal">
      <formula>"Fail"</formula>
    </cfRule>
  </conditionalFormatting>
  <conditionalFormatting sqref="I759:P759">
    <cfRule type="cellIs" dxfId="15422" priority="15351" stopIfTrue="1" operator="equal">
      <formula>"Pass"</formula>
    </cfRule>
    <cfRule type="cellIs" dxfId="15421" priority="15352" stopIfTrue="1" operator="equal">
      <formula>"Fail"</formula>
    </cfRule>
  </conditionalFormatting>
  <conditionalFormatting sqref="I759:P759">
    <cfRule type="cellIs" dxfId="15420" priority="15349" stopIfTrue="1" operator="equal">
      <formula>"Pass"</formula>
    </cfRule>
    <cfRule type="cellIs" dxfId="15419" priority="15350" stopIfTrue="1" operator="equal">
      <formula>"Fail"</formula>
    </cfRule>
  </conditionalFormatting>
  <conditionalFormatting sqref="I759:P759">
    <cfRule type="cellIs" dxfId="15418" priority="15347" stopIfTrue="1" operator="equal">
      <formula>"Pass"</formula>
    </cfRule>
    <cfRule type="cellIs" dxfId="15417" priority="15348" stopIfTrue="1" operator="equal">
      <formula>"Fail"</formula>
    </cfRule>
  </conditionalFormatting>
  <conditionalFormatting sqref="I759:P759">
    <cfRule type="cellIs" dxfId="15416" priority="15345" stopIfTrue="1" operator="equal">
      <formula>"Pass"</formula>
    </cfRule>
    <cfRule type="cellIs" dxfId="15415" priority="15346" stopIfTrue="1" operator="equal">
      <formula>"Fail"</formula>
    </cfRule>
  </conditionalFormatting>
  <conditionalFormatting sqref="H759:O759">
    <cfRule type="cellIs" dxfId="15414" priority="15343" stopIfTrue="1" operator="equal">
      <formula>"Pass"</formula>
    </cfRule>
    <cfRule type="cellIs" dxfId="15413" priority="15344" stopIfTrue="1" operator="equal">
      <formula>"Fail"</formula>
    </cfRule>
  </conditionalFormatting>
  <conditionalFormatting sqref="H759:O759">
    <cfRule type="cellIs" dxfId="15412" priority="15341" stopIfTrue="1" operator="equal">
      <formula>"Pass"</formula>
    </cfRule>
    <cfRule type="cellIs" dxfId="15411" priority="15342" stopIfTrue="1" operator="equal">
      <formula>"Fail"</formula>
    </cfRule>
  </conditionalFormatting>
  <conditionalFormatting sqref="I759:P759">
    <cfRule type="cellIs" dxfId="15410" priority="15339" stopIfTrue="1" operator="equal">
      <formula>"Pass"</formula>
    </cfRule>
    <cfRule type="cellIs" dxfId="15409" priority="15340" stopIfTrue="1" operator="equal">
      <formula>"Fail"</formula>
    </cfRule>
  </conditionalFormatting>
  <conditionalFormatting sqref="I759:P759">
    <cfRule type="cellIs" dxfId="15408" priority="15337" stopIfTrue="1" operator="equal">
      <formula>"Pass"</formula>
    </cfRule>
    <cfRule type="cellIs" dxfId="15407" priority="15338" stopIfTrue="1" operator="equal">
      <formula>"Fail"</formula>
    </cfRule>
  </conditionalFormatting>
  <conditionalFormatting sqref="I759:P759">
    <cfRule type="cellIs" dxfId="15406" priority="15335" stopIfTrue="1" operator="equal">
      <formula>"Pass"</formula>
    </cfRule>
    <cfRule type="cellIs" dxfId="15405" priority="15336" stopIfTrue="1" operator="equal">
      <formula>"Fail"</formula>
    </cfRule>
  </conditionalFormatting>
  <conditionalFormatting sqref="I759:P759">
    <cfRule type="cellIs" dxfId="15404" priority="15333" stopIfTrue="1" operator="equal">
      <formula>"Pass"</formula>
    </cfRule>
    <cfRule type="cellIs" dxfId="15403" priority="15334" stopIfTrue="1" operator="equal">
      <formula>"Fail"</formula>
    </cfRule>
  </conditionalFormatting>
  <conditionalFormatting sqref="H759:O759">
    <cfRule type="cellIs" dxfId="15402" priority="15331" stopIfTrue="1" operator="equal">
      <formula>"Pass"</formula>
    </cfRule>
    <cfRule type="cellIs" dxfId="15401" priority="15332" stopIfTrue="1" operator="equal">
      <formula>"Fail"</formula>
    </cfRule>
  </conditionalFormatting>
  <conditionalFormatting sqref="H759:O759">
    <cfRule type="cellIs" dxfId="15400" priority="15329" stopIfTrue="1" operator="equal">
      <formula>"Pass"</formula>
    </cfRule>
    <cfRule type="cellIs" dxfId="15399" priority="15330" stopIfTrue="1" operator="equal">
      <formula>"Fail"</formula>
    </cfRule>
  </conditionalFormatting>
  <conditionalFormatting sqref="I759:P759">
    <cfRule type="cellIs" dxfId="15398" priority="15327" stopIfTrue="1" operator="equal">
      <formula>"Pass"</formula>
    </cfRule>
    <cfRule type="cellIs" dxfId="15397" priority="15328" stopIfTrue="1" operator="equal">
      <formula>"Fail"</formula>
    </cfRule>
  </conditionalFormatting>
  <conditionalFormatting sqref="I759:P759">
    <cfRule type="cellIs" dxfId="15396" priority="15325" stopIfTrue="1" operator="equal">
      <formula>"Pass"</formula>
    </cfRule>
    <cfRule type="cellIs" dxfId="15395" priority="15326" stopIfTrue="1" operator="equal">
      <formula>"Fail"</formula>
    </cfRule>
  </conditionalFormatting>
  <conditionalFormatting sqref="I759:P759">
    <cfRule type="cellIs" dxfId="15394" priority="15323" stopIfTrue="1" operator="equal">
      <formula>"Pass"</formula>
    </cfRule>
    <cfRule type="cellIs" dxfId="15393" priority="15324" stopIfTrue="1" operator="equal">
      <formula>"Fail"</formula>
    </cfRule>
  </conditionalFormatting>
  <conditionalFormatting sqref="I759:P759">
    <cfRule type="cellIs" dxfId="15392" priority="15321" stopIfTrue="1" operator="equal">
      <formula>"Pass"</formula>
    </cfRule>
    <cfRule type="cellIs" dxfId="15391" priority="15322" stopIfTrue="1" operator="equal">
      <formula>"Fail"</formula>
    </cfRule>
  </conditionalFormatting>
  <conditionalFormatting sqref="H759:O759">
    <cfRule type="cellIs" dxfId="15390" priority="15319" stopIfTrue="1" operator="equal">
      <formula>"Pass"</formula>
    </cfRule>
    <cfRule type="cellIs" dxfId="15389" priority="15320" stopIfTrue="1" operator="equal">
      <formula>"Fail"</formula>
    </cfRule>
  </conditionalFormatting>
  <conditionalFormatting sqref="H759:O759">
    <cfRule type="cellIs" dxfId="15388" priority="15317" stopIfTrue="1" operator="equal">
      <formula>"Pass"</formula>
    </cfRule>
    <cfRule type="cellIs" dxfId="15387" priority="15318" stopIfTrue="1" operator="equal">
      <formula>"Fail"</formula>
    </cfRule>
  </conditionalFormatting>
  <conditionalFormatting sqref="I759:P759">
    <cfRule type="cellIs" dxfId="15386" priority="15315" stopIfTrue="1" operator="equal">
      <formula>"Pass"</formula>
    </cfRule>
    <cfRule type="cellIs" dxfId="15385" priority="15316" stopIfTrue="1" operator="equal">
      <formula>"Fail"</formula>
    </cfRule>
  </conditionalFormatting>
  <conditionalFormatting sqref="I759:P759">
    <cfRule type="cellIs" dxfId="15384" priority="15313" stopIfTrue="1" operator="equal">
      <formula>"Pass"</formula>
    </cfRule>
    <cfRule type="cellIs" dxfId="15383" priority="15314" stopIfTrue="1" operator="equal">
      <formula>"Fail"</formula>
    </cfRule>
  </conditionalFormatting>
  <conditionalFormatting sqref="I759:P759">
    <cfRule type="cellIs" dxfId="15382" priority="15311" stopIfTrue="1" operator="equal">
      <formula>"Pass"</formula>
    </cfRule>
    <cfRule type="cellIs" dxfId="15381" priority="15312" stopIfTrue="1" operator="equal">
      <formula>"Fail"</formula>
    </cfRule>
  </conditionalFormatting>
  <conditionalFormatting sqref="I759:P759">
    <cfRule type="cellIs" dxfId="15380" priority="15309" stopIfTrue="1" operator="equal">
      <formula>"Pass"</formula>
    </cfRule>
    <cfRule type="cellIs" dxfId="15379" priority="15310" stopIfTrue="1" operator="equal">
      <formula>"Fail"</formula>
    </cfRule>
  </conditionalFormatting>
  <conditionalFormatting sqref="D759:E759 G759:P759">
    <cfRule type="cellIs" dxfId="15378" priority="15307" stopIfTrue="1" operator="equal">
      <formula>"Pass"</formula>
    </cfRule>
    <cfRule type="cellIs" dxfId="15377" priority="15308" stopIfTrue="1" operator="equal">
      <formula>"Fail"</formula>
    </cfRule>
  </conditionalFormatting>
  <conditionalFormatting sqref="D759:E759 G759:P759">
    <cfRule type="cellIs" dxfId="15376" priority="15305" stopIfTrue="1" operator="equal">
      <formula>"Pass"</formula>
    </cfRule>
    <cfRule type="cellIs" dxfId="15375" priority="15306" stopIfTrue="1" operator="equal">
      <formula>"Fail"</formula>
    </cfRule>
  </conditionalFormatting>
  <conditionalFormatting sqref="D759:E759 G759:P759">
    <cfRule type="cellIs" dxfId="15374" priority="15303" stopIfTrue="1" operator="equal">
      <formula>"Pass"</formula>
    </cfRule>
    <cfRule type="cellIs" dxfId="15373" priority="15304" stopIfTrue="1" operator="equal">
      <formula>"Fail"</formula>
    </cfRule>
  </conditionalFormatting>
  <conditionalFormatting sqref="D759:E759 G759:P759">
    <cfRule type="cellIs" dxfId="15372" priority="15301" stopIfTrue="1" operator="equal">
      <formula>"Pass"</formula>
    </cfRule>
    <cfRule type="cellIs" dxfId="15371" priority="15302" stopIfTrue="1" operator="equal">
      <formula>"Fail"</formula>
    </cfRule>
  </conditionalFormatting>
  <conditionalFormatting sqref="D759:E759 G759:P759">
    <cfRule type="cellIs" dxfId="15370" priority="15299" stopIfTrue="1" operator="equal">
      <formula>"Pass"</formula>
    </cfRule>
    <cfRule type="cellIs" dxfId="15369" priority="15300" stopIfTrue="1" operator="equal">
      <formula>"Fail"</formula>
    </cfRule>
  </conditionalFormatting>
  <conditionalFormatting sqref="D759:E759 G759:P759">
    <cfRule type="cellIs" dxfId="15368" priority="15297" stopIfTrue="1" operator="equal">
      <formula>"Pass"</formula>
    </cfRule>
    <cfRule type="cellIs" dxfId="15367" priority="15298" stopIfTrue="1" operator="equal">
      <formula>"Fail"</formula>
    </cfRule>
  </conditionalFormatting>
  <conditionalFormatting sqref="D759:E759 G759:P759">
    <cfRule type="cellIs" dxfId="15366" priority="15295" stopIfTrue="1" operator="equal">
      <formula>"Pass"</formula>
    </cfRule>
    <cfRule type="cellIs" dxfId="15365" priority="15296" stopIfTrue="1" operator="equal">
      <formula>"Fail"</formula>
    </cfRule>
  </conditionalFormatting>
  <conditionalFormatting sqref="D759:E759 G759:P759">
    <cfRule type="cellIs" dxfId="15364" priority="15293" stopIfTrue="1" operator="equal">
      <formula>"Pass"</formula>
    </cfRule>
    <cfRule type="cellIs" dxfId="15363" priority="15294" stopIfTrue="1" operator="equal">
      <formula>"Fail"</formula>
    </cfRule>
  </conditionalFormatting>
  <conditionalFormatting sqref="D759:E759 G759:P759">
    <cfRule type="cellIs" dxfId="15362" priority="15291" stopIfTrue="1" operator="equal">
      <formula>"Pass"</formula>
    </cfRule>
    <cfRule type="cellIs" dxfId="15361" priority="15292" stopIfTrue="1" operator="equal">
      <formula>"Fail"</formula>
    </cfRule>
  </conditionalFormatting>
  <conditionalFormatting sqref="D759:E759 G759:P759">
    <cfRule type="cellIs" dxfId="15360" priority="15289" stopIfTrue="1" operator="equal">
      <formula>"Pass"</formula>
    </cfRule>
    <cfRule type="cellIs" dxfId="15359" priority="15290" stopIfTrue="1" operator="equal">
      <formula>"Fail"</formula>
    </cfRule>
  </conditionalFormatting>
  <conditionalFormatting sqref="D759:E759 G759:P759">
    <cfRule type="cellIs" dxfId="15358" priority="15287" stopIfTrue="1" operator="equal">
      <formula>"Pass"</formula>
    </cfRule>
    <cfRule type="cellIs" dxfId="15357" priority="15288" stopIfTrue="1" operator="equal">
      <formula>"Fail"</formula>
    </cfRule>
  </conditionalFormatting>
  <conditionalFormatting sqref="D759:E759 G759:P759">
    <cfRule type="cellIs" dxfId="15356" priority="15285" stopIfTrue="1" operator="equal">
      <formula>"Pass"</formula>
    </cfRule>
    <cfRule type="cellIs" dxfId="15355" priority="15286" stopIfTrue="1" operator="equal">
      <formula>"Fail"</formula>
    </cfRule>
  </conditionalFormatting>
  <conditionalFormatting sqref="D759:E759 G759:P759">
    <cfRule type="cellIs" dxfId="15354" priority="15283" stopIfTrue="1" operator="equal">
      <formula>"Pass"</formula>
    </cfRule>
    <cfRule type="cellIs" dxfId="15353" priority="15284" stopIfTrue="1" operator="equal">
      <formula>"Fail"</formula>
    </cfRule>
  </conditionalFormatting>
  <conditionalFormatting sqref="D759:E759 G759:P759">
    <cfRule type="cellIs" dxfId="15352" priority="15281" stopIfTrue="1" operator="equal">
      <formula>"Pass"</formula>
    </cfRule>
    <cfRule type="cellIs" dxfId="15351" priority="15282" stopIfTrue="1" operator="equal">
      <formula>"Fail"</formula>
    </cfRule>
  </conditionalFormatting>
  <conditionalFormatting sqref="D759:E759 G759:P759">
    <cfRule type="cellIs" dxfId="15350" priority="15279" stopIfTrue="1" operator="equal">
      <formula>"Pass"</formula>
    </cfRule>
    <cfRule type="cellIs" dxfId="15349" priority="15280" stopIfTrue="1" operator="equal">
      <formula>"Fail"</formula>
    </cfRule>
  </conditionalFormatting>
  <conditionalFormatting sqref="D759:E759 G759:P759">
    <cfRule type="cellIs" dxfId="15348" priority="15277" stopIfTrue="1" operator="equal">
      <formula>"Pass"</formula>
    </cfRule>
    <cfRule type="cellIs" dxfId="15347" priority="15278" stopIfTrue="1" operator="equal">
      <formula>"Fail"</formula>
    </cfRule>
  </conditionalFormatting>
  <conditionalFormatting sqref="D759:E759 G759:P759">
    <cfRule type="cellIs" dxfId="15346" priority="15275" stopIfTrue="1" operator="equal">
      <formula>"Pass"</formula>
    </cfRule>
    <cfRule type="cellIs" dxfId="15345" priority="15276" stopIfTrue="1" operator="equal">
      <formula>"Fail"</formula>
    </cfRule>
  </conditionalFormatting>
  <conditionalFormatting sqref="D759:E759 G759:P759">
    <cfRule type="cellIs" dxfId="15344" priority="15273" stopIfTrue="1" operator="equal">
      <formula>"Pass"</formula>
    </cfRule>
    <cfRule type="cellIs" dxfId="15343" priority="15274" stopIfTrue="1" operator="equal">
      <formula>"Fail"</formula>
    </cfRule>
  </conditionalFormatting>
  <conditionalFormatting sqref="D759:E759 G759:P759">
    <cfRule type="cellIs" dxfId="15342" priority="15271" stopIfTrue="1" operator="equal">
      <formula>"Pass"</formula>
    </cfRule>
    <cfRule type="cellIs" dxfId="15341" priority="15272" stopIfTrue="1" operator="equal">
      <formula>"Fail"</formula>
    </cfRule>
  </conditionalFormatting>
  <conditionalFormatting sqref="D759:E759 G759:P759">
    <cfRule type="cellIs" dxfId="15340" priority="15269" stopIfTrue="1" operator="equal">
      <formula>"Pass"</formula>
    </cfRule>
    <cfRule type="cellIs" dxfId="15339" priority="15270" stopIfTrue="1" operator="equal">
      <formula>"Fail"</formula>
    </cfRule>
  </conditionalFormatting>
  <conditionalFormatting sqref="D759:E759 G759:P759">
    <cfRule type="cellIs" dxfId="15338" priority="15267" stopIfTrue="1" operator="equal">
      <formula>"Pass"</formula>
    </cfRule>
    <cfRule type="cellIs" dxfId="15337" priority="15268" stopIfTrue="1" operator="equal">
      <formula>"Fail"</formula>
    </cfRule>
  </conditionalFormatting>
  <conditionalFormatting sqref="G755:L755">
    <cfRule type="cellIs" dxfId="15336" priority="15265" stopIfTrue="1" operator="equal">
      <formula>"Pass"</formula>
    </cfRule>
    <cfRule type="cellIs" dxfId="15335" priority="15266" stopIfTrue="1" operator="equal">
      <formula>"Fail"</formula>
    </cfRule>
  </conditionalFormatting>
  <conditionalFormatting sqref="H755:L755">
    <cfRule type="cellIs" dxfId="15334" priority="15263" stopIfTrue="1" operator="equal">
      <formula>"Pass"</formula>
    </cfRule>
    <cfRule type="cellIs" dxfId="15333" priority="15264" stopIfTrue="1" operator="equal">
      <formula>"Fail"</formula>
    </cfRule>
  </conditionalFormatting>
  <conditionalFormatting sqref="H755:L755">
    <cfRule type="cellIs" dxfId="15332" priority="15261" stopIfTrue="1" operator="equal">
      <formula>"Pass"</formula>
    </cfRule>
    <cfRule type="cellIs" dxfId="15331" priority="15262" stopIfTrue="1" operator="equal">
      <formula>"Fail"</formula>
    </cfRule>
  </conditionalFormatting>
  <conditionalFormatting sqref="I755:L755">
    <cfRule type="cellIs" dxfId="15330" priority="15259" stopIfTrue="1" operator="equal">
      <formula>"Pass"</formula>
    </cfRule>
    <cfRule type="cellIs" dxfId="15329" priority="15260" stopIfTrue="1" operator="equal">
      <formula>"Fail"</formula>
    </cfRule>
  </conditionalFormatting>
  <conditionalFormatting sqref="I755:L755">
    <cfRule type="cellIs" dxfId="15328" priority="15257" stopIfTrue="1" operator="equal">
      <formula>"Pass"</formula>
    </cfRule>
    <cfRule type="cellIs" dxfId="15327" priority="15258" stopIfTrue="1" operator="equal">
      <formula>"Fail"</formula>
    </cfRule>
  </conditionalFormatting>
  <conditionalFormatting sqref="I755:L755">
    <cfRule type="cellIs" dxfId="15326" priority="15255" stopIfTrue="1" operator="equal">
      <formula>"Pass"</formula>
    </cfRule>
    <cfRule type="cellIs" dxfId="15325" priority="15256" stopIfTrue="1" operator="equal">
      <formula>"Fail"</formula>
    </cfRule>
  </conditionalFormatting>
  <conditionalFormatting sqref="I755:L755">
    <cfRule type="cellIs" dxfId="15324" priority="15253" stopIfTrue="1" operator="equal">
      <formula>"Pass"</formula>
    </cfRule>
    <cfRule type="cellIs" dxfId="15323" priority="15254" stopIfTrue="1" operator="equal">
      <formula>"Fail"</formula>
    </cfRule>
  </conditionalFormatting>
  <conditionalFormatting sqref="H755:L755">
    <cfRule type="cellIs" dxfId="15322" priority="15251" stopIfTrue="1" operator="equal">
      <formula>"Pass"</formula>
    </cfRule>
    <cfRule type="cellIs" dxfId="15321" priority="15252" stopIfTrue="1" operator="equal">
      <formula>"Fail"</formula>
    </cfRule>
  </conditionalFormatting>
  <conditionalFormatting sqref="H755:L755">
    <cfRule type="cellIs" dxfId="15320" priority="15249" stopIfTrue="1" operator="equal">
      <formula>"Pass"</formula>
    </cfRule>
    <cfRule type="cellIs" dxfId="15319" priority="15250" stopIfTrue="1" operator="equal">
      <formula>"Fail"</formula>
    </cfRule>
  </conditionalFormatting>
  <conditionalFormatting sqref="I755:L755">
    <cfRule type="cellIs" dxfId="15318" priority="15247" stopIfTrue="1" operator="equal">
      <formula>"Pass"</formula>
    </cfRule>
    <cfRule type="cellIs" dxfId="15317" priority="15248" stopIfTrue="1" operator="equal">
      <formula>"Fail"</formula>
    </cfRule>
  </conditionalFormatting>
  <conditionalFormatting sqref="I755:L755">
    <cfRule type="cellIs" dxfId="15316" priority="15245" stopIfTrue="1" operator="equal">
      <formula>"Pass"</formula>
    </cfRule>
    <cfRule type="cellIs" dxfId="15315" priority="15246" stopIfTrue="1" operator="equal">
      <formula>"Fail"</formula>
    </cfRule>
  </conditionalFormatting>
  <conditionalFormatting sqref="I755:L755">
    <cfRule type="cellIs" dxfId="15314" priority="15243" stopIfTrue="1" operator="equal">
      <formula>"Pass"</formula>
    </cfRule>
    <cfRule type="cellIs" dxfId="15313" priority="15244" stopIfTrue="1" operator="equal">
      <formula>"Fail"</formula>
    </cfRule>
  </conditionalFormatting>
  <conditionalFormatting sqref="I755:L755">
    <cfRule type="cellIs" dxfId="15312" priority="15241" stopIfTrue="1" operator="equal">
      <formula>"Pass"</formula>
    </cfRule>
    <cfRule type="cellIs" dxfId="15311" priority="15242" stopIfTrue="1" operator="equal">
      <formula>"Fail"</formula>
    </cfRule>
  </conditionalFormatting>
  <conditionalFormatting sqref="H755:L755">
    <cfRule type="cellIs" dxfId="15310" priority="15239" stopIfTrue="1" operator="equal">
      <formula>"Pass"</formula>
    </cfRule>
    <cfRule type="cellIs" dxfId="15309" priority="15240" stopIfTrue="1" operator="equal">
      <formula>"Fail"</formula>
    </cfRule>
  </conditionalFormatting>
  <conditionalFormatting sqref="H755:L755">
    <cfRule type="cellIs" dxfId="15308" priority="15237" stopIfTrue="1" operator="equal">
      <formula>"Pass"</formula>
    </cfRule>
    <cfRule type="cellIs" dxfId="15307" priority="15238" stopIfTrue="1" operator="equal">
      <formula>"Fail"</formula>
    </cfRule>
  </conditionalFormatting>
  <conditionalFormatting sqref="I755:L755">
    <cfRule type="cellIs" dxfId="15306" priority="15235" stopIfTrue="1" operator="equal">
      <formula>"Pass"</formula>
    </cfRule>
    <cfRule type="cellIs" dxfId="15305" priority="15236" stopIfTrue="1" operator="equal">
      <formula>"Fail"</formula>
    </cfRule>
  </conditionalFormatting>
  <conditionalFormatting sqref="I755:L755">
    <cfRule type="cellIs" dxfId="15304" priority="15233" stopIfTrue="1" operator="equal">
      <formula>"Pass"</formula>
    </cfRule>
    <cfRule type="cellIs" dxfId="15303" priority="15234" stopIfTrue="1" operator="equal">
      <formula>"Fail"</formula>
    </cfRule>
  </conditionalFormatting>
  <conditionalFormatting sqref="I755:L755">
    <cfRule type="cellIs" dxfId="15302" priority="15231" stopIfTrue="1" operator="equal">
      <formula>"Pass"</formula>
    </cfRule>
    <cfRule type="cellIs" dxfId="15301" priority="15232" stopIfTrue="1" operator="equal">
      <formula>"Fail"</formula>
    </cfRule>
  </conditionalFormatting>
  <conditionalFormatting sqref="I755:L755">
    <cfRule type="cellIs" dxfId="15300" priority="15229" stopIfTrue="1" operator="equal">
      <formula>"Pass"</formula>
    </cfRule>
    <cfRule type="cellIs" dxfId="15299" priority="15230" stopIfTrue="1" operator="equal">
      <formula>"Fail"</formula>
    </cfRule>
  </conditionalFormatting>
  <conditionalFormatting sqref="H755:L755">
    <cfRule type="cellIs" dxfId="15298" priority="15227" stopIfTrue="1" operator="equal">
      <formula>"Pass"</formula>
    </cfRule>
    <cfRule type="cellIs" dxfId="15297" priority="15228" stopIfTrue="1" operator="equal">
      <formula>"Fail"</formula>
    </cfRule>
  </conditionalFormatting>
  <conditionalFormatting sqref="H755:L755">
    <cfRule type="cellIs" dxfId="15296" priority="15225" stopIfTrue="1" operator="equal">
      <formula>"Pass"</formula>
    </cfRule>
    <cfRule type="cellIs" dxfId="15295" priority="15226" stopIfTrue="1" operator="equal">
      <formula>"Fail"</formula>
    </cfRule>
  </conditionalFormatting>
  <conditionalFormatting sqref="I755:L755">
    <cfRule type="cellIs" dxfId="15294" priority="15223" stopIfTrue="1" operator="equal">
      <formula>"Pass"</formula>
    </cfRule>
    <cfRule type="cellIs" dxfId="15293" priority="15224" stopIfTrue="1" operator="equal">
      <formula>"Fail"</formula>
    </cfRule>
  </conditionalFormatting>
  <conditionalFormatting sqref="I755:L755">
    <cfRule type="cellIs" dxfId="15292" priority="15221" stopIfTrue="1" operator="equal">
      <formula>"Pass"</formula>
    </cfRule>
    <cfRule type="cellIs" dxfId="15291" priority="15222" stopIfTrue="1" operator="equal">
      <formula>"Fail"</formula>
    </cfRule>
  </conditionalFormatting>
  <conditionalFormatting sqref="I755:L755">
    <cfRule type="cellIs" dxfId="15290" priority="15219" stopIfTrue="1" operator="equal">
      <formula>"Pass"</formula>
    </cfRule>
    <cfRule type="cellIs" dxfId="15289" priority="15220" stopIfTrue="1" operator="equal">
      <formula>"Fail"</formula>
    </cfRule>
  </conditionalFormatting>
  <conditionalFormatting sqref="I755:L755">
    <cfRule type="cellIs" dxfId="15288" priority="15217" stopIfTrue="1" operator="equal">
      <formula>"Pass"</formula>
    </cfRule>
    <cfRule type="cellIs" dxfId="15287" priority="15218" stopIfTrue="1" operator="equal">
      <formula>"Fail"</formula>
    </cfRule>
  </conditionalFormatting>
  <conditionalFormatting sqref="H755:L755">
    <cfRule type="cellIs" dxfId="15286" priority="15215" stopIfTrue="1" operator="equal">
      <formula>"Pass"</formula>
    </cfRule>
    <cfRule type="cellIs" dxfId="15285" priority="15216" stopIfTrue="1" operator="equal">
      <formula>"Fail"</formula>
    </cfRule>
  </conditionalFormatting>
  <conditionalFormatting sqref="H755:L755">
    <cfRule type="cellIs" dxfId="15284" priority="15213" stopIfTrue="1" operator="equal">
      <formula>"Pass"</formula>
    </cfRule>
    <cfRule type="cellIs" dxfId="15283" priority="15214" stopIfTrue="1" operator="equal">
      <formula>"Fail"</formula>
    </cfRule>
  </conditionalFormatting>
  <conditionalFormatting sqref="I755:L755">
    <cfRule type="cellIs" dxfId="15282" priority="15211" stopIfTrue="1" operator="equal">
      <formula>"Pass"</formula>
    </cfRule>
    <cfRule type="cellIs" dxfId="15281" priority="15212" stopIfTrue="1" operator="equal">
      <formula>"Fail"</formula>
    </cfRule>
  </conditionalFormatting>
  <conditionalFormatting sqref="I755:L755">
    <cfRule type="cellIs" dxfId="15280" priority="15209" stopIfTrue="1" operator="equal">
      <formula>"Pass"</formula>
    </cfRule>
    <cfRule type="cellIs" dxfId="15279" priority="15210" stopIfTrue="1" operator="equal">
      <formula>"Fail"</formula>
    </cfRule>
  </conditionalFormatting>
  <conditionalFormatting sqref="I755:L755">
    <cfRule type="cellIs" dxfId="15278" priority="15207" stopIfTrue="1" operator="equal">
      <formula>"Pass"</formula>
    </cfRule>
    <cfRule type="cellIs" dxfId="15277" priority="15208" stopIfTrue="1" operator="equal">
      <formula>"Fail"</formula>
    </cfRule>
  </conditionalFormatting>
  <conditionalFormatting sqref="I755:L755">
    <cfRule type="cellIs" dxfId="15276" priority="15205" stopIfTrue="1" operator="equal">
      <formula>"Pass"</formula>
    </cfRule>
    <cfRule type="cellIs" dxfId="15275" priority="15206" stopIfTrue="1" operator="equal">
      <formula>"Fail"</formula>
    </cfRule>
  </conditionalFormatting>
  <conditionalFormatting sqref="G755">
    <cfRule type="cellIs" dxfId="15274" priority="15203" stopIfTrue="1" operator="equal">
      <formula>"Pass"</formula>
    </cfRule>
    <cfRule type="cellIs" dxfId="15273" priority="15204" stopIfTrue="1" operator="equal">
      <formula>"Fail"</formula>
    </cfRule>
  </conditionalFormatting>
  <conditionalFormatting sqref="G755">
    <cfRule type="cellIs" dxfId="15272" priority="15201" stopIfTrue="1" operator="equal">
      <formula>"Pass"</formula>
    </cfRule>
    <cfRule type="cellIs" dxfId="15271" priority="15202" stopIfTrue="1" operator="equal">
      <formula>"Fail"</formula>
    </cfRule>
  </conditionalFormatting>
  <conditionalFormatting sqref="G755">
    <cfRule type="cellIs" dxfId="15270" priority="15199" stopIfTrue="1" operator="equal">
      <formula>"Pass"</formula>
    </cfRule>
    <cfRule type="cellIs" dxfId="15269" priority="15200" stopIfTrue="1" operator="equal">
      <formula>"Fail"</formula>
    </cfRule>
  </conditionalFormatting>
  <conditionalFormatting sqref="G755">
    <cfRule type="cellIs" dxfId="15268" priority="15197" stopIfTrue="1" operator="equal">
      <formula>"Pass"</formula>
    </cfRule>
    <cfRule type="cellIs" dxfId="15267" priority="15198" stopIfTrue="1" operator="equal">
      <formula>"Fail"</formula>
    </cfRule>
  </conditionalFormatting>
  <conditionalFormatting sqref="G755">
    <cfRule type="cellIs" dxfId="15266" priority="15195" stopIfTrue="1" operator="equal">
      <formula>"Pass"</formula>
    </cfRule>
    <cfRule type="cellIs" dxfId="15265" priority="15196" stopIfTrue="1" operator="equal">
      <formula>"Fail"</formula>
    </cfRule>
  </conditionalFormatting>
  <conditionalFormatting sqref="G755">
    <cfRule type="cellIs" dxfId="15264" priority="15193" stopIfTrue="1" operator="equal">
      <formula>"Pass"</formula>
    </cfRule>
    <cfRule type="cellIs" dxfId="15263" priority="15194" stopIfTrue="1" operator="equal">
      <formula>"Fail"</formula>
    </cfRule>
  </conditionalFormatting>
  <conditionalFormatting sqref="H755:L755">
    <cfRule type="cellIs" dxfId="15262" priority="15191" stopIfTrue="1" operator="equal">
      <formula>"Pass"</formula>
    </cfRule>
    <cfRule type="cellIs" dxfId="15261" priority="15192" stopIfTrue="1" operator="equal">
      <formula>"Fail"</formula>
    </cfRule>
  </conditionalFormatting>
  <conditionalFormatting sqref="H755:L755">
    <cfRule type="cellIs" dxfId="15260" priority="15189" stopIfTrue="1" operator="equal">
      <formula>"Pass"</formula>
    </cfRule>
    <cfRule type="cellIs" dxfId="15259" priority="15190" stopIfTrue="1" operator="equal">
      <formula>"Fail"</formula>
    </cfRule>
  </conditionalFormatting>
  <conditionalFormatting sqref="I755:L755">
    <cfRule type="cellIs" dxfId="15258" priority="15187" stopIfTrue="1" operator="equal">
      <formula>"Pass"</formula>
    </cfRule>
    <cfRule type="cellIs" dxfId="15257" priority="15188" stopIfTrue="1" operator="equal">
      <formula>"Fail"</formula>
    </cfRule>
  </conditionalFormatting>
  <conditionalFormatting sqref="I755:L755">
    <cfRule type="cellIs" dxfId="15256" priority="15185" stopIfTrue="1" operator="equal">
      <formula>"Pass"</formula>
    </cfRule>
    <cfRule type="cellIs" dxfId="15255" priority="15186" stopIfTrue="1" operator="equal">
      <formula>"Fail"</formula>
    </cfRule>
  </conditionalFormatting>
  <conditionalFormatting sqref="I755:L755">
    <cfRule type="cellIs" dxfId="15254" priority="15183" stopIfTrue="1" operator="equal">
      <formula>"Pass"</formula>
    </cfRule>
    <cfRule type="cellIs" dxfId="15253" priority="15184" stopIfTrue="1" operator="equal">
      <formula>"Fail"</formula>
    </cfRule>
  </conditionalFormatting>
  <conditionalFormatting sqref="I755:L755">
    <cfRule type="cellIs" dxfId="15252" priority="15181" stopIfTrue="1" operator="equal">
      <formula>"Pass"</formula>
    </cfRule>
    <cfRule type="cellIs" dxfId="15251" priority="15182" stopIfTrue="1" operator="equal">
      <formula>"Fail"</formula>
    </cfRule>
  </conditionalFormatting>
  <conditionalFormatting sqref="H755:L755">
    <cfRule type="cellIs" dxfId="15250" priority="15179" stopIfTrue="1" operator="equal">
      <formula>"Pass"</formula>
    </cfRule>
    <cfRule type="cellIs" dxfId="15249" priority="15180" stopIfTrue="1" operator="equal">
      <formula>"Fail"</formula>
    </cfRule>
  </conditionalFormatting>
  <conditionalFormatting sqref="H755:L755">
    <cfRule type="cellIs" dxfId="15248" priority="15177" stopIfTrue="1" operator="equal">
      <formula>"Pass"</formula>
    </cfRule>
    <cfRule type="cellIs" dxfId="15247" priority="15178" stopIfTrue="1" operator="equal">
      <formula>"Fail"</formula>
    </cfRule>
  </conditionalFormatting>
  <conditionalFormatting sqref="I755:L755">
    <cfRule type="cellIs" dxfId="15246" priority="15175" stopIfTrue="1" operator="equal">
      <formula>"Pass"</formula>
    </cfRule>
    <cfRule type="cellIs" dxfId="15245" priority="15176" stopIfTrue="1" operator="equal">
      <formula>"Fail"</formula>
    </cfRule>
  </conditionalFormatting>
  <conditionalFormatting sqref="I755:L755">
    <cfRule type="cellIs" dxfId="15244" priority="15173" stopIfTrue="1" operator="equal">
      <formula>"Pass"</formula>
    </cfRule>
    <cfRule type="cellIs" dxfId="15243" priority="15174" stopIfTrue="1" operator="equal">
      <formula>"Fail"</formula>
    </cfRule>
  </conditionalFormatting>
  <conditionalFormatting sqref="I755:L755">
    <cfRule type="cellIs" dxfId="15242" priority="15171" stopIfTrue="1" operator="equal">
      <formula>"Pass"</formula>
    </cfRule>
    <cfRule type="cellIs" dxfId="15241" priority="15172" stopIfTrue="1" operator="equal">
      <formula>"Fail"</formula>
    </cfRule>
  </conditionalFormatting>
  <conditionalFormatting sqref="I755:L755">
    <cfRule type="cellIs" dxfId="15240" priority="15169" stopIfTrue="1" operator="equal">
      <formula>"Pass"</formula>
    </cfRule>
    <cfRule type="cellIs" dxfId="15239" priority="15170" stopIfTrue="1" operator="equal">
      <formula>"Fail"</formula>
    </cfRule>
  </conditionalFormatting>
  <conditionalFormatting sqref="H755:L755">
    <cfRule type="cellIs" dxfId="15238" priority="15167" stopIfTrue="1" operator="equal">
      <formula>"Pass"</formula>
    </cfRule>
    <cfRule type="cellIs" dxfId="15237" priority="15168" stopIfTrue="1" operator="equal">
      <formula>"Fail"</formula>
    </cfRule>
  </conditionalFormatting>
  <conditionalFormatting sqref="H755:L755">
    <cfRule type="cellIs" dxfId="15236" priority="15165" stopIfTrue="1" operator="equal">
      <formula>"Pass"</formula>
    </cfRule>
    <cfRule type="cellIs" dxfId="15235" priority="15166" stopIfTrue="1" operator="equal">
      <formula>"Fail"</formula>
    </cfRule>
  </conditionalFormatting>
  <conditionalFormatting sqref="I755:L755">
    <cfRule type="cellIs" dxfId="15234" priority="15163" stopIfTrue="1" operator="equal">
      <formula>"Pass"</formula>
    </cfRule>
    <cfRule type="cellIs" dxfId="15233" priority="15164" stopIfTrue="1" operator="equal">
      <formula>"Fail"</formula>
    </cfRule>
  </conditionalFormatting>
  <conditionalFormatting sqref="I755:L755">
    <cfRule type="cellIs" dxfId="15232" priority="15161" stopIfTrue="1" operator="equal">
      <formula>"Pass"</formula>
    </cfRule>
    <cfRule type="cellIs" dxfId="15231" priority="15162" stopIfTrue="1" operator="equal">
      <formula>"Fail"</formula>
    </cfRule>
  </conditionalFormatting>
  <conditionalFormatting sqref="I755:L755">
    <cfRule type="cellIs" dxfId="15230" priority="15159" stopIfTrue="1" operator="equal">
      <formula>"Pass"</formula>
    </cfRule>
    <cfRule type="cellIs" dxfId="15229" priority="15160" stopIfTrue="1" operator="equal">
      <formula>"Fail"</formula>
    </cfRule>
  </conditionalFormatting>
  <conditionalFormatting sqref="I755:L755">
    <cfRule type="cellIs" dxfId="15228" priority="15157" stopIfTrue="1" operator="equal">
      <formula>"Pass"</formula>
    </cfRule>
    <cfRule type="cellIs" dxfId="15227" priority="15158" stopIfTrue="1" operator="equal">
      <formula>"Fail"</formula>
    </cfRule>
  </conditionalFormatting>
  <conditionalFormatting sqref="H755:L755">
    <cfRule type="cellIs" dxfId="15226" priority="15155" stopIfTrue="1" operator="equal">
      <formula>"Pass"</formula>
    </cfRule>
    <cfRule type="cellIs" dxfId="15225" priority="15156" stopIfTrue="1" operator="equal">
      <formula>"Fail"</formula>
    </cfRule>
  </conditionalFormatting>
  <conditionalFormatting sqref="H755:L755">
    <cfRule type="cellIs" dxfId="15224" priority="15153" stopIfTrue="1" operator="equal">
      <formula>"Pass"</formula>
    </cfRule>
    <cfRule type="cellIs" dxfId="15223" priority="15154" stopIfTrue="1" operator="equal">
      <formula>"Fail"</formula>
    </cfRule>
  </conditionalFormatting>
  <conditionalFormatting sqref="I755:L755">
    <cfRule type="cellIs" dxfId="15222" priority="15151" stopIfTrue="1" operator="equal">
      <formula>"Pass"</formula>
    </cfRule>
    <cfRule type="cellIs" dxfId="15221" priority="15152" stopIfTrue="1" operator="equal">
      <formula>"Fail"</formula>
    </cfRule>
  </conditionalFormatting>
  <conditionalFormatting sqref="I755:L755">
    <cfRule type="cellIs" dxfId="15220" priority="15149" stopIfTrue="1" operator="equal">
      <formula>"Pass"</formula>
    </cfRule>
    <cfRule type="cellIs" dxfId="15219" priority="15150" stopIfTrue="1" operator="equal">
      <formula>"Fail"</formula>
    </cfRule>
  </conditionalFormatting>
  <conditionalFormatting sqref="I755:L755">
    <cfRule type="cellIs" dxfId="15218" priority="15147" stopIfTrue="1" operator="equal">
      <formula>"Pass"</formula>
    </cfRule>
    <cfRule type="cellIs" dxfId="15217" priority="15148" stopIfTrue="1" operator="equal">
      <formula>"Fail"</formula>
    </cfRule>
  </conditionalFormatting>
  <conditionalFormatting sqref="I755:L755">
    <cfRule type="cellIs" dxfId="15216" priority="15145" stopIfTrue="1" operator="equal">
      <formula>"Pass"</formula>
    </cfRule>
    <cfRule type="cellIs" dxfId="15215" priority="15146" stopIfTrue="1" operator="equal">
      <formula>"Fail"</formula>
    </cfRule>
  </conditionalFormatting>
  <conditionalFormatting sqref="G755">
    <cfRule type="cellIs" dxfId="15214" priority="15143" stopIfTrue="1" operator="equal">
      <formula>"Pass"</formula>
    </cfRule>
    <cfRule type="cellIs" dxfId="15213" priority="15144" stopIfTrue="1" operator="equal">
      <formula>"Fail"</formula>
    </cfRule>
  </conditionalFormatting>
  <conditionalFormatting sqref="G755">
    <cfRule type="cellIs" dxfId="15212" priority="15141" stopIfTrue="1" operator="equal">
      <formula>"Pass"</formula>
    </cfRule>
    <cfRule type="cellIs" dxfId="15211" priority="15142" stopIfTrue="1" operator="equal">
      <formula>"Fail"</formula>
    </cfRule>
  </conditionalFormatting>
  <conditionalFormatting sqref="G755">
    <cfRule type="cellIs" dxfId="15210" priority="15139" stopIfTrue="1" operator="equal">
      <formula>"Pass"</formula>
    </cfRule>
    <cfRule type="cellIs" dxfId="15209" priority="15140" stopIfTrue="1" operator="equal">
      <formula>"Fail"</formula>
    </cfRule>
  </conditionalFormatting>
  <conditionalFormatting sqref="G755">
    <cfRule type="cellIs" dxfId="15208" priority="15137" stopIfTrue="1" operator="equal">
      <formula>"Pass"</formula>
    </cfRule>
    <cfRule type="cellIs" dxfId="15207" priority="15138" stopIfTrue="1" operator="equal">
      <formula>"Fail"</formula>
    </cfRule>
  </conditionalFormatting>
  <conditionalFormatting sqref="G755">
    <cfRule type="cellIs" dxfId="15206" priority="15135" stopIfTrue="1" operator="equal">
      <formula>"Pass"</formula>
    </cfRule>
    <cfRule type="cellIs" dxfId="15205" priority="15136" stopIfTrue="1" operator="equal">
      <formula>"Fail"</formula>
    </cfRule>
  </conditionalFormatting>
  <conditionalFormatting sqref="G755">
    <cfRule type="cellIs" dxfId="15204" priority="15133" stopIfTrue="1" operator="equal">
      <formula>"Pass"</formula>
    </cfRule>
    <cfRule type="cellIs" dxfId="15203" priority="15134" stopIfTrue="1" operator="equal">
      <formula>"Fail"</formula>
    </cfRule>
  </conditionalFormatting>
  <conditionalFormatting sqref="H755:L755">
    <cfRule type="cellIs" dxfId="15202" priority="15131" stopIfTrue="1" operator="equal">
      <formula>"Pass"</formula>
    </cfRule>
    <cfRule type="cellIs" dxfId="15201" priority="15132" stopIfTrue="1" operator="equal">
      <formula>"Fail"</formula>
    </cfRule>
  </conditionalFormatting>
  <conditionalFormatting sqref="H755:L755">
    <cfRule type="cellIs" dxfId="15200" priority="15129" stopIfTrue="1" operator="equal">
      <formula>"Pass"</formula>
    </cfRule>
    <cfRule type="cellIs" dxfId="15199" priority="15130" stopIfTrue="1" operator="equal">
      <formula>"Fail"</formula>
    </cfRule>
  </conditionalFormatting>
  <conditionalFormatting sqref="I755:L755">
    <cfRule type="cellIs" dxfId="15198" priority="15127" stopIfTrue="1" operator="equal">
      <formula>"Pass"</formula>
    </cfRule>
    <cfRule type="cellIs" dxfId="15197" priority="15128" stopIfTrue="1" operator="equal">
      <formula>"Fail"</formula>
    </cfRule>
  </conditionalFormatting>
  <conditionalFormatting sqref="I755:L755">
    <cfRule type="cellIs" dxfId="15196" priority="15125" stopIfTrue="1" operator="equal">
      <formula>"Pass"</formula>
    </cfRule>
    <cfRule type="cellIs" dxfId="15195" priority="15126" stopIfTrue="1" operator="equal">
      <formula>"Fail"</formula>
    </cfRule>
  </conditionalFormatting>
  <conditionalFormatting sqref="I755:L755">
    <cfRule type="cellIs" dxfId="15194" priority="15123" stopIfTrue="1" operator="equal">
      <formula>"Pass"</formula>
    </cfRule>
    <cfRule type="cellIs" dxfId="15193" priority="15124" stopIfTrue="1" operator="equal">
      <formula>"Fail"</formula>
    </cfRule>
  </conditionalFormatting>
  <conditionalFormatting sqref="I755:L755">
    <cfRule type="cellIs" dxfId="15192" priority="15121" stopIfTrue="1" operator="equal">
      <formula>"Pass"</formula>
    </cfRule>
    <cfRule type="cellIs" dxfId="15191" priority="15122" stopIfTrue="1" operator="equal">
      <formula>"Fail"</formula>
    </cfRule>
  </conditionalFormatting>
  <conditionalFormatting sqref="H755:L755">
    <cfRule type="cellIs" dxfId="15190" priority="15119" stopIfTrue="1" operator="equal">
      <formula>"Pass"</formula>
    </cfRule>
    <cfRule type="cellIs" dxfId="15189" priority="15120" stopIfTrue="1" operator="equal">
      <formula>"Fail"</formula>
    </cfRule>
  </conditionalFormatting>
  <conditionalFormatting sqref="H755:L755">
    <cfRule type="cellIs" dxfId="15188" priority="15117" stopIfTrue="1" operator="equal">
      <formula>"Pass"</formula>
    </cfRule>
    <cfRule type="cellIs" dxfId="15187" priority="15118" stopIfTrue="1" operator="equal">
      <formula>"Fail"</formula>
    </cfRule>
  </conditionalFormatting>
  <conditionalFormatting sqref="I755:L755">
    <cfRule type="cellIs" dxfId="15186" priority="15115" stopIfTrue="1" operator="equal">
      <formula>"Pass"</formula>
    </cfRule>
    <cfRule type="cellIs" dxfId="15185" priority="15116" stopIfTrue="1" operator="equal">
      <formula>"Fail"</formula>
    </cfRule>
  </conditionalFormatting>
  <conditionalFormatting sqref="I755:L755">
    <cfRule type="cellIs" dxfId="15184" priority="15113" stopIfTrue="1" operator="equal">
      <formula>"Pass"</formula>
    </cfRule>
    <cfRule type="cellIs" dxfId="15183" priority="15114" stopIfTrue="1" operator="equal">
      <formula>"Fail"</formula>
    </cfRule>
  </conditionalFormatting>
  <conditionalFormatting sqref="I755:L755">
    <cfRule type="cellIs" dxfId="15182" priority="15111" stopIfTrue="1" operator="equal">
      <formula>"Pass"</formula>
    </cfRule>
    <cfRule type="cellIs" dxfId="15181" priority="15112" stopIfTrue="1" operator="equal">
      <formula>"Fail"</formula>
    </cfRule>
  </conditionalFormatting>
  <conditionalFormatting sqref="I755:L755">
    <cfRule type="cellIs" dxfId="15180" priority="15109" stopIfTrue="1" operator="equal">
      <formula>"Pass"</formula>
    </cfRule>
    <cfRule type="cellIs" dxfId="15179" priority="15110" stopIfTrue="1" operator="equal">
      <formula>"Fail"</formula>
    </cfRule>
  </conditionalFormatting>
  <conditionalFormatting sqref="H755:L755">
    <cfRule type="cellIs" dxfId="15178" priority="15107" stopIfTrue="1" operator="equal">
      <formula>"Pass"</formula>
    </cfRule>
    <cfRule type="cellIs" dxfId="15177" priority="15108" stopIfTrue="1" operator="equal">
      <formula>"Fail"</formula>
    </cfRule>
  </conditionalFormatting>
  <conditionalFormatting sqref="H755:L755">
    <cfRule type="cellIs" dxfId="15176" priority="15105" stopIfTrue="1" operator="equal">
      <formula>"Pass"</formula>
    </cfRule>
    <cfRule type="cellIs" dxfId="15175" priority="15106" stopIfTrue="1" operator="equal">
      <formula>"Fail"</formula>
    </cfRule>
  </conditionalFormatting>
  <conditionalFormatting sqref="I755:L755">
    <cfRule type="cellIs" dxfId="15174" priority="15103" stopIfTrue="1" operator="equal">
      <formula>"Pass"</formula>
    </cfRule>
    <cfRule type="cellIs" dxfId="15173" priority="15104" stopIfTrue="1" operator="equal">
      <formula>"Fail"</formula>
    </cfRule>
  </conditionalFormatting>
  <conditionalFormatting sqref="I755:L755">
    <cfRule type="cellIs" dxfId="15172" priority="15101" stopIfTrue="1" operator="equal">
      <formula>"Pass"</formula>
    </cfRule>
    <cfRule type="cellIs" dxfId="15171" priority="15102" stopIfTrue="1" operator="equal">
      <formula>"Fail"</formula>
    </cfRule>
  </conditionalFormatting>
  <conditionalFormatting sqref="I755:L755">
    <cfRule type="cellIs" dxfId="15170" priority="15099" stopIfTrue="1" operator="equal">
      <formula>"Pass"</formula>
    </cfRule>
    <cfRule type="cellIs" dxfId="15169" priority="15100" stopIfTrue="1" operator="equal">
      <formula>"Fail"</formula>
    </cfRule>
  </conditionalFormatting>
  <conditionalFormatting sqref="I755:L755">
    <cfRule type="cellIs" dxfId="15168" priority="15097" stopIfTrue="1" operator="equal">
      <formula>"Pass"</formula>
    </cfRule>
    <cfRule type="cellIs" dxfId="15167" priority="15098" stopIfTrue="1" operator="equal">
      <formula>"Fail"</formula>
    </cfRule>
  </conditionalFormatting>
  <conditionalFormatting sqref="H755:L755">
    <cfRule type="cellIs" dxfId="15166" priority="15095" stopIfTrue="1" operator="equal">
      <formula>"Pass"</formula>
    </cfRule>
    <cfRule type="cellIs" dxfId="15165" priority="15096" stopIfTrue="1" operator="equal">
      <formula>"Fail"</formula>
    </cfRule>
  </conditionalFormatting>
  <conditionalFormatting sqref="H755:L755">
    <cfRule type="cellIs" dxfId="15164" priority="15093" stopIfTrue="1" operator="equal">
      <formula>"Pass"</formula>
    </cfRule>
    <cfRule type="cellIs" dxfId="15163" priority="15094" stopIfTrue="1" operator="equal">
      <formula>"Fail"</formula>
    </cfRule>
  </conditionalFormatting>
  <conditionalFormatting sqref="I755:L755">
    <cfRule type="cellIs" dxfId="15162" priority="15091" stopIfTrue="1" operator="equal">
      <formula>"Pass"</formula>
    </cfRule>
    <cfRule type="cellIs" dxfId="15161" priority="15092" stopIfTrue="1" operator="equal">
      <formula>"Fail"</formula>
    </cfRule>
  </conditionalFormatting>
  <conditionalFormatting sqref="I755:L755">
    <cfRule type="cellIs" dxfId="15160" priority="15089" stopIfTrue="1" operator="equal">
      <formula>"Pass"</formula>
    </cfRule>
    <cfRule type="cellIs" dxfId="15159" priority="15090" stopIfTrue="1" operator="equal">
      <formula>"Fail"</formula>
    </cfRule>
  </conditionalFormatting>
  <conditionalFormatting sqref="I755:L755">
    <cfRule type="cellIs" dxfId="15158" priority="15087" stopIfTrue="1" operator="equal">
      <formula>"Pass"</formula>
    </cfRule>
    <cfRule type="cellIs" dxfId="15157" priority="15088" stopIfTrue="1" operator="equal">
      <formula>"Fail"</formula>
    </cfRule>
  </conditionalFormatting>
  <conditionalFormatting sqref="I755:L755">
    <cfRule type="cellIs" dxfId="15156" priority="15085" stopIfTrue="1" operator="equal">
      <formula>"Pass"</formula>
    </cfRule>
    <cfRule type="cellIs" dxfId="15155" priority="15086" stopIfTrue="1" operator="equal">
      <formula>"Fail"</formula>
    </cfRule>
  </conditionalFormatting>
  <conditionalFormatting sqref="G755">
    <cfRule type="cellIs" dxfId="15154" priority="15083" stopIfTrue="1" operator="equal">
      <formula>"Pass"</formula>
    </cfRule>
    <cfRule type="cellIs" dxfId="15153" priority="15084" stopIfTrue="1" operator="equal">
      <formula>"Fail"</formula>
    </cfRule>
  </conditionalFormatting>
  <conditionalFormatting sqref="G755">
    <cfRule type="cellIs" dxfId="15152" priority="15081" stopIfTrue="1" operator="equal">
      <formula>"Pass"</formula>
    </cfRule>
    <cfRule type="cellIs" dxfId="15151" priority="15082" stopIfTrue="1" operator="equal">
      <formula>"Fail"</formula>
    </cfRule>
  </conditionalFormatting>
  <conditionalFormatting sqref="G755">
    <cfRule type="cellIs" dxfId="15150" priority="15079" stopIfTrue="1" operator="equal">
      <formula>"Pass"</formula>
    </cfRule>
    <cfRule type="cellIs" dxfId="15149" priority="15080" stopIfTrue="1" operator="equal">
      <formula>"Fail"</formula>
    </cfRule>
  </conditionalFormatting>
  <conditionalFormatting sqref="G755">
    <cfRule type="cellIs" dxfId="15148" priority="15077" stopIfTrue="1" operator="equal">
      <formula>"Pass"</formula>
    </cfRule>
    <cfRule type="cellIs" dxfId="15147" priority="15078" stopIfTrue="1" operator="equal">
      <formula>"Fail"</formula>
    </cfRule>
  </conditionalFormatting>
  <conditionalFormatting sqref="G755">
    <cfRule type="cellIs" dxfId="15146" priority="15075" stopIfTrue="1" operator="equal">
      <formula>"Pass"</formula>
    </cfRule>
    <cfRule type="cellIs" dxfId="15145" priority="15076" stopIfTrue="1" operator="equal">
      <formula>"Fail"</formula>
    </cfRule>
  </conditionalFormatting>
  <conditionalFormatting sqref="G755">
    <cfRule type="cellIs" dxfId="15144" priority="15073" stopIfTrue="1" operator="equal">
      <formula>"Pass"</formula>
    </cfRule>
    <cfRule type="cellIs" dxfId="15143" priority="15074" stopIfTrue="1" operator="equal">
      <formula>"Fail"</formula>
    </cfRule>
  </conditionalFormatting>
  <conditionalFormatting sqref="G755">
    <cfRule type="cellIs" dxfId="15142" priority="15071" stopIfTrue="1" operator="equal">
      <formula>"Pass"</formula>
    </cfRule>
    <cfRule type="cellIs" dxfId="15141" priority="15072" stopIfTrue="1" operator="equal">
      <formula>"Fail"</formula>
    </cfRule>
  </conditionalFormatting>
  <conditionalFormatting sqref="G755">
    <cfRule type="cellIs" dxfId="15140" priority="15069" stopIfTrue="1" operator="equal">
      <formula>"Pass"</formula>
    </cfRule>
    <cfRule type="cellIs" dxfId="15139" priority="15070" stopIfTrue="1" operator="equal">
      <formula>"Fail"</formula>
    </cfRule>
  </conditionalFormatting>
  <conditionalFormatting sqref="G755">
    <cfRule type="cellIs" dxfId="15138" priority="15067" stopIfTrue="1" operator="equal">
      <formula>"Pass"</formula>
    </cfRule>
    <cfRule type="cellIs" dxfId="15137" priority="15068" stopIfTrue="1" operator="equal">
      <formula>"Fail"</formula>
    </cfRule>
  </conditionalFormatting>
  <conditionalFormatting sqref="G755">
    <cfRule type="cellIs" dxfId="15136" priority="15065" stopIfTrue="1" operator="equal">
      <formula>"Pass"</formula>
    </cfRule>
    <cfRule type="cellIs" dxfId="15135" priority="15066" stopIfTrue="1" operator="equal">
      <formula>"Fail"</formula>
    </cfRule>
  </conditionalFormatting>
  <conditionalFormatting sqref="G755">
    <cfRule type="cellIs" dxfId="15134" priority="15063" stopIfTrue="1" operator="equal">
      <formula>"Pass"</formula>
    </cfRule>
    <cfRule type="cellIs" dxfId="15133" priority="15064" stopIfTrue="1" operator="equal">
      <formula>"Fail"</formula>
    </cfRule>
  </conditionalFormatting>
  <conditionalFormatting sqref="G755">
    <cfRule type="cellIs" dxfId="15132" priority="15061" stopIfTrue="1" operator="equal">
      <formula>"Pass"</formula>
    </cfRule>
    <cfRule type="cellIs" dxfId="15131" priority="15062" stopIfTrue="1" operator="equal">
      <formula>"Fail"</formula>
    </cfRule>
  </conditionalFormatting>
  <conditionalFormatting sqref="H755:L755">
    <cfRule type="cellIs" dxfId="15130" priority="15059" stopIfTrue="1" operator="equal">
      <formula>"Pass"</formula>
    </cfRule>
    <cfRule type="cellIs" dxfId="15129" priority="15060" stopIfTrue="1" operator="equal">
      <formula>"Fail"</formula>
    </cfRule>
  </conditionalFormatting>
  <conditionalFormatting sqref="H755:L755">
    <cfRule type="cellIs" dxfId="15128" priority="15057" stopIfTrue="1" operator="equal">
      <formula>"Pass"</formula>
    </cfRule>
    <cfRule type="cellIs" dxfId="15127" priority="15058" stopIfTrue="1" operator="equal">
      <formula>"Fail"</formula>
    </cfRule>
  </conditionalFormatting>
  <conditionalFormatting sqref="I755:L755">
    <cfRule type="cellIs" dxfId="15126" priority="15055" stopIfTrue="1" operator="equal">
      <formula>"Pass"</formula>
    </cfRule>
    <cfRule type="cellIs" dxfId="15125" priority="15056" stopIfTrue="1" operator="equal">
      <formula>"Fail"</formula>
    </cfRule>
  </conditionalFormatting>
  <conditionalFormatting sqref="I755:L755">
    <cfRule type="cellIs" dxfId="15124" priority="15053" stopIfTrue="1" operator="equal">
      <formula>"Pass"</formula>
    </cfRule>
    <cfRule type="cellIs" dxfId="15123" priority="15054" stopIfTrue="1" operator="equal">
      <formula>"Fail"</formula>
    </cfRule>
  </conditionalFormatting>
  <conditionalFormatting sqref="I755:L755">
    <cfRule type="cellIs" dxfId="15122" priority="15051" stopIfTrue="1" operator="equal">
      <formula>"Pass"</formula>
    </cfRule>
    <cfRule type="cellIs" dxfId="15121" priority="15052" stopIfTrue="1" operator="equal">
      <formula>"Fail"</formula>
    </cfRule>
  </conditionalFormatting>
  <conditionalFormatting sqref="I755:L755">
    <cfRule type="cellIs" dxfId="15120" priority="15049" stopIfTrue="1" operator="equal">
      <formula>"Pass"</formula>
    </cfRule>
    <cfRule type="cellIs" dxfId="15119" priority="15050" stopIfTrue="1" operator="equal">
      <formula>"Fail"</formula>
    </cfRule>
  </conditionalFormatting>
  <conditionalFormatting sqref="H755:L755">
    <cfRule type="cellIs" dxfId="15118" priority="15047" stopIfTrue="1" operator="equal">
      <formula>"Pass"</formula>
    </cfRule>
    <cfRule type="cellIs" dxfId="15117" priority="15048" stopIfTrue="1" operator="equal">
      <formula>"Fail"</formula>
    </cfRule>
  </conditionalFormatting>
  <conditionalFormatting sqref="H755:L755">
    <cfRule type="cellIs" dxfId="15116" priority="15045" stopIfTrue="1" operator="equal">
      <formula>"Pass"</formula>
    </cfRule>
    <cfRule type="cellIs" dxfId="15115" priority="15046" stopIfTrue="1" operator="equal">
      <formula>"Fail"</formula>
    </cfRule>
  </conditionalFormatting>
  <conditionalFormatting sqref="I755:L755">
    <cfRule type="cellIs" dxfId="15114" priority="15043" stopIfTrue="1" operator="equal">
      <formula>"Pass"</formula>
    </cfRule>
    <cfRule type="cellIs" dxfId="15113" priority="15044" stopIfTrue="1" operator="equal">
      <formula>"Fail"</formula>
    </cfRule>
  </conditionalFormatting>
  <conditionalFormatting sqref="I755:L755">
    <cfRule type="cellIs" dxfId="15112" priority="15041" stopIfTrue="1" operator="equal">
      <formula>"Pass"</formula>
    </cfRule>
    <cfRule type="cellIs" dxfId="15111" priority="15042" stopIfTrue="1" operator="equal">
      <formula>"Fail"</formula>
    </cfRule>
  </conditionalFormatting>
  <conditionalFormatting sqref="I755:L755">
    <cfRule type="cellIs" dxfId="15110" priority="15039" stopIfTrue="1" operator="equal">
      <formula>"Pass"</formula>
    </cfRule>
    <cfRule type="cellIs" dxfId="15109" priority="15040" stopIfTrue="1" operator="equal">
      <formula>"Fail"</formula>
    </cfRule>
  </conditionalFormatting>
  <conditionalFormatting sqref="I755:L755">
    <cfRule type="cellIs" dxfId="15108" priority="15037" stopIfTrue="1" operator="equal">
      <formula>"Pass"</formula>
    </cfRule>
    <cfRule type="cellIs" dxfId="15107" priority="15038" stopIfTrue="1" operator="equal">
      <formula>"Fail"</formula>
    </cfRule>
  </conditionalFormatting>
  <conditionalFormatting sqref="H755:L755">
    <cfRule type="cellIs" dxfId="15106" priority="15035" stopIfTrue="1" operator="equal">
      <formula>"Pass"</formula>
    </cfRule>
    <cfRule type="cellIs" dxfId="15105" priority="15036" stopIfTrue="1" operator="equal">
      <formula>"Fail"</formula>
    </cfRule>
  </conditionalFormatting>
  <conditionalFormatting sqref="H755:L755">
    <cfRule type="cellIs" dxfId="15104" priority="15033" stopIfTrue="1" operator="equal">
      <formula>"Pass"</formula>
    </cfRule>
    <cfRule type="cellIs" dxfId="15103" priority="15034" stopIfTrue="1" operator="equal">
      <formula>"Fail"</formula>
    </cfRule>
  </conditionalFormatting>
  <conditionalFormatting sqref="I755:L755">
    <cfRule type="cellIs" dxfId="15102" priority="15031" stopIfTrue="1" operator="equal">
      <formula>"Pass"</formula>
    </cfRule>
    <cfRule type="cellIs" dxfId="15101" priority="15032" stopIfTrue="1" operator="equal">
      <formula>"Fail"</formula>
    </cfRule>
  </conditionalFormatting>
  <conditionalFormatting sqref="I755:L755">
    <cfRule type="cellIs" dxfId="15100" priority="15029" stopIfTrue="1" operator="equal">
      <formula>"Pass"</formula>
    </cfRule>
    <cfRule type="cellIs" dxfId="15099" priority="15030" stopIfTrue="1" operator="equal">
      <formula>"Fail"</formula>
    </cfRule>
  </conditionalFormatting>
  <conditionalFormatting sqref="I755:L755">
    <cfRule type="cellIs" dxfId="15098" priority="15027" stopIfTrue="1" operator="equal">
      <formula>"Pass"</formula>
    </cfRule>
    <cfRule type="cellIs" dxfId="15097" priority="15028" stopIfTrue="1" operator="equal">
      <formula>"Fail"</formula>
    </cfRule>
  </conditionalFormatting>
  <conditionalFormatting sqref="I755:L755">
    <cfRule type="cellIs" dxfId="15096" priority="15025" stopIfTrue="1" operator="equal">
      <formula>"Pass"</formula>
    </cfRule>
    <cfRule type="cellIs" dxfId="15095" priority="15026" stopIfTrue="1" operator="equal">
      <formula>"Fail"</formula>
    </cfRule>
  </conditionalFormatting>
  <conditionalFormatting sqref="H755:L755">
    <cfRule type="cellIs" dxfId="15094" priority="15023" stopIfTrue="1" operator="equal">
      <formula>"Pass"</formula>
    </cfRule>
    <cfRule type="cellIs" dxfId="15093" priority="15024" stopIfTrue="1" operator="equal">
      <formula>"Fail"</formula>
    </cfRule>
  </conditionalFormatting>
  <conditionalFormatting sqref="H755:L755">
    <cfRule type="cellIs" dxfId="15092" priority="15021" stopIfTrue="1" operator="equal">
      <formula>"Pass"</formula>
    </cfRule>
    <cfRule type="cellIs" dxfId="15091" priority="15022" stopIfTrue="1" operator="equal">
      <formula>"Fail"</formula>
    </cfRule>
  </conditionalFormatting>
  <conditionalFormatting sqref="I755:L755">
    <cfRule type="cellIs" dxfId="15090" priority="15019" stopIfTrue="1" operator="equal">
      <formula>"Pass"</formula>
    </cfRule>
    <cfRule type="cellIs" dxfId="15089" priority="15020" stopIfTrue="1" operator="equal">
      <formula>"Fail"</formula>
    </cfRule>
  </conditionalFormatting>
  <conditionalFormatting sqref="I755:L755">
    <cfRule type="cellIs" dxfId="15088" priority="15017" stopIfTrue="1" operator="equal">
      <formula>"Pass"</formula>
    </cfRule>
    <cfRule type="cellIs" dxfId="15087" priority="15018" stopIfTrue="1" operator="equal">
      <formula>"Fail"</formula>
    </cfRule>
  </conditionalFormatting>
  <conditionalFormatting sqref="I755:L755">
    <cfRule type="cellIs" dxfId="15086" priority="15015" stopIfTrue="1" operator="equal">
      <formula>"Pass"</formula>
    </cfRule>
    <cfRule type="cellIs" dxfId="15085" priority="15016" stopIfTrue="1" operator="equal">
      <formula>"Fail"</formula>
    </cfRule>
  </conditionalFormatting>
  <conditionalFormatting sqref="I755:L755">
    <cfRule type="cellIs" dxfId="15084" priority="15013" stopIfTrue="1" operator="equal">
      <formula>"Pass"</formula>
    </cfRule>
    <cfRule type="cellIs" dxfId="15083" priority="15014" stopIfTrue="1" operator="equal">
      <formula>"Fail"</formula>
    </cfRule>
  </conditionalFormatting>
  <conditionalFormatting sqref="H755:L755">
    <cfRule type="cellIs" dxfId="15082" priority="15011" stopIfTrue="1" operator="equal">
      <formula>"Pass"</formula>
    </cfRule>
    <cfRule type="cellIs" dxfId="15081" priority="15012" stopIfTrue="1" operator="equal">
      <formula>"Fail"</formula>
    </cfRule>
  </conditionalFormatting>
  <conditionalFormatting sqref="H755:L755">
    <cfRule type="cellIs" dxfId="15080" priority="15009" stopIfTrue="1" operator="equal">
      <formula>"Pass"</formula>
    </cfRule>
    <cfRule type="cellIs" dxfId="15079" priority="15010" stopIfTrue="1" operator="equal">
      <formula>"Fail"</formula>
    </cfRule>
  </conditionalFormatting>
  <conditionalFormatting sqref="I755:L755">
    <cfRule type="cellIs" dxfId="15078" priority="15007" stopIfTrue="1" operator="equal">
      <formula>"Pass"</formula>
    </cfRule>
    <cfRule type="cellIs" dxfId="15077" priority="15008" stopIfTrue="1" operator="equal">
      <formula>"Fail"</formula>
    </cfRule>
  </conditionalFormatting>
  <conditionalFormatting sqref="I755:L755">
    <cfRule type="cellIs" dxfId="15076" priority="15005" stopIfTrue="1" operator="equal">
      <formula>"Pass"</formula>
    </cfRule>
    <cfRule type="cellIs" dxfId="15075" priority="15006" stopIfTrue="1" operator="equal">
      <formula>"Fail"</formula>
    </cfRule>
  </conditionalFormatting>
  <conditionalFormatting sqref="I755:L755">
    <cfRule type="cellIs" dxfId="15074" priority="15003" stopIfTrue="1" operator="equal">
      <formula>"Pass"</formula>
    </cfRule>
    <cfRule type="cellIs" dxfId="15073" priority="15004" stopIfTrue="1" operator="equal">
      <formula>"Fail"</formula>
    </cfRule>
  </conditionalFormatting>
  <conditionalFormatting sqref="I755:L755">
    <cfRule type="cellIs" dxfId="15072" priority="15001" stopIfTrue="1" operator="equal">
      <formula>"Pass"</formula>
    </cfRule>
    <cfRule type="cellIs" dxfId="15071" priority="15002" stopIfTrue="1" operator="equal">
      <formula>"Fail"</formula>
    </cfRule>
  </conditionalFormatting>
  <conditionalFormatting sqref="G755">
    <cfRule type="cellIs" dxfId="15070" priority="14999" stopIfTrue="1" operator="equal">
      <formula>"Pass"</formula>
    </cfRule>
    <cfRule type="cellIs" dxfId="15069" priority="15000" stopIfTrue="1" operator="equal">
      <formula>"Fail"</formula>
    </cfRule>
  </conditionalFormatting>
  <conditionalFormatting sqref="G755">
    <cfRule type="cellIs" dxfId="15068" priority="14997" stopIfTrue="1" operator="equal">
      <formula>"Pass"</formula>
    </cfRule>
    <cfRule type="cellIs" dxfId="15067" priority="14998" stopIfTrue="1" operator="equal">
      <formula>"Fail"</formula>
    </cfRule>
  </conditionalFormatting>
  <conditionalFormatting sqref="G755">
    <cfRule type="cellIs" dxfId="15066" priority="14995" stopIfTrue="1" operator="equal">
      <formula>"Pass"</formula>
    </cfRule>
    <cfRule type="cellIs" dxfId="15065" priority="14996" stopIfTrue="1" operator="equal">
      <formula>"Fail"</formula>
    </cfRule>
  </conditionalFormatting>
  <conditionalFormatting sqref="G755">
    <cfRule type="cellIs" dxfId="15064" priority="14993" stopIfTrue="1" operator="equal">
      <formula>"Pass"</formula>
    </cfRule>
    <cfRule type="cellIs" dxfId="15063" priority="14994" stopIfTrue="1" operator="equal">
      <formula>"Fail"</formula>
    </cfRule>
  </conditionalFormatting>
  <conditionalFormatting sqref="G755">
    <cfRule type="cellIs" dxfId="15062" priority="14991" stopIfTrue="1" operator="equal">
      <formula>"Pass"</formula>
    </cfRule>
    <cfRule type="cellIs" dxfId="15061" priority="14992" stopIfTrue="1" operator="equal">
      <formula>"Fail"</formula>
    </cfRule>
  </conditionalFormatting>
  <conditionalFormatting sqref="G755">
    <cfRule type="cellIs" dxfId="15060" priority="14989" stopIfTrue="1" operator="equal">
      <formula>"Pass"</formula>
    </cfRule>
    <cfRule type="cellIs" dxfId="15059" priority="14990" stopIfTrue="1" operator="equal">
      <formula>"Fail"</formula>
    </cfRule>
  </conditionalFormatting>
  <conditionalFormatting sqref="H755:L755">
    <cfRule type="cellIs" dxfId="15058" priority="14987" stopIfTrue="1" operator="equal">
      <formula>"Pass"</formula>
    </cfRule>
    <cfRule type="cellIs" dxfId="15057" priority="14988" stopIfTrue="1" operator="equal">
      <formula>"Fail"</formula>
    </cfRule>
  </conditionalFormatting>
  <conditionalFormatting sqref="H755:L755">
    <cfRule type="cellIs" dxfId="15056" priority="14985" stopIfTrue="1" operator="equal">
      <formula>"Pass"</formula>
    </cfRule>
    <cfRule type="cellIs" dxfId="15055" priority="14986" stopIfTrue="1" operator="equal">
      <formula>"Fail"</formula>
    </cfRule>
  </conditionalFormatting>
  <conditionalFormatting sqref="I755:L755">
    <cfRule type="cellIs" dxfId="15054" priority="14983" stopIfTrue="1" operator="equal">
      <formula>"Pass"</formula>
    </cfRule>
    <cfRule type="cellIs" dxfId="15053" priority="14984" stopIfTrue="1" operator="equal">
      <formula>"Fail"</formula>
    </cfRule>
  </conditionalFormatting>
  <conditionalFormatting sqref="I755:L755">
    <cfRule type="cellIs" dxfId="15052" priority="14981" stopIfTrue="1" operator="equal">
      <formula>"Pass"</formula>
    </cfRule>
    <cfRule type="cellIs" dxfId="15051" priority="14982" stopIfTrue="1" operator="equal">
      <formula>"Fail"</formula>
    </cfRule>
  </conditionalFormatting>
  <conditionalFormatting sqref="I755:L755">
    <cfRule type="cellIs" dxfId="15050" priority="14979" stopIfTrue="1" operator="equal">
      <formula>"Pass"</formula>
    </cfRule>
    <cfRule type="cellIs" dxfId="15049" priority="14980" stopIfTrue="1" operator="equal">
      <formula>"Fail"</formula>
    </cfRule>
  </conditionalFormatting>
  <conditionalFormatting sqref="I755:L755">
    <cfRule type="cellIs" dxfId="15048" priority="14977" stopIfTrue="1" operator="equal">
      <formula>"Pass"</formula>
    </cfRule>
    <cfRule type="cellIs" dxfId="15047" priority="14978" stopIfTrue="1" operator="equal">
      <formula>"Fail"</formula>
    </cfRule>
  </conditionalFormatting>
  <conditionalFormatting sqref="H755:L755">
    <cfRule type="cellIs" dxfId="15046" priority="14975" stopIfTrue="1" operator="equal">
      <formula>"Pass"</formula>
    </cfRule>
    <cfRule type="cellIs" dxfId="15045" priority="14976" stopIfTrue="1" operator="equal">
      <formula>"Fail"</formula>
    </cfRule>
  </conditionalFormatting>
  <conditionalFormatting sqref="H755:L755">
    <cfRule type="cellIs" dxfId="15044" priority="14973" stopIfTrue="1" operator="equal">
      <formula>"Pass"</formula>
    </cfRule>
    <cfRule type="cellIs" dxfId="15043" priority="14974" stopIfTrue="1" operator="equal">
      <formula>"Fail"</formula>
    </cfRule>
  </conditionalFormatting>
  <conditionalFormatting sqref="I755:L755">
    <cfRule type="cellIs" dxfId="15042" priority="14971" stopIfTrue="1" operator="equal">
      <formula>"Pass"</formula>
    </cfRule>
    <cfRule type="cellIs" dxfId="15041" priority="14972" stopIfTrue="1" operator="equal">
      <formula>"Fail"</formula>
    </cfRule>
  </conditionalFormatting>
  <conditionalFormatting sqref="I755:L755">
    <cfRule type="cellIs" dxfId="15040" priority="14969" stopIfTrue="1" operator="equal">
      <formula>"Pass"</formula>
    </cfRule>
    <cfRule type="cellIs" dxfId="15039" priority="14970" stopIfTrue="1" operator="equal">
      <formula>"Fail"</formula>
    </cfRule>
  </conditionalFormatting>
  <conditionalFormatting sqref="I755:L755">
    <cfRule type="cellIs" dxfId="15038" priority="14967" stopIfTrue="1" operator="equal">
      <formula>"Pass"</formula>
    </cfRule>
    <cfRule type="cellIs" dxfId="15037" priority="14968" stopIfTrue="1" operator="equal">
      <formula>"Fail"</formula>
    </cfRule>
  </conditionalFormatting>
  <conditionalFormatting sqref="I755:L755">
    <cfRule type="cellIs" dxfId="15036" priority="14965" stopIfTrue="1" operator="equal">
      <formula>"Pass"</formula>
    </cfRule>
    <cfRule type="cellIs" dxfId="15035" priority="14966" stopIfTrue="1" operator="equal">
      <formula>"Fail"</formula>
    </cfRule>
  </conditionalFormatting>
  <conditionalFormatting sqref="H755:L755">
    <cfRule type="cellIs" dxfId="15034" priority="14963" stopIfTrue="1" operator="equal">
      <formula>"Pass"</formula>
    </cfRule>
    <cfRule type="cellIs" dxfId="15033" priority="14964" stopIfTrue="1" operator="equal">
      <formula>"Fail"</formula>
    </cfRule>
  </conditionalFormatting>
  <conditionalFormatting sqref="H755:L755">
    <cfRule type="cellIs" dxfId="15032" priority="14961" stopIfTrue="1" operator="equal">
      <formula>"Pass"</formula>
    </cfRule>
    <cfRule type="cellIs" dxfId="15031" priority="14962" stopIfTrue="1" operator="equal">
      <formula>"Fail"</formula>
    </cfRule>
  </conditionalFormatting>
  <conditionalFormatting sqref="I755:L755">
    <cfRule type="cellIs" dxfId="15030" priority="14959" stopIfTrue="1" operator="equal">
      <formula>"Pass"</formula>
    </cfRule>
    <cfRule type="cellIs" dxfId="15029" priority="14960" stopIfTrue="1" operator="equal">
      <formula>"Fail"</formula>
    </cfRule>
  </conditionalFormatting>
  <conditionalFormatting sqref="I755:L755">
    <cfRule type="cellIs" dxfId="15028" priority="14957" stopIfTrue="1" operator="equal">
      <formula>"Pass"</formula>
    </cfRule>
    <cfRule type="cellIs" dxfId="15027" priority="14958" stopIfTrue="1" operator="equal">
      <formula>"Fail"</formula>
    </cfRule>
  </conditionalFormatting>
  <conditionalFormatting sqref="I755:L755">
    <cfRule type="cellIs" dxfId="15026" priority="14955" stopIfTrue="1" operator="equal">
      <formula>"Pass"</formula>
    </cfRule>
    <cfRule type="cellIs" dxfId="15025" priority="14956" stopIfTrue="1" operator="equal">
      <formula>"Fail"</formula>
    </cfRule>
  </conditionalFormatting>
  <conditionalFormatting sqref="I755:L755">
    <cfRule type="cellIs" dxfId="15024" priority="14953" stopIfTrue="1" operator="equal">
      <formula>"Pass"</formula>
    </cfRule>
    <cfRule type="cellIs" dxfId="15023" priority="14954" stopIfTrue="1" operator="equal">
      <formula>"Fail"</formula>
    </cfRule>
  </conditionalFormatting>
  <conditionalFormatting sqref="H755:L755">
    <cfRule type="cellIs" dxfId="15022" priority="14951" stopIfTrue="1" operator="equal">
      <formula>"Pass"</formula>
    </cfRule>
    <cfRule type="cellIs" dxfId="15021" priority="14952" stopIfTrue="1" operator="equal">
      <formula>"Fail"</formula>
    </cfRule>
  </conditionalFormatting>
  <conditionalFormatting sqref="H755:L755">
    <cfRule type="cellIs" dxfId="15020" priority="14949" stopIfTrue="1" operator="equal">
      <formula>"Pass"</formula>
    </cfRule>
    <cfRule type="cellIs" dxfId="15019" priority="14950" stopIfTrue="1" operator="equal">
      <formula>"Fail"</formula>
    </cfRule>
  </conditionalFormatting>
  <conditionalFormatting sqref="I755:L755">
    <cfRule type="cellIs" dxfId="15018" priority="14947" stopIfTrue="1" operator="equal">
      <formula>"Pass"</formula>
    </cfRule>
    <cfRule type="cellIs" dxfId="15017" priority="14948" stopIfTrue="1" operator="equal">
      <formula>"Fail"</formula>
    </cfRule>
  </conditionalFormatting>
  <conditionalFormatting sqref="I755:L755">
    <cfRule type="cellIs" dxfId="15016" priority="14945" stopIfTrue="1" operator="equal">
      <formula>"Pass"</formula>
    </cfRule>
    <cfRule type="cellIs" dxfId="15015" priority="14946" stopIfTrue="1" operator="equal">
      <formula>"Fail"</formula>
    </cfRule>
  </conditionalFormatting>
  <conditionalFormatting sqref="I755:L755">
    <cfRule type="cellIs" dxfId="15014" priority="14943" stopIfTrue="1" operator="equal">
      <formula>"Pass"</formula>
    </cfRule>
    <cfRule type="cellIs" dxfId="15013" priority="14944" stopIfTrue="1" operator="equal">
      <formula>"Fail"</formula>
    </cfRule>
  </conditionalFormatting>
  <conditionalFormatting sqref="I755:L755">
    <cfRule type="cellIs" dxfId="15012" priority="14941" stopIfTrue="1" operator="equal">
      <formula>"Pass"</formula>
    </cfRule>
    <cfRule type="cellIs" dxfId="15011" priority="14942" stopIfTrue="1" operator="equal">
      <formula>"Fail"</formula>
    </cfRule>
  </conditionalFormatting>
  <conditionalFormatting sqref="G755">
    <cfRule type="cellIs" dxfId="15010" priority="14939" stopIfTrue="1" operator="equal">
      <formula>"Pass"</formula>
    </cfRule>
    <cfRule type="cellIs" dxfId="15009" priority="14940" stopIfTrue="1" operator="equal">
      <formula>"Fail"</formula>
    </cfRule>
  </conditionalFormatting>
  <conditionalFormatting sqref="G755">
    <cfRule type="cellIs" dxfId="15008" priority="14937" stopIfTrue="1" operator="equal">
      <formula>"Pass"</formula>
    </cfRule>
    <cfRule type="cellIs" dxfId="15007" priority="14938" stopIfTrue="1" operator="equal">
      <formula>"Fail"</formula>
    </cfRule>
  </conditionalFormatting>
  <conditionalFormatting sqref="G755">
    <cfRule type="cellIs" dxfId="15006" priority="14935" stopIfTrue="1" operator="equal">
      <formula>"Pass"</formula>
    </cfRule>
    <cfRule type="cellIs" dxfId="15005" priority="14936" stopIfTrue="1" operator="equal">
      <formula>"Fail"</formula>
    </cfRule>
  </conditionalFormatting>
  <conditionalFormatting sqref="G755">
    <cfRule type="cellIs" dxfId="15004" priority="14933" stopIfTrue="1" operator="equal">
      <formula>"Pass"</formula>
    </cfRule>
    <cfRule type="cellIs" dxfId="15003" priority="14934" stopIfTrue="1" operator="equal">
      <formula>"Fail"</formula>
    </cfRule>
  </conditionalFormatting>
  <conditionalFormatting sqref="G755">
    <cfRule type="cellIs" dxfId="15002" priority="14931" stopIfTrue="1" operator="equal">
      <formula>"Pass"</formula>
    </cfRule>
    <cfRule type="cellIs" dxfId="15001" priority="14932" stopIfTrue="1" operator="equal">
      <formula>"Fail"</formula>
    </cfRule>
  </conditionalFormatting>
  <conditionalFormatting sqref="G755">
    <cfRule type="cellIs" dxfId="15000" priority="14929" stopIfTrue="1" operator="equal">
      <formula>"Pass"</formula>
    </cfRule>
    <cfRule type="cellIs" dxfId="14999" priority="14930" stopIfTrue="1" operator="equal">
      <formula>"Fail"</formula>
    </cfRule>
  </conditionalFormatting>
  <conditionalFormatting sqref="G755:L755">
    <cfRule type="cellIs" dxfId="14998" priority="14927" stopIfTrue="1" operator="equal">
      <formula>"Pass"</formula>
    </cfRule>
    <cfRule type="cellIs" dxfId="14997" priority="14928" stopIfTrue="1" operator="equal">
      <formula>"Fail"</formula>
    </cfRule>
  </conditionalFormatting>
  <conditionalFormatting sqref="H755:L755">
    <cfRule type="cellIs" dxfId="14996" priority="14925" stopIfTrue="1" operator="equal">
      <formula>"Pass"</formula>
    </cfRule>
    <cfRule type="cellIs" dxfId="14995" priority="14926" stopIfTrue="1" operator="equal">
      <formula>"Fail"</formula>
    </cfRule>
  </conditionalFormatting>
  <conditionalFormatting sqref="H755:L755">
    <cfRule type="cellIs" dxfId="14994" priority="14923" stopIfTrue="1" operator="equal">
      <formula>"Pass"</formula>
    </cfRule>
    <cfRule type="cellIs" dxfId="14993" priority="14924" stopIfTrue="1" operator="equal">
      <formula>"Fail"</formula>
    </cfRule>
  </conditionalFormatting>
  <conditionalFormatting sqref="I755:L755">
    <cfRule type="cellIs" dxfId="14992" priority="14921" stopIfTrue="1" operator="equal">
      <formula>"Pass"</formula>
    </cfRule>
    <cfRule type="cellIs" dxfId="14991" priority="14922" stopIfTrue="1" operator="equal">
      <formula>"Fail"</formula>
    </cfRule>
  </conditionalFormatting>
  <conditionalFormatting sqref="I755:L755">
    <cfRule type="cellIs" dxfId="14990" priority="14919" stopIfTrue="1" operator="equal">
      <formula>"Pass"</formula>
    </cfRule>
    <cfRule type="cellIs" dxfId="14989" priority="14920" stopIfTrue="1" operator="equal">
      <formula>"Fail"</formula>
    </cfRule>
  </conditionalFormatting>
  <conditionalFormatting sqref="I755:L755">
    <cfRule type="cellIs" dxfId="14988" priority="14917" stopIfTrue="1" operator="equal">
      <formula>"Pass"</formula>
    </cfRule>
    <cfRule type="cellIs" dxfId="14987" priority="14918" stopIfTrue="1" operator="equal">
      <formula>"Fail"</formula>
    </cfRule>
  </conditionalFormatting>
  <conditionalFormatting sqref="I755:L755">
    <cfRule type="cellIs" dxfId="14986" priority="14915" stopIfTrue="1" operator="equal">
      <formula>"Pass"</formula>
    </cfRule>
    <cfRule type="cellIs" dxfId="14985" priority="14916" stopIfTrue="1" operator="equal">
      <formula>"Fail"</formula>
    </cfRule>
  </conditionalFormatting>
  <conditionalFormatting sqref="G755">
    <cfRule type="cellIs" dxfId="14984" priority="14913" stopIfTrue="1" operator="equal">
      <formula>"Pass"</formula>
    </cfRule>
    <cfRule type="cellIs" dxfId="14983" priority="14914" stopIfTrue="1" operator="equal">
      <formula>"Fail"</formula>
    </cfRule>
  </conditionalFormatting>
  <conditionalFormatting sqref="G755">
    <cfRule type="cellIs" dxfId="14982" priority="14911" stopIfTrue="1" operator="equal">
      <formula>"Pass"</formula>
    </cfRule>
    <cfRule type="cellIs" dxfId="14981" priority="14912" stopIfTrue="1" operator="equal">
      <formula>"Fail"</formula>
    </cfRule>
  </conditionalFormatting>
  <conditionalFormatting sqref="G755">
    <cfRule type="cellIs" dxfId="14980" priority="14909" stopIfTrue="1" operator="equal">
      <formula>"Pass"</formula>
    </cfRule>
    <cfRule type="cellIs" dxfId="14979" priority="14910" stopIfTrue="1" operator="equal">
      <formula>"Fail"</formula>
    </cfRule>
  </conditionalFormatting>
  <conditionalFormatting sqref="G755">
    <cfRule type="cellIs" dxfId="14978" priority="14907" stopIfTrue="1" operator="equal">
      <formula>"Pass"</formula>
    </cfRule>
    <cfRule type="cellIs" dxfId="14977" priority="14908" stopIfTrue="1" operator="equal">
      <formula>"Fail"</formula>
    </cfRule>
  </conditionalFormatting>
  <conditionalFormatting sqref="G755">
    <cfRule type="cellIs" dxfId="14976" priority="14905" stopIfTrue="1" operator="equal">
      <formula>"Pass"</formula>
    </cfRule>
    <cfRule type="cellIs" dxfId="14975" priority="14906" stopIfTrue="1" operator="equal">
      <formula>"Fail"</formula>
    </cfRule>
  </conditionalFormatting>
  <conditionalFormatting sqref="G755">
    <cfRule type="cellIs" dxfId="14974" priority="14903" stopIfTrue="1" operator="equal">
      <formula>"Pass"</formula>
    </cfRule>
    <cfRule type="cellIs" dxfId="14973" priority="14904" stopIfTrue="1" operator="equal">
      <formula>"Fail"</formula>
    </cfRule>
  </conditionalFormatting>
  <conditionalFormatting sqref="H755:L755">
    <cfRule type="cellIs" dxfId="14972" priority="14901" stopIfTrue="1" operator="equal">
      <formula>"Pass"</formula>
    </cfRule>
    <cfRule type="cellIs" dxfId="14971" priority="14902" stopIfTrue="1" operator="equal">
      <formula>"Fail"</formula>
    </cfRule>
  </conditionalFormatting>
  <conditionalFormatting sqref="H755:L755">
    <cfRule type="cellIs" dxfId="14970" priority="14899" stopIfTrue="1" operator="equal">
      <formula>"Pass"</formula>
    </cfRule>
    <cfRule type="cellIs" dxfId="14969" priority="14900" stopIfTrue="1" operator="equal">
      <formula>"Fail"</formula>
    </cfRule>
  </conditionalFormatting>
  <conditionalFormatting sqref="I755:L755">
    <cfRule type="cellIs" dxfId="14968" priority="14897" stopIfTrue="1" operator="equal">
      <formula>"Pass"</formula>
    </cfRule>
    <cfRule type="cellIs" dxfId="14967" priority="14898" stopIfTrue="1" operator="equal">
      <formula>"Fail"</formula>
    </cfRule>
  </conditionalFormatting>
  <conditionalFormatting sqref="I755:L755">
    <cfRule type="cellIs" dxfId="14966" priority="14895" stopIfTrue="1" operator="equal">
      <formula>"Pass"</formula>
    </cfRule>
    <cfRule type="cellIs" dxfId="14965" priority="14896" stopIfTrue="1" operator="equal">
      <formula>"Fail"</formula>
    </cfRule>
  </conditionalFormatting>
  <conditionalFormatting sqref="I755:L755">
    <cfRule type="cellIs" dxfId="14964" priority="14893" stopIfTrue="1" operator="equal">
      <formula>"Pass"</formula>
    </cfRule>
    <cfRule type="cellIs" dxfId="14963" priority="14894" stopIfTrue="1" operator="equal">
      <formula>"Fail"</formula>
    </cfRule>
  </conditionalFormatting>
  <conditionalFormatting sqref="I755:L755">
    <cfRule type="cellIs" dxfId="14962" priority="14891" stopIfTrue="1" operator="equal">
      <formula>"Pass"</formula>
    </cfRule>
    <cfRule type="cellIs" dxfId="14961" priority="14892" stopIfTrue="1" operator="equal">
      <formula>"Fail"</formula>
    </cfRule>
  </conditionalFormatting>
  <conditionalFormatting sqref="G755">
    <cfRule type="cellIs" dxfId="14960" priority="14889" stopIfTrue="1" operator="equal">
      <formula>"Pass"</formula>
    </cfRule>
    <cfRule type="cellIs" dxfId="14959" priority="14890" stopIfTrue="1" operator="equal">
      <formula>"Fail"</formula>
    </cfRule>
  </conditionalFormatting>
  <conditionalFormatting sqref="G755">
    <cfRule type="cellIs" dxfId="14958" priority="14887" stopIfTrue="1" operator="equal">
      <formula>"Pass"</formula>
    </cfRule>
    <cfRule type="cellIs" dxfId="14957" priority="14888" stopIfTrue="1" operator="equal">
      <formula>"Fail"</formula>
    </cfRule>
  </conditionalFormatting>
  <conditionalFormatting sqref="G755">
    <cfRule type="cellIs" dxfId="14956" priority="14885" stopIfTrue="1" operator="equal">
      <formula>"Pass"</formula>
    </cfRule>
    <cfRule type="cellIs" dxfId="14955" priority="14886" stopIfTrue="1" operator="equal">
      <formula>"Fail"</formula>
    </cfRule>
  </conditionalFormatting>
  <conditionalFormatting sqref="G755">
    <cfRule type="cellIs" dxfId="14954" priority="14883" stopIfTrue="1" operator="equal">
      <formula>"Pass"</formula>
    </cfRule>
    <cfRule type="cellIs" dxfId="14953" priority="14884" stopIfTrue="1" operator="equal">
      <formula>"Fail"</formula>
    </cfRule>
  </conditionalFormatting>
  <conditionalFormatting sqref="G755">
    <cfRule type="cellIs" dxfId="14952" priority="14881" stopIfTrue="1" operator="equal">
      <formula>"Pass"</formula>
    </cfRule>
    <cfRule type="cellIs" dxfId="14951" priority="14882" stopIfTrue="1" operator="equal">
      <formula>"Fail"</formula>
    </cfRule>
  </conditionalFormatting>
  <conditionalFormatting sqref="G755">
    <cfRule type="cellIs" dxfId="14950" priority="14879" stopIfTrue="1" operator="equal">
      <formula>"Pass"</formula>
    </cfRule>
    <cfRule type="cellIs" dxfId="14949" priority="14880" stopIfTrue="1" operator="equal">
      <formula>"Fail"</formula>
    </cfRule>
  </conditionalFormatting>
  <conditionalFormatting sqref="H755:L755">
    <cfRule type="cellIs" dxfId="14948" priority="14877" stopIfTrue="1" operator="equal">
      <formula>"Pass"</formula>
    </cfRule>
    <cfRule type="cellIs" dxfId="14947" priority="14878" stopIfTrue="1" operator="equal">
      <formula>"Fail"</formula>
    </cfRule>
  </conditionalFormatting>
  <conditionalFormatting sqref="H755:L755">
    <cfRule type="cellIs" dxfId="14946" priority="14875" stopIfTrue="1" operator="equal">
      <formula>"Pass"</formula>
    </cfRule>
    <cfRule type="cellIs" dxfId="14945" priority="14876" stopIfTrue="1" operator="equal">
      <formula>"Fail"</formula>
    </cfRule>
  </conditionalFormatting>
  <conditionalFormatting sqref="I755:L755">
    <cfRule type="cellIs" dxfId="14944" priority="14873" stopIfTrue="1" operator="equal">
      <formula>"Pass"</formula>
    </cfRule>
    <cfRule type="cellIs" dxfId="14943" priority="14874" stopIfTrue="1" operator="equal">
      <formula>"Fail"</formula>
    </cfRule>
  </conditionalFormatting>
  <conditionalFormatting sqref="I755:L755">
    <cfRule type="cellIs" dxfId="14942" priority="14871" stopIfTrue="1" operator="equal">
      <formula>"Pass"</formula>
    </cfRule>
    <cfRule type="cellIs" dxfId="14941" priority="14872" stopIfTrue="1" operator="equal">
      <formula>"Fail"</formula>
    </cfRule>
  </conditionalFormatting>
  <conditionalFormatting sqref="I755:L755">
    <cfRule type="cellIs" dxfId="14940" priority="14869" stopIfTrue="1" operator="equal">
      <formula>"Pass"</formula>
    </cfRule>
    <cfRule type="cellIs" dxfId="14939" priority="14870" stopIfTrue="1" operator="equal">
      <formula>"Fail"</formula>
    </cfRule>
  </conditionalFormatting>
  <conditionalFormatting sqref="I755:L755">
    <cfRule type="cellIs" dxfId="14938" priority="14867" stopIfTrue="1" operator="equal">
      <formula>"Pass"</formula>
    </cfRule>
    <cfRule type="cellIs" dxfId="14937" priority="14868" stopIfTrue="1" operator="equal">
      <formula>"Fail"</formula>
    </cfRule>
  </conditionalFormatting>
  <conditionalFormatting sqref="G755">
    <cfRule type="cellIs" dxfId="14936" priority="14865" stopIfTrue="1" operator="equal">
      <formula>"Pass"</formula>
    </cfRule>
    <cfRule type="cellIs" dxfId="14935" priority="14866" stopIfTrue="1" operator="equal">
      <formula>"Fail"</formula>
    </cfRule>
  </conditionalFormatting>
  <conditionalFormatting sqref="G755">
    <cfRule type="cellIs" dxfId="14934" priority="14863" stopIfTrue="1" operator="equal">
      <formula>"Pass"</formula>
    </cfRule>
    <cfRule type="cellIs" dxfId="14933" priority="14864" stopIfTrue="1" operator="equal">
      <formula>"Fail"</formula>
    </cfRule>
  </conditionalFormatting>
  <conditionalFormatting sqref="G755">
    <cfRule type="cellIs" dxfId="14932" priority="14861" stopIfTrue="1" operator="equal">
      <formula>"Pass"</formula>
    </cfRule>
    <cfRule type="cellIs" dxfId="14931" priority="14862" stopIfTrue="1" operator="equal">
      <formula>"Fail"</formula>
    </cfRule>
  </conditionalFormatting>
  <conditionalFormatting sqref="G755">
    <cfRule type="cellIs" dxfId="14930" priority="14859" stopIfTrue="1" operator="equal">
      <formula>"Pass"</formula>
    </cfRule>
    <cfRule type="cellIs" dxfId="14929" priority="14860" stopIfTrue="1" operator="equal">
      <formula>"Fail"</formula>
    </cfRule>
  </conditionalFormatting>
  <conditionalFormatting sqref="G755">
    <cfRule type="cellIs" dxfId="14928" priority="14857" stopIfTrue="1" operator="equal">
      <formula>"Pass"</formula>
    </cfRule>
    <cfRule type="cellIs" dxfId="14927" priority="14858" stopIfTrue="1" operator="equal">
      <formula>"Fail"</formula>
    </cfRule>
  </conditionalFormatting>
  <conditionalFormatting sqref="G755">
    <cfRule type="cellIs" dxfId="14926" priority="14855" stopIfTrue="1" operator="equal">
      <formula>"Pass"</formula>
    </cfRule>
    <cfRule type="cellIs" dxfId="14925" priority="14856" stopIfTrue="1" operator="equal">
      <formula>"Fail"</formula>
    </cfRule>
  </conditionalFormatting>
  <conditionalFormatting sqref="H755:L755">
    <cfRule type="cellIs" dxfId="14924" priority="14853" stopIfTrue="1" operator="equal">
      <formula>"Pass"</formula>
    </cfRule>
    <cfRule type="cellIs" dxfId="14923" priority="14854" stopIfTrue="1" operator="equal">
      <formula>"Fail"</formula>
    </cfRule>
  </conditionalFormatting>
  <conditionalFormatting sqref="H755:L755">
    <cfRule type="cellIs" dxfId="14922" priority="14851" stopIfTrue="1" operator="equal">
      <formula>"Pass"</formula>
    </cfRule>
    <cfRule type="cellIs" dxfId="14921" priority="14852" stopIfTrue="1" operator="equal">
      <formula>"Fail"</formula>
    </cfRule>
  </conditionalFormatting>
  <conditionalFormatting sqref="I755:L755">
    <cfRule type="cellIs" dxfId="14920" priority="14849" stopIfTrue="1" operator="equal">
      <formula>"Pass"</formula>
    </cfRule>
    <cfRule type="cellIs" dxfId="14919" priority="14850" stopIfTrue="1" operator="equal">
      <formula>"Fail"</formula>
    </cfRule>
  </conditionalFormatting>
  <conditionalFormatting sqref="I755:L755">
    <cfRule type="cellIs" dxfId="14918" priority="14847" stopIfTrue="1" operator="equal">
      <formula>"Pass"</formula>
    </cfRule>
    <cfRule type="cellIs" dxfId="14917" priority="14848" stopIfTrue="1" operator="equal">
      <formula>"Fail"</formula>
    </cfRule>
  </conditionalFormatting>
  <conditionalFormatting sqref="I755:L755">
    <cfRule type="cellIs" dxfId="14916" priority="14845" stopIfTrue="1" operator="equal">
      <formula>"Pass"</formula>
    </cfRule>
    <cfRule type="cellIs" dxfId="14915" priority="14846" stopIfTrue="1" operator="equal">
      <formula>"Fail"</formula>
    </cfRule>
  </conditionalFormatting>
  <conditionalFormatting sqref="I755:L755">
    <cfRule type="cellIs" dxfId="14914" priority="14843" stopIfTrue="1" operator="equal">
      <formula>"Pass"</formula>
    </cfRule>
    <cfRule type="cellIs" dxfId="14913" priority="14844" stopIfTrue="1" operator="equal">
      <formula>"Fail"</formula>
    </cfRule>
  </conditionalFormatting>
  <conditionalFormatting sqref="G755">
    <cfRule type="cellIs" dxfId="14912" priority="14841" stopIfTrue="1" operator="equal">
      <formula>"Pass"</formula>
    </cfRule>
    <cfRule type="cellIs" dxfId="14911" priority="14842" stopIfTrue="1" operator="equal">
      <formula>"Fail"</formula>
    </cfRule>
  </conditionalFormatting>
  <conditionalFormatting sqref="G755">
    <cfRule type="cellIs" dxfId="14910" priority="14839" stopIfTrue="1" operator="equal">
      <formula>"Pass"</formula>
    </cfRule>
    <cfRule type="cellIs" dxfId="14909" priority="14840" stopIfTrue="1" operator="equal">
      <formula>"Fail"</formula>
    </cfRule>
  </conditionalFormatting>
  <conditionalFormatting sqref="G755">
    <cfRule type="cellIs" dxfId="14908" priority="14837" stopIfTrue="1" operator="equal">
      <formula>"Pass"</formula>
    </cfRule>
    <cfRule type="cellIs" dxfId="14907" priority="14838" stopIfTrue="1" operator="equal">
      <formula>"Fail"</formula>
    </cfRule>
  </conditionalFormatting>
  <conditionalFormatting sqref="G755">
    <cfRule type="cellIs" dxfId="14906" priority="14835" stopIfTrue="1" operator="equal">
      <formula>"Pass"</formula>
    </cfRule>
    <cfRule type="cellIs" dxfId="14905" priority="14836" stopIfTrue="1" operator="equal">
      <formula>"Fail"</formula>
    </cfRule>
  </conditionalFormatting>
  <conditionalFormatting sqref="G755">
    <cfRule type="cellIs" dxfId="14904" priority="14833" stopIfTrue="1" operator="equal">
      <formula>"Pass"</formula>
    </cfRule>
    <cfRule type="cellIs" dxfId="14903" priority="14834" stopIfTrue="1" operator="equal">
      <formula>"Fail"</formula>
    </cfRule>
  </conditionalFormatting>
  <conditionalFormatting sqref="G755">
    <cfRule type="cellIs" dxfId="14902" priority="14831" stopIfTrue="1" operator="equal">
      <formula>"Pass"</formula>
    </cfRule>
    <cfRule type="cellIs" dxfId="14901" priority="14832" stopIfTrue="1" operator="equal">
      <formula>"Fail"</formula>
    </cfRule>
  </conditionalFormatting>
  <conditionalFormatting sqref="H755:L755">
    <cfRule type="cellIs" dxfId="14900" priority="14829" stopIfTrue="1" operator="equal">
      <formula>"Pass"</formula>
    </cfRule>
    <cfRule type="cellIs" dxfId="14899" priority="14830" stopIfTrue="1" operator="equal">
      <formula>"Fail"</formula>
    </cfRule>
  </conditionalFormatting>
  <conditionalFormatting sqref="H755:L755">
    <cfRule type="cellIs" dxfId="14898" priority="14827" stopIfTrue="1" operator="equal">
      <formula>"Pass"</formula>
    </cfRule>
    <cfRule type="cellIs" dxfId="14897" priority="14828" stopIfTrue="1" operator="equal">
      <formula>"Fail"</formula>
    </cfRule>
  </conditionalFormatting>
  <conditionalFormatting sqref="I755:L755">
    <cfRule type="cellIs" dxfId="14896" priority="14825" stopIfTrue="1" operator="equal">
      <formula>"Pass"</formula>
    </cfRule>
    <cfRule type="cellIs" dxfId="14895" priority="14826" stopIfTrue="1" operator="equal">
      <formula>"Fail"</formula>
    </cfRule>
  </conditionalFormatting>
  <conditionalFormatting sqref="I755:L755">
    <cfRule type="cellIs" dxfId="14894" priority="14823" stopIfTrue="1" operator="equal">
      <formula>"Pass"</formula>
    </cfRule>
    <cfRule type="cellIs" dxfId="14893" priority="14824" stopIfTrue="1" operator="equal">
      <formula>"Fail"</formula>
    </cfRule>
  </conditionalFormatting>
  <conditionalFormatting sqref="I755:L755">
    <cfRule type="cellIs" dxfId="14892" priority="14821" stopIfTrue="1" operator="equal">
      <formula>"Pass"</formula>
    </cfRule>
    <cfRule type="cellIs" dxfId="14891" priority="14822" stopIfTrue="1" operator="equal">
      <formula>"Fail"</formula>
    </cfRule>
  </conditionalFormatting>
  <conditionalFormatting sqref="I755:L755">
    <cfRule type="cellIs" dxfId="14890" priority="14819" stopIfTrue="1" operator="equal">
      <formula>"Pass"</formula>
    </cfRule>
    <cfRule type="cellIs" dxfId="14889" priority="14820" stopIfTrue="1" operator="equal">
      <formula>"Fail"</formula>
    </cfRule>
  </conditionalFormatting>
  <conditionalFormatting sqref="G755">
    <cfRule type="cellIs" dxfId="14888" priority="14817" stopIfTrue="1" operator="equal">
      <formula>"Pass"</formula>
    </cfRule>
    <cfRule type="cellIs" dxfId="14887" priority="14818" stopIfTrue="1" operator="equal">
      <formula>"Fail"</formula>
    </cfRule>
  </conditionalFormatting>
  <conditionalFormatting sqref="G755">
    <cfRule type="cellIs" dxfId="14886" priority="14815" stopIfTrue="1" operator="equal">
      <formula>"Pass"</formula>
    </cfRule>
    <cfRule type="cellIs" dxfId="14885" priority="14816" stopIfTrue="1" operator="equal">
      <formula>"Fail"</formula>
    </cfRule>
  </conditionalFormatting>
  <conditionalFormatting sqref="G755">
    <cfRule type="cellIs" dxfId="14884" priority="14813" stopIfTrue="1" operator="equal">
      <formula>"Pass"</formula>
    </cfRule>
    <cfRule type="cellIs" dxfId="14883" priority="14814" stopIfTrue="1" operator="equal">
      <formula>"Fail"</formula>
    </cfRule>
  </conditionalFormatting>
  <conditionalFormatting sqref="G755">
    <cfRule type="cellIs" dxfId="14882" priority="14811" stopIfTrue="1" operator="equal">
      <formula>"Pass"</formula>
    </cfRule>
    <cfRule type="cellIs" dxfId="14881" priority="14812" stopIfTrue="1" operator="equal">
      <formula>"Fail"</formula>
    </cfRule>
  </conditionalFormatting>
  <conditionalFormatting sqref="G755">
    <cfRule type="cellIs" dxfId="14880" priority="14809" stopIfTrue="1" operator="equal">
      <formula>"Pass"</formula>
    </cfRule>
    <cfRule type="cellIs" dxfId="14879" priority="14810" stopIfTrue="1" operator="equal">
      <formula>"Fail"</formula>
    </cfRule>
  </conditionalFormatting>
  <conditionalFormatting sqref="G755">
    <cfRule type="cellIs" dxfId="14878" priority="14807" stopIfTrue="1" operator="equal">
      <formula>"Pass"</formula>
    </cfRule>
    <cfRule type="cellIs" dxfId="14877" priority="14808" stopIfTrue="1" operator="equal">
      <formula>"Fail"</formula>
    </cfRule>
  </conditionalFormatting>
  <conditionalFormatting sqref="H755:L755">
    <cfRule type="cellIs" dxfId="14876" priority="14805" stopIfTrue="1" operator="equal">
      <formula>"Pass"</formula>
    </cfRule>
    <cfRule type="cellIs" dxfId="14875" priority="14806" stopIfTrue="1" operator="equal">
      <formula>"Fail"</formula>
    </cfRule>
  </conditionalFormatting>
  <conditionalFormatting sqref="H755:L755">
    <cfRule type="cellIs" dxfId="14874" priority="14803" stopIfTrue="1" operator="equal">
      <formula>"Pass"</formula>
    </cfRule>
    <cfRule type="cellIs" dxfId="14873" priority="14804" stopIfTrue="1" operator="equal">
      <formula>"Fail"</formula>
    </cfRule>
  </conditionalFormatting>
  <conditionalFormatting sqref="I755:L755">
    <cfRule type="cellIs" dxfId="14872" priority="14801" stopIfTrue="1" operator="equal">
      <formula>"Pass"</formula>
    </cfRule>
    <cfRule type="cellIs" dxfId="14871" priority="14802" stopIfTrue="1" operator="equal">
      <formula>"Fail"</formula>
    </cfRule>
  </conditionalFormatting>
  <conditionalFormatting sqref="I755:L755">
    <cfRule type="cellIs" dxfId="14870" priority="14799" stopIfTrue="1" operator="equal">
      <formula>"Pass"</formula>
    </cfRule>
    <cfRule type="cellIs" dxfId="14869" priority="14800" stopIfTrue="1" operator="equal">
      <formula>"Fail"</formula>
    </cfRule>
  </conditionalFormatting>
  <conditionalFormatting sqref="I755:L755">
    <cfRule type="cellIs" dxfId="14868" priority="14797" stopIfTrue="1" operator="equal">
      <formula>"Pass"</formula>
    </cfRule>
    <cfRule type="cellIs" dxfId="14867" priority="14798" stopIfTrue="1" operator="equal">
      <formula>"Fail"</formula>
    </cfRule>
  </conditionalFormatting>
  <conditionalFormatting sqref="I755:L755">
    <cfRule type="cellIs" dxfId="14866" priority="14795" stopIfTrue="1" operator="equal">
      <formula>"Pass"</formula>
    </cfRule>
    <cfRule type="cellIs" dxfId="14865" priority="14796" stopIfTrue="1" operator="equal">
      <formula>"Fail"</formula>
    </cfRule>
  </conditionalFormatting>
  <conditionalFormatting sqref="G755">
    <cfRule type="cellIs" dxfId="14864" priority="14793" stopIfTrue="1" operator="equal">
      <formula>"Pass"</formula>
    </cfRule>
    <cfRule type="cellIs" dxfId="14863" priority="14794" stopIfTrue="1" operator="equal">
      <formula>"Fail"</formula>
    </cfRule>
  </conditionalFormatting>
  <conditionalFormatting sqref="G755">
    <cfRule type="cellIs" dxfId="14862" priority="14791" stopIfTrue="1" operator="equal">
      <formula>"Pass"</formula>
    </cfRule>
    <cfRule type="cellIs" dxfId="14861" priority="14792" stopIfTrue="1" operator="equal">
      <formula>"Fail"</formula>
    </cfRule>
  </conditionalFormatting>
  <conditionalFormatting sqref="G755">
    <cfRule type="cellIs" dxfId="14860" priority="14789" stopIfTrue="1" operator="equal">
      <formula>"Pass"</formula>
    </cfRule>
    <cfRule type="cellIs" dxfId="14859" priority="14790" stopIfTrue="1" operator="equal">
      <formula>"Fail"</formula>
    </cfRule>
  </conditionalFormatting>
  <conditionalFormatting sqref="G755">
    <cfRule type="cellIs" dxfId="14858" priority="14787" stopIfTrue="1" operator="equal">
      <formula>"Pass"</formula>
    </cfRule>
    <cfRule type="cellIs" dxfId="14857" priority="14788" stopIfTrue="1" operator="equal">
      <formula>"Fail"</formula>
    </cfRule>
  </conditionalFormatting>
  <conditionalFormatting sqref="G755">
    <cfRule type="cellIs" dxfId="14856" priority="14785" stopIfTrue="1" operator="equal">
      <formula>"Pass"</formula>
    </cfRule>
    <cfRule type="cellIs" dxfId="14855" priority="14786" stopIfTrue="1" operator="equal">
      <formula>"Fail"</formula>
    </cfRule>
  </conditionalFormatting>
  <conditionalFormatting sqref="G755">
    <cfRule type="cellIs" dxfId="14854" priority="14783" stopIfTrue="1" operator="equal">
      <formula>"Pass"</formula>
    </cfRule>
    <cfRule type="cellIs" dxfId="14853" priority="14784" stopIfTrue="1" operator="equal">
      <formula>"Fail"</formula>
    </cfRule>
  </conditionalFormatting>
  <conditionalFormatting sqref="H755:L755">
    <cfRule type="cellIs" dxfId="14852" priority="14781" stopIfTrue="1" operator="equal">
      <formula>"Pass"</formula>
    </cfRule>
    <cfRule type="cellIs" dxfId="14851" priority="14782" stopIfTrue="1" operator="equal">
      <formula>"Fail"</formula>
    </cfRule>
  </conditionalFormatting>
  <conditionalFormatting sqref="H755:L755">
    <cfRule type="cellIs" dxfId="14850" priority="14779" stopIfTrue="1" operator="equal">
      <formula>"Pass"</formula>
    </cfRule>
    <cfRule type="cellIs" dxfId="14849" priority="14780" stopIfTrue="1" operator="equal">
      <formula>"Fail"</formula>
    </cfRule>
  </conditionalFormatting>
  <conditionalFormatting sqref="I755:L755">
    <cfRule type="cellIs" dxfId="14848" priority="14777" stopIfTrue="1" operator="equal">
      <formula>"Pass"</formula>
    </cfRule>
    <cfRule type="cellIs" dxfId="14847" priority="14778" stopIfTrue="1" operator="equal">
      <formula>"Fail"</formula>
    </cfRule>
  </conditionalFormatting>
  <conditionalFormatting sqref="I755:L755">
    <cfRule type="cellIs" dxfId="14846" priority="14775" stopIfTrue="1" operator="equal">
      <formula>"Pass"</formula>
    </cfRule>
    <cfRule type="cellIs" dxfId="14845" priority="14776" stopIfTrue="1" operator="equal">
      <formula>"Fail"</formula>
    </cfRule>
  </conditionalFormatting>
  <conditionalFormatting sqref="I755:L755">
    <cfRule type="cellIs" dxfId="14844" priority="14773" stopIfTrue="1" operator="equal">
      <formula>"Pass"</formula>
    </cfRule>
    <cfRule type="cellIs" dxfId="14843" priority="14774" stopIfTrue="1" operator="equal">
      <formula>"Fail"</formula>
    </cfRule>
  </conditionalFormatting>
  <conditionalFormatting sqref="I755:L755">
    <cfRule type="cellIs" dxfId="14842" priority="14771" stopIfTrue="1" operator="equal">
      <formula>"Pass"</formula>
    </cfRule>
    <cfRule type="cellIs" dxfId="14841" priority="14772" stopIfTrue="1" operator="equal">
      <formula>"Fail"</formula>
    </cfRule>
  </conditionalFormatting>
  <conditionalFormatting sqref="G755">
    <cfRule type="cellIs" dxfId="14840" priority="14769" stopIfTrue="1" operator="equal">
      <formula>"Pass"</formula>
    </cfRule>
    <cfRule type="cellIs" dxfId="14839" priority="14770" stopIfTrue="1" operator="equal">
      <formula>"Fail"</formula>
    </cfRule>
  </conditionalFormatting>
  <conditionalFormatting sqref="G755">
    <cfRule type="cellIs" dxfId="14838" priority="14767" stopIfTrue="1" operator="equal">
      <formula>"Pass"</formula>
    </cfRule>
    <cfRule type="cellIs" dxfId="14837" priority="14768" stopIfTrue="1" operator="equal">
      <formula>"Fail"</formula>
    </cfRule>
  </conditionalFormatting>
  <conditionalFormatting sqref="G755">
    <cfRule type="cellIs" dxfId="14836" priority="14765" stopIfTrue="1" operator="equal">
      <formula>"Pass"</formula>
    </cfRule>
    <cfRule type="cellIs" dxfId="14835" priority="14766" stopIfTrue="1" operator="equal">
      <formula>"Fail"</formula>
    </cfRule>
  </conditionalFormatting>
  <conditionalFormatting sqref="G755">
    <cfRule type="cellIs" dxfId="14834" priority="14763" stopIfTrue="1" operator="equal">
      <formula>"Pass"</formula>
    </cfRule>
    <cfRule type="cellIs" dxfId="14833" priority="14764" stopIfTrue="1" operator="equal">
      <formula>"Fail"</formula>
    </cfRule>
  </conditionalFormatting>
  <conditionalFormatting sqref="G755">
    <cfRule type="cellIs" dxfId="14832" priority="14761" stopIfTrue="1" operator="equal">
      <formula>"Pass"</formula>
    </cfRule>
    <cfRule type="cellIs" dxfId="14831" priority="14762" stopIfTrue="1" operator="equal">
      <formula>"Fail"</formula>
    </cfRule>
  </conditionalFormatting>
  <conditionalFormatting sqref="G755">
    <cfRule type="cellIs" dxfId="14830" priority="14759" stopIfTrue="1" operator="equal">
      <formula>"Pass"</formula>
    </cfRule>
    <cfRule type="cellIs" dxfId="14829" priority="14760" stopIfTrue="1" operator="equal">
      <formula>"Fail"</formula>
    </cfRule>
  </conditionalFormatting>
  <conditionalFormatting sqref="H755:L755">
    <cfRule type="cellIs" dxfId="14828" priority="14757" stopIfTrue="1" operator="equal">
      <formula>"Pass"</formula>
    </cfRule>
    <cfRule type="cellIs" dxfId="14827" priority="14758" stopIfTrue="1" operator="equal">
      <formula>"Fail"</formula>
    </cfRule>
  </conditionalFormatting>
  <conditionalFormatting sqref="H755:L755">
    <cfRule type="cellIs" dxfId="14826" priority="14755" stopIfTrue="1" operator="equal">
      <formula>"Pass"</formula>
    </cfRule>
    <cfRule type="cellIs" dxfId="14825" priority="14756" stopIfTrue="1" operator="equal">
      <formula>"Fail"</formula>
    </cfRule>
  </conditionalFormatting>
  <conditionalFormatting sqref="I755:L755">
    <cfRule type="cellIs" dxfId="14824" priority="14753" stopIfTrue="1" operator="equal">
      <formula>"Pass"</formula>
    </cfRule>
    <cfRule type="cellIs" dxfId="14823" priority="14754" stopIfTrue="1" operator="equal">
      <formula>"Fail"</formula>
    </cfRule>
  </conditionalFormatting>
  <conditionalFormatting sqref="I755:L755">
    <cfRule type="cellIs" dxfId="14822" priority="14751" stopIfTrue="1" operator="equal">
      <formula>"Pass"</formula>
    </cfRule>
    <cfRule type="cellIs" dxfId="14821" priority="14752" stopIfTrue="1" operator="equal">
      <formula>"Fail"</formula>
    </cfRule>
  </conditionalFormatting>
  <conditionalFormatting sqref="I755:L755">
    <cfRule type="cellIs" dxfId="14820" priority="14749" stopIfTrue="1" operator="equal">
      <formula>"Pass"</formula>
    </cfRule>
    <cfRule type="cellIs" dxfId="14819" priority="14750" stopIfTrue="1" operator="equal">
      <formula>"Fail"</formula>
    </cfRule>
  </conditionalFormatting>
  <conditionalFormatting sqref="I755:L755">
    <cfRule type="cellIs" dxfId="14818" priority="14747" stopIfTrue="1" operator="equal">
      <formula>"Pass"</formula>
    </cfRule>
    <cfRule type="cellIs" dxfId="14817" priority="14748" stopIfTrue="1" operator="equal">
      <formula>"Fail"</formula>
    </cfRule>
  </conditionalFormatting>
  <conditionalFormatting sqref="G755">
    <cfRule type="cellIs" dxfId="14816" priority="14745" stopIfTrue="1" operator="equal">
      <formula>"Pass"</formula>
    </cfRule>
    <cfRule type="cellIs" dxfId="14815" priority="14746" stopIfTrue="1" operator="equal">
      <formula>"Fail"</formula>
    </cfRule>
  </conditionalFormatting>
  <conditionalFormatting sqref="G755">
    <cfRule type="cellIs" dxfId="14814" priority="14743" stopIfTrue="1" operator="equal">
      <formula>"Pass"</formula>
    </cfRule>
    <cfRule type="cellIs" dxfId="14813" priority="14744" stopIfTrue="1" operator="equal">
      <formula>"Fail"</formula>
    </cfRule>
  </conditionalFormatting>
  <conditionalFormatting sqref="G755">
    <cfRule type="cellIs" dxfId="14812" priority="14741" stopIfTrue="1" operator="equal">
      <formula>"Pass"</formula>
    </cfRule>
    <cfRule type="cellIs" dxfId="14811" priority="14742" stopIfTrue="1" operator="equal">
      <formula>"Fail"</formula>
    </cfRule>
  </conditionalFormatting>
  <conditionalFormatting sqref="G755">
    <cfRule type="cellIs" dxfId="14810" priority="14739" stopIfTrue="1" operator="equal">
      <formula>"Pass"</formula>
    </cfRule>
    <cfRule type="cellIs" dxfId="14809" priority="14740" stopIfTrue="1" operator="equal">
      <formula>"Fail"</formula>
    </cfRule>
  </conditionalFormatting>
  <conditionalFormatting sqref="G755">
    <cfRule type="cellIs" dxfId="14808" priority="14737" stopIfTrue="1" operator="equal">
      <formula>"Pass"</formula>
    </cfRule>
    <cfRule type="cellIs" dxfId="14807" priority="14738" stopIfTrue="1" operator="equal">
      <formula>"Fail"</formula>
    </cfRule>
  </conditionalFormatting>
  <conditionalFormatting sqref="G755">
    <cfRule type="cellIs" dxfId="14806" priority="14735" stopIfTrue="1" operator="equal">
      <formula>"Pass"</formula>
    </cfRule>
    <cfRule type="cellIs" dxfId="14805" priority="14736" stopIfTrue="1" operator="equal">
      <formula>"Fail"</formula>
    </cfRule>
  </conditionalFormatting>
  <conditionalFormatting sqref="H755:L755">
    <cfRule type="cellIs" dxfId="14804" priority="14733" stopIfTrue="1" operator="equal">
      <formula>"Pass"</formula>
    </cfRule>
    <cfRule type="cellIs" dxfId="14803" priority="14734" stopIfTrue="1" operator="equal">
      <formula>"Fail"</formula>
    </cfRule>
  </conditionalFormatting>
  <conditionalFormatting sqref="H755:L755">
    <cfRule type="cellIs" dxfId="14802" priority="14731" stopIfTrue="1" operator="equal">
      <formula>"Pass"</formula>
    </cfRule>
    <cfRule type="cellIs" dxfId="14801" priority="14732" stopIfTrue="1" operator="equal">
      <formula>"Fail"</formula>
    </cfRule>
  </conditionalFormatting>
  <conditionalFormatting sqref="I755:L755">
    <cfRule type="cellIs" dxfId="14800" priority="14729" stopIfTrue="1" operator="equal">
      <formula>"Pass"</formula>
    </cfRule>
    <cfRule type="cellIs" dxfId="14799" priority="14730" stopIfTrue="1" operator="equal">
      <formula>"Fail"</formula>
    </cfRule>
  </conditionalFormatting>
  <conditionalFormatting sqref="I755:L755">
    <cfRule type="cellIs" dxfId="14798" priority="14727" stopIfTrue="1" operator="equal">
      <formula>"Pass"</formula>
    </cfRule>
    <cfRule type="cellIs" dxfId="14797" priority="14728" stopIfTrue="1" operator="equal">
      <formula>"Fail"</formula>
    </cfRule>
  </conditionalFormatting>
  <conditionalFormatting sqref="I755:L755">
    <cfRule type="cellIs" dxfId="14796" priority="14725" stopIfTrue="1" operator="equal">
      <formula>"Pass"</formula>
    </cfRule>
    <cfRule type="cellIs" dxfId="14795" priority="14726" stopIfTrue="1" operator="equal">
      <formula>"Fail"</formula>
    </cfRule>
  </conditionalFormatting>
  <conditionalFormatting sqref="I755:L755">
    <cfRule type="cellIs" dxfId="14794" priority="14723" stopIfTrue="1" operator="equal">
      <formula>"Pass"</formula>
    </cfRule>
    <cfRule type="cellIs" dxfId="14793" priority="14724" stopIfTrue="1" operator="equal">
      <formula>"Fail"</formula>
    </cfRule>
  </conditionalFormatting>
  <conditionalFormatting sqref="G755">
    <cfRule type="cellIs" dxfId="14792" priority="14721" stopIfTrue="1" operator="equal">
      <formula>"Pass"</formula>
    </cfRule>
    <cfRule type="cellIs" dxfId="14791" priority="14722" stopIfTrue="1" operator="equal">
      <formula>"Fail"</formula>
    </cfRule>
  </conditionalFormatting>
  <conditionalFormatting sqref="G755">
    <cfRule type="cellIs" dxfId="14790" priority="14719" stopIfTrue="1" operator="equal">
      <formula>"Pass"</formula>
    </cfRule>
    <cfRule type="cellIs" dxfId="14789" priority="14720" stopIfTrue="1" operator="equal">
      <formula>"Fail"</formula>
    </cfRule>
  </conditionalFormatting>
  <conditionalFormatting sqref="G755">
    <cfRule type="cellIs" dxfId="14788" priority="14717" stopIfTrue="1" operator="equal">
      <formula>"Pass"</formula>
    </cfRule>
    <cfRule type="cellIs" dxfId="14787" priority="14718" stopIfTrue="1" operator="equal">
      <formula>"Fail"</formula>
    </cfRule>
  </conditionalFormatting>
  <conditionalFormatting sqref="G755">
    <cfRule type="cellIs" dxfId="14786" priority="14715" stopIfTrue="1" operator="equal">
      <formula>"Pass"</formula>
    </cfRule>
    <cfRule type="cellIs" dxfId="14785" priority="14716" stopIfTrue="1" operator="equal">
      <formula>"Fail"</formula>
    </cfRule>
  </conditionalFormatting>
  <conditionalFormatting sqref="G755">
    <cfRule type="cellIs" dxfId="14784" priority="14713" stopIfTrue="1" operator="equal">
      <formula>"Pass"</formula>
    </cfRule>
    <cfRule type="cellIs" dxfId="14783" priority="14714" stopIfTrue="1" operator="equal">
      <formula>"Fail"</formula>
    </cfRule>
  </conditionalFormatting>
  <conditionalFormatting sqref="G755">
    <cfRule type="cellIs" dxfId="14782" priority="14711" stopIfTrue="1" operator="equal">
      <formula>"Pass"</formula>
    </cfRule>
    <cfRule type="cellIs" dxfId="14781" priority="14712" stopIfTrue="1" operator="equal">
      <formula>"Fail"</formula>
    </cfRule>
  </conditionalFormatting>
  <conditionalFormatting sqref="H755:L755">
    <cfRule type="cellIs" dxfId="14780" priority="14709" stopIfTrue="1" operator="equal">
      <formula>"Pass"</formula>
    </cfRule>
    <cfRule type="cellIs" dxfId="14779" priority="14710" stopIfTrue="1" operator="equal">
      <formula>"Fail"</formula>
    </cfRule>
  </conditionalFormatting>
  <conditionalFormatting sqref="H755:L755">
    <cfRule type="cellIs" dxfId="14778" priority="14707" stopIfTrue="1" operator="equal">
      <formula>"Pass"</formula>
    </cfRule>
    <cfRule type="cellIs" dxfId="14777" priority="14708" stopIfTrue="1" operator="equal">
      <formula>"Fail"</formula>
    </cfRule>
  </conditionalFormatting>
  <conditionalFormatting sqref="I755:L755">
    <cfRule type="cellIs" dxfId="14776" priority="14705" stopIfTrue="1" operator="equal">
      <formula>"Pass"</formula>
    </cfRule>
    <cfRule type="cellIs" dxfId="14775" priority="14706" stopIfTrue="1" operator="equal">
      <formula>"Fail"</formula>
    </cfRule>
  </conditionalFormatting>
  <conditionalFormatting sqref="I755:L755">
    <cfRule type="cellIs" dxfId="14774" priority="14703" stopIfTrue="1" operator="equal">
      <formula>"Pass"</formula>
    </cfRule>
    <cfRule type="cellIs" dxfId="14773" priority="14704" stopIfTrue="1" operator="equal">
      <formula>"Fail"</formula>
    </cfRule>
  </conditionalFormatting>
  <conditionalFormatting sqref="I755:L755">
    <cfRule type="cellIs" dxfId="14772" priority="14701" stopIfTrue="1" operator="equal">
      <formula>"Pass"</formula>
    </cfRule>
    <cfRule type="cellIs" dxfId="14771" priority="14702" stopIfTrue="1" operator="equal">
      <formula>"Fail"</formula>
    </cfRule>
  </conditionalFormatting>
  <conditionalFormatting sqref="I755:L755">
    <cfRule type="cellIs" dxfId="14770" priority="14699" stopIfTrue="1" operator="equal">
      <formula>"Pass"</formula>
    </cfRule>
    <cfRule type="cellIs" dxfId="14769" priority="14700" stopIfTrue="1" operator="equal">
      <formula>"Fail"</formula>
    </cfRule>
  </conditionalFormatting>
  <conditionalFormatting sqref="G755">
    <cfRule type="cellIs" dxfId="14768" priority="14697" stopIfTrue="1" operator="equal">
      <formula>"Pass"</formula>
    </cfRule>
    <cfRule type="cellIs" dxfId="14767" priority="14698" stopIfTrue="1" operator="equal">
      <formula>"Fail"</formula>
    </cfRule>
  </conditionalFormatting>
  <conditionalFormatting sqref="G755">
    <cfRule type="cellIs" dxfId="14766" priority="14695" stopIfTrue="1" operator="equal">
      <formula>"Pass"</formula>
    </cfRule>
    <cfRule type="cellIs" dxfId="14765" priority="14696" stopIfTrue="1" operator="equal">
      <formula>"Fail"</formula>
    </cfRule>
  </conditionalFormatting>
  <conditionalFormatting sqref="G755">
    <cfRule type="cellIs" dxfId="14764" priority="14693" stopIfTrue="1" operator="equal">
      <formula>"Pass"</formula>
    </cfRule>
    <cfRule type="cellIs" dxfId="14763" priority="14694" stopIfTrue="1" operator="equal">
      <formula>"Fail"</formula>
    </cfRule>
  </conditionalFormatting>
  <conditionalFormatting sqref="G755">
    <cfRule type="cellIs" dxfId="14762" priority="14691" stopIfTrue="1" operator="equal">
      <formula>"Pass"</formula>
    </cfRule>
    <cfRule type="cellIs" dxfId="14761" priority="14692" stopIfTrue="1" operator="equal">
      <formula>"Fail"</formula>
    </cfRule>
  </conditionalFormatting>
  <conditionalFormatting sqref="G755">
    <cfRule type="cellIs" dxfId="14760" priority="14689" stopIfTrue="1" operator="equal">
      <formula>"Pass"</formula>
    </cfRule>
    <cfRule type="cellIs" dxfId="14759" priority="14690" stopIfTrue="1" operator="equal">
      <formula>"Fail"</formula>
    </cfRule>
  </conditionalFormatting>
  <conditionalFormatting sqref="G755">
    <cfRule type="cellIs" dxfId="14758" priority="14687" stopIfTrue="1" operator="equal">
      <formula>"Pass"</formula>
    </cfRule>
    <cfRule type="cellIs" dxfId="14757" priority="14688" stopIfTrue="1" operator="equal">
      <formula>"Fail"</formula>
    </cfRule>
  </conditionalFormatting>
  <conditionalFormatting sqref="H755:L755">
    <cfRule type="cellIs" dxfId="14756" priority="14685" stopIfTrue="1" operator="equal">
      <formula>"Pass"</formula>
    </cfRule>
    <cfRule type="cellIs" dxfId="14755" priority="14686" stopIfTrue="1" operator="equal">
      <formula>"Fail"</formula>
    </cfRule>
  </conditionalFormatting>
  <conditionalFormatting sqref="H755:L755">
    <cfRule type="cellIs" dxfId="14754" priority="14683" stopIfTrue="1" operator="equal">
      <formula>"Pass"</formula>
    </cfRule>
    <cfRule type="cellIs" dxfId="14753" priority="14684" stopIfTrue="1" operator="equal">
      <formula>"Fail"</formula>
    </cfRule>
  </conditionalFormatting>
  <conditionalFormatting sqref="I755:L755">
    <cfRule type="cellIs" dxfId="14752" priority="14681" stopIfTrue="1" operator="equal">
      <formula>"Pass"</formula>
    </cfRule>
    <cfRule type="cellIs" dxfId="14751" priority="14682" stopIfTrue="1" operator="equal">
      <formula>"Fail"</formula>
    </cfRule>
  </conditionalFormatting>
  <conditionalFormatting sqref="I755:L755">
    <cfRule type="cellIs" dxfId="14750" priority="14679" stopIfTrue="1" operator="equal">
      <formula>"Pass"</formula>
    </cfRule>
    <cfRule type="cellIs" dxfId="14749" priority="14680" stopIfTrue="1" operator="equal">
      <formula>"Fail"</formula>
    </cfRule>
  </conditionalFormatting>
  <conditionalFormatting sqref="I755:L755">
    <cfRule type="cellIs" dxfId="14748" priority="14677" stopIfTrue="1" operator="equal">
      <formula>"Pass"</formula>
    </cfRule>
    <cfRule type="cellIs" dxfId="14747" priority="14678" stopIfTrue="1" operator="equal">
      <formula>"Fail"</formula>
    </cfRule>
  </conditionalFormatting>
  <conditionalFormatting sqref="I755:L755">
    <cfRule type="cellIs" dxfId="14746" priority="14675" stopIfTrue="1" operator="equal">
      <formula>"Pass"</formula>
    </cfRule>
    <cfRule type="cellIs" dxfId="14745" priority="14676" stopIfTrue="1" operator="equal">
      <formula>"Fail"</formula>
    </cfRule>
  </conditionalFormatting>
  <conditionalFormatting sqref="G755">
    <cfRule type="cellIs" dxfId="14744" priority="14673" stopIfTrue="1" operator="equal">
      <formula>"Pass"</formula>
    </cfRule>
    <cfRule type="cellIs" dxfId="14743" priority="14674" stopIfTrue="1" operator="equal">
      <formula>"Fail"</formula>
    </cfRule>
  </conditionalFormatting>
  <conditionalFormatting sqref="G755">
    <cfRule type="cellIs" dxfId="14742" priority="14671" stopIfTrue="1" operator="equal">
      <formula>"Pass"</formula>
    </cfRule>
    <cfRule type="cellIs" dxfId="14741" priority="14672" stopIfTrue="1" operator="equal">
      <formula>"Fail"</formula>
    </cfRule>
  </conditionalFormatting>
  <conditionalFormatting sqref="G755">
    <cfRule type="cellIs" dxfId="14740" priority="14669" stopIfTrue="1" operator="equal">
      <formula>"Pass"</formula>
    </cfRule>
    <cfRule type="cellIs" dxfId="14739" priority="14670" stopIfTrue="1" operator="equal">
      <formula>"Fail"</formula>
    </cfRule>
  </conditionalFormatting>
  <conditionalFormatting sqref="G755">
    <cfRule type="cellIs" dxfId="14738" priority="14667" stopIfTrue="1" operator="equal">
      <formula>"Pass"</formula>
    </cfRule>
    <cfRule type="cellIs" dxfId="14737" priority="14668" stopIfTrue="1" operator="equal">
      <formula>"Fail"</formula>
    </cfRule>
  </conditionalFormatting>
  <conditionalFormatting sqref="G755">
    <cfRule type="cellIs" dxfId="14736" priority="14665" stopIfTrue="1" operator="equal">
      <formula>"Pass"</formula>
    </cfRule>
    <cfRule type="cellIs" dxfId="14735" priority="14666" stopIfTrue="1" operator="equal">
      <formula>"Fail"</formula>
    </cfRule>
  </conditionalFormatting>
  <conditionalFormatting sqref="G755">
    <cfRule type="cellIs" dxfId="14734" priority="14663" stopIfTrue="1" operator="equal">
      <formula>"Pass"</formula>
    </cfRule>
    <cfRule type="cellIs" dxfId="14733" priority="14664" stopIfTrue="1" operator="equal">
      <formula>"Fail"</formula>
    </cfRule>
  </conditionalFormatting>
  <conditionalFormatting sqref="H755:L755">
    <cfRule type="cellIs" dxfId="14732" priority="14661" stopIfTrue="1" operator="equal">
      <formula>"Pass"</formula>
    </cfRule>
    <cfRule type="cellIs" dxfId="14731" priority="14662" stopIfTrue="1" operator="equal">
      <formula>"Fail"</formula>
    </cfRule>
  </conditionalFormatting>
  <conditionalFormatting sqref="H755:L755">
    <cfRule type="cellIs" dxfId="14730" priority="14659" stopIfTrue="1" operator="equal">
      <formula>"Pass"</formula>
    </cfRule>
    <cfRule type="cellIs" dxfId="14729" priority="14660" stopIfTrue="1" operator="equal">
      <formula>"Fail"</formula>
    </cfRule>
  </conditionalFormatting>
  <conditionalFormatting sqref="I755:L755">
    <cfRule type="cellIs" dxfId="14728" priority="14657" stopIfTrue="1" operator="equal">
      <formula>"Pass"</formula>
    </cfRule>
    <cfRule type="cellIs" dxfId="14727" priority="14658" stopIfTrue="1" operator="equal">
      <formula>"Fail"</formula>
    </cfRule>
  </conditionalFormatting>
  <conditionalFormatting sqref="I755:L755">
    <cfRule type="cellIs" dxfId="14726" priority="14655" stopIfTrue="1" operator="equal">
      <formula>"Pass"</formula>
    </cfRule>
    <cfRule type="cellIs" dxfId="14725" priority="14656" stopIfTrue="1" operator="equal">
      <formula>"Fail"</formula>
    </cfRule>
  </conditionalFormatting>
  <conditionalFormatting sqref="I755:L755">
    <cfRule type="cellIs" dxfId="14724" priority="14653" stopIfTrue="1" operator="equal">
      <formula>"Pass"</formula>
    </cfRule>
    <cfRule type="cellIs" dxfId="14723" priority="14654" stopIfTrue="1" operator="equal">
      <formula>"Fail"</formula>
    </cfRule>
  </conditionalFormatting>
  <conditionalFormatting sqref="I755:L755">
    <cfRule type="cellIs" dxfId="14722" priority="14651" stopIfTrue="1" operator="equal">
      <formula>"Pass"</formula>
    </cfRule>
    <cfRule type="cellIs" dxfId="14721" priority="14652" stopIfTrue="1" operator="equal">
      <formula>"Fail"</formula>
    </cfRule>
  </conditionalFormatting>
  <conditionalFormatting sqref="G755">
    <cfRule type="cellIs" dxfId="14720" priority="14649" stopIfTrue="1" operator="equal">
      <formula>"Pass"</formula>
    </cfRule>
    <cfRule type="cellIs" dxfId="14719" priority="14650" stopIfTrue="1" operator="equal">
      <formula>"Fail"</formula>
    </cfRule>
  </conditionalFormatting>
  <conditionalFormatting sqref="G755">
    <cfRule type="cellIs" dxfId="14718" priority="14647" stopIfTrue="1" operator="equal">
      <formula>"Pass"</formula>
    </cfRule>
    <cfRule type="cellIs" dxfId="14717" priority="14648" stopIfTrue="1" operator="equal">
      <formula>"Fail"</formula>
    </cfRule>
  </conditionalFormatting>
  <conditionalFormatting sqref="G755">
    <cfRule type="cellIs" dxfId="14716" priority="14645" stopIfTrue="1" operator="equal">
      <formula>"Pass"</formula>
    </cfRule>
    <cfRule type="cellIs" dxfId="14715" priority="14646" stopIfTrue="1" operator="equal">
      <formula>"Fail"</formula>
    </cfRule>
  </conditionalFormatting>
  <conditionalFormatting sqref="G755">
    <cfRule type="cellIs" dxfId="14714" priority="14643" stopIfTrue="1" operator="equal">
      <formula>"Pass"</formula>
    </cfRule>
    <cfRule type="cellIs" dxfId="14713" priority="14644" stopIfTrue="1" operator="equal">
      <formula>"Fail"</formula>
    </cfRule>
  </conditionalFormatting>
  <conditionalFormatting sqref="G755">
    <cfRule type="cellIs" dxfId="14712" priority="14641" stopIfTrue="1" operator="equal">
      <formula>"Pass"</formula>
    </cfRule>
    <cfRule type="cellIs" dxfId="14711" priority="14642" stopIfTrue="1" operator="equal">
      <formula>"Fail"</formula>
    </cfRule>
  </conditionalFormatting>
  <conditionalFormatting sqref="G755">
    <cfRule type="cellIs" dxfId="14710" priority="14639" stopIfTrue="1" operator="equal">
      <formula>"Pass"</formula>
    </cfRule>
    <cfRule type="cellIs" dxfId="14709" priority="14640" stopIfTrue="1" operator="equal">
      <formula>"Fail"</formula>
    </cfRule>
  </conditionalFormatting>
  <conditionalFormatting sqref="H755:L755">
    <cfRule type="cellIs" dxfId="14708" priority="14637" stopIfTrue="1" operator="equal">
      <formula>"Pass"</formula>
    </cfRule>
    <cfRule type="cellIs" dxfId="14707" priority="14638" stopIfTrue="1" operator="equal">
      <formula>"Fail"</formula>
    </cfRule>
  </conditionalFormatting>
  <conditionalFormatting sqref="H755:L755">
    <cfRule type="cellIs" dxfId="14706" priority="14635" stopIfTrue="1" operator="equal">
      <formula>"Pass"</formula>
    </cfRule>
    <cfRule type="cellIs" dxfId="14705" priority="14636" stopIfTrue="1" operator="equal">
      <formula>"Fail"</formula>
    </cfRule>
  </conditionalFormatting>
  <conditionalFormatting sqref="I755:L755">
    <cfRule type="cellIs" dxfId="14704" priority="14633" stopIfTrue="1" operator="equal">
      <formula>"Pass"</formula>
    </cfRule>
    <cfRule type="cellIs" dxfId="14703" priority="14634" stopIfTrue="1" operator="equal">
      <formula>"Fail"</formula>
    </cfRule>
  </conditionalFormatting>
  <conditionalFormatting sqref="I755:L755">
    <cfRule type="cellIs" dxfId="14702" priority="14631" stopIfTrue="1" operator="equal">
      <formula>"Pass"</formula>
    </cfRule>
    <cfRule type="cellIs" dxfId="14701" priority="14632" stopIfTrue="1" operator="equal">
      <formula>"Fail"</formula>
    </cfRule>
  </conditionalFormatting>
  <conditionalFormatting sqref="I755:L755">
    <cfRule type="cellIs" dxfId="14700" priority="14629" stopIfTrue="1" operator="equal">
      <formula>"Pass"</formula>
    </cfRule>
    <cfRule type="cellIs" dxfId="14699" priority="14630" stopIfTrue="1" operator="equal">
      <formula>"Fail"</formula>
    </cfRule>
  </conditionalFormatting>
  <conditionalFormatting sqref="I755:L755">
    <cfRule type="cellIs" dxfId="14698" priority="14627" stopIfTrue="1" operator="equal">
      <formula>"Pass"</formula>
    </cfRule>
    <cfRule type="cellIs" dxfId="14697" priority="14628" stopIfTrue="1" operator="equal">
      <formula>"Fail"</formula>
    </cfRule>
  </conditionalFormatting>
  <conditionalFormatting sqref="G755">
    <cfRule type="cellIs" dxfId="14696" priority="14625" stopIfTrue="1" operator="equal">
      <formula>"Pass"</formula>
    </cfRule>
    <cfRule type="cellIs" dxfId="14695" priority="14626" stopIfTrue="1" operator="equal">
      <formula>"Fail"</formula>
    </cfRule>
  </conditionalFormatting>
  <conditionalFormatting sqref="G755">
    <cfRule type="cellIs" dxfId="14694" priority="14623" stopIfTrue="1" operator="equal">
      <formula>"Pass"</formula>
    </cfRule>
    <cfRule type="cellIs" dxfId="14693" priority="14624" stopIfTrue="1" operator="equal">
      <formula>"Fail"</formula>
    </cfRule>
  </conditionalFormatting>
  <conditionalFormatting sqref="G755">
    <cfRule type="cellIs" dxfId="14692" priority="14621" stopIfTrue="1" operator="equal">
      <formula>"Pass"</formula>
    </cfRule>
    <cfRule type="cellIs" dxfId="14691" priority="14622" stopIfTrue="1" operator="equal">
      <formula>"Fail"</formula>
    </cfRule>
  </conditionalFormatting>
  <conditionalFormatting sqref="G755">
    <cfRule type="cellIs" dxfId="14690" priority="14619" stopIfTrue="1" operator="equal">
      <formula>"Pass"</formula>
    </cfRule>
    <cfRule type="cellIs" dxfId="14689" priority="14620" stopIfTrue="1" operator="equal">
      <formula>"Fail"</formula>
    </cfRule>
  </conditionalFormatting>
  <conditionalFormatting sqref="G755">
    <cfRule type="cellIs" dxfId="14688" priority="14617" stopIfTrue="1" operator="equal">
      <formula>"Pass"</formula>
    </cfRule>
    <cfRule type="cellIs" dxfId="14687" priority="14618" stopIfTrue="1" operator="equal">
      <formula>"Fail"</formula>
    </cfRule>
  </conditionalFormatting>
  <conditionalFormatting sqref="G755">
    <cfRule type="cellIs" dxfId="14686" priority="14615" stopIfTrue="1" operator="equal">
      <formula>"Pass"</formula>
    </cfRule>
    <cfRule type="cellIs" dxfId="14685" priority="14616" stopIfTrue="1" operator="equal">
      <formula>"Fail"</formula>
    </cfRule>
  </conditionalFormatting>
  <conditionalFormatting sqref="H755:L755">
    <cfRule type="cellIs" dxfId="14684" priority="14613" stopIfTrue="1" operator="equal">
      <formula>"Pass"</formula>
    </cfRule>
    <cfRule type="cellIs" dxfId="14683" priority="14614" stopIfTrue="1" operator="equal">
      <formula>"Fail"</formula>
    </cfRule>
  </conditionalFormatting>
  <conditionalFormatting sqref="H755:L755">
    <cfRule type="cellIs" dxfId="14682" priority="14611" stopIfTrue="1" operator="equal">
      <formula>"Pass"</formula>
    </cfRule>
    <cfRule type="cellIs" dxfId="14681" priority="14612" stopIfTrue="1" operator="equal">
      <formula>"Fail"</formula>
    </cfRule>
  </conditionalFormatting>
  <conditionalFormatting sqref="I755:L755">
    <cfRule type="cellIs" dxfId="14680" priority="14609" stopIfTrue="1" operator="equal">
      <formula>"Pass"</formula>
    </cfRule>
    <cfRule type="cellIs" dxfId="14679" priority="14610" stopIfTrue="1" operator="equal">
      <formula>"Fail"</formula>
    </cfRule>
  </conditionalFormatting>
  <conditionalFormatting sqref="I755:L755">
    <cfRule type="cellIs" dxfId="14678" priority="14607" stopIfTrue="1" operator="equal">
      <formula>"Pass"</formula>
    </cfRule>
    <cfRule type="cellIs" dxfId="14677" priority="14608" stopIfTrue="1" operator="equal">
      <formula>"Fail"</formula>
    </cfRule>
  </conditionalFormatting>
  <conditionalFormatting sqref="I755:L755">
    <cfRule type="cellIs" dxfId="14676" priority="14605" stopIfTrue="1" operator="equal">
      <formula>"Pass"</formula>
    </cfRule>
    <cfRule type="cellIs" dxfId="14675" priority="14606" stopIfTrue="1" operator="equal">
      <formula>"Fail"</formula>
    </cfRule>
  </conditionalFormatting>
  <conditionalFormatting sqref="I755:L755">
    <cfRule type="cellIs" dxfId="14674" priority="14603" stopIfTrue="1" operator="equal">
      <formula>"Pass"</formula>
    </cfRule>
    <cfRule type="cellIs" dxfId="14673" priority="14604" stopIfTrue="1" operator="equal">
      <formula>"Fail"</formula>
    </cfRule>
  </conditionalFormatting>
  <conditionalFormatting sqref="G755">
    <cfRule type="cellIs" dxfId="14672" priority="14601" stopIfTrue="1" operator="equal">
      <formula>"Pass"</formula>
    </cfRule>
    <cfRule type="cellIs" dxfId="14671" priority="14602" stopIfTrue="1" operator="equal">
      <formula>"Fail"</formula>
    </cfRule>
  </conditionalFormatting>
  <conditionalFormatting sqref="G755">
    <cfRule type="cellIs" dxfId="14670" priority="14599" stopIfTrue="1" operator="equal">
      <formula>"Pass"</formula>
    </cfRule>
    <cfRule type="cellIs" dxfId="14669" priority="14600" stopIfTrue="1" operator="equal">
      <formula>"Fail"</formula>
    </cfRule>
  </conditionalFormatting>
  <conditionalFormatting sqref="G755">
    <cfRule type="cellIs" dxfId="14668" priority="14597" stopIfTrue="1" operator="equal">
      <formula>"Pass"</formula>
    </cfRule>
    <cfRule type="cellIs" dxfId="14667" priority="14598" stopIfTrue="1" operator="equal">
      <formula>"Fail"</formula>
    </cfRule>
  </conditionalFormatting>
  <conditionalFormatting sqref="G755">
    <cfRule type="cellIs" dxfId="14666" priority="14595" stopIfTrue="1" operator="equal">
      <formula>"Pass"</formula>
    </cfRule>
    <cfRule type="cellIs" dxfId="14665" priority="14596" stopIfTrue="1" operator="equal">
      <formula>"Fail"</formula>
    </cfRule>
  </conditionalFormatting>
  <conditionalFormatting sqref="G755">
    <cfRule type="cellIs" dxfId="14664" priority="14593" stopIfTrue="1" operator="equal">
      <formula>"Pass"</formula>
    </cfRule>
    <cfRule type="cellIs" dxfId="14663" priority="14594" stopIfTrue="1" operator="equal">
      <formula>"Fail"</formula>
    </cfRule>
  </conditionalFormatting>
  <conditionalFormatting sqref="G755">
    <cfRule type="cellIs" dxfId="14662" priority="14591" stopIfTrue="1" operator="equal">
      <formula>"Pass"</formula>
    </cfRule>
    <cfRule type="cellIs" dxfId="14661" priority="14592" stopIfTrue="1" operator="equal">
      <formula>"Fail"</formula>
    </cfRule>
  </conditionalFormatting>
  <conditionalFormatting sqref="H755:L755">
    <cfRule type="cellIs" dxfId="14660" priority="14589" stopIfTrue="1" operator="equal">
      <formula>"Pass"</formula>
    </cfRule>
    <cfRule type="cellIs" dxfId="14659" priority="14590" stopIfTrue="1" operator="equal">
      <formula>"Fail"</formula>
    </cfRule>
  </conditionalFormatting>
  <conditionalFormatting sqref="H755:L755">
    <cfRule type="cellIs" dxfId="14658" priority="14587" stopIfTrue="1" operator="equal">
      <formula>"Pass"</formula>
    </cfRule>
    <cfRule type="cellIs" dxfId="14657" priority="14588" stopIfTrue="1" operator="equal">
      <formula>"Fail"</formula>
    </cfRule>
  </conditionalFormatting>
  <conditionalFormatting sqref="I755:L755">
    <cfRule type="cellIs" dxfId="14656" priority="14585" stopIfTrue="1" operator="equal">
      <formula>"Pass"</formula>
    </cfRule>
    <cfRule type="cellIs" dxfId="14655" priority="14586" stopIfTrue="1" operator="equal">
      <formula>"Fail"</formula>
    </cfRule>
  </conditionalFormatting>
  <conditionalFormatting sqref="I755:L755">
    <cfRule type="cellIs" dxfId="14654" priority="14583" stopIfTrue="1" operator="equal">
      <formula>"Pass"</formula>
    </cfRule>
    <cfRule type="cellIs" dxfId="14653" priority="14584" stopIfTrue="1" operator="equal">
      <formula>"Fail"</formula>
    </cfRule>
  </conditionalFormatting>
  <conditionalFormatting sqref="I755:L755">
    <cfRule type="cellIs" dxfId="14652" priority="14581" stopIfTrue="1" operator="equal">
      <formula>"Pass"</formula>
    </cfRule>
    <cfRule type="cellIs" dxfId="14651" priority="14582" stopIfTrue="1" operator="equal">
      <formula>"Fail"</formula>
    </cfRule>
  </conditionalFormatting>
  <conditionalFormatting sqref="I755:L755">
    <cfRule type="cellIs" dxfId="14650" priority="14579" stopIfTrue="1" operator="equal">
      <formula>"Pass"</formula>
    </cfRule>
    <cfRule type="cellIs" dxfId="14649" priority="14580" stopIfTrue="1" operator="equal">
      <formula>"Fail"</formula>
    </cfRule>
  </conditionalFormatting>
  <conditionalFormatting sqref="G755">
    <cfRule type="cellIs" dxfId="14648" priority="14577" stopIfTrue="1" operator="equal">
      <formula>"Pass"</formula>
    </cfRule>
    <cfRule type="cellIs" dxfId="14647" priority="14578" stopIfTrue="1" operator="equal">
      <formula>"Fail"</formula>
    </cfRule>
  </conditionalFormatting>
  <conditionalFormatting sqref="G755">
    <cfRule type="cellIs" dxfId="14646" priority="14575" stopIfTrue="1" operator="equal">
      <formula>"Pass"</formula>
    </cfRule>
    <cfRule type="cellIs" dxfId="14645" priority="14576" stopIfTrue="1" operator="equal">
      <formula>"Fail"</formula>
    </cfRule>
  </conditionalFormatting>
  <conditionalFormatting sqref="G755">
    <cfRule type="cellIs" dxfId="14644" priority="14573" stopIfTrue="1" operator="equal">
      <formula>"Pass"</formula>
    </cfRule>
    <cfRule type="cellIs" dxfId="14643" priority="14574" stopIfTrue="1" operator="equal">
      <formula>"Fail"</formula>
    </cfRule>
  </conditionalFormatting>
  <conditionalFormatting sqref="G755">
    <cfRule type="cellIs" dxfId="14642" priority="14571" stopIfTrue="1" operator="equal">
      <formula>"Pass"</formula>
    </cfRule>
    <cfRule type="cellIs" dxfId="14641" priority="14572" stopIfTrue="1" operator="equal">
      <formula>"Fail"</formula>
    </cfRule>
  </conditionalFormatting>
  <conditionalFormatting sqref="G755">
    <cfRule type="cellIs" dxfId="14640" priority="14569" stopIfTrue="1" operator="equal">
      <formula>"Pass"</formula>
    </cfRule>
    <cfRule type="cellIs" dxfId="14639" priority="14570" stopIfTrue="1" operator="equal">
      <formula>"Fail"</formula>
    </cfRule>
  </conditionalFormatting>
  <conditionalFormatting sqref="G755">
    <cfRule type="cellIs" dxfId="14638" priority="14567" stopIfTrue="1" operator="equal">
      <formula>"Pass"</formula>
    </cfRule>
    <cfRule type="cellIs" dxfId="14637" priority="14568" stopIfTrue="1" operator="equal">
      <formula>"Fail"</formula>
    </cfRule>
  </conditionalFormatting>
  <conditionalFormatting sqref="H755:L755">
    <cfRule type="cellIs" dxfId="14636" priority="14565" stopIfTrue="1" operator="equal">
      <formula>"Pass"</formula>
    </cfRule>
    <cfRule type="cellIs" dxfId="14635" priority="14566" stopIfTrue="1" operator="equal">
      <formula>"Fail"</formula>
    </cfRule>
  </conditionalFormatting>
  <conditionalFormatting sqref="H755:L755">
    <cfRule type="cellIs" dxfId="14634" priority="14563" stopIfTrue="1" operator="equal">
      <formula>"Pass"</formula>
    </cfRule>
    <cfRule type="cellIs" dxfId="14633" priority="14564" stopIfTrue="1" operator="equal">
      <formula>"Fail"</formula>
    </cfRule>
  </conditionalFormatting>
  <conditionalFormatting sqref="I755:L755">
    <cfRule type="cellIs" dxfId="14632" priority="14561" stopIfTrue="1" operator="equal">
      <formula>"Pass"</formula>
    </cfRule>
    <cfRule type="cellIs" dxfId="14631" priority="14562" stopIfTrue="1" operator="equal">
      <formula>"Fail"</formula>
    </cfRule>
  </conditionalFormatting>
  <conditionalFormatting sqref="I755:L755">
    <cfRule type="cellIs" dxfId="14630" priority="14559" stopIfTrue="1" operator="equal">
      <formula>"Pass"</formula>
    </cfRule>
    <cfRule type="cellIs" dxfId="14629" priority="14560" stopIfTrue="1" operator="equal">
      <formula>"Fail"</formula>
    </cfRule>
  </conditionalFormatting>
  <conditionalFormatting sqref="I755:L755">
    <cfRule type="cellIs" dxfId="14628" priority="14557" stopIfTrue="1" operator="equal">
      <formula>"Pass"</formula>
    </cfRule>
    <cfRule type="cellIs" dxfId="14627" priority="14558" stopIfTrue="1" operator="equal">
      <formula>"Fail"</formula>
    </cfRule>
  </conditionalFormatting>
  <conditionalFormatting sqref="I755:L755">
    <cfRule type="cellIs" dxfId="14626" priority="14555" stopIfTrue="1" operator="equal">
      <formula>"Pass"</formula>
    </cfRule>
    <cfRule type="cellIs" dxfId="14625" priority="14556" stopIfTrue="1" operator="equal">
      <formula>"Fail"</formula>
    </cfRule>
  </conditionalFormatting>
  <conditionalFormatting sqref="G755">
    <cfRule type="cellIs" dxfId="14624" priority="14553" stopIfTrue="1" operator="equal">
      <formula>"Pass"</formula>
    </cfRule>
    <cfRule type="cellIs" dxfId="14623" priority="14554" stopIfTrue="1" operator="equal">
      <formula>"Fail"</formula>
    </cfRule>
  </conditionalFormatting>
  <conditionalFormatting sqref="G755">
    <cfRule type="cellIs" dxfId="14622" priority="14551" stopIfTrue="1" operator="equal">
      <formula>"Pass"</formula>
    </cfRule>
    <cfRule type="cellIs" dxfId="14621" priority="14552" stopIfTrue="1" operator="equal">
      <formula>"Fail"</formula>
    </cfRule>
  </conditionalFormatting>
  <conditionalFormatting sqref="G755">
    <cfRule type="cellIs" dxfId="14620" priority="14549" stopIfTrue="1" operator="equal">
      <formula>"Pass"</formula>
    </cfRule>
    <cfRule type="cellIs" dxfId="14619" priority="14550" stopIfTrue="1" operator="equal">
      <formula>"Fail"</formula>
    </cfRule>
  </conditionalFormatting>
  <conditionalFormatting sqref="G755">
    <cfRule type="cellIs" dxfId="14618" priority="14547" stopIfTrue="1" operator="equal">
      <formula>"Pass"</formula>
    </cfRule>
    <cfRule type="cellIs" dxfId="14617" priority="14548" stopIfTrue="1" operator="equal">
      <formula>"Fail"</formula>
    </cfRule>
  </conditionalFormatting>
  <conditionalFormatting sqref="G755">
    <cfRule type="cellIs" dxfId="14616" priority="14545" stopIfTrue="1" operator="equal">
      <formula>"Pass"</formula>
    </cfRule>
    <cfRule type="cellIs" dxfId="14615" priority="14546" stopIfTrue="1" operator="equal">
      <formula>"Fail"</formula>
    </cfRule>
  </conditionalFormatting>
  <conditionalFormatting sqref="G755">
    <cfRule type="cellIs" dxfId="14614" priority="14543" stopIfTrue="1" operator="equal">
      <formula>"Pass"</formula>
    </cfRule>
    <cfRule type="cellIs" dxfId="14613" priority="14544" stopIfTrue="1" operator="equal">
      <formula>"Fail"</formula>
    </cfRule>
  </conditionalFormatting>
  <conditionalFormatting sqref="H755:L755">
    <cfRule type="cellIs" dxfId="14612" priority="14541" stopIfTrue="1" operator="equal">
      <formula>"Pass"</formula>
    </cfRule>
    <cfRule type="cellIs" dxfId="14611" priority="14542" stopIfTrue="1" operator="equal">
      <formula>"Fail"</formula>
    </cfRule>
  </conditionalFormatting>
  <conditionalFormatting sqref="H755:L755">
    <cfRule type="cellIs" dxfId="14610" priority="14539" stopIfTrue="1" operator="equal">
      <formula>"Pass"</formula>
    </cfRule>
    <cfRule type="cellIs" dxfId="14609" priority="14540" stopIfTrue="1" operator="equal">
      <formula>"Fail"</formula>
    </cfRule>
  </conditionalFormatting>
  <conditionalFormatting sqref="I755:L755">
    <cfRule type="cellIs" dxfId="14608" priority="14537" stopIfTrue="1" operator="equal">
      <formula>"Pass"</formula>
    </cfRule>
    <cfRule type="cellIs" dxfId="14607" priority="14538" stopIfTrue="1" operator="equal">
      <formula>"Fail"</formula>
    </cfRule>
  </conditionalFormatting>
  <conditionalFormatting sqref="I755:L755">
    <cfRule type="cellIs" dxfId="14606" priority="14535" stopIfTrue="1" operator="equal">
      <formula>"Pass"</formula>
    </cfRule>
    <cfRule type="cellIs" dxfId="14605" priority="14536" stopIfTrue="1" operator="equal">
      <formula>"Fail"</formula>
    </cfRule>
  </conditionalFormatting>
  <conditionalFormatting sqref="I755:L755">
    <cfRule type="cellIs" dxfId="14604" priority="14533" stopIfTrue="1" operator="equal">
      <formula>"Pass"</formula>
    </cfRule>
    <cfRule type="cellIs" dxfId="14603" priority="14534" stopIfTrue="1" operator="equal">
      <formula>"Fail"</formula>
    </cfRule>
  </conditionalFormatting>
  <conditionalFormatting sqref="I755:L755">
    <cfRule type="cellIs" dxfId="14602" priority="14531" stopIfTrue="1" operator="equal">
      <formula>"Pass"</formula>
    </cfRule>
    <cfRule type="cellIs" dxfId="14601" priority="14532" stopIfTrue="1" operator="equal">
      <formula>"Fail"</formula>
    </cfRule>
  </conditionalFormatting>
  <conditionalFormatting sqref="G755">
    <cfRule type="cellIs" dxfId="14600" priority="14529" stopIfTrue="1" operator="equal">
      <formula>"Pass"</formula>
    </cfRule>
    <cfRule type="cellIs" dxfId="14599" priority="14530" stopIfTrue="1" operator="equal">
      <formula>"Fail"</formula>
    </cfRule>
  </conditionalFormatting>
  <conditionalFormatting sqref="G755">
    <cfRule type="cellIs" dxfId="14598" priority="14527" stopIfTrue="1" operator="equal">
      <formula>"Pass"</formula>
    </cfRule>
    <cfRule type="cellIs" dxfId="14597" priority="14528" stopIfTrue="1" operator="equal">
      <formula>"Fail"</formula>
    </cfRule>
  </conditionalFormatting>
  <conditionalFormatting sqref="G755">
    <cfRule type="cellIs" dxfId="14596" priority="14525" stopIfTrue="1" operator="equal">
      <formula>"Pass"</formula>
    </cfRule>
    <cfRule type="cellIs" dxfId="14595" priority="14526" stopIfTrue="1" operator="equal">
      <formula>"Fail"</formula>
    </cfRule>
  </conditionalFormatting>
  <conditionalFormatting sqref="G755">
    <cfRule type="cellIs" dxfId="14594" priority="14523" stopIfTrue="1" operator="equal">
      <formula>"Pass"</formula>
    </cfRule>
    <cfRule type="cellIs" dxfId="14593" priority="14524" stopIfTrue="1" operator="equal">
      <formula>"Fail"</formula>
    </cfRule>
  </conditionalFormatting>
  <conditionalFormatting sqref="G755">
    <cfRule type="cellIs" dxfId="14592" priority="14521" stopIfTrue="1" operator="equal">
      <formula>"Pass"</formula>
    </cfRule>
    <cfRule type="cellIs" dxfId="14591" priority="14522" stopIfTrue="1" operator="equal">
      <formula>"Fail"</formula>
    </cfRule>
  </conditionalFormatting>
  <conditionalFormatting sqref="G755">
    <cfRule type="cellIs" dxfId="14590" priority="14519" stopIfTrue="1" operator="equal">
      <formula>"Pass"</formula>
    </cfRule>
    <cfRule type="cellIs" dxfId="14589" priority="14520" stopIfTrue="1" operator="equal">
      <formula>"Fail"</formula>
    </cfRule>
  </conditionalFormatting>
  <conditionalFormatting sqref="H755:L755">
    <cfRule type="cellIs" dxfId="14588" priority="14517" stopIfTrue="1" operator="equal">
      <formula>"Pass"</formula>
    </cfRule>
    <cfRule type="cellIs" dxfId="14587" priority="14518" stopIfTrue="1" operator="equal">
      <formula>"Fail"</formula>
    </cfRule>
  </conditionalFormatting>
  <conditionalFormatting sqref="H755:L755">
    <cfRule type="cellIs" dxfId="14586" priority="14515" stopIfTrue="1" operator="equal">
      <formula>"Pass"</formula>
    </cfRule>
    <cfRule type="cellIs" dxfId="14585" priority="14516" stopIfTrue="1" operator="equal">
      <formula>"Fail"</formula>
    </cfRule>
  </conditionalFormatting>
  <conditionalFormatting sqref="I755:L755">
    <cfRule type="cellIs" dxfId="14584" priority="14513" stopIfTrue="1" operator="equal">
      <formula>"Pass"</formula>
    </cfRule>
    <cfRule type="cellIs" dxfId="14583" priority="14514" stopIfTrue="1" operator="equal">
      <formula>"Fail"</formula>
    </cfRule>
  </conditionalFormatting>
  <conditionalFormatting sqref="I755:L755">
    <cfRule type="cellIs" dxfId="14582" priority="14511" stopIfTrue="1" operator="equal">
      <formula>"Pass"</formula>
    </cfRule>
    <cfRule type="cellIs" dxfId="14581" priority="14512" stopIfTrue="1" operator="equal">
      <formula>"Fail"</formula>
    </cfRule>
  </conditionalFormatting>
  <conditionalFormatting sqref="I755:L755">
    <cfRule type="cellIs" dxfId="14580" priority="14509" stopIfTrue="1" operator="equal">
      <formula>"Pass"</formula>
    </cfRule>
    <cfRule type="cellIs" dxfId="14579" priority="14510" stopIfTrue="1" operator="equal">
      <formula>"Fail"</formula>
    </cfRule>
  </conditionalFormatting>
  <conditionalFormatting sqref="I755:L755">
    <cfRule type="cellIs" dxfId="14578" priority="14507" stopIfTrue="1" operator="equal">
      <formula>"Pass"</formula>
    </cfRule>
    <cfRule type="cellIs" dxfId="14577" priority="14508" stopIfTrue="1" operator="equal">
      <formula>"Fail"</formula>
    </cfRule>
  </conditionalFormatting>
  <conditionalFormatting sqref="G755">
    <cfRule type="cellIs" dxfId="14576" priority="14505" stopIfTrue="1" operator="equal">
      <formula>"Pass"</formula>
    </cfRule>
    <cfRule type="cellIs" dxfId="14575" priority="14506" stopIfTrue="1" operator="equal">
      <formula>"Fail"</formula>
    </cfRule>
  </conditionalFormatting>
  <conditionalFormatting sqref="G755">
    <cfRule type="cellIs" dxfId="14574" priority="14503" stopIfTrue="1" operator="equal">
      <formula>"Pass"</formula>
    </cfRule>
    <cfRule type="cellIs" dxfId="14573" priority="14504" stopIfTrue="1" operator="equal">
      <formula>"Fail"</formula>
    </cfRule>
  </conditionalFormatting>
  <conditionalFormatting sqref="G755">
    <cfRule type="cellIs" dxfId="14572" priority="14501" stopIfTrue="1" operator="equal">
      <formula>"Pass"</formula>
    </cfRule>
    <cfRule type="cellIs" dxfId="14571" priority="14502" stopIfTrue="1" operator="equal">
      <formula>"Fail"</formula>
    </cfRule>
  </conditionalFormatting>
  <conditionalFormatting sqref="G755">
    <cfRule type="cellIs" dxfId="14570" priority="14499" stopIfTrue="1" operator="equal">
      <formula>"Pass"</formula>
    </cfRule>
    <cfRule type="cellIs" dxfId="14569" priority="14500" stopIfTrue="1" operator="equal">
      <formula>"Fail"</formula>
    </cfRule>
  </conditionalFormatting>
  <conditionalFormatting sqref="G755">
    <cfRule type="cellIs" dxfId="14568" priority="14497" stopIfTrue="1" operator="equal">
      <formula>"Pass"</formula>
    </cfRule>
    <cfRule type="cellIs" dxfId="14567" priority="14498" stopIfTrue="1" operator="equal">
      <formula>"Fail"</formula>
    </cfRule>
  </conditionalFormatting>
  <conditionalFormatting sqref="G755">
    <cfRule type="cellIs" dxfId="14566" priority="14495" stopIfTrue="1" operator="equal">
      <formula>"Pass"</formula>
    </cfRule>
    <cfRule type="cellIs" dxfId="14565" priority="14496" stopIfTrue="1" operator="equal">
      <formula>"Fail"</formula>
    </cfRule>
  </conditionalFormatting>
  <conditionalFormatting sqref="H755:L755">
    <cfRule type="cellIs" dxfId="14564" priority="14493" stopIfTrue="1" operator="equal">
      <formula>"Pass"</formula>
    </cfRule>
    <cfRule type="cellIs" dxfId="14563" priority="14494" stopIfTrue="1" operator="equal">
      <formula>"Fail"</formula>
    </cfRule>
  </conditionalFormatting>
  <conditionalFormatting sqref="H755:L755">
    <cfRule type="cellIs" dxfId="14562" priority="14491" stopIfTrue="1" operator="equal">
      <formula>"Pass"</formula>
    </cfRule>
    <cfRule type="cellIs" dxfId="14561" priority="14492" stopIfTrue="1" operator="equal">
      <formula>"Fail"</formula>
    </cfRule>
  </conditionalFormatting>
  <conditionalFormatting sqref="I755:L755">
    <cfRule type="cellIs" dxfId="14560" priority="14489" stopIfTrue="1" operator="equal">
      <formula>"Pass"</formula>
    </cfRule>
    <cfRule type="cellIs" dxfId="14559" priority="14490" stopIfTrue="1" operator="equal">
      <formula>"Fail"</formula>
    </cfRule>
  </conditionalFormatting>
  <conditionalFormatting sqref="I755:L755">
    <cfRule type="cellIs" dxfId="14558" priority="14487" stopIfTrue="1" operator="equal">
      <formula>"Pass"</formula>
    </cfRule>
    <cfRule type="cellIs" dxfId="14557" priority="14488" stopIfTrue="1" operator="equal">
      <formula>"Fail"</formula>
    </cfRule>
  </conditionalFormatting>
  <conditionalFormatting sqref="I755:L755">
    <cfRule type="cellIs" dxfId="14556" priority="14485" stopIfTrue="1" operator="equal">
      <formula>"Pass"</formula>
    </cfRule>
    <cfRule type="cellIs" dxfId="14555" priority="14486" stopIfTrue="1" operator="equal">
      <formula>"Fail"</formula>
    </cfRule>
  </conditionalFormatting>
  <conditionalFormatting sqref="I755:L755">
    <cfRule type="cellIs" dxfId="14554" priority="14483" stopIfTrue="1" operator="equal">
      <formula>"Pass"</formula>
    </cfRule>
    <cfRule type="cellIs" dxfId="14553" priority="14484" stopIfTrue="1" operator="equal">
      <formula>"Fail"</formula>
    </cfRule>
  </conditionalFormatting>
  <conditionalFormatting sqref="G755">
    <cfRule type="cellIs" dxfId="14552" priority="14481" stopIfTrue="1" operator="equal">
      <formula>"Pass"</formula>
    </cfRule>
    <cfRule type="cellIs" dxfId="14551" priority="14482" stopIfTrue="1" operator="equal">
      <formula>"Fail"</formula>
    </cfRule>
  </conditionalFormatting>
  <conditionalFormatting sqref="G755">
    <cfRule type="cellIs" dxfId="14550" priority="14479" stopIfTrue="1" operator="equal">
      <formula>"Pass"</formula>
    </cfRule>
    <cfRule type="cellIs" dxfId="14549" priority="14480" stopIfTrue="1" operator="equal">
      <formula>"Fail"</formula>
    </cfRule>
  </conditionalFormatting>
  <conditionalFormatting sqref="G755">
    <cfRule type="cellIs" dxfId="14548" priority="14477" stopIfTrue="1" operator="equal">
      <formula>"Pass"</formula>
    </cfRule>
    <cfRule type="cellIs" dxfId="14547" priority="14478" stopIfTrue="1" operator="equal">
      <formula>"Fail"</formula>
    </cfRule>
  </conditionalFormatting>
  <conditionalFormatting sqref="G755">
    <cfRule type="cellIs" dxfId="14546" priority="14475" stopIfTrue="1" operator="equal">
      <formula>"Pass"</formula>
    </cfRule>
    <cfRule type="cellIs" dxfId="14545" priority="14476" stopIfTrue="1" operator="equal">
      <formula>"Fail"</formula>
    </cfRule>
  </conditionalFormatting>
  <conditionalFormatting sqref="G755">
    <cfRule type="cellIs" dxfId="14544" priority="14473" stopIfTrue="1" operator="equal">
      <formula>"Pass"</formula>
    </cfRule>
    <cfRule type="cellIs" dxfId="14543" priority="14474" stopIfTrue="1" operator="equal">
      <formula>"Fail"</formula>
    </cfRule>
  </conditionalFormatting>
  <conditionalFormatting sqref="G755">
    <cfRule type="cellIs" dxfId="14542" priority="14471" stopIfTrue="1" operator="equal">
      <formula>"Pass"</formula>
    </cfRule>
    <cfRule type="cellIs" dxfId="14541" priority="14472" stopIfTrue="1" operator="equal">
      <formula>"Fail"</formula>
    </cfRule>
  </conditionalFormatting>
  <conditionalFormatting sqref="G755:L755">
    <cfRule type="cellIs" dxfId="14540" priority="14469" stopIfTrue="1" operator="equal">
      <formula>"Pass"</formula>
    </cfRule>
    <cfRule type="cellIs" dxfId="14539" priority="14470" stopIfTrue="1" operator="equal">
      <formula>"Fail"</formula>
    </cfRule>
  </conditionalFormatting>
  <conditionalFormatting sqref="G755:L755">
    <cfRule type="cellIs" dxfId="14538" priority="14467" stopIfTrue="1" operator="equal">
      <formula>"Pass"</formula>
    </cfRule>
    <cfRule type="cellIs" dxfId="14537" priority="14468" stopIfTrue="1" operator="equal">
      <formula>"Fail"</formula>
    </cfRule>
  </conditionalFormatting>
  <conditionalFormatting sqref="G755:L755">
    <cfRule type="cellIs" dxfId="14536" priority="14465" stopIfTrue="1" operator="equal">
      <formula>"Pass"</formula>
    </cfRule>
    <cfRule type="cellIs" dxfId="14535" priority="14466" stopIfTrue="1" operator="equal">
      <formula>"Fail"</formula>
    </cfRule>
  </conditionalFormatting>
  <conditionalFormatting sqref="G755:L755">
    <cfRule type="cellIs" dxfId="14534" priority="14463" stopIfTrue="1" operator="equal">
      <formula>"Pass"</formula>
    </cfRule>
    <cfRule type="cellIs" dxfId="14533" priority="14464" stopIfTrue="1" operator="equal">
      <formula>"Fail"</formula>
    </cfRule>
  </conditionalFormatting>
  <conditionalFormatting sqref="G755:L755">
    <cfRule type="cellIs" dxfId="14532" priority="14461" stopIfTrue="1" operator="equal">
      <formula>"Pass"</formula>
    </cfRule>
    <cfRule type="cellIs" dxfId="14531" priority="14462" stopIfTrue="1" operator="equal">
      <formula>"Fail"</formula>
    </cfRule>
  </conditionalFormatting>
  <conditionalFormatting sqref="G755:L755">
    <cfRule type="cellIs" dxfId="14530" priority="14459" stopIfTrue="1" operator="equal">
      <formula>"Pass"</formula>
    </cfRule>
    <cfRule type="cellIs" dxfId="14529" priority="14460" stopIfTrue="1" operator="equal">
      <formula>"Fail"</formula>
    </cfRule>
  </conditionalFormatting>
  <conditionalFormatting sqref="G755:L755">
    <cfRule type="cellIs" dxfId="14528" priority="14457" stopIfTrue="1" operator="equal">
      <formula>"Pass"</formula>
    </cfRule>
    <cfRule type="cellIs" dxfId="14527" priority="14458" stopIfTrue="1" operator="equal">
      <formula>"Fail"</formula>
    </cfRule>
  </conditionalFormatting>
  <conditionalFormatting sqref="G755:L755">
    <cfRule type="cellIs" dxfId="14526" priority="14455" stopIfTrue="1" operator="equal">
      <formula>"Pass"</formula>
    </cfRule>
    <cfRule type="cellIs" dxfId="14525" priority="14456" stopIfTrue="1" operator="equal">
      <formula>"Fail"</formula>
    </cfRule>
  </conditionalFormatting>
  <conditionalFormatting sqref="G755:L755">
    <cfRule type="cellIs" dxfId="14524" priority="14453" stopIfTrue="1" operator="equal">
      <formula>"Pass"</formula>
    </cfRule>
    <cfRule type="cellIs" dxfId="14523" priority="14454" stopIfTrue="1" operator="equal">
      <formula>"Fail"</formula>
    </cfRule>
  </conditionalFormatting>
  <conditionalFormatting sqref="G755:L755">
    <cfRule type="cellIs" dxfId="14522" priority="14451" stopIfTrue="1" operator="equal">
      <formula>"Pass"</formula>
    </cfRule>
    <cfRule type="cellIs" dxfId="14521" priority="14452" stopIfTrue="1" operator="equal">
      <formula>"Fail"</formula>
    </cfRule>
  </conditionalFormatting>
  <conditionalFormatting sqref="G755:L755">
    <cfRule type="cellIs" dxfId="14520" priority="14449" stopIfTrue="1" operator="equal">
      <formula>"Pass"</formula>
    </cfRule>
    <cfRule type="cellIs" dxfId="14519" priority="14450" stopIfTrue="1" operator="equal">
      <formula>"Fail"</formula>
    </cfRule>
  </conditionalFormatting>
  <conditionalFormatting sqref="G755:L755">
    <cfRule type="cellIs" dxfId="14518" priority="14447" stopIfTrue="1" operator="equal">
      <formula>"Pass"</formula>
    </cfRule>
    <cfRule type="cellIs" dxfId="14517" priority="14448" stopIfTrue="1" operator="equal">
      <formula>"Fail"</formula>
    </cfRule>
  </conditionalFormatting>
  <conditionalFormatting sqref="G755:L755">
    <cfRule type="cellIs" dxfId="14516" priority="14445" stopIfTrue="1" operator="equal">
      <formula>"Pass"</formula>
    </cfRule>
    <cfRule type="cellIs" dxfId="14515" priority="14446" stopIfTrue="1" operator="equal">
      <formula>"Fail"</formula>
    </cfRule>
  </conditionalFormatting>
  <conditionalFormatting sqref="G755:L755">
    <cfRule type="cellIs" dxfId="14514" priority="14443" stopIfTrue="1" operator="equal">
      <formula>"Pass"</formula>
    </cfRule>
    <cfRule type="cellIs" dxfId="14513" priority="14444" stopIfTrue="1" operator="equal">
      <formula>"Fail"</formula>
    </cfRule>
  </conditionalFormatting>
  <conditionalFormatting sqref="G755:L755">
    <cfRule type="cellIs" dxfId="14512" priority="14441" stopIfTrue="1" operator="equal">
      <formula>"Pass"</formula>
    </cfRule>
    <cfRule type="cellIs" dxfId="14511" priority="14442" stopIfTrue="1" operator="equal">
      <formula>"Fail"</formula>
    </cfRule>
  </conditionalFormatting>
  <conditionalFormatting sqref="G755:L755">
    <cfRule type="cellIs" dxfId="14510" priority="14439" stopIfTrue="1" operator="equal">
      <formula>"Pass"</formula>
    </cfRule>
    <cfRule type="cellIs" dxfId="14509" priority="14440" stopIfTrue="1" operator="equal">
      <formula>"Fail"</formula>
    </cfRule>
  </conditionalFormatting>
  <conditionalFormatting sqref="G755:L755">
    <cfRule type="cellIs" dxfId="14508" priority="14437" stopIfTrue="1" operator="equal">
      <formula>"Pass"</formula>
    </cfRule>
    <cfRule type="cellIs" dxfId="14507" priority="14438" stopIfTrue="1" operator="equal">
      <formula>"Fail"</formula>
    </cfRule>
  </conditionalFormatting>
  <conditionalFormatting sqref="G755:L755">
    <cfRule type="cellIs" dxfId="14506" priority="14435" stopIfTrue="1" operator="equal">
      <formula>"Pass"</formula>
    </cfRule>
    <cfRule type="cellIs" dxfId="14505" priority="14436" stopIfTrue="1" operator="equal">
      <formula>"Fail"</formula>
    </cfRule>
  </conditionalFormatting>
  <conditionalFormatting sqref="G755:L755">
    <cfRule type="cellIs" dxfId="14504" priority="14433" stopIfTrue="1" operator="equal">
      <formula>"Pass"</formula>
    </cfRule>
    <cfRule type="cellIs" dxfId="14503" priority="14434" stopIfTrue="1" operator="equal">
      <formula>"Fail"</formula>
    </cfRule>
  </conditionalFormatting>
  <conditionalFormatting sqref="G755:L755">
    <cfRule type="cellIs" dxfId="14502" priority="14431" stopIfTrue="1" operator="equal">
      <formula>"Pass"</formula>
    </cfRule>
    <cfRule type="cellIs" dxfId="14501" priority="14432" stopIfTrue="1" operator="equal">
      <formula>"Fail"</formula>
    </cfRule>
  </conditionalFormatting>
  <conditionalFormatting sqref="G755:L755">
    <cfRule type="cellIs" dxfId="14500" priority="14429" stopIfTrue="1" operator="equal">
      <formula>"Pass"</formula>
    </cfRule>
    <cfRule type="cellIs" dxfId="14499" priority="14430" stopIfTrue="1" operator="equal">
      <formula>"Fail"</formula>
    </cfRule>
  </conditionalFormatting>
  <conditionalFormatting sqref="G755:L755">
    <cfRule type="cellIs" dxfId="14498" priority="14427" stopIfTrue="1" operator="equal">
      <formula>"Pass"</formula>
    </cfRule>
    <cfRule type="cellIs" dxfId="14497" priority="14428" stopIfTrue="1" operator="equal">
      <formula>"Fail"</formula>
    </cfRule>
  </conditionalFormatting>
  <conditionalFormatting sqref="G755:L755">
    <cfRule type="cellIs" dxfId="14496" priority="14425" stopIfTrue="1" operator="equal">
      <formula>"Pass"</formula>
    </cfRule>
    <cfRule type="cellIs" dxfId="14495" priority="14426" stopIfTrue="1" operator="equal">
      <formula>"Fail"</formula>
    </cfRule>
  </conditionalFormatting>
  <conditionalFormatting sqref="G755:L755">
    <cfRule type="cellIs" dxfId="14494" priority="14423" stopIfTrue="1" operator="equal">
      <formula>"Pass"</formula>
    </cfRule>
    <cfRule type="cellIs" dxfId="14493" priority="14424" stopIfTrue="1" operator="equal">
      <formula>"Fail"</formula>
    </cfRule>
  </conditionalFormatting>
  <conditionalFormatting sqref="G755:L755">
    <cfRule type="cellIs" dxfId="14492" priority="14421" stopIfTrue="1" operator="equal">
      <formula>"Pass"</formula>
    </cfRule>
    <cfRule type="cellIs" dxfId="14491" priority="14422" stopIfTrue="1" operator="equal">
      <formula>"Fail"</formula>
    </cfRule>
  </conditionalFormatting>
  <conditionalFormatting sqref="G755:L755">
    <cfRule type="cellIs" dxfId="14490" priority="14419" stopIfTrue="1" operator="equal">
      <formula>"Pass"</formula>
    </cfRule>
    <cfRule type="cellIs" dxfId="14489" priority="14420" stopIfTrue="1" operator="equal">
      <formula>"Fail"</formula>
    </cfRule>
  </conditionalFormatting>
  <conditionalFormatting sqref="G755:L755">
    <cfRule type="cellIs" dxfId="14488" priority="14417" stopIfTrue="1" operator="equal">
      <formula>"Pass"</formula>
    </cfRule>
    <cfRule type="cellIs" dxfId="14487" priority="14418" stopIfTrue="1" operator="equal">
      <formula>"Fail"</formula>
    </cfRule>
  </conditionalFormatting>
  <conditionalFormatting sqref="G755:L755">
    <cfRule type="cellIs" dxfId="14486" priority="14415" stopIfTrue="1" operator="equal">
      <formula>"Pass"</formula>
    </cfRule>
    <cfRule type="cellIs" dxfId="14485" priority="14416" stopIfTrue="1" operator="equal">
      <formula>"Fail"</formula>
    </cfRule>
  </conditionalFormatting>
  <conditionalFormatting sqref="G755:L755">
    <cfRule type="cellIs" dxfId="14484" priority="14413" stopIfTrue="1" operator="equal">
      <formula>"Pass"</formula>
    </cfRule>
    <cfRule type="cellIs" dxfId="14483" priority="14414" stopIfTrue="1" operator="equal">
      <formula>"Fail"</formula>
    </cfRule>
  </conditionalFormatting>
  <conditionalFormatting sqref="G755:L755">
    <cfRule type="cellIs" dxfId="14482" priority="14411" stopIfTrue="1" operator="equal">
      <formula>"Pass"</formula>
    </cfRule>
    <cfRule type="cellIs" dxfId="14481" priority="14412" stopIfTrue="1" operator="equal">
      <formula>"Fail"</formula>
    </cfRule>
  </conditionalFormatting>
  <conditionalFormatting sqref="D755:E755">
    <cfRule type="cellIs" dxfId="14480" priority="14409" stopIfTrue="1" operator="equal">
      <formula>"Pass"</formula>
    </cfRule>
    <cfRule type="cellIs" dxfId="14479" priority="14410" stopIfTrue="1" operator="equal">
      <formula>"Fail"</formula>
    </cfRule>
  </conditionalFormatting>
  <conditionalFormatting sqref="G755:L755">
    <cfRule type="cellIs" dxfId="14478" priority="14407" stopIfTrue="1" operator="equal">
      <formula>"Pass"</formula>
    </cfRule>
    <cfRule type="cellIs" dxfId="14477" priority="14408" stopIfTrue="1" operator="equal">
      <formula>"Fail"</formula>
    </cfRule>
  </conditionalFormatting>
  <conditionalFormatting sqref="G756:L756">
    <cfRule type="cellIs" dxfId="14476" priority="14405" stopIfTrue="1" operator="equal">
      <formula>"Pass"</formula>
    </cfRule>
    <cfRule type="cellIs" dxfId="14475" priority="14406" stopIfTrue="1" operator="equal">
      <formula>"Fail"</formula>
    </cfRule>
  </conditionalFormatting>
  <conditionalFormatting sqref="H756:L756">
    <cfRule type="cellIs" dxfId="14474" priority="14403" stopIfTrue="1" operator="equal">
      <formula>"Pass"</formula>
    </cfRule>
    <cfRule type="cellIs" dxfId="14473" priority="14404" stopIfTrue="1" operator="equal">
      <formula>"Fail"</formula>
    </cfRule>
  </conditionalFormatting>
  <conditionalFormatting sqref="H756:L756">
    <cfRule type="cellIs" dxfId="14472" priority="14401" stopIfTrue="1" operator="equal">
      <formula>"Pass"</formula>
    </cfRule>
    <cfRule type="cellIs" dxfId="14471" priority="14402" stopIfTrue="1" operator="equal">
      <formula>"Fail"</formula>
    </cfRule>
  </conditionalFormatting>
  <conditionalFormatting sqref="I756:L756">
    <cfRule type="cellIs" dxfId="14470" priority="14399" stopIfTrue="1" operator="equal">
      <formula>"Pass"</formula>
    </cfRule>
    <cfRule type="cellIs" dxfId="14469" priority="14400" stopIfTrue="1" operator="equal">
      <formula>"Fail"</formula>
    </cfRule>
  </conditionalFormatting>
  <conditionalFormatting sqref="I756:L756">
    <cfRule type="cellIs" dxfId="14468" priority="14397" stopIfTrue="1" operator="equal">
      <formula>"Pass"</formula>
    </cfRule>
    <cfRule type="cellIs" dxfId="14467" priority="14398" stopIfTrue="1" operator="equal">
      <formula>"Fail"</formula>
    </cfRule>
  </conditionalFormatting>
  <conditionalFormatting sqref="I756:L756">
    <cfRule type="cellIs" dxfId="14466" priority="14395" stopIfTrue="1" operator="equal">
      <formula>"Pass"</formula>
    </cfRule>
    <cfRule type="cellIs" dxfId="14465" priority="14396" stopIfTrue="1" operator="equal">
      <formula>"Fail"</formula>
    </cfRule>
  </conditionalFormatting>
  <conditionalFormatting sqref="I756:L756">
    <cfRule type="cellIs" dxfId="14464" priority="14393" stopIfTrue="1" operator="equal">
      <formula>"Pass"</formula>
    </cfRule>
    <cfRule type="cellIs" dxfId="14463" priority="14394" stopIfTrue="1" operator="equal">
      <formula>"Fail"</formula>
    </cfRule>
  </conditionalFormatting>
  <conditionalFormatting sqref="G756">
    <cfRule type="cellIs" dxfId="14462" priority="14391" stopIfTrue="1" operator="equal">
      <formula>"Pass"</formula>
    </cfRule>
    <cfRule type="cellIs" dxfId="14461" priority="14392" stopIfTrue="1" operator="equal">
      <formula>"Fail"</formula>
    </cfRule>
  </conditionalFormatting>
  <conditionalFormatting sqref="G756">
    <cfRule type="cellIs" dxfId="14460" priority="14389" stopIfTrue="1" operator="equal">
      <formula>"Pass"</formula>
    </cfRule>
    <cfRule type="cellIs" dxfId="14459" priority="14390" stopIfTrue="1" operator="equal">
      <formula>"Fail"</formula>
    </cfRule>
  </conditionalFormatting>
  <conditionalFormatting sqref="G756">
    <cfRule type="cellIs" dxfId="14458" priority="14387" stopIfTrue="1" operator="equal">
      <formula>"Pass"</formula>
    </cfRule>
    <cfRule type="cellIs" dxfId="14457" priority="14388" stopIfTrue="1" operator="equal">
      <formula>"Fail"</formula>
    </cfRule>
  </conditionalFormatting>
  <conditionalFormatting sqref="G756">
    <cfRule type="cellIs" dxfId="14456" priority="14385" stopIfTrue="1" operator="equal">
      <formula>"Pass"</formula>
    </cfRule>
    <cfRule type="cellIs" dxfId="14455" priority="14386" stopIfTrue="1" operator="equal">
      <formula>"Fail"</formula>
    </cfRule>
  </conditionalFormatting>
  <conditionalFormatting sqref="G756">
    <cfRule type="cellIs" dxfId="14454" priority="14383" stopIfTrue="1" operator="equal">
      <formula>"Pass"</formula>
    </cfRule>
    <cfRule type="cellIs" dxfId="14453" priority="14384" stopIfTrue="1" operator="equal">
      <formula>"Fail"</formula>
    </cfRule>
  </conditionalFormatting>
  <conditionalFormatting sqref="G756">
    <cfRule type="cellIs" dxfId="14452" priority="14381" stopIfTrue="1" operator="equal">
      <formula>"Pass"</formula>
    </cfRule>
    <cfRule type="cellIs" dxfId="14451" priority="14382" stopIfTrue="1" operator="equal">
      <formula>"Fail"</formula>
    </cfRule>
  </conditionalFormatting>
  <conditionalFormatting sqref="H756:L756">
    <cfRule type="cellIs" dxfId="14450" priority="14379" stopIfTrue="1" operator="equal">
      <formula>"Pass"</formula>
    </cfRule>
    <cfRule type="cellIs" dxfId="14449" priority="14380" stopIfTrue="1" operator="equal">
      <formula>"Fail"</formula>
    </cfRule>
  </conditionalFormatting>
  <conditionalFormatting sqref="H756:L756">
    <cfRule type="cellIs" dxfId="14448" priority="14377" stopIfTrue="1" operator="equal">
      <formula>"Pass"</formula>
    </cfRule>
    <cfRule type="cellIs" dxfId="14447" priority="14378" stopIfTrue="1" operator="equal">
      <formula>"Fail"</formula>
    </cfRule>
  </conditionalFormatting>
  <conditionalFormatting sqref="I756:L756">
    <cfRule type="cellIs" dxfId="14446" priority="14375" stopIfTrue="1" operator="equal">
      <formula>"Pass"</formula>
    </cfRule>
    <cfRule type="cellIs" dxfId="14445" priority="14376" stopIfTrue="1" operator="equal">
      <formula>"Fail"</formula>
    </cfRule>
  </conditionalFormatting>
  <conditionalFormatting sqref="I756:L756">
    <cfRule type="cellIs" dxfId="14444" priority="14373" stopIfTrue="1" operator="equal">
      <formula>"Pass"</formula>
    </cfRule>
    <cfRule type="cellIs" dxfId="14443" priority="14374" stopIfTrue="1" operator="equal">
      <formula>"Fail"</formula>
    </cfRule>
  </conditionalFormatting>
  <conditionalFormatting sqref="I756:L756">
    <cfRule type="cellIs" dxfId="14442" priority="14371" stopIfTrue="1" operator="equal">
      <formula>"Pass"</formula>
    </cfRule>
    <cfRule type="cellIs" dxfId="14441" priority="14372" stopIfTrue="1" operator="equal">
      <formula>"Fail"</formula>
    </cfRule>
  </conditionalFormatting>
  <conditionalFormatting sqref="I756:L756">
    <cfRule type="cellIs" dxfId="14440" priority="14369" stopIfTrue="1" operator="equal">
      <formula>"Pass"</formula>
    </cfRule>
    <cfRule type="cellIs" dxfId="14439" priority="14370" stopIfTrue="1" operator="equal">
      <formula>"Fail"</formula>
    </cfRule>
  </conditionalFormatting>
  <conditionalFormatting sqref="G756">
    <cfRule type="cellIs" dxfId="14438" priority="14367" stopIfTrue="1" operator="equal">
      <formula>"Pass"</formula>
    </cfRule>
    <cfRule type="cellIs" dxfId="14437" priority="14368" stopIfTrue="1" operator="equal">
      <formula>"Fail"</formula>
    </cfRule>
  </conditionalFormatting>
  <conditionalFormatting sqref="G756">
    <cfRule type="cellIs" dxfId="14436" priority="14365" stopIfTrue="1" operator="equal">
      <formula>"Pass"</formula>
    </cfRule>
    <cfRule type="cellIs" dxfId="14435" priority="14366" stopIfTrue="1" operator="equal">
      <formula>"Fail"</formula>
    </cfRule>
  </conditionalFormatting>
  <conditionalFormatting sqref="G756">
    <cfRule type="cellIs" dxfId="14434" priority="14363" stopIfTrue="1" operator="equal">
      <formula>"Pass"</formula>
    </cfRule>
    <cfRule type="cellIs" dxfId="14433" priority="14364" stopIfTrue="1" operator="equal">
      <formula>"Fail"</formula>
    </cfRule>
  </conditionalFormatting>
  <conditionalFormatting sqref="G756">
    <cfRule type="cellIs" dxfId="14432" priority="14361" stopIfTrue="1" operator="equal">
      <formula>"Pass"</formula>
    </cfRule>
    <cfRule type="cellIs" dxfId="14431" priority="14362" stopIfTrue="1" operator="equal">
      <formula>"Fail"</formula>
    </cfRule>
  </conditionalFormatting>
  <conditionalFormatting sqref="G756">
    <cfRule type="cellIs" dxfId="14430" priority="14359" stopIfTrue="1" operator="equal">
      <formula>"Pass"</formula>
    </cfRule>
    <cfRule type="cellIs" dxfId="14429" priority="14360" stopIfTrue="1" operator="equal">
      <formula>"Fail"</formula>
    </cfRule>
  </conditionalFormatting>
  <conditionalFormatting sqref="G756">
    <cfRule type="cellIs" dxfId="14428" priority="14357" stopIfTrue="1" operator="equal">
      <formula>"Pass"</formula>
    </cfRule>
    <cfRule type="cellIs" dxfId="14427" priority="14358" stopIfTrue="1" operator="equal">
      <formula>"Fail"</formula>
    </cfRule>
  </conditionalFormatting>
  <conditionalFormatting sqref="H756:L756">
    <cfRule type="cellIs" dxfId="14426" priority="14355" stopIfTrue="1" operator="equal">
      <formula>"Pass"</formula>
    </cfRule>
    <cfRule type="cellIs" dxfId="14425" priority="14356" stopIfTrue="1" operator="equal">
      <formula>"Fail"</formula>
    </cfRule>
  </conditionalFormatting>
  <conditionalFormatting sqref="H756:L756">
    <cfRule type="cellIs" dxfId="14424" priority="14353" stopIfTrue="1" operator="equal">
      <formula>"Pass"</formula>
    </cfRule>
    <cfRule type="cellIs" dxfId="14423" priority="14354" stopIfTrue="1" operator="equal">
      <formula>"Fail"</formula>
    </cfRule>
  </conditionalFormatting>
  <conditionalFormatting sqref="I756:L756">
    <cfRule type="cellIs" dxfId="14422" priority="14351" stopIfTrue="1" operator="equal">
      <formula>"Pass"</formula>
    </cfRule>
    <cfRule type="cellIs" dxfId="14421" priority="14352" stopIfTrue="1" operator="equal">
      <formula>"Fail"</formula>
    </cfRule>
  </conditionalFormatting>
  <conditionalFormatting sqref="I756:L756">
    <cfRule type="cellIs" dxfId="14420" priority="14349" stopIfTrue="1" operator="equal">
      <formula>"Pass"</formula>
    </cfRule>
    <cfRule type="cellIs" dxfId="14419" priority="14350" stopIfTrue="1" operator="equal">
      <formula>"Fail"</formula>
    </cfRule>
  </conditionalFormatting>
  <conditionalFormatting sqref="I756:L756">
    <cfRule type="cellIs" dxfId="14418" priority="14347" stopIfTrue="1" operator="equal">
      <formula>"Pass"</formula>
    </cfRule>
    <cfRule type="cellIs" dxfId="14417" priority="14348" stopIfTrue="1" operator="equal">
      <formula>"Fail"</formula>
    </cfRule>
  </conditionalFormatting>
  <conditionalFormatting sqref="I756:L756">
    <cfRule type="cellIs" dxfId="14416" priority="14345" stopIfTrue="1" operator="equal">
      <formula>"Pass"</formula>
    </cfRule>
    <cfRule type="cellIs" dxfId="14415" priority="14346" stopIfTrue="1" operator="equal">
      <formula>"Fail"</formula>
    </cfRule>
  </conditionalFormatting>
  <conditionalFormatting sqref="G756">
    <cfRule type="cellIs" dxfId="14414" priority="14343" stopIfTrue="1" operator="equal">
      <formula>"Pass"</formula>
    </cfRule>
    <cfRule type="cellIs" dxfId="14413" priority="14344" stopIfTrue="1" operator="equal">
      <formula>"Fail"</formula>
    </cfRule>
  </conditionalFormatting>
  <conditionalFormatting sqref="G756">
    <cfRule type="cellIs" dxfId="14412" priority="14341" stopIfTrue="1" operator="equal">
      <formula>"Pass"</formula>
    </cfRule>
    <cfRule type="cellIs" dxfId="14411" priority="14342" stopIfTrue="1" operator="equal">
      <formula>"Fail"</formula>
    </cfRule>
  </conditionalFormatting>
  <conditionalFormatting sqref="G756">
    <cfRule type="cellIs" dxfId="14410" priority="14339" stopIfTrue="1" operator="equal">
      <formula>"Pass"</formula>
    </cfRule>
    <cfRule type="cellIs" dxfId="14409" priority="14340" stopIfTrue="1" operator="equal">
      <formula>"Fail"</formula>
    </cfRule>
  </conditionalFormatting>
  <conditionalFormatting sqref="G756">
    <cfRule type="cellIs" dxfId="14408" priority="14337" stopIfTrue="1" operator="equal">
      <formula>"Pass"</formula>
    </cfRule>
    <cfRule type="cellIs" dxfId="14407" priority="14338" stopIfTrue="1" operator="equal">
      <formula>"Fail"</formula>
    </cfRule>
  </conditionalFormatting>
  <conditionalFormatting sqref="G756">
    <cfRule type="cellIs" dxfId="14406" priority="14335" stopIfTrue="1" operator="equal">
      <formula>"Pass"</formula>
    </cfRule>
    <cfRule type="cellIs" dxfId="14405" priority="14336" stopIfTrue="1" operator="equal">
      <formula>"Fail"</formula>
    </cfRule>
  </conditionalFormatting>
  <conditionalFormatting sqref="G756">
    <cfRule type="cellIs" dxfId="14404" priority="14333" stopIfTrue="1" operator="equal">
      <formula>"Pass"</formula>
    </cfRule>
    <cfRule type="cellIs" dxfId="14403" priority="14334" stopIfTrue="1" operator="equal">
      <formula>"Fail"</formula>
    </cfRule>
  </conditionalFormatting>
  <conditionalFormatting sqref="H756:L756">
    <cfRule type="cellIs" dxfId="14402" priority="14331" stopIfTrue="1" operator="equal">
      <formula>"Pass"</formula>
    </cfRule>
    <cfRule type="cellIs" dxfId="14401" priority="14332" stopIfTrue="1" operator="equal">
      <formula>"Fail"</formula>
    </cfRule>
  </conditionalFormatting>
  <conditionalFormatting sqref="H756:L756">
    <cfRule type="cellIs" dxfId="14400" priority="14329" stopIfTrue="1" operator="equal">
      <formula>"Pass"</formula>
    </cfRule>
    <cfRule type="cellIs" dxfId="14399" priority="14330" stopIfTrue="1" operator="equal">
      <formula>"Fail"</formula>
    </cfRule>
  </conditionalFormatting>
  <conditionalFormatting sqref="I756:L756">
    <cfRule type="cellIs" dxfId="14398" priority="14327" stopIfTrue="1" operator="equal">
      <formula>"Pass"</formula>
    </cfRule>
    <cfRule type="cellIs" dxfId="14397" priority="14328" stopIfTrue="1" operator="equal">
      <formula>"Fail"</formula>
    </cfRule>
  </conditionalFormatting>
  <conditionalFormatting sqref="I756:L756">
    <cfRule type="cellIs" dxfId="14396" priority="14325" stopIfTrue="1" operator="equal">
      <formula>"Pass"</formula>
    </cfRule>
    <cfRule type="cellIs" dxfId="14395" priority="14326" stopIfTrue="1" operator="equal">
      <formula>"Fail"</formula>
    </cfRule>
  </conditionalFormatting>
  <conditionalFormatting sqref="I756:L756">
    <cfRule type="cellIs" dxfId="14394" priority="14323" stopIfTrue="1" operator="equal">
      <formula>"Pass"</formula>
    </cfRule>
    <cfRule type="cellIs" dxfId="14393" priority="14324" stopIfTrue="1" operator="equal">
      <formula>"Fail"</formula>
    </cfRule>
  </conditionalFormatting>
  <conditionalFormatting sqref="I756:L756">
    <cfRule type="cellIs" dxfId="14392" priority="14321" stopIfTrue="1" operator="equal">
      <formula>"Pass"</formula>
    </cfRule>
    <cfRule type="cellIs" dxfId="14391" priority="14322" stopIfTrue="1" operator="equal">
      <formula>"Fail"</formula>
    </cfRule>
  </conditionalFormatting>
  <conditionalFormatting sqref="G756">
    <cfRule type="cellIs" dxfId="14390" priority="14319" stopIfTrue="1" operator="equal">
      <formula>"Pass"</formula>
    </cfRule>
    <cfRule type="cellIs" dxfId="14389" priority="14320" stopIfTrue="1" operator="equal">
      <formula>"Fail"</formula>
    </cfRule>
  </conditionalFormatting>
  <conditionalFormatting sqref="G756">
    <cfRule type="cellIs" dxfId="14388" priority="14317" stopIfTrue="1" operator="equal">
      <formula>"Pass"</formula>
    </cfRule>
    <cfRule type="cellIs" dxfId="14387" priority="14318" stopIfTrue="1" operator="equal">
      <formula>"Fail"</formula>
    </cfRule>
  </conditionalFormatting>
  <conditionalFormatting sqref="G756">
    <cfRule type="cellIs" dxfId="14386" priority="14315" stopIfTrue="1" operator="equal">
      <formula>"Pass"</formula>
    </cfRule>
    <cfRule type="cellIs" dxfId="14385" priority="14316" stopIfTrue="1" operator="equal">
      <formula>"Fail"</formula>
    </cfRule>
  </conditionalFormatting>
  <conditionalFormatting sqref="G756">
    <cfRule type="cellIs" dxfId="14384" priority="14313" stopIfTrue="1" operator="equal">
      <formula>"Pass"</formula>
    </cfRule>
    <cfRule type="cellIs" dxfId="14383" priority="14314" stopIfTrue="1" operator="equal">
      <formula>"Fail"</formula>
    </cfRule>
  </conditionalFormatting>
  <conditionalFormatting sqref="G756">
    <cfRule type="cellIs" dxfId="14382" priority="14311" stopIfTrue="1" operator="equal">
      <formula>"Pass"</formula>
    </cfRule>
    <cfRule type="cellIs" dxfId="14381" priority="14312" stopIfTrue="1" operator="equal">
      <formula>"Fail"</formula>
    </cfRule>
  </conditionalFormatting>
  <conditionalFormatting sqref="G756">
    <cfRule type="cellIs" dxfId="14380" priority="14309" stopIfTrue="1" operator="equal">
      <formula>"Pass"</formula>
    </cfRule>
    <cfRule type="cellIs" dxfId="14379" priority="14310" stopIfTrue="1" operator="equal">
      <formula>"Fail"</formula>
    </cfRule>
  </conditionalFormatting>
  <conditionalFormatting sqref="H756:L756">
    <cfRule type="cellIs" dxfId="14378" priority="14307" stopIfTrue="1" operator="equal">
      <formula>"Pass"</formula>
    </cfRule>
    <cfRule type="cellIs" dxfId="14377" priority="14308" stopIfTrue="1" operator="equal">
      <formula>"Fail"</formula>
    </cfRule>
  </conditionalFormatting>
  <conditionalFormatting sqref="H756:L756">
    <cfRule type="cellIs" dxfId="14376" priority="14305" stopIfTrue="1" operator="equal">
      <formula>"Pass"</formula>
    </cfRule>
    <cfRule type="cellIs" dxfId="14375" priority="14306" stopIfTrue="1" operator="equal">
      <formula>"Fail"</formula>
    </cfRule>
  </conditionalFormatting>
  <conditionalFormatting sqref="I756:L756">
    <cfRule type="cellIs" dxfId="14374" priority="14303" stopIfTrue="1" operator="equal">
      <formula>"Pass"</formula>
    </cfRule>
    <cfRule type="cellIs" dxfId="14373" priority="14304" stopIfTrue="1" operator="equal">
      <formula>"Fail"</formula>
    </cfRule>
  </conditionalFormatting>
  <conditionalFormatting sqref="I756:L756">
    <cfRule type="cellIs" dxfId="14372" priority="14301" stopIfTrue="1" operator="equal">
      <formula>"Pass"</formula>
    </cfRule>
    <cfRule type="cellIs" dxfId="14371" priority="14302" stopIfTrue="1" operator="equal">
      <formula>"Fail"</formula>
    </cfRule>
  </conditionalFormatting>
  <conditionalFormatting sqref="I756:L756">
    <cfRule type="cellIs" dxfId="14370" priority="14299" stopIfTrue="1" operator="equal">
      <formula>"Pass"</formula>
    </cfRule>
    <cfRule type="cellIs" dxfId="14369" priority="14300" stopIfTrue="1" operator="equal">
      <formula>"Fail"</formula>
    </cfRule>
  </conditionalFormatting>
  <conditionalFormatting sqref="I756:L756">
    <cfRule type="cellIs" dxfId="14368" priority="14297" stopIfTrue="1" operator="equal">
      <formula>"Pass"</formula>
    </cfRule>
    <cfRule type="cellIs" dxfId="14367" priority="14298" stopIfTrue="1" operator="equal">
      <formula>"Fail"</formula>
    </cfRule>
  </conditionalFormatting>
  <conditionalFormatting sqref="G756">
    <cfRule type="cellIs" dxfId="14366" priority="14295" stopIfTrue="1" operator="equal">
      <formula>"Pass"</formula>
    </cfRule>
    <cfRule type="cellIs" dxfId="14365" priority="14296" stopIfTrue="1" operator="equal">
      <formula>"Fail"</formula>
    </cfRule>
  </conditionalFormatting>
  <conditionalFormatting sqref="G756">
    <cfRule type="cellIs" dxfId="14364" priority="14293" stopIfTrue="1" operator="equal">
      <formula>"Pass"</formula>
    </cfRule>
    <cfRule type="cellIs" dxfId="14363" priority="14294" stopIfTrue="1" operator="equal">
      <formula>"Fail"</formula>
    </cfRule>
  </conditionalFormatting>
  <conditionalFormatting sqref="G756">
    <cfRule type="cellIs" dxfId="14362" priority="14291" stopIfTrue="1" operator="equal">
      <formula>"Pass"</formula>
    </cfRule>
    <cfRule type="cellIs" dxfId="14361" priority="14292" stopIfTrue="1" operator="equal">
      <formula>"Fail"</formula>
    </cfRule>
  </conditionalFormatting>
  <conditionalFormatting sqref="G756">
    <cfRule type="cellIs" dxfId="14360" priority="14289" stopIfTrue="1" operator="equal">
      <formula>"Pass"</formula>
    </cfRule>
    <cfRule type="cellIs" dxfId="14359" priority="14290" stopIfTrue="1" operator="equal">
      <formula>"Fail"</formula>
    </cfRule>
  </conditionalFormatting>
  <conditionalFormatting sqref="G756">
    <cfRule type="cellIs" dxfId="14358" priority="14287" stopIfTrue="1" operator="equal">
      <formula>"Pass"</formula>
    </cfRule>
    <cfRule type="cellIs" dxfId="14357" priority="14288" stopIfTrue="1" operator="equal">
      <formula>"Fail"</formula>
    </cfRule>
  </conditionalFormatting>
  <conditionalFormatting sqref="G756">
    <cfRule type="cellIs" dxfId="14356" priority="14285" stopIfTrue="1" operator="equal">
      <formula>"Pass"</formula>
    </cfRule>
    <cfRule type="cellIs" dxfId="14355" priority="14286" stopIfTrue="1" operator="equal">
      <formula>"Fail"</formula>
    </cfRule>
  </conditionalFormatting>
  <conditionalFormatting sqref="H756:L756">
    <cfRule type="cellIs" dxfId="14354" priority="14283" stopIfTrue="1" operator="equal">
      <formula>"Pass"</formula>
    </cfRule>
    <cfRule type="cellIs" dxfId="14353" priority="14284" stopIfTrue="1" operator="equal">
      <formula>"Fail"</formula>
    </cfRule>
  </conditionalFormatting>
  <conditionalFormatting sqref="H756:L756">
    <cfRule type="cellIs" dxfId="14352" priority="14281" stopIfTrue="1" operator="equal">
      <formula>"Pass"</formula>
    </cfRule>
    <cfRule type="cellIs" dxfId="14351" priority="14282" stopIfTrue="1" operator="equal">
      <formula>"Fail"</formula>
    </cfRule>
  </conditionalFormatting>
  <conditionalFormatting sqref="I756:L756">
    <cfRule type="cellIs" dxfId="14350" priority="14279" stopIfTrue="1" operator="equal">
      <formula>"Pass"</formula>
    </cfRule>
    <cfRule type="cellIs" dxfId="14349" priority="14280" stopIfTrue="1" operator="equal">
      <formula>"Fail"</formula>
    </cfRule>
  </conditionalFormatting>
  <conditionalFormatting sqref="I756:L756">
    <cfRule type="cellIs" dxfId="14348" priority="14277" stopIfTrue="1" operator="equal">
      <formula>"Pass"</formula>
    </cfRule>
    <cfRule type="cellIs" dxfId="14347" priority="14278" stopIfTrue="1" operator="equal">
      <formula>"Fail"</formula>
    </cfRule>
  </conditionalFormatting>
  <conditionalFormatting sqref="I756:L756">
    <cfRule type="cellIs" dxfId="14346" priority="14275" stopIfTrue="1" operator="equal">
      <formula>"Pass"</formula>
    </cfRule>
    <cfRule type="cellIs" dxfId="14345" priority="14276" stopIfTrue="1" operator="equal">
      <formula>"Fail"</formula>
    </cfRule>
  </conditionalFormatting>
  <conditionalFormatting sqref="I756:L756">
    <cfRule type="cellIs" dxfId="14344" priority="14273" stopIfTrue="1" operator="equal">
      <formula>"Pass"</formula>
    </cfRule>
    <cfRule type="cellIs" dxfId="14343" priority="14274" stopIfTrue="1" operator="equal">
      <formula>"Fail"</formula>
    </cfRule>
  </conditionalFormatting>
  <conditionalFormatting sqref="G756">
    <cfRule type="cellIs" dxfId="14342" priority="14271" stopIfTrue="1" operator="equal">
      <formula>"Pass"</formula>
    </cfRule>
    <cfRule type="cellIs" dxfId="14341" priority="14272" stopIfTrue="1" operator="equal">
      <formula>"Fail"</formula>
    </cfRule>
  </conditionalFormatting>
  <conditionalFormatting sqref="G756">
    <cfRule type="cellIs" dxfId="14340" priority="14269" stopIfTrue="1" operator="equal">
      <formula>"Pass"</formula>
    </cfRule>
    <cfRule type="cellIs" dxfId="14339" priority="14270" stopIfTrue="1" operator="equal">
      <formula>"Fail"</formula>
    </cfRule>
  </conditionalFormatting>
  <conditionalFormatting sqref="G756">
    <cfRule type="cellIs" dxfId="14338" priority="14267" stopIfTrue="1" operator="equal">
      <formula>"Pass"</formula>
    </cfRule>
    <cfRule type="cellIs" dxfId="14337" priority="14268" stopIfTrue="1" operator="equal">
      <formula>"Fail"</formula>
    </cfRule>
  </conditionalFormatting>
  <conditionalFormatting sqref="G756">
    <cfRule type="cellIs" dxfId="14336" priority="14265" stopIfTrue="1" operator="equal">
      <formula>"Pass"</formula>
    </cfRule>
    <cfRule type="cellIs" dxfId="14335" priority="14266" stopIfTrue="1" operator="equal">
      <formula>"Fail"</formula>
    </cfRule>
  </conditionalFormatting>
  <conditionalFormatting sqref="G756">
    <cfRule type="cellIs" dxfId="14334" priority="14263" stopIfTrue="1" operator="equal">
      <formula>"Pass"</formula>
    </cfRule>
    <cfRule type="cellIs" dxfId="14333" priority="14264" stopIfTrue="1" operator="equal">
      <formula>"Fail"</formula>
    </cfRule>
  </conditionalFormatting>
  <conditionalFormatting sqref="G756">
    <cfRule type="cellIs" dxfId="14332" priority="14261" stopIfTrue="1" operator="equal">
      <formula>"Pass"</formula>
    </cfRule>
    <cfRule type="cellIs" dxfId="14331" priority="14262" stopIfTrue="1" operator="equal">
      <formula>"Fail"</formula>
    </cfRule>
  </conditionalFormatting>
  <conditionalFormatting sqref="H756:L756">
    <cfRule type="cellIs" dxfId="14330" priority="14259" stopIfTrue="1" operator="equal">
      <formula>"Pass"</formula>
    </cfRule>
    <cfRule type="cellIs" dxfId="14329" priority="14260" stopIfTrue="1" operator="equal">
      <formula>"Fail"</formula>
    </cfRule>
  </conditionalFormatting>
  <conditionalFormatting sqref="H756:L756">
    <cfRule type="cellIs" dxfId="14328" priority="14257" stopIfTrue="1" operator="equal">
      <formula>"Pass"</formula>
    </cfRule>
    <cfRule type="cellIs" dxfId="14327" priority="14258" stopIfTrue="1" operator="equal">
      <formula>"Fail"</formula>
    </cfRule>
  </conditionalFormatting>
  <conditionalFormatting sqref="I756:L756">
    <cfRule type="cellIs" dxfId="14326" priority="14255" stopIfTrue="1" operator="equal">
      <formula>"Pass"</formula>
    </cfRule>
    <cfRule type="cellIs" dxfId="14325" priority="14256" stopIfTrue="1" operator="equal">
      <formula>"Fail"</formula>
    </cfRule>
  </conditionalFormatting>
  <conditionalFormatting sqref="I756:L756">
    <cfRule type="cellIs" dxfId="14324" priority="14253" stopIfTrue="1" operator="equal">
      <formula>"Pass"</formula>
    </cfRule>
    <cfRule type="cellIs" dxfId="14323" priority="14254" stopIfTrue="1" operator="equal">
      <formula>"Fail"</formula>
    </cfRule>
  </conditionalFormatting>
  <conditionalFormatting sqref="I756:L756">
    <cfRule type="cellIs" dxfId="14322" priority="14251" stopIfTrue="1" operator="equal">
      <formula>"Pass"</formula>
    </cfRule>
    <cfRule type="cellIs" dxfId="14321" priority="14252" stopIfTrue="1" operator="equal">
      <formula>"Fail"</formula>
    </cfRule>
  </conditionalFormatting>
  <conditionalFormatting sqref="I756:L756">
    <cfRule type="cellIs" dxfId="14320" priority="14249" stopIfTrue="1" operator="equal">
      <formula>"Pass"</formula>
    </cfRule>
    <cfRule type="cellIs" dxfId="14319" priority="14250" stopIfTrue="1" operator="equal">
      <formula>"Fail"</formula>
    </cfRule>
  </conditionalFormatting>
  <conditionalFormatting sqref="G756">
    <cfRule type="cellIs" dxfId="14318" priority="14247" stopIfTrue="1" operator="equal">
      <formula>"Pass"</formula>
    </cfRule>
    <cfRule type="cellIs" dxfId="14317" priority="14248" stopIfTrue="1" operator="equal">
      <formula>"Fail"</formula>
    </cfRule>
  </conditionalFormatting>
  <conditionalFormatting sqref="G756">
    <cfRule type="cellIs" dxfId="14316" priority="14245" stopIfTrue="1" operator="equal">
      <formula>"Pass"</formula>
    </cfRule>
    <cfRule type="cellIs" dxfId="14315" priority="14246" stopIfTrue="1" operator="equal">
      <formula>"Fail"</formula>
    </cfRule>
  </conditionalFormatting>
  <conditionalFormatting sqref="G756">
    <cfRule type="cellIs" dxfId="14314" priority="14243" stopIfTrue="1" operator="equal">
      <formula>"Pass"</formula>
    </cfRule>
    <cfRule type="cellIs" dxfId="14313" priority="14244" stopIfTrue="1" operator="equal">
      <formula>"Fail"</formula>
    </cfRule>
  </conditionalFormatting>
  <conditionalFormatting sqref="G756">
    <cfRule type="cellIs" dxfId="14312" priority="14241" stopIfTrue="1" operator="equal">
      <formula>"Pass"</formula>
    </cfRule>
    <cfRule type="cellIs" dxfId="14311" priority="14242" stopIfTrue="1" operator="equal">
      <formula>"Fail"</formula>
    </cfRule>
  </conditionalFormatting>
  <conditionalFormatting sqref="G756">
    <cfRule type="cellIs" dxfId="14310" priority="14239" stopIfTrue="1" operator="equal">
      <formula>"Pass"</formula>
    </cfRule>
    <cfRule type="cellIs" dxfId="14309" priority="14240" stopIfTrue="1" operator="equal">
      <formula>"Fail"</formula>
    </cfRule>
  </conditionalFormatting>
  <conditionalFormatting sqref="G756">
    <cfRule type="cellIs" dxfId="14308" priority="14237" stopIfTrue="1" operator="equal">
      <formula>"Pass"</formula>
    </cfRule>
    <cfRule type="cellIs" dxfId="14307" priority="14238" stopIfTrue="1" operator="equal">
      <formula>"Fail"</formula>
    </cfRule>
  </conditionalFormatting>
  <conditionalFormatting sqref="H756:L756">
    <cfRule type="cellIs" dxfId="14306" priority="14235" stopIfTrue="1" operator="equal">
      <formula>"Pass"</formula>
    </cfRule>
    <cfRule type="cellIs" dxfId="14305" priority="14236" stopIfTrue="1" operator="equal">
      <formula>"Fail"</formula>
    </cfRule>
  </conditionalFormatting>
  <conditionalFormatting sqref="H756:L756">
    <cfRule type="cellIs" dxfId="14304" priority="14233" stopIfTrue="1" operator="equal">
      <formula>"Pass"</formula>
    </cfRule>
    <cfRule type="cellIs" dxfId="14303" priority="14234" stopIfTrue="1" operator="equal">
      <formula>"Fail"</formula>
    </cfRule>
  </conditionalFormatting>
  <conditionalFormatting sqref="I756:L756">
    <cfRule type="cellIs" dxfId="14302" priority="14231" stopIfTrue="1" operator="equal">
      <formula>"Pass"</formula>
    </cfRule>
    <cfRule type="cellIs" dxfId="14301" priority="14232" stopIfTrue="1" operator="equal">
      <formula>"Fail"</formula>
    </cfRule>
  </conditionalFormatting>
  <conditionalFormatting sqref="I756:L756">
    <cfRule type="cellIs" dxfId="14300" priority="14229" stopIfTrue="1" operator="equal">
      <formula>"Pass"</formula>
    </cfRule>
    <cfRule type="cellIs" dxfId="14299" priority="14230" stopIfTrue="1" operator="equal">
      <formula>"Fail"</formula>
    </cfRule>
  </conditionalFormatting>
  <conditionalFormatting sqref="I756:L756">
    <cfRule type="cellIs" dxfId="14298" priority="14227" stopIfTrue="1" operator="equal">
      <formula>"Pass"</formula>
    </cfRule>
    <cfRule type="cellIs" dxfId="14297" priority="14228" stopIfTrue="1" operator="equal">
      <formula>"Fail"</formula>
    </cfRule>
  </conditionalFormatting>
  <conditionalFormatting sqref="I756:L756">
    <cfRule type="cellIs" dxfId="14296" priority="14225" stopIfTrue="1" operator="equal">
      <formula>"Pass"</formula>
    </cfRule>
    <cfRule type="cellIs" dxfId="14295" priority="14226" stopIfTrue="1" operator="equal">
      <formula>"Fail"</formula>
    </cfRule>
  </conditionalFormatting>
  <conditionalFormatting sqref="G756">
    <cfRule type="cellIs" dxfId="14294" priority="14223" stopIfTrue="1" operator="equal">
      <formula>"Pass"</formula>
    </cfRule>
    <cfRule type="cellIs" dxfId="14293" priority="14224" stopIfTrue="1" operator="equal">
      <formula>"Fail"</formula>
    </cfRule>
  </conditionalFormatting>
  <conditionalFormatting sqref="G756">
    <cfRule type="cellIs" dxfId="14292" priority="14221" stopIfTrue="1" operator="equal">
      <formula>"Pass"</formula>
    </cfRule>
    <cfRule type="cellIs" dxfId="14291" priority="14222" stopIfTrue="1" operator="equal">
      <formula>"Fail"</formula>
    </cfRule>
  </conditionalFormatting>
  <conditionalFormatting sqref="G756">
    <cfRule type="cellIs" dxfId="14290" priority="14219" stopIfTrue="1" operator="equal">
      <formula>"Pass"</formula>
    </cfRule>
    <cfRule type="cellIs" dxfId="14289" priority="14220" stopIfTrue="1" operator="equal">
      <formula>"Fail"</formula>
    </cfRule>
  </conditionalFormatting>
  <conditionalFormatting sqref="G756">
    <cfRule type="cellIs" dxfId="14288" priority="14217" stopIfTrue="1" operator="equal">
      <formula>"Pass"</formula>
    </cfRule>
    <cfRule type="cellIs" dxfId="14287" priority="14218" stopIfTrue="1" operator="equal">
      <formula>"Fail"</formula>
    </cfRule>
  </conditionalFormatting>
  <conditionalFormatting sqref="G756">
    <cfRule type="cellIs" dxfId="14286" priority="14215" stopIfTrue="1" operator="equal">
      <formula>"Pass"</formula>
    </cfRule>
    <cfRule type="cellIs" dxfId="14285" priority="14216" stopIfTrue="1" operator="equal">
      <formula>"Fail"</formula>
    </cfRule>
  </conditionalFormatting>
  <conditionalFormatting sqref="G756">
    <cfRule type="cellIs" dxfId="14284" priority="14213" stopIfTrue="1" operator="equal">
      <formula>"Pass"</formula>
    </cfRule>
    <cfRule type="cellIs" dxfId="14283" priority="14214" stopIfTrue="1" operator="equal">
      <formula>"Fail"</formula>
    </cfRule>
  </conditionalFormatting>
  <conditionalFormatting sqref="H756:L756">
    <cfRule type="cellIs" dxfId="14282" priority="14211" stopIfTrue="1" operator="equal">
      <formula>"Pass"</formula>
    </cfRule>
    <cfRule type="cellIs" dxfId="14281" priority="14212" stopIfTrue="1" operator="equal">
      <formula>"Fail"</formula>
    </cfRule>
  </conditionalFormatting>
  <conditionalFormatting sqref="H756:L756">
    <cfRule type="cellIs" dxfId="14280" priority="14209" stopIfTrue="1" operator="equal">
      <formula>"Pass"</formula>
    </cfRule>
    <cfRule type="cellIs" dxfId="14279" priority="14210" stopIfTrue="1" operator="equal">
      <formula>"Fail"</formula>
    </cfRule>
  </conditionalFormatting>
  <conditionalFormatting sqref="I756:L756">
    <cfRule type="cellIs" dxfId="14278" priority="14207" stopIfTrue="1" operator="equal">
      <formula>"Pass"</formula>
    </cfRule>
    <cfRule type="cellIs" dxfId="14277" priority="14208" stopIfTrue="1" operator="equal">
      <formula>"Fail"</formula>
    </cfRule>
  </conditionalFormatting>
  <conditionalFormatting sqref="I756:L756">
    <cfRule type="cellIs" dxfId="14276" priority="14205" stopIfTrue="1" operator="equal">
      <formula>"Pass"</formula>
    </cfRule>
    <cfRule type="cellIs" dxfId="14275" priority="14206" stopIfTrue="1" operator="equal">
      <formula>"Fail"</formula>
    </cfRule>
  </conditionalFormatting>
  <conditionalFormatting sqref="I756:L756">
    <cfRule type="cellIs" dxfId="14274" priority="14203" stopIfTrue="1" operator="equal">
      <formula>"Pass"</formula>
    </cfRule>
    <cfRule type="cellIs" dxfId="14273" priority="14204" stopIfTrue="1" operator="equal">
      <formula>"Fail"</formula>
    </cfRule>
  </conditionalFormatting>
  <conditionalFormatting sqref="I756:L756">
    <cfRule type="cellIs" dxfId="14272" priority="14201" stopIfTrue="1" operator="equal">
      <formula>"Pass"</formula>
    </cfRule>
    <cfRule type="cellIs" dxfId="14271" priority="14202" stopIfTrue="1" operator="equal">
      <formula>"Fail"</formula>
    </cfRule>
  </conditionalFormatting>
  <conditionalFormatting sqref="G756">
    <cfRule type="cellIs" dxfId="14270" priority="14199" stopIfTrue="1" operator="equal">
      <formula>"Pass"</formula>
    </cfRule>
    <cfRule type="cellIs" dxfId="14269" priority="14200" stopIfTrue="1" operator="equal">
      <formula>"Fail"</formula>
    </cfRule>
  </conditionalFormatting>
  <conditionalFormatting sqref="G756">
    <cfRule type="cellIs" dxfId="14268" priority="14197" stopIfTrue="1" operator="equal">
      <formula>"Pass"</formula>
    </cfRule>
    <cfRule type="cellIs" dxfId="14267" priority="14198" stopIfTrue="1" operator="equal">
      <formula>"Fail"</formula>
    </cfRule>
  </conditionalFormatting>
  <conditionalFormatting sqref="G756">
    <cfRule type="cellIs" dxfId="14266" priority="14195" stopIfTrue="1" operator="equal">
      <formula>"Pass"</formula>
    </cfRule>
    <cfRule type="cellIs" dxfId="14265" priority="14196" stopIfTrue="1" operator="equal">
      <formula>"Fail"</formula>
    </cfRule>
  </conditionalFormatting>
  <conditionalFormatting sqref="G756">
    <cfRule type="cellIs" dxfId="14264" priority="14193" stopIfTrue="1" operator="equal">
      <formula>"Pass"</formula>
    </cfRule>
    <cfRule type="cellIs" dxfId="14263" priority="14194" stopIfTrue="1" operator="equal">
      <formula>"Fail"</formula>
    </cfRule>
  </conditionalFormatting>
  <conditionalFormatting sqref="G756">
    <cfRule type="cellIs" dxfId="14262" priority="14191" stopIfTrue="1" operator="equal">
      <formula>"Pass"</formula>
    </cfRule>
    <cfRule type="cellIs" dxfId="14261" priority="14192" stopIfTrue="1" operator="equal">
      <formula>"Fail"</formula>
    </cfRule>
  </conditionalFormatting>
  <conditionalFormatting sqref="G756">
    <cfRule type="cellIs" dxfId="14260" priority="14189" stopIfTrue="1" operator="equal">
      <formula>"Pass"</formula>
    </cfRule>
    <cfRule type="cellIs" dxfId="14259" priority="14190" stopIfTrue="1" operator="equal">
      <formula>"Fail"</formula>
    </cfRule>
  </conditionalFormatting>
  <conditionalFormatting sqref="H756:L756">
    <cfRule type="cellIs" dxfId="14258" priority="14187" stopIfTrue="1" operator="equal">
      <formula>"Pass"</formula>
    </cfRule>
    <cfRule type="cellIs" dxfId="14257" priority="14188" stopIfTrue="1" operator="equal">
      <formula>"Fail"</formula>
    </cfRule>
  </conditionalFormatting>
  <conditionalFormatting sqref="H756:L756">
    <cfRule type="cellIs" dxfId="14256" priority="14185" stopIfTrue="1" operator="equal">
      <formula>"Pass"</formula>
    </cfRule>
    <cfRule type="cellIs" dxfId="14255" priority="14186" stopIfTrue="1" operator="equal">
      <formula>"Fail"</formula>
    </cfRule>
  </conditionalFormatting>
  <conditionalFormatting sqref="I756:L756">
    <cfRule type="cellIs" dxfId="14254" priority="14183" stopIfTrue="1" operator="equal">
      <formula>"Pass"</formula>
    </cfRule>
    <cfRule type="cellIs" dxfId="14253" priority="14184" stopIfTrue="1" operator="equal">
      <formula>"Fail"</formula>
    </cfRule>
  </conditionalFormatting>
  <conditionalFormatting sqref="I756:L756">
    <cfRule type="cellIs" dxfId="14252" priority="14181" stopIfTrue="1" operator="equal">
      <formula>"Pass"</formula>
    </cfRule>
    <cfRule type="cellIs" dxfId="14251" priority="14182" stopIfTrue="1" operator="equal">
      <formula>"Fail"</formula>
    </cfRule>
  </conditionalFormatting>
  <conditionalFormatting sqref="I756:L756">
    <cfRule type="cellIs" dxfId="14250" priority="14179" stopIfTrue="1" operator="equal">
      <formula>"Pass"</formula>
    </cfRule>
    <cfRule type="cellIs" dxfId="14249" priority="14180" stopIfTrue="1" operator="equal">
      <formula>"Fail"</formula>
    </cfRule>
  </conditionalFormatting>
  <conditionalFormatting sqref="I756:L756">
    <cfRule type="cellIs" dxfId="14248" priority="14177" stopIfTrue="1" operator="equal">
      <formula>"Pass"</formula>
    </cfRule>
    <cfRule type="cellIs" dxfId="14247" priority="14178" stopIfTrue="1" operator="equal">
      <formula>"Fail"</formula>
    </cfRule>
  </conditionalFormatting>
  <conditionalFormatting sqref="G756">
    <cfRule type="cellIs" dxfId="14246" priority="14175" stopIfTrue="1" operator="equal">
      <formula>"Pass"</formula>
    </cfRule>
    <cfRule type="cellIs" dxfId="14245" priority="14176" stopIfTrue="1" operator="equal">
      <formula>"Fail"</formula>
    </cfRule>
  </conditionalFormatting>
  <conditionalFormatting sqref="G756">
    <cfRule type="cellIs" dxfId="14244" priority="14173" stopIfTrue="1" operator="equal">
      <formula>"Pass"</formula>
    </cfRule>
    <cfRule type="cellIs" dxfId="14243" priority="14174" stopIfTrue="1" operator="equal">
      <formula>"Fail"</formula>
    </cfRule>
  </conditionalFormatting>
  <conditionalFormatting sqref="G756">
    <cfRule type="cellIs" dxfId="14242" priority="14171" stopIfTrue="1" operator="equal">
      <formula>"Pass"</formula>
    </cfRule>
    <cfRule type="cellIs" dxfId="14241" priority="14172" stopIfTrue="1" operator="equal">
      <formula>"Fail"</formula>
    </cfRule>
  </conditionalFormatting>
  <conditionalFormatting sqref="G756">
    <cfRule type="cellIs" dxfId="14240" priority="14169" stopIfTrue="1" operator="equal">
      <formula>"Pass"</formula>
    </cfRule>
    <cfRule type="cellIs" dxfId="14239" priority="14170" stopIfTrue="1" operator="equal">
      <formula>"Fail"</formula>
    </cfRule>
  </conditionalFormatting>
  <conditionalFormatting sqref="G756">
    <cfRule type="cellIs" dxfId="14238" priority="14167" stopIfTrue="1" operator="equal">
      <formula>"Pass"</formula>
    </cfRule>
    <cfRule type="cellIs" dxfId="14237" priority="14168" stopIfTrue="1" operator="equal">
      <formula>"Fail"</formula>
    </cfRule>
  </conditionalFormatting>
  <conditionalFormatting sqref="G756">
    <cfRule type="cellIs" dxfId="14236" priority="14165" stopIfTrue="1" operator="equal">
      <formula>"Pass"</formula>
    </cfRule>
    <cfRule type="cellIs" dxfId="14235" priority="14166" stopIfTrue="1" operator="equal">
      <formula>"Fail"</formula>
    </cfRule>
  </conditionalFormatting>
  <conditionalFormatting sqref="H756:L756">
    <cfRule type="cellIs" dxfId="14234" priority="14163" stopIfTrue="1" operator="equal">
      <formula>"Pass"</formula>
    </cfRule>
    <cfRule type="cellIs" dxfId="14233" priority="14164" stopIfTrue="1" operator="equal">
      <formula>"Fail"</formula>
    </cfRule>
  </conditionalFormatting>
  <conditionalFormatting sqref="H756:L756">
    <cfRule type="cellIs" dxfId="14232" priority="14161" stopIfTrue="1" operator="equal">
      <formula>"Pass"</formula>
    </cfRule>
    <cfRule type="cellIs" dxfId="14231" priority="14162" stopIfTrue="1" operator="equal">
      <formula>"Fail"</formula>
    </cfRule>
  </conditionalFormatting>
  <conditionalFormatting sqref="I756:L756">
    <cfRule type="cellIs" dxfId="14230" priority="14159" stopIfTrue="1" operator="equal">
      <formula>"Pass"</formula>
    </cfRule>
    <cfRule type="cellIs" dxfId="14229" priority="14160" stopIfTrue="1" operator="equal">
      <formula>"Fail"</formula>
    </cfRule>
  </conditionalFormatting>
  <conditionalFormatting sqref="I756:L756">
    <cfRule type="cellIs" dxfId="14228" priority="14157" stopIfTrue="1" operator="equal">
      <formula>"Pass"</formula>
    </cfRule>
    <cfRule type="cellIs" dxfId="14227" priority="14158" stopIfTrue="1" operator="equal">
      <formula>"Fail"</formula>
    </cfRule>
  </conditionalFormatting>
  <conditionalFormatting sqref="I756:L756">
    <cfRule type="cellIs" dxfId="14226" priority="14155" stopIfTrue="1" operator="equal">
      <formula>"Pass"</formula>
    </cfRule>
    <cfRule type="cellIs" dxfId="14225" priority="14156" stopIfTrue="1" operator="equal">
      <formula>"Fail"</formula>
    </cfRule>
  </conditionalFormatting>
  <conditionalFormatting sqref="I756:L756">
    <cfRule type="cellIs" dxfId="14224" priority="14153" stopIfTrue="1" operator="equal">
      <formula>"Pass"</formula>
    </cfRule>
    <cfRule type="cellIs" dxfId="14223" priority="14154" stopIfTrue="1" operator="equal">
      <formula>"Fail"</formula>
    </cfRule>
  </conditionalFormatting>
  <conditionalFormatting sqref="G756">
    <cfRule type="cellIs" dxfId="14222" priority="14151" stopIfTrue="1" operator="equal">
      <formula>"Pass"</formula>
    </cfRule>
    <cfRule type="cellIs" dxfId="14221" priority="14152" stopIfTrue="1" operator="equal">
      <formula>"Fail"</formula>
    </cfRule>
  </conditionalFormatting>
  <conditionalFormatting sqref="G756">
    <cfRule type="cellIs" dxfId="14220" priority="14149" stopIfTrue="1" operator="equal">
      <formula>"Pass"</formula>
    </cfRule>
    <cfRule type="cellIs" dxfId="14219" priority="14150" stopIfTrue="1" operator="equal">
      <formula>"Fail"</formula>
    </cfRule>
  </conditionalFormatting>
  <conditionalFormatting sqref="G756">
    <cfRule type="cellIs" dxfId="14218" priority="14147" stopIfTrue="1" operator="equal">
      <formula>"Pass"</formula>
    </cfRule>
    <cfRule type="cellIs" dxfId="14217" priority="14148" stopIfTrue="1" operator="equal">
      <formula>"Fail"</formula>
    </cfRule>
  </conditionalFormatting>
  <conditionalFormatting sqref="G756">
    <cfRule type="cellIs" dxfId="14216" priority="14145" stopIfTrue="1" operator="equal">
      <formula>"Pass"</formula>
    </cfRule>
    <cfRule type="cellIs" dxfId="14215" priority="14146" stopIfTrue="1" operator="equal">
      <formula>"Fail"</formula>
    </cfRule>
  </conditionalFormatting>
  <conditionalFormatting sqref="G756">
    <cfRule type="cellIs" dxfId="14214" priority="14143" stopIfTrue="1" operator="equal">
      <formula>"Pass"</formula>
    </cfRule>
    <cfRule type="cellIs" dxfId="14213" priority="14144" stopIfTrue="1" operator="equal">
      <formula>"Fail"</formula>
    </cfRule>
  </conditionalFormatting>
  <conditionalFormatting sqref="G756">
    <cfRule type="cellIs" dxfId="14212" priority="14141" stopIfTrue="1" operator="equal">
      <formula>"Pass"</formula>
    </cfRule>
    <cfRule type="cellIs" dxfId="14211" priority="14142" stopIfTrue="1" operator="equal">
      <formula>"Fail"</formula>
    </cfRule>
  </conditionalFormatting>
  <conditionalFormatting sqref="H756:L756">
    <cfRule type="cellIs" dxfId="14210" priority="14139" stopIfTrue="1" operator="equal">
      <formula>"Pass"</formula>
    </cfRule>
    <cfRule type="cellIs" dxfId="14209" priority="14140" stopIfTrue="1" operator="equal">
      <formula>"Fail"</formula>
    </cfRule>
  </conditionalFormatting>
  <conditionalFormatting sqref="H756:L756">
    <cfRule type="cellIs" dxfId="14208" priority="14137" stopIfTrue="1" operator="equal">
      <formula>"Pass"</formula>
    </cfRule>
    <cfRule type="cellIs" dxfId="14207" priority="14138" stopIfTrue="1" operator="equal">
      <formula>"Fail"</formula>
    </cfRule>
  </conditionalFormatting>
  <conditionalFormatting sqref="I756:L756">
    <cfRule type="cellIs" dxfId="14206" priority="14135" stopIfTrue="1" operator="equal">
      <formula>"Pass"</formula>
    </cfRule>
    <cfRule type="cellIs" dxfId="14205" priority="14136" stopIfTrue="1" operator="equal">
      <formula>"Fail"</formula>
    </cfRule>
  </conditionalFormatting>
  <conditionalFormatting sqref="I756:L756">
    <cfRule type="cellIs" dxfId="14204" priority="14133" stopIfTrue="1" operator="equal">
      <formula>"Pass"</formula>
    </cfRule>
    <cfRule type="cellIs" dxfId="14203" priority="14134" stopIfTrue="1" operator="equal">
      <formula>"Fail"</formula>
    </cfRule>
  </conditionalFormatting>
  <conditionalFormatting sqref="I756:L756">
    <cfRule type="cellIs" dxfId="14202" priority="14131" stopIfTrue="1" operator="equal">
      <formula>"Pass"</formula>
    </cfRule>
    <cfRule type="cellIs" dxfId="14201" priority="14132" stopIfTrue="1" operator="equal">
      <formula>"Fail"</formula>
    </cfRule>
  </conditionalFormatting>
  <conditionalFormatting sqref="I756:L756">
    <cfRule type="cellIs" dxfId="14200" priority="14129" stopIfTrue="1" operator="equal">
      <formula>"Pass"</formula>
    </cfRule>
    <cfRule type="cellIs" dxfId="14199" priority="14130" stopIfTrue="1" operator="equal">
      <formula>"Fail"</formula>
    </cfRule>
  </conditionalFormatting>
  <conditionalFormatting sqref="G756">
    <cfRule type="cellIs" dxfId="14198" priority="14127" stopIfTrue="1" operator="equal">
      <formula>"Pass"</formula>
    </cfRule>
    <cfRule type="cellIs" dxfId="14197" priority="14128" stopIfTrue="1" operator="equal">
      <formula>"Fail"</formula>
    </cfRule>
  </conditionalFormatting>
  <conditionalFormatting sqref="G756">
    <cfRule type="cellIs" dxfId="14196" priority="14125" stopIfTrue="1" operator="equal">
      <formula>"Pass"</formula>
    </cfRule>
    <cfRule type="cellIs" dxfId="14195" priority="14126" stopIfTrue="1" operator="equal">
      <formula>"Fail"</formula>
    </cfRule>
  </conditionalFormatting>
  <conditionalFormatting sqref="G756">
    <cfRule type="cellIs" dxfId="14194" priority="14123" stopIfTrue="1" operator="equal">
      <formula>"Pass"</formula>
    </cfRule>
    <cfRule type="cellIs" dxfId="14193" priority="14124" stopIfTrue="1" operator="equal">
      <formula>"Fail"</formula>
    </cfRule>
  </conditionalFormatting>
  <conditionalFormatting sqref="G756">
    <cfRule type="cellIs" dxfId="14192" priority="14121" stopIfTrue="1" operator="equal">
      <formula>"Pass"</formula>
    </cfRule>
    <cfRule type="cellIs" dxfId="14191" priority="14122" stopIfTrue="1" operator="equal">
      <formula>"Fail"</formula>
    </cfRule>
  </conditionalFormatting>
  <conditionalFormatting sqref="G756">
    <cfRule type="cellIs" dxfId="14190" priority="14119" stopIfTrue="1" operator="equal">
      <formula>"Pass"</formula>
    </cfRule>
    <cfRule type="cellIs" dxfId="14189" priority="14120" stopIfTrue="1" operator="equal">
      <formula>"Fail"</formula>
    </cfRule>
  </conditionalFormatting>
  <conditionalFormatting sqref="G756">
    <cfRule type="cellIs" dxfId="14188" priority="14117" stopIfTrue="1" operator="equal">
      <formula>"Pass"</formula>
    </cfRule>
    <cfRule type="cellIs" dxfId="14187" priority="14118" stopIfTrue="1" operator="equal">
      <formula>"Fail"</formula>
    </cfRule>
  </conditionalFormatting>
  <conditionalFormatting sqref="H756:L756">
    <cfRule type="cellIs" dxfId="14186" priority="14115" stopIfTrue="1" operator="equal">
      <formula>"Pass"</formula>
    </cfRule>
    <cfRule type="cellIs" dxfId="14185" priority="14116" stopIfTrue="1" operator="equal">
      <formula>"Fail"</formula>
    </cfRule>
  </conditionalFormatting>
  <conditionalFormatting sqref="H756:L756">
    <cfRule type="cellIs" dxfId="14184" priority="14113" stopIfTrue="1" operator="equal">
      <formula>"Pass"</formula>
    </cfRule>
    <cfRule type="cellIs" dxfId="14183" priority="14114" stopIfTrue="1" operator="equal">
      <formula>"Fail"</formula>
    </cfRule>
  </conditionalFormatting>
  <conditionalFormatting sqref="I756:L756">
    <cfRule type="cellIs" dxfId="14182" priority="14111" stopIfTrue="1" operator="equal">
      <formula>"Pass"</formula>
    </cfRule>
    <cfRule type="cellIs" dxfId="14181" priority="14112" stopIfTrue="1" operator="equal">
      <formula>"Fail"</formula>
    </cfRule>
  </conditionalFormatting>
  <conditionalFormatting sqref="I756:L756">
    <cfRule type="cellIs" dxfId="14180" priority="14109" stopIfTrue="1" operator="equal">
      <formula>"Pass"</formula>
    </cfRule>
    <cfRule type="cellIs" dxfId="14179" priority="14110" stopIfTrue="1" operator="equal">
      <formula>"Fail"</formula>
    </cfRule>
  </conditionalFormatting>
  <conditionalFormatting sqref="I756:L756">
    <cfRule type="cellIs" dxfId="14178" priority="14107" stopIfTrue="1" operator="equal">
      <formula>"Pass"</formula>
    </cfRule>
    <cfRule type="cellIs" dxfId="14177" priority="14108" stopIfTrue="1" operator="equal">
      <formula>"Fail"</formula>
    </cfRule>
  </conditionalFormatting>
  <conditionalFormatting sqref="I756:L756">
    <cfRule type="cellIs" dxfId="14176" priority="14105" stopIfTrue="1" operator="equal">
      <formula>"Pass"</formula>
    </cfRule>
    <cfRule type="cellIs" dxfId="14175" priority="14106" stopIfTrue="1" operator="equal">
      <formula>"Fail"</formula>
    </cfRule>
  </conditionalFormatting>
  <conditionalFormatting sqref="G756">
    <cfRule type="cellIs" dxfId="14174" priority="14103" stopIfTrue="1" operator="equal">
      <formula>"Pass"</formula>
    </cfRule>
    <cfRule type="cellIs" dxfId="14173" priority="14104" stopIfTrue="1" operator="equal">
      <formula>"Fail"</formula>
    </cfRule>
  </conditionalFormatting>
  <conditionalFormatting sqref="G756">
    <cfRule type="cellIs" dxfId="14172" priority="14101" stopIfTrue="1" operator="equal">
      <formula>"Pass"</formula>
    </cfRule>
    <cfRule type="cellIs" dxfId="14171" priority="14102" stopIfTrue="1" operator="equal">
      <formula>"Fail"</formula>
    </cfRule>
  </conditionalFormatting>
  <conditionalFormatting sqref="G756">
    <cfRule type="cellIs" dxfId="14170" priority="14099" stopIfTrue="1" operator="equal">
      <formula>"Pass"</formula>
    </cfRule>
    <cfRule type="cellIs" dxfId="14169" priority="14100" stopIfTrue="1" operator="equal">
      <formula>"Fail"</formula>
    </cfRule>
  </conditionalFormatting>
  <conditionalFormatting sqref="G756">
    <cfRule type="cellIs" dxfId="14168" priority="14097" stopIfTrue="1" operator="equal">
      <formula>"Pass"</formula>
    </cfRule>
    <cfRule type="cellIs" dxfId="14167" priority="14098" stopIfTrue="1" operator="equal">
      <formula>"Fail"</formula>
    </cfRule>
  </conditionalFormatting>
  <conditionalFormatting sqref="G756">
    <cfRule type="cellIs" dxfId="14166" priority="14095" stopIfTrue="1" operator="equal">
      <formula>"Pass"</formula>
    </cfRule>
    <cfRule type="cellIs" dxfId="14165" priority="14096" stopIfTrue="1" operator="equal">
      <formula>"Fail"</formula>
    </cfRule>
  </conditionalFormatting>
  <conditionalFormatting sqref="G756">
    <cfRule type="cellIs" dxfId="14164" priority="14093" stopIfTrue="1" operator="equal">
      <formula>"Pass"</formula>
    </cfRule>
    <cfRule type="cellIs" dxfId="14163" priority="14094" stopIfTrue="1" operator="equal">
      <formula>"Fail"</formula>
    </cfRule>
  </conditionalFormatting>
  <conditionalFormatting sqref="H756:L756">
    <cfRule type="cellIs" dxfId="14162" priority="14091" stopIfTrue="1" operator="equal">
      <formula>"Pass"</formula>
    </cfRule>
    <cfRule type="cellIs" dxfId="14161" priority="14092" stopIfTrue="1" operator="equal">
      <formula>"Fail"</formula>
    </cfRule>
  </conditionalFormatting>
  <conditionalFormatting sqref="H756:L756">
    <cfRule type="cellIs" dxfId="14160" priority="14089" stopIfTrue="1" operator="equal">
      <formula>"Pass"</formula>
    </cfRule>
    <cfRule type="cellIs" dxfId="14159" priority="14090" stopIfTrue="1" operator="equal">
      <formula>"Fail"</formula>
    </cfRule>
  </conditionalFormatting>
  <conditionalFormatting sqref="I756:L756">
    <cfRule type="cellIs" dxfId="14158" priority="14087" stopIfTrue="1" operator="equal">
      <formula>"Pass"</formula>
    </cfRule>
    <cfRule type="cellIs" dxfId="14157" priority="14088" stopIfTrue="1" operator="equal">
      <formula>"Fail"</formula>
    </cfRule>
  </conditionalFormatting>
  <conditionalFormatting sqref="I756:L756">
    <cfRule type="cellIs" dxfId="14156" priority="14085" stopIfTrue="1" operator="equal">
      <formula>"Pass"</formula>
    </cfRule>
    <cfRule type="cellIs" dxfId="14155" priority="14086" stopIfTrue="1" operator="equal">
      <formula>"Fail"</formula>
    </cfRule>
  </conditionalFormatting>
  <conditionalFormatting sqref="I756:L756">
    <cfRule type="cellIs" dxfId="14154" priority="14083" stopIfTrue="1" operator="equal">
      <formula>"Pass"</formula>
    </cfRule>
    <cfRule type="cellIs" dxfId="14153" priority="14084" stopIfTrue="1" operator="equal">
      <formula>"Fail"</formula>
    </cfRule>
  </conditionalFormatting>
  <conditionalFormatting sqref="I756:L756">
    <cfRule type="cellIs" dxfId="14152" priority="14081" stopIfTrue="1" operator="equal">
      <formula>"Pass"</formula>
    </cfRule>
    <cfRule type="cellIs" dxfId="14151" priority="14082" stopIfTrue="1" operator="equal">
      <formula>"Fail"</formula>
    </cfRule>
  </conditionalFormatting>
  <conditionalFormatting sqref="G756">
    <cfRule type="cellIs" dxfId="14150" priority="14079" stopIfTrue="1" operator="equal">
      <formula>"Pass"</formula>
    </cfRule>
    <cfRule type="cellIs" dxfId="14149" priority="14080" stopIfTrue="1" operator="equal">
      <formula>"Fail"</formula>
    </cfRule>
  </conditionalFormatting>
  <conditionalFormatting sqref="G756">
    <cfRule type="cellIs" dxfId="14148" priority="14077" stopIfTrue="1" operator="equal">
      <formula>"Pass"</formula>
    </cfRule>
    <cfRule type="cellIs" dxfId="14147" priority="14078" stopIfTrue="1" operator="equal">
      <formula>"Fail"</formula>
    </cfRule>
  </conditionalFormatting>
  <conditionalFormatting sqref="G756">
    <cfRule type="cellIs" dxfId="14146" priority="14075" stopIfTrue="1" operator="equal">
      <formula>"Pass"</formula>
    </cfRule>
    <cfRule type="cellIs" dxfId="14145" priority="14076" stopIfTrue="1" operator="equal">
      <formula>"Fail"</formula>
    </cfRule>
  </conditionalFormatting>
  <conditionalFormatting sqref="G756">
    <cfRule type="cellIs" dxfId="14144" priority="14073" stopIfTrue="1" operator="equal">
      <formula>"Pass"</formula>
    </cfRule>
    <cfRule type="cellIs" dxfId="14143" priority="14074" stopIfTrue="1" operator="equal">
      <formula>"Fail"</formula>
    </cfRule>
  </conditionalFormatting>
  <conditionalFormatting sqref="G756">
    <cfRule type="cellIs" dxfId="14142" priority="14071" stopIfTrue="1" operator="equal">
      <formula>"Pass"</formula>
    </cfRule>
    <cfRule type="cellIs" dxfId="14141" priority="14072" stopIfTrue="1" operator="equal">
      <formula>"Fail"</formula>
    </cfRule>
  </conditionalFormatting>
  <conditionalFormatting sqref="G756">
    <cfRule type="cellIs" dxfId="14140" priority="14069" stopIfTrue="1" operator="equal">
      <formula>"Pass"</formula>
    </cfRule>
    <cfRule type="cellIs" dxfId="14139" priority="14070" stopIfTrue="1" operator="equal">
      <formula>"Fail"</formula>
    </cfRule>
  </conditionalFormatting>
  <conditionalFormatting sqref="H756:L756">
    <cfRule type="cellIs" dxfId="14138" priority="14067" stopIfTrue="1" operator="equal">
      <formula>"Pass"</formula>
    </cfRule>
    <cfRule type="cellIs" dxfId="14137" priority="14068" stopIfTrue="1" operator="equal">
      <formula>"Fail"</formula>
    </cfRule>
  </conditionalFormatting>
  <conditionalFormatting sqref="H756:L756">
    <cfRule type="cellIs" dxfId="14136" priority="14065" stopIfTrue="1" operator="equal">
      <formula>"Pass"</formula>
    </cfRule>
    <cfRule type="cellIs" dxfId="14135" priority="14066" stopIfTrue="1" operator="equal">
      <formula>"Fail"</formula>
    </cfRule>
  </conditionalFormatting>
  <conditionalFormatting sqref="I756:L756">
    <cfRule type="cellIs" dxfId="14134" priority="14063" stopIfTrue="1" operator="equal">
      <formula>"Pass"</formula>
    </cfRule>
    <cfRule type="cellIs" dxfId="14133" priority="14064" stopIfTrue="1" operator="equal">
      <formula>"Fail"</formula>
    </cfRule>
  </conditionalFormatting>
  <conditionalFormatting sqref="I756:L756">
    <cfRule type="cellIs" dxfId="14132" priority="14061" stopIfTrue="1" operator="equal">
      <formula>"Pass"</formula>
    </cfRule>
    <cfRule type="cellIs" dxfId="14131" priority="14062" stopIfTrue="1" operator="equal">
      <formula>"Fail"</formula>
    </cfRule>
  </conditionalFormatting>
  <conditionalFormatting sqref="I756:L756">
    <cfRule type="cellIs" dxfId="14130" priority="14059" stopIfTrue="1" operator="equal">
      <formula>"Pass"</formula>
    </cfRule>
    <cfRule type="cellIs" dxfId="14129" priority="14060" stopIfTrue="1" operator="equal">
      <formula>"Fail"</formula>
    </cfRule>
  </conditionalFormatting>
  <conditionalFormatting sqref="I756:L756">
    <cfRule type="cellIs" dxfId="14128" priority="14057" stopIfTrue="1" operator="equal">
      <formula>"Pass"</formula>
    </cfRule>
    <cfRule type="cellIs" dxfId="14127" priority="14058" stopIfTrue="1" operator="equal">
      <formula>"Fail"</formula>
    </cfRule>
  </conditionalFormatting>
  <conditionalFormatting sqref="G756">
    <cfRule type="cellIs" dxfId="14126" priority="14055" stopIfTrue="1" operator="equal">
      <formula>"Pass"</formula>
    </cfRule>
    <cfRule type="cellIs" dxfId="14125" priority="14056" stopIfTrue="1" operator="equal">
      <formula>"Fail"</formula>
    </cfRule>
  </conditionalFormatting>
  <conditionalFormatting sqref="G756">
    <cfRule type="cellIs" dxfId="14124" priority="14053" stopIfTrue="1" operator="equal">
      <formula>"Pass"</formula>
    </cfRule>
    <cfRule type="cellIs" dxfId="14123" priority="14054" stopIfTrue="1" operator="equal">
      <formula>"Fail"</formula>
    </cfRule>
  </conditionalFormatting>
  <conditionalFormatting sqref="G756">
    <cfRule type="cellIs" dxfId="14122" priority="14051" stopIfTrue="1" operator="equal">
      <formula>"Pass"</formula>
    </cfRule>
    <cfRule type="cellIs" dxfId="14121" priority="14052" stopIfTrue="1" operator="equal">
      <formula>"Fail"</formula>
    </cfRule>
  </conditionalFormatting>
  <conditionalFormatting sqref="G756">
    <cfRule type="cellIs" dxfId="14120" priority="14049" stopIfTrue="1" operator="equal">
      <formula>"Pass"</formula>
    </cfRule>
    <cfRule type="cellIs" dxfId="14119" priority="14050" stopIfTrue="1" operator="equal">
      <formula>"Fail"</formula>
    </cfRule>
  </conditionalFormatting>
  <conditionalFormatting sqref="G756">
    <cfRule type="cellIs" dxfId="14118" priority="14047" stopIfTrue="1" operator="equal">
      <formula>"Pass"</formula>
    </cfRule>
    <cfRule type="cellIs" dxfId="14117" priority="14048" stopIfTrue="1" operator="equal">
      <formula>"Fail"</formula>
    </cfRule>
  </conditionalFormatting>
  <conditionalFormatting sqref="G756">
    <cfRule type="cellIs" dxfId="14116" priority="14045" stopIfTrue="1" operator="equal">
      <formula>"Pass"</formula>
    </cfRule>
    <cfRule type="cellIs" dxfId="14115" priority="14046" stopIfTrue="1" operator="equal">
      <formula>"Fail"</formula>
    </cfRule>
  </conditionalFormatting>
  <conditionalFormatting sqref="H756:L756">
    <cfRule type="cellIs" dxfId="14114" priority="14043" stopIfTrue="1" operator="equal">
      <formula>"Pass"</formula>
    </cfRule>
    <cfRule type="cellIs" dxfId="14113" priority="14044" stopIfTrue="1" operator="equal">
      <formula>"Fail"</formula>
    </cfRule>
  </conditionalFormatting>
  <conditionalFormatting sqref="H756:L756">
    <cfRule type="cellIs" dxfId="14112" priority="14041" stopIfTrue="1" operator="equal">
      <formula>"Pass"</formula>
    </cfRule>
    <cfRule type="cellIs" dxfId="14111" priority="14042" stopIfTrue="1" operator="equal">
      <formula>"Fail"</formula>
    </cfRule>
  </conditionalFormatting>
  <conditionalFormatting sqref="I756:L756">
    <cfRule type="cellIs" dxfId="14110" priority="14039" stopIfTrue="1" operator="equal">
      <formula>"Pass"</formula>
    </cfRule>
    <cfRule type="cellIs" dxfId="14109" priority="14040" stopIfTrue="1" operator="equal">
      <formula>"Fail"</formula>
    </cfRule>
  </conditionalFormatting>
  <conditionalFormatting sqref="I756:L756">
    <cfRule type="cellIs" dxfId="14108" priority="14037" stopIfTrue="1" operator="equal">
      <formula>"Pass"</formula>
    </cfRule>
    <cfRule type="cellIs" dxfId="14107" priority="14038" stopIfTrue="1" operator="equal">
      <formula>"Fail"</formula>
    </cfRule>
  </conditionalFormatting>
  <conditionalFormatting sqref="I756:L756">
    <cfRule type="cellIs" dxfId="14106" priority="14035" stopIfTrue="1" operator="equal">
      <formula>"Pass"</formula>
    </cfRule>
    <cfRule type="cellIs" dxfId="14105" priority="14036" stopIfTrue="1" operator="equal">
      <formula>"Fail"</formula>
    </cfRule>
  </conditionalFormatting>
  <conditionalFormatting sqref="I756:L756">
    <cfRule type="cellIs" dxfId="14104" priority="14033" stopIfTrue="1" operator="equal">
      <formula>"Pass"</formula>
    </cfRule>
    <cfRule type="cellIs" dxfId="14103" priority="14034" stopIfTrue="1" operator="equal">
      <formula>"Fail"</formula>
    </cfRule>
  </conditionalFormatting>
  <conditionalFormatting sqref="G756">
    <cfRule type="cellIs" dxfId="14102" priority="14031" stopIfTrue="1" operator="equal">
      <formula>"Pass"</formula>
    </cfRule>
    <cfRule type="cellIs" dxfId="14101" priority="14032" stopIfTrue="1" operator="equal">
      <formula>"Fail"</formula>
    </cfRule>
  </conditionalFormatting>
  <conditionalFormatting sqref="G756">
    <cfRule type="cellIs" dxfId="14100" priority="14029" stopIfTrue="1" operator="equal">
      <formula>"Pass"</formula>
    </cfRule>
    <cfRule type="cellIs" dxfId="14099" priority="14030" stopIfTrue="1" operator="equal">
      <formula>"Fail"</formula>
    </cfRule>
  </conditionalFormatting>
  <conditionalFormatting sqref="G756">
    <cfRule type="cellIs" dxfId="14098" priority="14027" stopIfTrue="1" operator="equal">
      <formula>"Pass"</formula>
    </cfRule>
    <cfRule type="cellIs" dxfId="14097" priority="14028" stopIfTrue="1" operator="equal">
      <formula>"Fail"</formula>
    </cfRule>
  </conditionalFormatting>
  <conditionalFormatting sqref="G756">
    <cfRule type="cellIs" dxfId="14096" priority="14025" stopIfTrue="1" operator="equal">
      <formula>"Pass"</formula>
    </cfRule>
    <cfRule type="cellIs" dxfId="14095" priority="14026" stopIfTrue="1" operator="equal">
      <formula>"Fail"</formula>
    </cfRule>
  </conditionalFormatting>
  <conditionalFormatting sqref="G756">
    <cfRule type="cellIs" dxfId="14094" priority="14023" stopIfTrue="1" operator="equal">
      <formula>"Pass"</formula>
    </cfRule>
    <cfRule type="cellIs" dxfId="14093" priority="14024" stopIfTrue="1" operator="equal">
      <formula>"Fail"</formula>
    </cfRule>
  </conditionalFormatting>
  <conditionalFormatting sqref="G756">
    <cfRule type="cellIs" dxfId="14092" priority="14021" stopIfTrue="1" operator="equal">
      <formula>"Pass"</formula>
    </cfRule>
    <cfRule type="cellIs" dxfId="14091" priority="14022" stopIfTrue="1" operator="equal">
      <formula>"Fail"</formula>
    </cfRule>
  </conditionalFormatting>
  <conditionalFormatting sqref="H756:L756">
    <cfRule type="cellIs" dxfId="14090" priority="14019" stopIfTrue="1" operator="equal">
      <formula>"Pass"</formula>
    </cfRule>
    <cfRule type="cellIs" dxfId="14089" priority="14020" stopIfTrue="1" operator="equal">
      <formula>"Fail"</formula>
    </cfRule>
  </conditionalFormatting>
  <conditionalFormatting sqref="H756:L756">
    <cfRule type="cellIs" dxfId="14088" priority="14017" stopIfTrue="1" operator="equal">
      <formula>"Pass"</formula>
    </cfRule>
    <cfRule type="cellIs" dxfId="14087" priority="14018" stopIfTrue="1" operator="equal">
      <formula>"Fail"</formula>
    </cfRule>
  </conditionalFormatting>
  <conditionalFormatting sqref="I756:L756">
    <cfRule type="cellIs" dxfId="14086" priority="14015" stopIfTrue="1" operator="equal">
      <formula>"Pass"</formula>
    </cfRule>
    <cfRule type="cellIs" dxfId="14085" priority="14016" stopIfTrue="1" operator="equal">
      <formula>"Fail"</formula>
    </cfRule>
  </conditionalFormatting>
  <conditionalFormatting sqref="I756:L756">
    <cfRule type="cellIs" dxfId="14084" priority="14013" stopIfTrue="1" operator="equal">
      <formula>"Pass"</formula>
    </cfRule>
    <cfRule type="cellIs" dxfId="14083" priority="14014" stopIfTrue="1" operator="equal">
      <formula>"Fail"</formula>
    </cfRule>
  </conditionalFormatting>
  <conditionalFormatting sqref="I756:L756">
    <cfRule type="cellIs" dxfId="14082" priority="14011" stopIfTrue="1" operator="equal">
      <formula>"Pass"</formula>
    </cfRule>
    <cfRule type="cellIs" dxfId="14081" priority="14012" stopIfTrue="1" operator="equal">
      <formula>"Fail"</formula>
    </cfRule>
  </conditionalFormatting>
  <conditionalFormatting sqref="I756:L756">
    <cfRule type="cellIs" dxfId="14080" priority="14009" stopIfTrue="1" operator="equal">
      <formula>"Pass"</formula>
    </cfRule>
    <cfRule type="cellIs" dxfId="14079" priority="14010" stopIfTrue="1" operator="equal">
      <formula>"Fail"</formula>
    </cfRule>
  </conditionalFormatting>
  <conditionalFormatting sqref="G756">
    <cfRule type="cellIs" dxfId="14078" priority="14007" stopIfTrue="1" operator="equal">
      <formula>"Pass"</formula>
    </cfRule>
    <cfRule type="cellIs" dxfId="14077" priority="14008" stopIfTrue="1" operator="equal">
      <formula>"Fail"</formula>
    </cfRule>
  </conditionalFormatting>
  <conditionalFormatting sqref="G756">
    <cfRule type="cellIs" dxfId="14076" priority="14005" stopIfTrue="1" operator="equal">
      <formula>"Pass"</formula>
    </cfRule>
    <cfRule type="cellIs" dxfId="14075" priority="14006" stopIfTrue="1" operator="equal">
      <formula>"Fail"</formula>
    </cfRule>
  </conditionalFormatting>
  <conditionalFormatting sqref="G756">
    <cfRule type="cellIs" dxfId="14074" priority="14003" stopIfTrue="1" operator="equal">
      <formula>"Pass"</formula>
    </cfRule>
    <cfRule type="cellIs" dxfId="14073" priority="14004" stopIfTrue="1" operator="equal">
      <formula>"Fail"</formula>
    </cfRule>
  </conditionalFormatting>
  <conditionalFormatting sqref="G756">
    <cfRule type="cellIs" dxfId="14072" priority="14001" stopIfTrue="1" operator="equal">
      <formula>"Pass"</formula>
    </cfRule>
    <cfRule type="cellIs" dxfId="14071" priority="14002" stopIfTrue="1" operator="equal">
      <formula>"Fail"</formula>
    </cfRule>
  </conditionalFormatting>
  <conditionalFormatting sqref="G756">
    <cfRule type="cellIs" dxfId="14070" priority="13999" stopIfTrue="1" operator="equal">
      <formula>"Pass"</formula>
    </cfRule>
    <cfRule type="cellIs" dxfId="14069" priority="14000" stopIfTrue="1" operator="equal">
      <formula>"Fail"</formula>
    </cfRule>
  </conditionalFormatting>
  <conditionalFormatting sqref="G756">
    <cfRule type="cellIs" dxfId="14068" priority="13997" stopIfTrue="1" operator="equal">
      <formula>"Pass"</formula>
    </cfRule>
    <cfRule type="cellIs" dxfId="14067" priority="13998" stopIfTrue="1" operator="equal">
      <formula>"Fail"</formula>
    </cfRule>
  </conditionalFormatting>
  <conditionalFormatting sqref="H756:L756">
    <cfRule type="cellIs" dxfId="14066" priority="13995" stopIfTrue="1" operator="equal">
      <formula>"Pass"</formula>
    </cfRule>
    <cfRule type="cellIs" dxfId="14065" priority="13996" stopIfTrue="1" operator="equal">
      <formula>"Fail"</formula>
    </cfRule>
  </conditionalFormatting>
  <conditionalFormatting sqref="H756:L756">
    <cfRule type="cellIs" dxfId="14064" priority="13993" stopIfTrue="1" operator="equal">
      <formula>"Pass"</formula>
    </cfRule>
    <cfRule type="cellIs" dxfId="14063" priority="13994" stopIfTrue="1" operator="equal">
      <formula>"Fail"</formula>
    </cfRule>
  </conditionalFormatting>
  <conditionalFormatting sqref="I756:L756">
    <cfRule type="cellIs" dxfId="14062" priority="13991" stopIfTrue="1" operator="equal">
      <formula>"Pass"</formula>
    </cfRule>
    <cfRule type="cellIs" dxfId="14061" priority="13992" stopIfTrue="1" operator="equal">
      <formula>"Fail"</formula>
    </cfRule>
  </conditionalFormatting>
  <conditionalFormatting sqref="I756:L756">
    <cfRule type="cellIs" dxfId="14060" priority="13989" stopIfTrue="1" operator="equal">
      <formula>"Pass"</formula>
    </cfRule>
    <cfRule type="cellIs" dxfId="14059" priority="13990" stopIfTrue="1" operator="equal">
      <formula>"Fail"</formula>
    </cfRule>
  </conditionalFormatting>
  <conditionalFormatting sqref="I756:L756">
    <cfRule type="cellIs" dxfId="14058" priority="13987" stopIfTrue="1" operator="equal">
      <formula>"Pass"</formula>
    </cfRule>
    <cfRule type="cellIs" dxfId="14057" priority="13988" stopIfTrue="1" operator="equal">
      <formula>"Fail"</formula>
    </cfRule>
  </conditionalFormatting>
  <conditionalFormatting sqref="I756:L756">
    <cfRule type="cellIs" dxfId="14056" priority="13985" stopIfTrue="1" operator="equal">
      <formula>"Pass"</formula>
    </cfRule>
    <cfRule type="cellIs" dxfId="14055" priority="13986" stopIfTrue="1" operator="equal">
      <formula>"Fail"</formula>
    </cfRule>
  </conditionalFormatting>
  <conditionalFormatting sqref="G756">
    <cfRule type="cellIs" dxfId="14054" priority="13983" stopIfTrue="1" operator="equal">
      <formula>"Pass"</formula>
    </cfRule>
    <cfRule type="cellIs" dxfId="14053" priority="13984" stopIfTrue="1" operator="equal">
      <formula>"Fail"</formula>
    </cfRule>
  </conditionalFormatting>
  <conditionalFormatting sqref="G756">
    <cfRule type="cellIs" dxfId="14052" priority="13981" stopIfTrue="1" operator="equal">
      <formula>"Pass"</formula>
    </cfRule>
    <cfRule type="cellIs" dxfId="14051" priority="13982" stopIfTrue="1" operator="equal">
      <formula>"Fail"</formula>
    </cfRule>
  </conditionalFormatting>
  <conditionalFormatting sqref="G756">
    <cfRule type="cellIs" dxfId="14050" priority="13979" stopIfTrue="1" operator="equal">
      <formula>"Pass"</formula>
    </cfRule>
    <cfRule type="cellIs" dxfId="14049" priority="13980" stopIfTrue="1" operator="equal">
      <formula>"Fail"</formula>
    </cfRule>
  </conditionalFormatting>
  <conditionalFormatting sqref="G756">
    <cfRule type="cellIs" dxfId="14048" priority="13977" stopIfTrue="1" operator="equal">
      <formula>"Pass"</formula>
    </cfRule>
    <cfRule type="cellIs" dxfId="14047" priority="13978" stopIfTrue="1" operator="equal">
      <formula>"Fail"</formula>
    </cfRule>
  </conditionalFormatting>
  <conditionalFormatting sqref="G756">
    <cfRule type="cellIs" dxfId="14046" priority="13975" stopIfTrue="1" operator="equal">
      <formula>"Pass"</formula>
    </cfRule>
    <cfRule type="cellIs" dxfId="14045" priority="13976" stopIfTrue="1" operator="equal">
      <formula>"Fail"</formula>
    </cfRule>
  </conditionalFormatting>
  <conditionalFormatting sqref="G756">
    <cfRule type="cellIs" dxfId="14044" priority="13973" stopIfTrue="1" operator="equal">
      <formula>"Pass"</formula>
    </cfRule>
    <cfRule type="cellIs" dxfId="14043" priority="13974" stopIfTrue="1" operator="equal">
      <formula>"Fail"</formula>
    </cfRule>
  </conditionalFormatting>
  <conditionalFormatting sqref="H756:L756">
    <cfRule type="cellIs" dxfId="14042" priority="13971" stopIfTrue="1" operator="equal">
      <formula>"Pass"</formula>
    </cfRule>
    <cfRule type="cellIs" dxfId="14041" priority="13972" stopIfTrue="1" operator="equal">
      <formula>"Fail"</formula>
    </cfRule>
  </conditionalFormatting>
  <conditionalFormatting sqref="H756:L756">
    <cfRule type="cellIs" dxfId="14040" priority="13969" stopIfTrue="1" operator="equal">
      <formula>"Pass"</formula>
    </cfRule>
    <cfRule type="cellIs" dxfId="14039" priority="13970" stopIfTrue="1" operator="equal">
      <formula>"Fail"</formula>
    </cfRule>
  </conditionalFormatting>
  <conditionalFormatting sqref="I756:L756">
    <cfRule type="cellIs" dxfId="14038" priority="13967" stopIfTrue="1" operator="equal">
      <formula>"Pass"</formula>
    </cfRule>
    <cfRule type="cellIs" dxfId="14037" priority="13968" stopIfTrue="1" operator="equal">
      <formula>"Fail"</formula>
    </cfRule>
  </conditionalFormatting>
  <conditionalFormatting sqref="I756:L756">
    <cfRule type="cellIs" dxfId="14036" priority="13965" stopIfTrue="1" operator="equal">
      <formula>"Pass"</formula>
    </cfRule>
    <cfRule type="cellIs" dxfId="14035" priority="13966" stopIfTrue="1" operator="equal">
      <formula>"Fail"</formula>
    </cfRule>
  </conditionalFormatting>
  <conditionalFormatting sqref="I756:L756">
    <cfRule type="cellIs" dxfId="14034" priority="13963" stopIfTrue="1" operator="equal">
      <formula>"Pass"</formula>
    </cfRule>
    <cfRule type="cellIs" dxfId="14033" priority="13964" stopIfTrue="1" operator="equal">
      <formula>"Fail"</formula>
    </cfRule>
  </conditionalFormatting>
  <conditionalFormatting sqref="I756:L756">
    <cfRule type="cellIs" dxfId="14032" priority="13961" stopIfTrue="1" operator="equal">
      <formula>"Pass"</formula>
    </cfRule>
    <cfRule type="cellIs" dxfId="14031" priority="13962" stopIfTrue="1" operator="equal">
      <formula>"Fail"</formula>
    </cfRule>
  </conditionalFormatting>
  <conditionalFormatting sqref="G756">
    <cfRule type="cellIs" dxfId="14030" priority="13959" stopIfTrue="1" operator="equal">
      <formula>"Pass"</formula>
    </cfRule>
    <cfRule type="cellIs" dxfId="14029" priority="13960" stopIfTrue="1" operator="equal">
      <formula>"Fail"</formula>
    </cfRule>
  </conditionalFormatting>
  <conditionalFormatting sqref="G756">
    <cfRule type="cellIs" dxfId="14028" priority="13957" stopIfTrue="1" operator="equal">
      <formula>"Pass"</formula>
    </cfRule>
    <cfRule type="cellIs" dxfId="14027" priority="13958" stopIfTrue="1" operator="equal">
      <formula>"Fail"</formula>
    </cfRule>
  </conditionalFormatting>
  <conditionalFormatting sqref="G756">
    <cfRule type="cellIs" dxfId="14026" priority="13955" stopIfTrue="1" operator="equal">
      <formula>"Pass"</formula>
    </cfRule>
    <cfRule type="cellIs" dxfId="14025" priority="13956" stopIfTrue="1" operator="equal">
      <formula>"Fail"</formula>
    </cfRule>
  </conditionalFormatting>
  <conditionalFormatting sqref="G756">
    <cfRule type="cellIs" dxfId="14024" priority="13953" stopIfTrue="1" operator="equal">
      <formula>"Pass"</formula>
    </cfRule>
    <cfRule type="cellIs" dxfId="14023" priority="13954" stopIfTrue="1" operator="equal">
      <formula>"Fail"</formula>
    </cfRule>
  </conditionalFormatting>
  <conditionalFormatting sqref="G756">
    <cfRule type="cellIs" dxfId="14022" priority="13951" stopIfTrue="1" operator="equal">
      <formula>"Pass"</formula>
    </cfRule>
    <cfRule type="cellIs" dxfId="14021" priority="13952" stopIfTrue="1" operator="equal">
      <formula>"Fail"</formula>
    </cfRule>
  </conditionalFormatting>
  <conditionalFormatting sqref="G756">
    <cfRule type="cellIs" dxfId="14020" priority="13949" stopIfTrue="1" operator="equal">
      <formula>"Pass"</formula>
    </cfRule>
    <cfRule type="cellIs" dxfId="14019" priority="13950" stopIfTrue="1" operator="equal">
      <formula>"Fail"</formula>
    </cfRule>
  </conditionalFormatting>
  <conditionalFormatting sqref="G756:L756">
    <cfRule type="cellIs" dxfId="14018" priority="13947" stopIfTrue="1" operator="equal">
      <formula>"Pass"</formula>
    </cfRule>
    <cfRule type="cellIs" dxfId="14017" priority="13948" stopIfTrue="1" operator="equal">
      <formula>"Fail"</formula>
    </cfRule>
  </conditionalFormatting>
  <conditionalFormatting sqref="G756:L756">
    <cfRule type="cellIs" dxfId="14016" priority="13945" stopIfTrue="1" operator="equal">
      <formula>"Pass"</formula>
    </cfRule>
    <cfRule type="cellIs" dxfId="14015" priority="13946" stopIfTrue="1" operator="equal">
      <formula>"Fail"</formula>
    </cfRule>
  </conditionalFormatting>
  <conditionalFormatting sqref="G756:L756">
    <cfRule type="cellIs" dxfId="14014" priority="13943" stopIfTrue="1" operator="equal">
      <formula>"Pass"</formula>
    </cfRule>
    <cfRule type="cellIs" dxfId="14013" priority="13944" stopIfTrue="1" operator="equal">
      <formula>"Fail"</formula>
    </cfRule>
  </conditionalFormatting>
  <conditionalFormatting sqref="G756:L756">
    <cfRule type="cellIs" dxfId="14012" priority="13941" stopIfTrue="1" operator="equal">
      <formula>"Pass"</formula>
    </cfRule>
    <cfRule type="cellIs" dxfId="14011" priority="13942" stopIfTrue="1" operator="equal">
      <formula>"Fail"</formula>
    </cfRule>
  </conditionalFormatting>
  <conditionalFormatting sqref="G756:L756">
    <cfRule type="cellIs" dxfId="14010" priority="13939" stopIfTrue="1" operator="equal">
      <formula>"Pass"</formula>
    </cfRule>
    <cfRule type="cellIs" dxfId="14009" priority="13940" stopIfTrue="1" operator="equal">
      <formula>"Fail"</formula>
    </cfRule>
  </conditionalFormatting>
  <conditionalFormatting sqref="G756:L756">
    <cfRule type="cellIs" dxfId="14008" priority="13937" stopIfTrue="1" operator="equal">
      <formula>"Pass"</formula>
    </cfRule>
    <cfRule type="cellIs" dxfId="14007" priority="13938" stopIfTrue="1" operator="equal">
      <formula>"Fail"</formula>
    </cfRule>
  </conditionalFormatting>
  <conditionalFormatting sqref="G756:L756">
    <cfRule type="cellIs" dxfId="14006" priority="13935" stopIfTrue="1" operator="equal">
      <formula>"Pass"</formula>
    </cfRule>
    <cfRule type="cellIs" dxfId="14005" priority="13936" stopIfTrue="1" operator="equal">
      <formula>"Fail"</formula>
    </cfRule>
  </conditionalFormatting>
  <conditionalFormatting sqref="G756:L756">
    <cfRule type="cellIs" dxfId="14004" priority="13933" stopIfTrue="1" operator="equal">
      <formula>"Pass"</formula>
    </cfRule>
    <cfRule type="cellIs" dxfId="14003" priority="13934" stopIfTrue="1" operator="equal">
      <formula>"Fail"</formula>
    </cfRule>
  </conditionalFormatting>
  <conditionalFormatting sqref="G756:L756">
    <cfRule type="cellIs" dxfId="14002" priority="13931" stopIfTrue="1" operator="equal">
      <formula>"Pass"</formula>
    </cfRule>
    <cfRule type="cellIs" dxfId="14001" priority="13932" stopIfTrue="1" operator="equal">
      <formula>"Fail"</formula>
    </cfRule>
  </conditionalFormatting>
  <conditionalFormatting sqref="G756:L756">
    <cfRule type="cellIs" dxfId="14000" priority="13929" stopIfTrue="1" operator="equal">
      <formula>"Pass"</formula>
    </cfRule>
    <cfRule type="cellIs" dxfId="13999" priority="13930" stopIfTrue="1" operator="equal">
      <formula>"Fail"</formula>
    </cfRule>
  </conditionalFormatting>
  <conditionalFormatting sqref="G756:L756">
    <cfRule type="cellIs" dxfId="13998" priority="13927" stopIfTrue="1" operator="equal">
      <formula>"Pass"</formula>
    </cfRule>
    <cfRule type="cellIs" dxfId="13997" priority="13928" stopIfTrue="1" operator="equal">
      <formula>"Fail"</formula>
    </cfRule>
  </conditionalFormatting>
  <conditionalFormatting sqref="G756:L756">
    <cfRule type="cellIs" dxfId="13996" priority="13925" stopIfTrue="1" operator="equal">
      <formula>"Pass"</formula>
    </cfRule>
    <cfRule type="cellIs" dxfId="13995" priority="13926" stopIfTrue="1" operator="equal">
      <formula>"Fail"</formula>
    </cfRule>
  </conditionalFormatting>
  <conditionalFormatting sqref="G756:L756">
    <cfRule type="cellIs" dxfId="13994" priority="13923" stopIfTrue="1" operator="equal">
      <formula>"Pass"</formula>
    </cfRule>
    <cfRule type="cellIs" dxfId="13993" priority="13924" stopIfTrue="1" operator="equal">
      <formula>"Fail"</formula>
    </cfRule>
  </conditionalFormatting>
  <conditionalFormatting sqref="G756:L756">
    <cfRule type="cellIs" dxfId="13992" priority="13921" stopIfTrue="1" operator="equal">
      <formula>"Pass"</formula>
    </cfRule>
    <cfRule type="cellIs" dxfId="13991" priority="13922" stopIfTrue="1" operator="equal">
      <formula>"Fail"</formula>
    </cfRule>
  </conditionalFormatting>
  <conditionalFormatting sqref="G756:L756">
    <cfRule type="cellIs" dxfId="13990" priority="13919" stopIfTrue="1" operator="equal">
      <formula>"Pass"</formula>
    </cfRule>
    <cfRule type="cellIs" dxfId="13989" priority="13920" stopIfTrue="1" operator="equal">
      <formula>"Fail"</formula>
    </cfRule>
  </conditionalFormatting>
  <conditionalFormatting sqref="G756:L756">
    <cfRule type="cellIs" dxfId="13988" priority="13917" stopIfTrue="1" operator="equal">
      <formula>"Pass"</formula>
    </cfRule>
    <cfRule type="cellIs" dxfId="13987" priority="13918" stopIfTrue="1" operator="equal">
      <formula>"Fail"</formula>
    </cfRule>
  </conditionalFormatting>
  <conditionalFormatting sqref="G756:L756">
    <cfRule type="cellIs" dxfId="13986" priority="13915" stopIfTrue="1" operator="equal">
      <formula>"Pass"</formula>
    </cfRule>
    <cfRule type="cellIs" dxfId="13985" priority="13916" stopIfTrue="1" operator="equal">
      <formula>"Fail"</formula>
    </cfRule>
  </conditionalFormatting>
  <conditionalFormatting sqref="G756:L756">
    <cfRule type="cellIs" dxfId="13984" priority="13913" stopIfTrue="1" operator="equal">
      <formula>"Pass"</formula>
    </cfRule>
    <cfRule type="cellIs" dxfId="13983" priority="13914" stopIfTrue="1" operator="equal">
      <formula>"Fail"</formula>
    </cfRule>
  </conditionalFormatting>
  <conditionalFormatting sqref="G756:L756">
    <cfRule type="cellIs" dxfId="13982" priority="13911" stopIfTrue="1" operator="equal">
      <formula>"Pass"</formula>
    </cfRule>
    <cfRule type="cellIs" dxfId="13981" priority="13912" stopIfTrue="1" operator="equal">
      <formula>"Fail"</formula>
    </cfRule>
  </conditionalFormatting>
  <conditionalFormatting sqref="G756:L756">
    <cfRule type="cellIs" dxfId="13980" priority="13909" stopIfTrue="1" operator="equal">
      <formula>"Pass"</formula>
    </cfRule>
    <cfRule type="cellIs" dxfId="13979" priority="13910" stopIfTrue="1" operator="equal">
      <formula>"Fail"</formula>
    </cfRule>
  </conditionalFormatting>
  <conditionalFormatting sqref="G756:L756">
    <cfRule type="cellIs" dxfId="13978" priority="13907" stopIfTrue="1" operator="equal">
      <formula>"Pass"</formula>
    </cfRule>
    <cfRule type="cellIs" dxfId="13977" priority="13908" stopIfTrue="1" operator="equal">
      <formula>"Fail"</formula>
    </cfRule>
  </conditionalFormatting>
  <conditionalFormatting sqref="G756:L756">
    <cfRule type="cellIs" dxfId="13976" priority="13905" stopIfTrue="1" operator="equal">
      <formula>"Pass"</formula>
    </cfRule>
    <cfRule type="cellIs" dxfId="13975" priority="13906" stopIfTrue="1" operator="equal">
      <formula>"Fail"</formula>
    </cfRule>
  </conditionalFormatting>
  <conditionalFormatting sqref="G756:L756">
    <cfRule type="cellIs" dxfId="13974" priority="13903" stopIfTrue="1" operator="equal">
      <formula>"Pass"</formula>
    </cfRule>
    <cfRule type="cellIs" dxfId="13973" priority="13904" stopIfTrue="1" operator="equal">
      <formula>"Fail"</formula>
    </cfRule>
  </conditionalFormatting>
  <conditionalFormatting sqref="G756:L756">
    <cfRule type="cellIs" dxfId="13972" priority="13901" stopIfTrue="1" operator="equal">
      <formula>"Pass"</formula>
    </cfRule>
    <cfRule type="cellIs" dxfId="13971" priority="13902" stopIfTrue="1" operator="equal">
      <formula>"Fail"</formula>
    </cfRule>
  </conditionalFormatting>
  <conditionalFormatting sqref="G756:L756">
    <cfRule type="cellIs" dxfId="13970" priority="13899" stopIfTrue="1" operator="equal">
      <formula>"Pass"</formula>
    </cfRule>
    <cfRule type="cellIs" dxfId="13969" priority="13900" stopIfTrue="1" operator="equal">
      <formula>"Fail"</formula>
    </cfRule>
  </conditionalFormatting>
  <conditionalFormatting sqref="G756:L756">
    <cfRule type="cellIs" dxfId="13968" priority="13897" stopIfTrue="1" operator="equal">
      <formula>"Pass"</formula>
    </cfRule>
    <cfRule type="cellIs" dxfId="13967" priority="13898" stopIfTrue="1" operator="equal">
      <formula>"Fail"</formula>
    </cfRule>
  </conditionalFormatting>
  <conditionalFormatting sqref="G756:L756">
    <cfRule type="cellIs" dxfId="13966" priority="13895" stopIfTrue="1" operator="equal">
      <formula>"Pass"</formula>
    </cfRule>
    <cfRule type="cellIs" dxfId="13965" priority="13896" stopIfTrue="1" operator="equal">
      <formula>"Fail"</formula>
    </cfRule>
  </conditionalFormatting>
  <conditionalFormatting sqref="G756:L756">
    <cfRule type="cellIs" dxfId="13964" priority="13893" stopIfTrue="1" operator="equal">
      <formula>"Pass"</formula>
    </cfRule>
    <cfRule type="cellIs" dxfId="13963" priority="13894" stopIfTrue="1" operator="equal">
      <formula>"Fail"</formula>
    </cfRule>
  </conditionalFormatting>
  <conditionalFormatting sqref="G756:L756">
    <cfRule type="cellIs" dxfId="13962" priority="13891" stopIfTrue="1" operator="equal">
      <formula>"Pass"</formula>
    </cfRule>
    <cfRule type="cellIs" dxfId="13961" priority="13892" stopIfTrue="1" operator="equal">
      <formula>"Fail"</formula>
    </cfRule>
  </conditionalFormatting>
  <conditionalFormatting sqref="G756:L756">
    <cfRule type="cellIs" dxfId="13960" priority="13889" stopIfTrue="1" operator="equal">
      <formula>"Pass"</formula>
    </cfRule>
    <cfRule type="cellIs" dxfId="13959" priority="13890" stopIfTrue="1" operator="equal">
      <formula>"Fail"</formula>
    </cfRule>
  </conditionalFormatting>
  <conditionalFormatting sqref="D756:E756">
    <cfRule type="cellIs" dxfId="13958" priority="13887" stopIfTrue="1" operator="equal">
      <formula>"Pass"</formula>
    </cfRule>
    <cfRule type="cellIs" dxfId="13957" priority="13888" stopIfTrue="1" operator="equal">
      <formula>"Fail"</formula>
    </cfRule>
  </conditionalFormatting>
  <conditionalFormatting sqref="G756:L756">
    <cfRule type="cellIs" dxfId="13956" priority="13885" stopIfTrue="1" operator="equal">
      <formula>"Pass"</formula>
    </cfRule>
    <cfRule type="cellIs" dxfId="13955" priority="13886" stopIfTrue="1" operator="equal">
      <formula>"Fail"</formula>
    </cfRule>
  </conditionalFormatting>
  <conditionalFormatting sqref="D762:E763 G762:H763 E761 H761 I761:P762">
    <cfRule type="cellIs" dxfId="13954" priority="13883" stopIfTrue="1" operator="equal">
      <formula>"Pass"</formula>
    </cfRule>
    <cfRule type="cellIs" dxfId="13953" priority="13884" stopIfTrue="1" operator="equal">
      <formula>"Fail"</formula>
    </cfRule>
  </conditionalFormatting>
  <conditionalFormatting sqref="U761:V763">
    <cfRule type="cellIs" dxfId="13952" priority="13881" stopIfTrue="1" operator="equal">
      <formula>"Fail"</formula>
    </cfRule>
    <cfRule type="cellIs" dxfId="13951" priority="13882" stopIfTrue="1" operator="equal">
      <formula>"Pass"</formula>
    </cfRule>
  </conditionalFormatting>
  <conditionalFormatting sqref="H761:P761">
    <cfRule type="cellIs" dxfId="13950" priority="13879" stopIfTrue="1" operator="equal">
      <formula>"Pass"</formula>
    </cfRule>
    <cfRule type="cellIs" dxfId="13949" priority="13880" stopIfTrue="1" operator="equal">
      <formula>"Fail"</formula>
    </cfRule>
  </conditionalFormatting>
  <conditionalFormatting sqref="H761:P761">
    <cfRule type="cellIs" dxfId="13948" priority="13877" stopIfTrue="1" operator="equal">
      <formula>"Pass"</formula>
    </cfRule>
    <cfRule type="cellIs" dxfId="13947" priority="13878" stopIfTrue="1" operator="equal">
      <formula>"Fail"</formula>
    </cfRule>
  </conditionalFormatting>
  <conditionalFormatting sqref="H761:P761">
    <cfRule type="cellIs" dxfId="13946" priority="13875" stopIfTrue="1" operator="equal">
      <formula>"Pass"</formula>
    </cfRule>
    <cfRule type="cellIs" dxfId="13945" priority="13876" stopIfTrue="1" operator="equal">
      <formula>"Fail"</formula>
    </cfRule>
  </conditionalFormatting>
  <conditionalFormatting sqref="I761:P761">
    <cfRule type="cellIs" dxfId="13944" priority="13873" stopIfTrue="1" operator="equal">
      <formula>"Pass"</formula>
    </cfRule>
    <cfRule type="cellIs" dxfId="13943" priority="13874" stopIfTrue="1" operator="equal">
      <formula>"Fail"</formula>
    </cfRule>
  </conditionalFormatting>
  <conditionalFormatting sqref="I761:P761">
    <cfRule type="cellIs" dxfId="13942" priority="13871" stopIfTrue="1" operator="equal">
      <formula>"Pass"</formula>
    </cfRule>
    <cfRule type="cellIs" dxfId="13941" priority="13872" stopIfTrue="1" operator="equal">
      <formula>"Fail"</formula>
    </cfRule>
  </conditionalFormatting>
  <conditionalFormatting sqref="I761:P761">
    <cfRule type="cellIs" dxfId="13940" priority="13869" stopIfTrue="1" operator="equal">
      <formula>"Pass"</formula>
    </cfRule>
    <cfRule type="cellIs" dxfId="13939" priority="13870" stopIfTrue="1" operator="equal">
      <formula>"Fail"</formula>
    </cfRule>
  </conditionalFormatting>
  <conditionalFormatting sqref="I761:P761">
    <cfRule type="cellIs" dxfId="13938" priority="13867" stopIfTrue="1" operator="equal">
      <formula>"Pass"</formula>
    </cfRule>
    <cfRule type="cellIs" dxfId="13937" priority="13868" stopIfTrue="1" operator="equal">
      <formula>"Fail"</formula>
    </cfRule>
  </conditionalFormatting>
  <conditionalFormatting sqref="H761:P761">
    <cfRule type="cellIs" dxfId="13936" priority="13865" stopIfTrue="1" operator="equal">
      <formula>"Pass"</formula>
    </cfRule>
    <cfRule type="cellIs" dxfId="13935" priority="13866" stopIfTrue="1" operator="equal">
      <formula>"Fail"</formula>
    </cfRule>
  </conditionalFormatting>
  <conditionalFormatting sqref="H761:P761">
    <cfRule type="cellIs" dxfId="13934" priority="13863" stopIfTrue="1" operator="equal">
      <formula>"Pass"</formula>
    </cfRule>
    <cfRule type="cellIs" dxfId="13933" priority="13864" stopIfTrue="1" operator="equal">
      <formula>"Fail"</formula>
    </cfRule>
  </conditionalFormatting>
  <conditionalFormatting sqref="I761:P761">
    <cfRule type="cellIs" dxfId="13932" priority="13861" stopIfTrue="1" operator="equal">
      <formula>"Pass"</formula>
    </cfRule>
    <cfRule type="cellIs" dxfId="13931" priority="13862" stopIfTrue="1" operator="equal">
      <formula>"Fail"</formula>
    </cfRule>
  </conditionalFormatting>
  <conditionalFormatting sqref="I761:P761">
    <cfRule type="cellIs" dxfId="13930" priority="13859" stopIfTrue="1" operator="equal">
      <formula>"Pass"</formula>
    </cfRule>
    <cfRule type="cellIs" dxfId="13929" priority="13860" stopIfTrue="1" operator="equal">
      <formula>"Fail"</formula>
    </cfRule>
  </conditionalFormatting>
  <conditionalFormatting sqref="I761:P761">
    <cfRule type="cellIs" dxfId="13928" priority="13857" stopIfTrue="1" operator="equal">
      <formula>"Pass"</formula>
    </cfRule>
    <cfRule type="cellIs" dxfId="13927" priority="13858" stopIfTrue="1" operator="equal">
      <formula>"Fail"</formula>
    </cfRule>
  </conditionalFormatting>
  <conditionalFormatting sqref="I761:P761">
    <cfRule type="cellIs" dxfId="13926" priority="13855" stopIfTrue="1" operator="equal">
      <formula>"Pass"</formula>
    </cfRule>
    <cfRule type="cellIs" dxfId="13925" priority="13856" stopIfTrue="1" operator="equal">
      <formula>"Fail"</formula>
    </cfRule>
  </conditionalFormatting>
  <conditionalFormatting sqref="H761:P761">
    <cfRule type="cellIs" dxfId="13924" priority="13853" stopIfTrue="1" operator="equal">
      <formula>"Pass"</formula>
    </cfRule>
    <cfRule type="cellIs" dxfId="13923" priority="13854" stopIfTrue="1" operator="equal">
      <formula>"Fail"</formula>
    </cfRule>
  </conditionalFormatting>
  <conditionalFormatting sqref="H761:P761">
    <cfRule type="cellIs" dxfId="13922" priority="13851" stopIfTrue="1" operator="equal">
      <formula>"Pass"</formula>
    </cfRule>
    <cfRule type="cellIs" dxfId="13921" priority="13852" stopIfTrue="1" operator="equal">
      <formula>"Fail"</formula>
    </cfRule>
  </conditionalFormatting>
  <conditionalFormatting sqref="I761:P761">
    <cfRule type="cellIs" dxfId="13920" priority="13849" stopIfTrue="1" operator="equal">
      <formula>"Pass"</formula>
    </cfRule>
    <cfRule type="cellIs" dxfId="13919" priority="13850" stopIfTrue="1" operator="equal">
      <formula>"Fail"</formula>
    </cfRule>
  </conditionalFormatting>
  <conditionalFormatting sqref="I761:P761">
    <cfRule type="cellIs" dxfId="13918" priority="13847" stopIfTrue="1" operator="equal">
      <formula>"Pass"</formula>
    </cfRule>
    <cfRule type="cellIs" dxfId="13917" priority="13848" stopIfTrue="1" operator="equal">
      <formula>"Fail"</formula>
    </cfRule>
  </conditionalFormatting>
  <conditionalFormatting sqref="I761:P761">
    <cfRule type="cellIs" dxfId="13916" priority="13845" stopIfTrue="1" operator="equal">
      <formula>"Pass"</formula>
    </cfRule>
    <cfRule type="cellIs" dxfId="13915" priority="13846" stopIfTrue="1" operator="equal">
      <formula>"Fail"</formula>
    </cfRule>
  </conditionalFormatting>
  <conditionalFormatting sqref="I761:P761">
    <cfRule type="cellIs" dxfId="13914" priority="13843" stopIfTrue="1" operator="equal">
      <formula>"Pass"</formula>
    </cfRule>
    <cfRule type="cellIs" dxfId="13913" priority="13844" stopIfTrue="1" operator="equal">
      <formula>"Fail"</formula>
    </cfRule>
  </conditionalFormatting>
  <conditionalFormatting sqref="H761:P761">
    <cfRule type="cellIs" dxfId="13912" priority="13841" stopIfTrue="1" operator="equal">
      <formula>"Pass"</formula>
    </cfRule>
    <cfRule type="cellIs" dxfId="13911" priority="13842" stopIfTrue="1" operator="equal">
      <formula>"Fail"</formula>
    </cfRule>
  </conditionalFormatting>
  <conditionalFormatting sqref="H761:P761">
    <cfRule type="cellIs" dxfId="13910" priority="13839" stopIfTrue="1" operator="equal">
      <formula>"Pass"</formula>
    </cfRule>
    <cfRule type="cellIs" dxfId="13909" priority="13840" stopIfTrue="1" operator="equal">
      <formula>"Fail"</formula>
    </cfRule>
  </conditionalFormatting>
  <conditionalFormatting sqref="I761:P761">
    <cfRule type="cellIs" dxfId="13908" priority="13837" stopIfTrue="1" operator="equal">
      <formula>"Pass"</formula>
    </cfRule>
    <cfRule type="cellIs" dxfId="13907" priority="13838" stopIfTrue="1" operator="equal">
      <formula>"Fail"</formula>
    </cfRule>
  </conditionalFormatting>
  <conditionalFormatting sqref="I761:P761">
    <cfRule type="cellIs" dxfId="13906" priority="13835" stopIfTrue="1" operator="equal">
      <formula>"Pass"</formula>
    </cfRule>
    <cfRule type="cellIs" dxfId="13905" priority="13836" stopIfTrue="1" operator="equal">
      <formula>"Fail"</formula>
    </cfRule>
  </conditionalFormatting>
  <conditionalFormatting sqref="I761:P761">
    <cfRule type="cellIs" dxfId="13904" priority="13833" stopIfTrue="1" operator="equal">
      <formula>"Pass"</formula>
    </cfRule>
    <cfRule type="cellIs" dxfId="13903" priority="13834" stopIfTrue="1" operator="equal">
      <formula>"Fail"</formula>
    </cfRule>
  </conditionalFormatting>
  <conditionalFormatting sqref="I761:P761">
    <cfRule type="cellIs" dxfId="13902" priority="13831" stopIfTrue="1" operator="equal">
      <formula>"Pass"</formula>
    </cfRule>
    <cfRule type="cellIs" dxfId="13901" priority="13832" stopIfTrue="1" operator="equal">
      <formula>"Fail"</formula>
    </cfRule>
  </conditionalFormatting>
  <conditionalFormatting sqref="H761:P761">
    <cfRule type="cellIs" dxfId="13900" priority="13829" stopIfTrue="1" operator="equal">
      <formula>"Pass"</formula>
    </cfRule>
    <cfRule type="cellIs" dxfId="13899" priority="13830" stopIfTrue="1" operator="equal">
      <formula>"Fail"</formula>
    </cfRule>
  </conditionalFormatting>
  <conditionalFormatting sqref="H761:P761">
    <cfRule type="cellIs" dxfId="13898" priority="13827" stopIfTrue="1" operator="equal">
      <formula>"Pass"</formula>
    </cfRule>
    <cfRule type="cellIs" dxfId="13897" priority="13828" stopIfTrue="1" operator="equal">
      <formula>"Fail"</formula>
    </cfRule>
  </conditionalFormatting>
  <conditionalFormatting sqref="I761:P761">
    <cfRule type="cellIs" dxfId="13896" priority="13825" stopIfTrue="1" operator="equal">
      <formula>"Pass"</formula>
    </cfRule>
    <cfRule type="cellIs" dxfId="13895" priority="13826" stopIfTrue="1" operator="equal">
      <formula>"Fail"</formula>
    </cfRule>
  </conditionalFormatting>
  <conditionalFormatting sqref="I761:P761">
    <cfRule type="cellIs" dxfId="13894" priority="13823" stopIfTrue="1" operator="equal">
      <formula>"Pass"</formula>
    </cfRule>
    <cfRule type="cellIs" dxfId="13893" priority="13824" stopIfTrue="1" operator="equal">
      <formula>"Fail"</formula>
    </cfRule>
  </conditionalFormatting>
  <conditionalFormatting sqref="I761:P761">
    <cfRule type="cellIs" dxfId="13892" priority="13821" stopIfTrue="1" operator="equal">
      <formula>"Pass"</formula>
    </cfRule>
    <cfRule type="cellIs" dxfId="13891" priority="13822" stopIfTrue="1" operator="equal">
      <formula>"Fail"</formula>
    </cfRule>
  </conditionalFormatting>
  <conditionalFormatting sqref="I761:P761">
    <cfRule type="cellIs" dxfId="13890" priority="13819" stopIfTrue="1" operator="equal">
      <formula>"Pass"</formula>
    </cfRule>
    <cfRule type="cellIs" dxfId="13889" priority="13820" stopIfTrue="1" operator="equal">
      <formula>"Fail"</formula>
    </cfRule>
  </conditionalFormatting>
  <conditionalFormatting sqref="H761:P761">
    <cfRule type="cellIs" dxfId="13888" priority="13817" stopIfTrue="1" operator="equal">
      <formula>"Pass"</formula>
    </cfRule>
    <cfRule type="cellIs" dxfId="13887" priority="13818" stopIfTrue="1" operator="equal">
      <formula>"Fail"</formula>
    </cfRule>
  </conditionalFormatting>
  <conditionalFormatting sqref="H761:P761">
    <cfRule type="cellIs" dxfId="13886" priority="13815" stopIfTrue="1" operator="equal">
      <formula>"Pass"</formula>
    </cfRule>
    <cfRule type="cellIs" dxfId="13885" priority="13816" stopIfTrue="1" operator="equal">
      <formula>"Fail"</formula>
    </cfRule>
  </conditionalFormatting>
  <conditionalFormatting sqref="I761:P761">
    <cfRule type="cellIs" dxfId="13884" priority="13813" stopIfTrue="1" operator="equal">
      <formula>"Pass"</formula>
    </cfRule>
    <cfRule type="cellIs" dxfId="13883" priority="13814" stopIfTrue="1" operator="equal">
      <formula>"Fail"</formula>
    </cfRule>
  </conditionalFormatting>
  <conditionalFormatting sqref="I761:P761">
    <cfRule type="cellIs" dxfId="13882" priority="13811" stopIfTrue="1" operator="equal">
      <formula>"Pass"</formula>
    </cfRule>
    <cfRule type="cellIs" dxfId="13881" priority="13812" stopIfTrue="1" operator="equal">
      <formula>"Fail"</formula>
    </cfRule>
  </conditionalFormatting>
  <conditionalFormatting sqref="I761:P761">
    <cfRule type="cellIs" dxfId="13880" priority="13809" stopIfTrue="1" operator="equal">
      <formula>"Pass"</formula>
    </cfRule>
    <cfRule type="cellIs" dxfId="13879" priority="13810" stopIfTrue="1" operator="equal">
      <formula>"Fail"</formula>
    </cfRule>
  </conditionalFormatting>
  <conditionalFormatting sqref="I761:P761">
    <cfRule type="cellIs" dxfId="13878" priority="13807" stopIfTrue="1" operator="equal">
      <formula>"Pass"</formula>
    </cfRule>
    <cfRule type="cellIs" dxfId="13877" priority="13808" stopIfTrue="1" operator="equal">
      <formula>"Fail"</formula>
    </cfRule>
  </conditionalFormatting>
  <conditionalFormatting sqref="H761:P761">
    <cfRule type="cellIs" dxfId="13876" priority="13805" stopIfTrue="1" operator="equal">
      <formula>"Pass"</formula>
    </cfRule>
    <cfRule type="cellIs" dxfId="13875" priority="13806" stopIfTrue="1" operator="equal">
      <formula>"Fail"</formula>
    </cfRule>
  </conditionalFormatting>
  <conditionalFormatting sqref="H761:P761">
    <cfRule type="cellIs" dxfId="13874" priority="13803" stopIfTrue="1" operator="equal">
      <formula>"Pass"</formula>
    </cfRule>
    <cfRule type="cellIs" dxfId="13873" priority="13804" stopIfTrue="1" operator="equal">
      <formula>"Fail"</formula>
    </cfRule>
  </conditionalFormatting>
  <conditionalFormatting sqref="I761:P761">
    <cfRule type="cellIs" dxfId="13872" priority="13801" stopIfTrue="1" operator="equal">
      <formula>"Pass"</formula>
    </cfRule>
    <cfRule type="cellIs" dxfId="13871" priority="13802" stopIfTrue="1" operator="equal">
      <formula>"Fail"</formula>
    </cfRule>
  </conditionalFormatting>
  <conditionalFormatting sqref="I761:P761">
    <cfRule type="cellIs" dxfId="13870" priority="13799" stopIfTrue="1" operator="equal">
      <formula>"Pass"</formula>
    </cfRule>
    <cfRule type="cellIs" dxfId="13869" priority="13800" stopIfTrue="1" operator="equal">
      <formula>"Fail"</formula>
    </cfRule>
  </conditionalFormatting>
  <conditionalFormatting sqref="I761:P761">
    <cfRule type="cellIs" dxfId="13868" priority="13797" stopIfTrue="1" operator="equal">
      <formula>"Pass"</formula>
    </cfRule>
    <cfRule type="cellIs" dxfId="13867" priority="13798" stopIfTrue="1" operator="equal">
      <formula>"Fail"</formula>
    </cfRule>
  </conditionalFormatting>
  <conditionalFormatting sqref="I761:P761">
    <cfRule type="cellIs" dxfId="13866" priority="13795" stopIfTrue="1" operator="equal">
      <formula>"Pass"</formula>
    </cfRule>
    <cfRule type="cellIs" dxfId="13865" priority="13796" stopIfTrue="1" operator="equal">
      <formula>"Fail"</formula>
    </cfRule>
  </conditionalFormatting>
  <conditionalFormatting sqref="H761:P761">
    <cfRule type="cellIs" dxfId="13864" priority="13793" stopIfTrue="1" operator="equal">
      <formula>"Pass"</formula>
    </cfRule>
    <cfRule type="cellIs" dxfId="13863" priority="13794" stopIfTrue="1" operator="equal">
      <formula>"Fail"</formula>
    </cfRule>
  </conditionalFormatting>
  <conditionalFormatting sqref="H761:P761">
    <cfRule type="cellIs" dxfId="13862" priority="13791" stopIfTrue="1" operator="equal">
      <formula>"Pass"</formula>
    </cfRule>
    <cfRule type="cellIs" dxfId="13861" priority="13792" stopIfTrue="1" operator="equal">
      <formula>"Fail"</formula>
    </cfRule>
  </conditionalFormatting>
  <conditionalFormatting sqref="I761:P761">
    <cfRule type="cellIs" dxfId="13860" priority="13789" stopIfTrue="1" operator="equal">
      <formula>"Pass"</formula>
    </cfRule>
    <cfRule type="cellIs" dxfId="13859" priority="13790" stopIfTrue="1" operator="equal">
      <formula>"Fail"</formula>
    </cfRule>
  </conditionalFormatting>
  <conditionalFormatting sqref="I761:P761">
    <cfRule type="cellIs" dxfId="13858" priority="13787" stopIfTrue="1" operator="equal">
      <formula>"Pass"</formula>
    </cfRule>
    <cfRule type="cellIs" dxfId="13857" priority="13788" stopIfTrue="1" operator="equal">
      <formula>"Fail"</formula>
    </cfRule>
  </conditionalFormatting>
  <conditionalFormatting sqref="I761:P761">
    <cfRule type="cellIs" dxfId="13856" priority="13785" stopIfTrue="1" operator="equal">
      <formula>"Pass"</formula>
    </cfRule>
    <cfRule type="cellIs" dxfId="13855" priority="13786" stopIfTrue="1" operator="equal">
      <formula>"Fail"</formula>
    </cfRule>
  </conditionalFormatting>
  <conditionalFormatting sqref="I761:P761">
    <cfRule type="cellIs" dxfId="13854" priority="13783" stopIfTrue="1" operator="equal">
      <formula>"Pass"</formula>
    </cfRule>
    <cfRule type="cellIs" dxfId="13853" priority="13784" stopIfTrue="1" operator="equal">
      <formula>"Fail"</formula>
    </cfRule>
  </conditionalFormatting>
  <conditionalFormatting sqref="H761:O761">
    <cfRule type="cellIs" dxfId="13852" priority="13781" stopIfTrue="1" operator="equal">
      <formula>"Pass"</formula>
    </cfRule>
    <cfRule type="cellIs" dxfId="13851" priority="13782" stopIfTrue="1" operator="equal">
      <formula>"Fail"</formula>
    </cfRule>
  </conditionalFormatting>
  <conditionalFormatting sqref="H761:O761">
    <cfRule type="cellIs" dxfId="13850" priority="13779" stopIfTrue="1" operator="equal">
      <formula>"Pass"</formula>
    </cfRule>
    <cfRule type="cellIs" dxfId="13849" priority="13780" stopIfTrue="1" operator="equal">
      <formula>"Fail"</formula>
    </cfRule>
  </conditionalFormatting>
  <conditionalFormatting sqref="I761:P761">
    <cfRule type="cellIs" dxfId="13848" priority="13777" stopIfTrue="1" operator="equal">
      <formula>"Pass"</formula>
    </cfRule>
    <cfRule type="cellIs" dxfId="13847" priority="13778" stopIfTrue="1" operator="equal">
      <formula>"Fail"</formula>
    </cfRule>
  </conditionalFormatting>
  <conditionalFormatting sqref="I761:P761">
    <cfRule type="cellIs" dxfId="13846" priority="13775" stopIfTrue="1" operator="equal">
      <formula>"Pass"</formula>
    </cfRule>
    <cfRule type="cellIs" dxfId="13845" priority="13776" stopIfTrue="1" operator="equal">
      <formula>"Fail"</formula>
    </cfRule>
  </conditionalFormatting>
  <conditionalFormatting sqref="I761:P761">
    <cfRule type="cellIs" dxfId="13844" priority="13773" stopIfTrue="1" operator="equal">
      <formula>"Pass"</formula>
    </cfRule>
    <cfRule type="cellIs" dxfId="13843" priority="13774" stopIfTrue="1" operator="equal">
      <formula>"Fail"</formula>
    </cfRule>
  </conditionalFormatting>
  <conditionalFormatting sqref="I761:P761">
    <cfRule type="cellIs" dxfId="13842" priority="13771" stopIfTrue="1" operator="equal">
      <formula>"Pass"</formula>
    </cfRule>
    <cfRule type="cellIs" dxfId="13841" priority="13772" stopIfTrue="1" operator="equal">
      <formula>"Fail"</formula>
    </cfRule>
  </conditionalFormatting>
  <conditionalFormatting sqref="H761:O761">
    <cfRule type="cellIs" dxfId="13840" priority="13769" stopIfTrue="1" operator="equal">
      <formula>"Pass"</formula>
    </cfRule>
    <cfRule type="cellIs" dxfId="13839" priority="13770" stopIfTrue="1" operator="equal">
      <formula>"Fail"</formula>
    </cfRule>
  </conditionalFormatting>
  <conditionalFormatting sqref="H761:O761">
    <cfRule type="cellIs" dxfId="13838" priority="13767" stopIfTrue="1" operator="equal">
      <formula>"Pass"</formula>
    </cfRule>
    <cfRule type="cellIs" dxfId="13837" priority="13768" stopIfTrue="1" operator="equal">
      <formula>"Fail"</formula>
    </cfRule>
  </conditionalFormatting>
  <conditionalFormatting sqref="I761:P761">
    <cfRule type="cellIs" dxfId="13836" priority="13765" stopIfTrue="1" operator="equal">
      <formula>"Pass"</formula>
    </cfRule>
    <cfRule type="cellIs" dxfId="13835" priority="13766" stopIfTrue="1" operator="equal">
      <formula>"Fail"</formula>
    </cfRule>
  </conditionalFormatting>
  <conditionalFormatting sqref="I761:P761">
    <cfRule type="cellIs" dxfId="13834" priority="13763" stopIfTrue="1" operator="equal">
      <formula>"Pass"</formula>
    </cfRule>
    <cfRule type="cellIs" dxfId="13833" priority="13764" stopIfTrue="1" operator="equal">
      <formula>"Fail"</formula>
    </cfRule>
  </conditionalFormatting>
  <conditionalFormatting sqref="I761:P761">
    <cfRule type="cellIs" dxfId="13832" priority="13761" stopIfTrue="1" operator="equal">
      <formula>"Pass"</formula>
    </cfRule>
    <cfRule type="cellIs" dxfId="13831" priority="13762" stopIfTrue="1" operator="equal">
      <formula>"Fail"</formula>
    </cfRule>
  </conditionalFormatting>
  <conditionalFormatting sqref="I761:P761">
    <cfRule type="cellIs" dxfId="13830" priority="13759" stopIfTrue="1" operator="equal">
      <formula>"Pass"</formula>
    </cfRule>
    <cfRule type="cellIs" dxfId="13829" priority="13760" stopIfTrue="1" operator="equal">
      <formula>"Fail"</formula>
    </cfRule>
  </conditionalFormatting>
  <conditionalFormatting sqref="H761:P761">
    <cfRule type="cellIs" dxfId="13828" priority="13757" stopIfTrue="1" operator="equal">
      <formula>"Pass"</formula>
    </cfRule>
    <cfRule type="cellIs" dxfId="13827" priority="13758" stopIfTrue="1" operator="equal">
      <formula>"Fail"</formula>
    </cfRule>
  </conditionalFormatting>
  <conditionalFormatting sqref="H761:P761">
    <cfRule type="cellIs" dxfId="13826" priority="13755" stopIfTrue="1" operator="equal">
      <formula>"Pass"</formula>
    </cfRule>
    <cfRule type="cellIs" dxfId="13825" priority="13756" stopIfTrue="1" operator="equal">
      <formula>"Fail"</formula>
    </cfRule>
  </conditionalFormatting>
  <conditionalFormatting sqref="I761:P761">
    <cfRule type="cellIs" dxfId="13824" priority="13753" stopIfTrue="1" operator="equal">
      <formula>"Pass"</formula>
    </cfRule>
    <cfRule type="cellIs" dxfId="13823" priority="13754" stopIfTrue="1" operator="equal">
      <formula>"Fail"</formula>
    </cfRule>
  </conditionalFormatting>
  <conditionalFormatting sqref="I761:P761">
    <cfRule type="cellIs" dxfId="13822" priority="13751" stopIfTrue="1" operator="equal">
      <formula>"Pass"</formula>
    </cfRule>
    <cfRule type="cellIs" dxfId="13821" priority="13752" stopIfTrue="1" operator="equal">
      <formula>"Fail"</formula>
    </cfRule>
  </conditionalFormatting>
  <conditionalFormatting sqref="I761:P761">
    <cfRule type="cellIs" dxfId="13820" priority="13749" stopIfTrue="1" operator="equal">
      <formula>"Pass"</formula>
    </cfRule>
    <cfRule type="cellIs" dxfId="13819" priority="13750" stopIfTrue="1" operator="equal">
      <formula>"Fail"</formula>
    </cfRule>
  </conditionalFormatting>
  <conditionalFormatting sqref="I761:P761">
    <cfRule type="cellIs" dxfId="13818" priority="13747" stopIfTrue="1" operator="equal">
      <formula>"Pass"</formula>
    </cfRule>
    <cfRule type="cellIs" dxfId="13817" priority="13748" stopIfTrue="1" operator="equal">
      <formula>"Fail"</formula>
    </cfRule>
  </conditionalFormatting>
  <conditionalFormatting sqref="H761:P761">
    <cfRule type="cellIs" dxfId="13816" priority="13745" stopIfTrue="1" operator="equal">
      <formula>"Pass"</formula>
    </cfRule>
    <cfRule type="cellIs" dxfId="13815" priority="13746" stopIfTrue="1" operator="equal">
      <formula>"Fail"</formula>
    </cfRule>
  </conditionalFormatting>
  <conditionalFormatting sqref="H761:P761">
    <cfRule type="cellIs" dxfId="13814" priority="13743" stopIfTrue="1" operator="equal">
      <formula>"Pass"</formula>
    </cfRule>
    <cfRule type="cellIs" dxfId="13813" priority="13744" stopIfTrue="1" operator="equal">
      <formula>"Fail"</formula>
    </cfRule>
  </conditionalFormatting>
  <conditionalFormatting sqref="I761:P761">
    <cfRule type="cellIs" dxfId="13812" priority="13741" stopIfTrue="1" operator="equal">
      <formula>"Pass"</formula>
    </cfRule>
    <cfRule type="cellIs" dxfId="13811" priority="13742" stopIfTrue="1" operator="equal">
      <formula>"Fail"</formula>
    </cfRule>
  </conditionalFormatting>
  <conditionalFormatting sqref="I761:P761">
    <cfRule type="cellIs" dxfId="13810" priority="13739" stopIfTrue="1" operator="equal">
      <formula>"Pass"</formula>
    </cfRule>
    <cfRule type="cellIs" dxfId="13809" priority="13740" stopIfTrue="1" operator="equal">
      <formula>"Fail"</formula>
    </cfRule>
  </conditionalFormatting>
  <conditionalFormatting sqref="I761:P761">
    <cfRule type="cellIs" dxfId="13808" priority="13737" stopIfTrue="1" operator="equal">
      <formula>"Pass"</formula>
    </cfRule>
    <cfRule type="cellIs" dxfId="13807" priority="13738" stopIfTrue="1" operator="equal">
      <formula>"Fail"</formula>
    </cfRule>
  </conditionalFormatting>
  <conditionalFormatting sqref="I761:P761">
    <cfRule type="cellIs" dxfId="13806" priority="13735" stopIfTrue="1" operator="equal">
      <formula>"Pass"</formula>
    </cfRule>
    <cfRule type="cellIs" dxfId="13805" priority="13736" stopIfTrue="1" operator="equal">
      <formula>"Fail"</formula>
    </cfRule>
  </conditionalFormatting>
  <conditionalFormatting sqref="H761:P761">
    <cfRule type="cellIs" dxfId="13804" priority="13733" stopIfTrue="1" operator="equal">
      <formula>"Pass"</formula>
    </cfRule>
    <cfRule type="cellIs" dxfId="13803" priority="13734" stopIfTrue="1" operator="equal">
      <formula>"Fail"</formula>
    </cfRule>
  </conditionalFormatting>
  <conditionalFormatting sqref="H761:P761">
    <cfRule type="cellIs" dxfId="13802" priority="13731" stopIfTrue="1" operator="equal">
      <formula>"Pass"</formula>
    </cfRule>
    <cfRule type="cellIs" dxfId="13801" priority="13732" stopIfTrue="1" operator="equal">
      <formula>"Fail"</formula>
    </cfRule>
  </conditionalFormatting>
  <conditionalFormatting sqref="I761:P761">
    <cfRule type="cellIs" dxfId="13800" priority="13729" stopIfTrue="1" operator="equal">
      <formula>"Pass"</formula>
    </cfRule>
    <cfRule type="cellIs" dxfId="13799" priority="13730" stopIfTrue="1" operator="equal">
      <formula>"Fail"</formula>
    </cfRule>
  </conditionalFormatting>
  <conditionalFormatting sqref="I761:P761">
    <cfRule type="cellIs" dxfId="13798" priority="13727" stopIfTrue="1" operator="equal">
      <formula>"Pass"</formula>
    </cfRule>
    <cfRule type="cellIs" dxfId="13797" priority="13728" stopIfTrue="1" operator="equal">
      <formula>"Fail"</formula>
    </cfRule>
  </conditionalFormatting>
  <conditionalFormatting sqref="I761:P761">
    <cfRule type="cellIs" dxfId="13796" priority="13725" stopIfTrue="1" operator="equal">
      <formula>"Pass"</formula>
    </cfRule>
    <cfRule type="cellIs" dxfId="13795" priority="13726" stopIfTrue="1" operator="equal">
      <formula>"Fail"</formula>
    </cfRule>
  </conditionalFormatting>
  <conditionalFormatting sqref="I761:P761">
    <cfRule type="cellIs" dxfId="13794" priority="13723" stopIfTrue="1" operator="equal">
      <formula>"Pass"</formula>
    </cfRule>
    <cfRule type="cellIs" dxfId="13793" priority="13724" stopIfTrue="1" operator="equal">
      <formula>"Fail"</formula>
    </cfRule>
  </conditionalFormatting>
  <conditionalFormatting sqref="H761:P761">
    <cfRule type="cellIs" dxfId="13792" priority="13721" stopIfTrue="1" operator="equal">
      <formula>"Pass"</formula>
    </cfRule>
    <cfRule type="cellIs" dxfId="13791" priority="13722" stopIfTrue="1" operator="equal">
      <formula>"Fail"</formula>
    </cfRule>
  </conditionalFormatting>
  <conditionalFormatting sqref="H761:P761">
    <cfRule type="cellIs" dxfId="13790" priority="13719" stopIfTrue="1" operator="equal">
      <formula>"Pass"</formula>
    </cfRule>
    <cfRule type="cellIs" dxfId="13789" priority="13720" stopIfTrue="1" operator="equal">
      <formula>"Fail"</formula>
    </cfRule>
  </conditionalFormatting>
  <conditionalFormatting sqref="I761:P761">
    <cfRule type="cellIs" dxfId="13788" priority="13717" stopIfTrue="1" operator="equal">
      <formula>"Pass"</formula>
    </cfRule>
    <cfRule type="cellIs" dxfId="13787" priority="13718" stopIfTrue="1" operator="equal">
      <formula>"Fail"</formula>
    </cfRule>
  </conditionalFormatting>
  <conditionalFormatting sqref="I761:P761">
    <cfRule type="cellIs" dxfId="13786" priority="13715" stopIfTrue="1" operator="equal">
      <formula>"Pass"</formula>
    </cfRule>
    <cfRule type="cellIs" dxfId="13785" priority="13716" stopIfTrue="1" operator="equal">
      <formula>"Fail"</formula>
    </cfRule>
  </conditionalFormatting>
  <conditionalFormatting sqref="I761:P761">
    <cfRule type="cellIs" dxfId="13784" priority="13713" stopIfTrue="1" operator="equal">
      <formula>"Pass"</formula>
    </cfRule>
    <cfRule type="cellIs" dxfId="13783" priority="13714" stopIfTrue="1" operator="equal">
      <formula>"Fail"</formula>
    </cfRule>
  </conditionalFormatting>
  <conditionalFormatting sqref="I761:P761">
    <cfRule type="cellIs" dxfId="13782" priority="13711" stopIfTrue="1" operator="equal">
      <formula>"Pass"</formula>
    </cfRule>
    <cfRule type="cellIs" dxfId="13781" priority="13712" stopIfTrue="1" operator="equal">
      <formula>"Fail"</formula>
    </cfRule>
  </conditionalFormatting>
  <conditionalFormatting sqref="H761:P761">
    <cfRule type="cellIs" dxfId="13780" priority="13709" stopIfTrue="1" operator="equal">
      <formula>"Pass"</formula>
    </cfRule>
    <cfRule type="cellIs" dxfId="13779" priority="13710" stopIfTrue="1" operator="equal">
      <formula>"Fail"</formula>
    </cfRule>
  </conditionalFormatting>
  <conditionalFormatting sqref="H761:P761">
    <cfRule type="cellIs" dxfId="13778" priority="13707" stopIfTrue="1" operator="equal">
      <formula>"Pass"</formula>
    </cfRule>
    <cfRule type="cellIs" dxfId="13777" priority="13708" stopIfTrue="1" operator="equal">
      <formula>"Fail"</formula>
    </cfRule>
  </conditionalFormatting>
  <conditionalFormatting sqref="I761:P761">
    <cfRule type="cellIs" dxfId="13776" priority="13705" stopIfTrue="1" operator="equal">
      <formula>"Pass"</formula>
    </cfRule>
    <cfRule type="cellIs" dxfId="13775" priority="13706" stopIfTrue="1" operator="equal">
      <formula>"Fail"</formula>
    </cfRule>
  </conditionalFormatting>
  <conditionalFormatting sqref="I761:P761">
    <cfRule type="cellIs" dxfId="13774" priority="13703" stopIfTrue="1" operator="equal">
      <formula>"Pass"</formula>
    </cfRule>
    <cfRule type="cellIs" dxfId="13773" priority="13704" stopIfTrue="1" operator="equal">
      <formula>"Fail"</formula>
    </cfRule>
  </conditionalFormatting>
  <conditionalFormatting sqref="I761:P761">
    <cfRule type="cellIs" dxfId="13772" priority="13701" stopIfTrue="1" operator="equal">
      <formula>"Pass"</formula>
    </cfRule>
    <cfRule type="cellIs" dxfId="13771" priority="13702" stopIfTrue="1" operator="equal">
      <formula>"Fail"</formula>
    </cfRule>
  </conditionalFormatting>
  <conditionalFormatting sqref="I761:P761">
    <cfRule type="cellIs" dxfId="13770" priority="13699" stopIfTrue="1" operator="equal">
      <formula>"Pass"</formula>
    </cfRule>
    <cfRule type="cellIs" dxfId="13769" priority="13700" stopIfTrue="1" operator="equal">
      <formula>"Fail"</formula>
    </cfRule>
  </conditionalFormatting>
  <conditionalFormatting sqref="H761:P761">
    <cfRule type="cellIs" dxfId="13768" priority="13697" stopIfTrue="1" operator="equal">
      <formula>"Pass"</formula>
    </cfRule>
    <cfRule type="cellIs" dxfId="13767" priority="13698" stopIfTrue="1" operator="equal">
      <formula>"Fail"</formula>
    </cfRule>
  </conditionalFormatting>
  <conditionalFormatting sqref="H761:P761">
    <cfRule type="cellIs" dxfId="13766" priority="13695" stopIfTrue="1" operator="equal">
      <formula>"Pass"</formula>
    </cfRule>
    <cfRule type="cellIs" dxfId="13765" priority="13696" stopIfTrue="1" operator="equal">
      <formula>"Fail"</formula>
    </cfRule>
  </conditionalFormatting>
  <conditionalFormatting sqref="I761:P761">
    <cfRule type="cellIs" dxfId="13764" priority="13693" stopIfTrue="1" operator="equal">
      <formula>"Pass"</formula>
    </cfRule>
    <cfRule type="cellIs" dxfId="13763" priority="13694" stopIfTrue="1" operator="equal">
      <formula>"Fail"</formula>
    </cfRule>
  </conditionalFormatting>
  <conditionalFormatting sqref="I761:P761">
    <cfRule type="cellIs" dxfId="13762" priority="13691" stopIfTrue="1" operator="equal">
      <formula>"Pass"</formula>
    </cfRule>
    <cfRule type="cellIs" dxfId="13761" priority="13692" stopIfTrue="1" operator="equal">
      <formula>"Fail"</formula>
    </cfRule>
  </conditionalFormatting>
  <conditionalFormatting sqref="I761:P761">
    <cfRule type="cellIs" dxfId="13760" priority="13689" stopIfTrue="1" operator="equal">
      <formula>"Pass"</formula>
    </cfRule>
    <cfRule type="cellIs" dxfId="13759" priority="13690" stopIfTrue="1" operator="equal">
      <formula>"Fail"</formula>
    </cfRule>
  </conditionalFormatting>
  <conditionalFormatting sqref="I761:P761">
    <cfRule type="cellIs" dxfId="13758" priority="13687" stopIfTrue="1" operator="equal">
      <formula>"Pass"</formula>
    </cfRule>
    <cfRule type="cellIs" dxfId="13757" priority="13688" stopIfTrue="1" operator="equal">
      <formula>"Fail"</formula>
    </cfRule>
  </conditionalFormatting>
  <conditionalFormatting sqref="H761:P761">
    <cfRule type="cellIs" dxfId="13756" priority="13685" stopIfTrue="1" operator="equal">
      <formula>"Pass"</formula>
    </cfRule>
    <cfRule type="cellIs" dxfId="13755" priority="13686" stopIfTrue="1" operator="equal">
      <formula>"Fail"</formula>
    </cfRule>
  </conditionalFormatting>
  <conditionalFormatting sqref="H761:P761">
    <cfRule type="cellIs" dxfId="13754" priority="13683" stopIfTrue="1" operator="equal">
      <formula>"Pass"</formula>
    </cfRule>
    <cfRule type="cellIs" dxfId="13753" priority="13684" stopIfTrue="1" operator="equal">
      <formula>"Fail"</formula>
    </cfRule>
  </conditionalFormatting>
  <conditionalFormatting sqref="I761:P761">
    <cfRule type="cellIs" dxfId="13752" priority="13681" stopIfTrue="1" operator="equal">
      <formula>"Pass"</formula>
    </cfRule>
    <cfRule type="cellIs" dxfId="13751" priority="13682" stopIfTrue="1" operator="equal">
      <formula>"Fail"</formula>
    </cfRule>
  </conditionalFormatting>
  <conditionalFormatting sqref="I761:P761">
    <cfRule type="cellIs" dxfId="13750" priority="13679" stopIfTrue="1" operator="equal">
      <formula>"Pass"</formula>
    </cfRule>
    <cfRule type="cellIs" dxfId="13749" priority="13680" stopIfTrue="1" operator="equal">
      <formula>"Fail"</formula>
    </cfRule>
  </conditionalFormatting>
  <conditionalFormatting sqref="I761:P761">
    <cfRule type="cellIs" dxfId="13748" priority="13677" stopIfTrue="1" operator="equal">
      <formula>"Pass"</formula>
    </cfRule>
    <cfRule type="cellIs" dxfId="13747" priority="13678" stopIfTrue="1" operator="equal">
      <formula>"Fail"</formula>
    </cfRule>
  </conditionalFormatting>
  <conditionalFormatting sqref="I761:P761">
    <cfRule type="cellIs" dxfId="13746" priority="13675" stopIfTrue="1" operator="equal">
      <formula>"Pass"</formula>
    </cfRule>
    <cfRule type="cellIs" dxfId="13745" priority="13676" stopIfTrue="1" operator="equal">
      <formula>"Fail"</formula>
    </cfRule>
  </conditionalFormatting>
  <conditionalFormatting sqref="H761:P761">
    <cfRule type="cellIs" dxfId="13744" priority="13673" stopIfTrue="1" operator="equal">
      <formula>"Pass"</formula>
    </cfRule>
    <cfRule type="cellIs" dxfId="13743" priority="13674" stopIfTrue="1" operator="equal">
      <formula>"Fail"</formula>
    </cfRule>
  </conditionalFormatting>
  <conditionalFormatting sqref="H761:P761">
    <cfRule type="cellIs" dxfId="13742" priority="13671" stopIfTrue="1" operator="equal">
      <formula>"Pass"</formula>
    </cfRule>
    <cfRule type="cellIs" dxfId="13741" priority="13672" stopIfTrue="1" operator="equal">
      <formula>"Fail"</formula>
    </cfRule>
  </conditionalFormatting>
  <conditionalFormatting sqref="I761:P761">
    <cfRule type="cellIs" dxfId="13740" priority="13669" stopIfTrue="1" operator="equal">
      <formula>"Pass"</formula>
    </cfRule>
    <cfRule type="cellIs" dxfId="13739" priority="13670" stopIfTrue="1" operator="equal">
      <formula>"Fail"</formula>
    </cfRule>
  </conditionalFormatting>
  <conditionalFormatting sqref="I761:P761">
    <cfRule type="cellIs" dxfId="13738" priority="13667" stopIfTrue="1" operator="equal">
      <formula>"Pass"</formula>
    </cfRule>
    <cfRule type="cellIs" dxfId="13737" priority="13668" stopIfTrue="1" operator="equal">
      <formula>"Fail"</formula>
    </cfRule>
  </conditionalFormatting>
  <conditionalFormatting sqref="I761:P761">
    <cfRule type="cellIs" dxfId="13736" priority="13665" stopIfTrue="1" operator="equal">
      <formula>"Pass"</formula>
    </cfRule>
    <cfRule type="cellIs" dxfId="13735" priority="13666" stopIfTrue="1" operator="equal">
      <formula>"Fail"</formula>
    </cfRule>
  </conditionalFormatting>
  <conditionalFormatting sqref="I761:P761">
    <cfRule type="cellIs" dxfId="13734" priority="13663" stopIfTrue="1" operator="equal">
      <formula>"Pass"</formula>
    </cfRule>
    <cfRule type="cellIs" dxfId="13733" priority="13664" stopIfTrue="1" operator="equal">
      <formula>"Fail"</formula>
    </cfRule>
  </conditionalFormatting>
  <conditionalFormatting sqref="H761:P761">
    <cfRule type="cellIs" dxfId="13732" priority="13661" stopIfTrue="1" operator="equal">
      <formula>"Pass"</formula>
    </cfRule>
    <cfRule type="cellIs" dxfId="13731" priority="13662" stopIfTrue="1" operator="equal">
      <formula>"Fail"</formula>
    </cfRule>
  </conditionalFormatting>
  <conditionalFormatting sqref="H761:P761">
    <cfRule type="cellIs" dxfId="13730" priority="13659" stopIfTrue="1" operator="equal">
      <formula>"Pass"</formula>
    </cfRule>
    <cfRule type="cellIs" dxfId="13729" priority="13660" stopIfTrue="1" operator="equal">
      <formula>"Fail"</formula>
    </cfRule>
  </conditionalFormatting>
  <conditionalFormatting sqref="I761:P761">
    <cfRule type="cellIs" dxfId="13728" priority="13657" stopIfTrue="1" operator="equal">
      <formula>"Pass"</formula>
    </cfRule>
    <cfRule type="cellIs" dxfId="13727" priority="13658" stopIfTrue="1" operator="equal">
      <formula>"Fail"</formula>
    </cfRule>
  </conditionalFormatting>
  <conditionalFormatting sqref="I761:P761">
    <cfRule type="cellIs" dxfId="13726" priority="13655" stopIfTrue="1" operator="equal">
      <formula>"Pass"</formula>
    </cfRule>
    <cfRule type="cellIs" dxfId="13725" priority="13656" stopIfTrue="1" operator="equal">
      <formula>"Fail"</formula>
    </cfRule>
  </conditionalFormatting>
  <conditionalFormatting sqref="I761:P761">
    <cfRule type="cellIs" dxfId="13724" priority="13653" stopIfTrue="1" operator="equal">
      <formula>"Pass"</formula>
    </cfRule>
    <cfRule type="cellIs" dxfId="13723" priority="13654" stopIfTrue="1" operator="equal">
      <formula>"Fail"</formula>
    </cfRule>
  </conditionalFormatting>
  <conditionalFormatting sqref="I761:P761">
    <cfRule type="cellIs" dxfId="13722" priority="13651" stopIfTrue="1" operator="equal">
      <formula>"Pass"</formula>
    </cfRule>
    <cfRule type="cellIs" dxfId="13721" priority="13652" stopIfTrue="1" operator="equal">
      <formula>"Fail"</formula>
    </cfRule>
  </conditionalFormatting>
  <conditionalFormatting sqref="H761:P761">
    <cfRule type="cellIs" dxfId="13720" priority="13649" stopIfTrue="1" operator="equal">
      <formula>"Pass"</formula>
    </cfRule>
    <cfRule type="cellIs" dxfId="13719" priority="13650" stopIfTrue="1" operator="equal">
      <formula>"Fail"</formula>
    </cfRule>
  </conditionalFormatting>
  <conditionalFormatting sqref="H761:P761">
    <cfRule type="cellIs" dxfId="13718" priority="13647" stopIfTrue="1" operator="equal">
      <formula>"Pass"</formula>
    </cfRule>
    <cfRule type="cellIs" dxfId="13717" priority="13648" stopIfTrue="1" operator="equal">
      <formula>"Fail"</formula>
    </cfRule>
  </conditionalFormatting>
  <conditionalFormatting sqref="I761:P761">
    <cfRule type="cellIs" dxfId="13716" priority="13645" stopIfTrue="1" operator="equal">
      <formula>"Pass"</formula>
    </cfRule>
    <cfRule type="cellIs" dxfId="13715" priority="13646" stopIfTrue="1" operator="equal">
      <formula>"Fail"</formula>
    </cfRule>
  </conditionalFormatting>
  <conditionalFormatting sqref="I761:P761">
    <cfRule type="cellIs" dxfId="13714" priority="13643" stopIfTrue="1" operator="equal">
      <formula>"Pass"</formula>
    </cfRule>
    <cfRule type="cellIs" dxfId="13713" priority="13644" stopIfTrue="1" operator="equal">
      <formula>"Fail"</formula>
    </cfRule>
  </conditionalFormatting>
  <conditionalFormatting sqref="I761:P761">
    <cfRule type="cellIs" dxfId="13712" priority="13641" stopIfTrue="1" operator="equal">
      <formula>"Pass"</formula>
    </cfRule>
    <cfRule type="cellIs" dxfId="13711" priority="13642" stopIfTrue="1" operator="equal">
      <formula>"Fail"</formula>
    </cfRule>
  </conditionalFormatting>
  <conditionalFormatting sqref="I761:P761">
    <cfRule type="cellIs" dxfId="13710" priority="13639" stopIfTrue="1" operator="equal">
      <formula>"Pass"</formula>
    </cfRule>
    <cfRule type="cellIs" dxfId="13709" priority="13640" stopIfTrue="1" operator="equal">
      <formula>"Fail"</formula>
    </cfRule>
  </conditionalFormatting>
  <conditionalFormatting sqref="H761:P761">
    <cfRule type="cellIs" dxfId="13708" priority="13637" stopIfTrue="1" operator="equal">
      <formula>"Pass"</formula>
    </cfRule>
    <cfRule type="cellIs" dxfId="13707" priority="13638" stopIfTrue="1" operator="equal">
      <formula>"Fail"</formula>
    </cfRule>
  </conditionalFormatting>
  <conditionalFormatting sqref="H761:P761">
    <cfRule type="cellIs" dxfId="13706" priority="13635" stopIfTrue="1" operator="equal">
      <formula>"Pass"</formula>
    </cfRule>
    <cfRule type="cellIs" dxfId="13705" priority="13636" stopIfTrue="1" operator="equal">
      <formula>"Fail"</formula>
    </cfRule>
  </conditionalFormatting>
  <conditionalFormatting sqref="I761:P761">
    <cfRule type="cellIs" dxfId="13704" priority="13633" stopIfTrue="1" operator="equal">
      <formula>"Pass"</formula>
    </cfRule>
    <cfRule type="cellIs" dxfId="13703" priority="13634" stopIfTrue="1" operator="equal">
      <formula>"Fail"</formula>
    </cfRule>
  </conditionalFormatting>
  <conditionalFormatting sqref="I761:P761">
    <cfRule type="cellIs" dxfId="13702" priority="13631" stopIfTrue="1" operator="equal">
      <formula>"Pass"</formula>
    </cfRule>
    <cfRule type="cellIs" dxfId="13701" priority="13632" stopIfTrue="1" operator="equal">
      <formula>"Fail"</formula>
    </cfRule>
  </conditionalFormatting>
  <conditionalFormatting sqref="I761:P761">
    <cfRule type="cellIs" dxfId="13700" priority="13629" stopIfTrue="1" operator="equal">
      <formula>"Pass"</formula>
    </cfRule>
    <cfRule type="cellIs" dxfId="13699" priority="13630" stopIfTrue="1" operator="equal">
      <formula>"Fail"</formula>
    </cfRule>
  </conditionalFormatting>
  <conditionalFormatting sqref="I761:P761">
    <cfRule type="cellIs" dxfId="13698" priority="13627" stopIfTrue="1" operator="equal">
      <formula>"Pass"</formula>
    </cfRule>
    <cfRule type="cellIs" dxfId="13697" priority="13628" stopIfTrue="1" operator="equal">
      <formula>"Fail"</formula>
    </cfRule>
  </conditionalFormatting>
  <conditionalFormatting sqref="H761:P761">
    <cfRule type="cellIs" dxfId="13696" priority="13625" stopIfTrue="1" operator="equal">
      <formula>"Pass"</formula>
    </cfRule>
    <cfRule type="cellIs" dxfId="13695" priority="13626" stopIfTrue="1" operator="equal">
      <formula>"Fail"</formula>
    </cfRule>
  </conditionalFormatting>
  <conditionalFormatting sqref="H761:P761">
    <cfRule type="cellIs" dxfId="13694" priority="13623" stopIfTrue="1" operator="equal">
      <formula>"Pass"</formula>
    </cfRule>
    <cfRule type="cellIs" dxfId="13693" priority="13624" stopIfTrue="1" operator="equal">
      <formula>"Fail"</formula>
    </cfRule>
  </conditionalFormatting>
  <conditionalFormatting sqref="I761:P761">
    <cfRule type="cellIs" dxfId="13692" priority="13621" stopIfTrue="1" operator="equal">
      <formula>"Pass"</formula>
    </cfRule>
    <cfRule type="cellIs" dxfId="13691" priority="13622" stopIfTrue="1" operator="equal">
      <formula>"Fail"</formula>
    </cfRule>
  </conditionalFormatting>
  <conditionalFormatting sqref="I761:P761">
    <cfRule type="cellIs" dxfId="13690" priority="13619" stopIfTrue="1" operator="equal">
      <formula>"Pass"</formula>
    </cfRule>
    <cfRule type="cellIs" dxfId="13689" priority="13620" stopIfTrue="1" operator="equal">
      <formula>"Fail"</formula>
    </cfRule>
  </conditionalFormatting>
  <conditionalFormatting sqref="I761:P761">
    <cfRule type="cellIs" dxfId="13688" priority="13617" stopIfTrue="1" operator="equal">
      <formula>"Pass"</formula>
    </cfRule>
    <cfRule type="cellIs" dxfId="13687" priority="13618" stopIfTrue="1" operator="equal">
      <formula>"Fail"</formula>
    </cfRule>
  </conditionalFormatting>
  <conditionalFormatting sqref="I761:P761">
    <cfRule type="cellIs" dxfId="13686" priority="13615" stopIfTrue="1" operator="equal">
      <formula>"Pass"</formula>
    </cfRule>
    <cfRule type="cellIs" dxfId="13685" priority="13616" stopIfTrue="1" operator="equal">
      <formula>"Fail"</formula>
    </cfRule>
  </conditionalFormatting>
  <conditionalFormatting sqref="E761">
    <cfRule type="cellIs" dxfId="13684" priority="13613" stopIfTrue="1" operator="equal">
      <formula>"Pass"</formula>
    </cfRule>
    <cfRule type="cellIs" dxfId="13683" priority="13614" stopIfTrue="1" operator="equal">
      <formula>"Fail"</formula>
    </cfRule>
  </conditionalFormatting>
  <conditionalFormatting sqref="E761">
    <cfRule type="cellIs" dxfId="13682" priority="13611" stopIfTrue="1" operator="equal">
      <formula>"Pass"</formula>
    </cfRule>
    <cfRule type="cellIs" dxfId="13681" priority="13612" stopIfTrue="1" operator="equal">
      <formula>"Fail"</formula>
    </cfRule>
  </conditionalFormatting>
  <conditionalFormatting sqref="E761">
    <cfRule type="cellIs" dxfId="13680" priority="13609" stopIfTrue="1" operator="equal">
      <formula>"Pass"</formula>
    </cfRule>
    <cfRule type="cellIs" dxfId="13679" priority="13610" stopIfTrue="1" operator="equal">
      <formula>"Fail"</formula>
    </cfRule>
  </conditionalFormatting>
  <conditionalFormatting sqref="E761">
    <cfRule type="cellIs" dxfId="13678" priority="13607" stopIfTrue="1" operator="equal">
      <formula>"Pass"</formula>
    </cfRule>
    <cfRule type="cellIs" dxfId="13677" priority="13608" stopIfTrue="1" operator="equal">
      <formula>"Fail"</formula>
    </cfRule>
  </conditionalFormatting>
  <conditionalFormatting sqref="E761">
    <cfRule type="cellIs" dxfId="13676" priority="13605" stopIfTrue="1" operator="equal">
      <formula>"Pass"</formula>
    </cfRule>
    <cfRule type="cellIs" dxfId="13675" priority="13606" stopIfTrue="1" operator="equal">
      <formula>"Fail"</formula>
    </cfRule>
  </conditionalFormatting>
  <conditionalFormatting sqref="E761">
    <cfRule type="cellIs" dxfId="13674" priority="13603" stopIfTrue="1" operator="equal">
      <formula>"Pass"</formula>
    </cfRule>
    <cfRule type="cellIs" dxfId="13673" priority="13604" stopIfTrue="1" operator="equal">
      <formula>"Fail"</formula>
    </cfRule>
  </conditionalFormatting>
  <conditionalFormatting sqref="H761:P761">
    <cfRule type="cellIs" dxfId="13672" priority="13601" stopIfTrue="1" operator="equal">
      <formula>"Pass"</formula>
    </cfRule>
    <cfRule type="cellIs" dxfId="13671" priority="13602" stopIfTrue="1" operator="equal">
      <formula>"Fail"</formula>
    </cfRule>
  </conditionalFormatting>
  <conditionalFormatting sqref="H761:P761">
    <cfRule type="cellIs" dxfId="13670" priority="13599" stopIfTrue="1" operator="equal">
      <formula>"Pass"</formula>
    </cfRule>
    <cfRule type="cellIs" dxfId="13669" priority="13600" stopIfTrue="1" operator="equal">
      <formula>"Fail"</formula>
    </cfRule>
  </conditionalFormatting>
  <conditionalFormatting sqref="I761:P761">
    <cfRule type="cellIs" dxfId="13668" priority="13597" stopIfTrue="1" operator="equal">
      <formula>"Pass"</formula>
    </cfRule>
    <cfRule type="cellIs" dxfId="13667" priority="13598" stopIfTrue="1" operator="equal">
      <formula>"Fail"</formula>
    </cfRule>
  </conditionalFormatting>
  <conditionalFormatting sqref="I761:P761">
    <cfRule type="cellIs" dxfId="13666" priority="13595" stopIfTrue="1" operator="equal">
      <formula>"Pass"</formula>
    </cfRule>
    <cfRule type="cellIs" dxfId="13665" priority="13596" stopIfTrue="1" operator="equal">
      <formula>"Fail"</formula>
    </cfRule>
  </conditionalFormatting>
  <conditionalFormatting sqref="I761:P761">
    <cfRule type="cellIs" dxfId="13664" priority="13593" stopIfTrue="1" operator="equal">
      <formula>"Pass"</formula>
    </cfRule>
    <cfRule type="cellIs" dxfId="13663" priority="13594" stopIfTrue="1" operator="equal">
      <formula>"Fail"</formula>
    </cfRule>
  </conditionalFormatting>
  <conditionalFormatting sqref="I761:P761">
    <cfRule type="cellIs" dxfId="13662" priority="13591" stopIfTrue="1" operator="equal">
      <formula>"Pass"</formula>
    </cfRule>
    <cfRule type="cellIs" dxfId="13661" priority="13592" stopIfTrue="1" operator="equal">
      <formula>"Fail"</formula>
    </cfRule>
  </conditionalFormatting>
  <conditionalFormatting sqref="H761:P761">
    <cfRule type="cellIs" dxfId="13660" priority="13589" stopIfTrue="1" operator="equal">
      <formula>"Pass"</formula>
    </cfRule>
    <cfRule type="cellIs" dxfId="13659" priority="13590" stopIfTrue="1" operator="equal">
      <formula>"Fail"</formula>
    </cfRule>
  </conditionalFormatting>
  <conditionalFormatting sqref="H761:P761">
    <cfRule type="cellIs" dxfId="13658" priority="13587" stopIfTrue="1" operator="equal">
      <formula>"Pass"</formula>
    </cfRule>
    <cfRule type="cellIs" dxfId="13657" priority="13588" stopIfTrue="1" operator="equal">
      <formula>"Fail"</formula>
    </cfRule>
  </conditionalFormatting>
  <conditionalFormatting sqref="I761:P761">
    <cfRule type="cellIs" dxfId="13656" priority="13585" stopIfTrue="1" operator="equal">
      <formula>"Pass"</formula>
    </cfRule>
    <cfRule type="cellIs" dxfId="13655" priority="13586" stopIfTrue="1" operator="equal">
      <formula>"Fail"</formula>
    </cfRule>
  </conditionalFormatting>
  <conditionalFormatting sqref="I761:P761">
    <cfRule type="cellIs" dxfId="13654" priority="13583" stopIfTrue="1" operator="equal">
      <formula>"Pass"</formula>
    </cfRule>
    <cfRule type="cellIs" dxfId="13653" priority="13584" stopIfTrue="1" operator="equal">
      <formula>"Fail"</formula>
    </cfRule>
  </conditionalFormatting>
  <conditionalFormatting sqref="I761:P761">
    <cfRule type="cellIs" dxfId="13652" priority="13581" stopIfTrue="1" operator="equal">
      <formula>"Pass"</formula>
    </cfRule>
    <cfRule type="cellIs" dxfId="13651" priority="13582" stopIfTrue="1" operator="equal">
      <formula>"Fail"</formula>
    </cfRule>
  </conditionalFormatting>
  <conditionalFormatting sqref="I761:P761">
    <cfRule type="cellIs" dxfId="13650" priority="13579" stopIfTrue="1" operator="equal">
      <formula>"Pass"</formula>
    </cfRule>
    <cfRule type="cellIs" dxfId="13649" priority="13580" stopIfTrue="1" operator="equal">
      <formula>"Fail"</formula>
    </cfRule>
  </conditionalFormatting>
  <conditionalFormatting sqref="H761:P761">
    <cfRule type="cellIs" dxfId="13648" priority="13577" stopIfTrue="1" operator="equal">
      <formula>"Pass"</formula>
    </cfRule>
    <cfRule type="cellIs" dxfId="13647" priority="13578" stopIfTrue="1" operator="equal">
      <formula>"Fail"</formula>
    </cfRule>
  </conditionalFormatting>
  <conditionalFormatting sqref="H761:P761">
    <cfRule type="cellIs" dxfId="13646" priority="13575" stopIfTrue="1" operator="equal">
      <formula>"Pass"</formula>
    </cfRule>
    <cfRule type="cellIs" dxfId="13645" priority="13576" stopIfTrue="1" operator="equal">
      <formula>"Fail"</formula>
    </cfRule>
  </conditionalFormatting>
  <conditionalFormatting sqref="I761:P761">
    <cfRule type="cellIs" dxfId="13644" priority="13573" stopIfTrue="1" operator="equal">
      <formula>"Pass"</formula>
    </cfRule>
    <cfRule type="cellIs" dxfId="13643" priority="13574" stopIfTrue="1" operator="equal">
      <formula>"Fail"</formula>
    </cfRule>
  </conditionalFormatting>
  <conditionalFormatting sqref="I761:P761">
    <cfRule type="cellIs" dxfId="13642" priority="13571" stopIfTrue="1" operator="equal">
      <formula>"Pass"</formula>
    </cfRule>
    <cfRule type="cellIs" dxfId="13641" priority="13572" stopIfTrue="1" operator="equal">
      <formula>"Fail"</formula>
    </cfRule>
  </conditionalFormatting>
  <conditionalFormatting sqref="I761:P761">
    <cfRule type="cellIs" dxfId="13640" priority="13569" stopIfTrue="1" operator="equal">
      <formula>"Pass"</formula>
    </cfRule>
    <cfRule type="cellIs" dxfId="13639" priority="13570" stopIfTrue="1" operator="equal">
      <formula>"Fail"</formula>
    </cfRule>
  </conditionalFormatting>
  <conditionalFormatting sqref="I761:P761">
    <cfRule type="cellIs" dxfId="13638" priority="13567" stopIfTrue="1" operator="equal">
      <formula>"Pass"</formula>
    </cfRule>
    <cfRule type="cellIs" dxfId="13637" priority="13568" stopIfTrue="1" operator="equal">
      <formula>"Fail"</formula>
    </cfRule>
  </conditionalFormatting>
  <conditionalFormatting sqref="H761:P761">
    <cfRule type="cellIs" dxfId="13636" priority="13565" stopIfTrue="1" operator="equal">
      <formula>"Pass"</formula>
    </cfRule>
    <cfRule type="cellIs" dxfId="13635" priority="13566" stopIfTrue="1" operator="equal">
      <formula>"Fail"</formula>
    </cfRule>
  </conditionalFormatting>
  <conditionalFormatting sqref="H761:P761">
    <cfRule type="cellIs" dxfId="13634" priority="13563" stopIfTrue="1" operator="equal">
      <formula>"Pass"</formula>
    </cfRule>
    <cfRule type="cellIs" dxfId="13633" priority="13564" stopIfTrue="1" operator="equal">
      <formula>"Fail"</formula>
    </cfRule>
  </conditionalFormatting>
  <conditionalFormatting sqref="I761:P761">
    <cfRule type="cellIs" dxfId="13632" priority="13561" stopIfTrue="1" operator="equal">
      <formula>"Pass"</formula>
    </cfRule>
    <cfRule type="cellIs" dxfId="13631" priority="13562" stopIfTrue="1" operator="equal">
      <formula>"Fail"</formula>
    </cfRule>
  </conditionalFormatting>
  <conditionalFormatting sqref="I761:P761">
    <cfRule type="cellIs" dxfId="13630" priority="13559" stopIfTrue="1" operator="equal">
      <formula>"Pass"</formula>
    </cfRule>
    <cfRule type="cellIs" dxfId="13629" priority="13560" stopIfTrue="1" operator="equal">
      <formula>"Fail"</formula>
    </cfRule>
  </conditionalFormatting>
  <conditionalFormatting sqref="I761:P761">
    <cfRule type="cellIs" dxfId="13628" priority="13557" stopIfTrue="1" operator="equal">
      <formula>"Pass"</formula>
    </cfRule>
    <cfRule type="cellIs" dxfId="13627" priority="13558" stopIfTrue="1" operator="equal">
      <formula>"Fail"</formula>
    </cfRule>
  </conditionalFormatting>
  <conditionalFormatting sqref="I761:P761">
    <cfRule type="cellIs" dxfId="13626" priority="13555" stopIfTrue="1" operator="equal">
      <formula>"Pass"</formula>
    </cfRule>
    <cfRule type="cellIs" dxfId="13625" priority="13556" stopIfTrue="1" operator="equal">
      <formula>"Fail"</formula>
    </cfRule>
  </conditionalFormatting>
  <conditionalFormatting sqref="H761:P761">
    <cfRule type="cellIs" dxfId="13624" priority="13553" stopIfTrue="1" operator="equal">
      <formula>"Pass"</formula>
    </cfRule>
    <cfRule type="cellIs" dxfId="13623" priority="13554" stopIfTrue="1" operator="equal">
      <formula>"Fail"</formula>
    </cfRule>
  </conditionalFormatting>
  <conditionalFormatting sqref="H761:P761">
    <cfRule type="cellIs" dxfId="13622" priority="13551" stopIfTrue="1" operator="equal">
      <formula>"Pass"</formula>
    </cfRule>
    <cfRule type="cellIs" dxfId="13621" priority="13552" stopIfTrue="1" operator="equal">
      <formula>"Fail"</formula>
    </cfRule>
  </conditionalFormatting>
  <conditionalFormatting sqref="I761:P761">
    <cfRule type="cellIs" dxfId="13620" priority="13549" stopIfTrue="1" operator="equal">
      <formula>"Pass"</formula>
    </cfRule>
    <cfRule type="cellIs" dxfId="13619" priority="13550" stopIfTrue="1" operator="equal">
      <formula>"Fail"</formula>
    </cfRule>
  </conditionalFormatting>
  <conditionalFormatting sqref="I761:P761">
    <cfRule type="cellIs" dxfId="13618" priority="13547" stopIfTrue="1" operator="equal">
      <formula>"Pass"</formula>
    </cfRule>
    <cfRule type="cellIs" dxfId="13617" priority="13548" stopIfTrue="1" operator="equal">
      <formula>"Fail"</formula>
    </cfRule>
  </conditionalFormatting>
  <conditionalFormatting sqref="I761:P761">
    <cfRule type="cellIs" dxfId="13616" priority="13545" stopIfTrue="1" operator="equal">
      <formula>"Pass"</formula>
    </cfRule>
    <cfRule type="cellIs" dxfId="13615" priority="13546" stopIfTrue="1" operator="equal">
      <formula>"Fail"</formula>
    </cfRule>
  </conditionalFormatting>
  <conditionalFormatting sqref="I761:P761">
    <cfRule type="cellIs" dxfId="13614" priority="13543" stopIfTrue="1" operator="equal">
      <formula>"Pass"</formula>
    </cfRule>
    <cfRule type="cellIs" dxfId="13613" priority="13544" stopIfTrue="1" operator="equal">
      <formula>"Fail"</formula>
    </cfRule>
  </conditionalFormatting>
  <conditionalFormatting sqref="H761:P761">
    <cfRule type="cellIs" dxfId="13612" priority="13541" stopIfTrue="1" operator="equal">
      <formula>"Pass"</formula>
    </cfRule>
    <cfRule type="cellIs" dxfId="13611" priority="13542" stopIfTrue="1" operator="equal">
      <formula>"Fail"</formula>
    </cfRule>
  </conditionalFormatting>
  <conditionalFormatting sqref="H761:P761">
    <cfRule type="cellIs" dxfId="13610" priority="13539" stopIfTrue="1" operator="equal">
      <formula>"Pass"</formula>
    </cfRule>
    <cfRule type="cellIs" dxfId="13609" priority="13540" stopIfTrue="1" operator="equal">
      <formula>"Fail"</formula>
    </cfRule>
  </conditionalFormatting>
  <conditionalFormatting sqref="I761:P761">
    <cfRule type="cellIs" dxfId="13608" priority="13537" stopIfTrue="1" operator="equal">
      <formula>"Pass"</formula>
    </cfRule>
    <cfRule type="cellIs" dxfId="13607" priority="13538" stopIfTrue="1" operator="equal">
      <formula>"Fail"</formula>
    </cfRule>
  </conditionalFormatting>
  <conditionalFormatting sqref="I761:P761">
    <cfRule type="cellIs" dxfId="13606" priority="13535" stopIfTrue="1" operator="equal">
      <formula>"Pass"</formula>
    </cfRule>
    <cfRule type="cellIs" dxfId="13605" priority="13536" stopIfTrue="1" operator="equal">
      <formula>"Fail"</formula>
    </cfRule>
  </conditionalFormatting>
  <conditionalFormatting sqref="I761:P761">
    <cfRule type="cellIs" dxfId="13604" priority="13533" stopIfTrue="1" operator="equal">
      <formula>"Pass"</formula>
    </cfRule>
    <cfRule type="cellIs" dxfId="13603" priority="13534" stopIfTrue="1" operator="equal">
      <formula>"Fail"</formula>
    </cfRule>
  </conditionalFormatting>
  <conditionalFormatting sqref="I761:P761">
    <cfRule type="cellIs" dxfId="13602" priority="13531" stopIfTrue="1" operator="equal">
      <formula>"Pass"</formula>
    </cfRule>
    <cfRule type="cellIs" dxfId="13601" priority="13532" stopIfTrue="1" operator="equal">
      <formula>"Fail"</formula>
    </cfRule>
  </conditionalFormatting>
  <conditionalFormatting sqref="H761:P761">
    <cfRule type="cellIs" dxfId="13600" priority="13529" stopIfTrue="1" operator="equal">
      <formula>"Pass"</formula>
    </cfRule>
    <cfRule type="cellIs" dxfId="13599" priority="13530" stopIfTrue="1" operator="equal">
      <formula>"Fail"</formula>
    </cfRule>
  </conditionalFormatting>
  <conditionalFormatting sqref="H761:P761">
    <cfRule type="cellIs" dxfId="13598" priority="13527" stopIfTrue="1" operator="equal">
      <formula>"Pass"</formula>
    </cfRule>
    <cfRule type="cellIs" dxfId="13597" priority="13528" stopIfTrue="1" operator="equal">
      <formula>"Fail"</formula>
    </cfRule>
  </conditionalFormatting>
  <conditionalFormatting sqref="I761:P761">
    <cfRule type="cellIs" dxfId="13596" priority="13525" stopIfTrue="1" operator="equal">
      <formula>"Pass"</formula>
    </cfRule>
    <cfRule type="cellIs" dxfId="13595" priority="13526" stopIfTrue="1" operator="equal">
      <formula>"Fail"</formula>
    </cfRule>
  </conditionalFormatting>
  <conditionalFormatting sqref="I761:P761">
    <cfRule type="cellIs" dxfId="13594" priority="13523" stopIfTrue="1" operator="equal">
      <formula>"Pass"</formula>
    </cfRule>
    <cfRule type="cellIs" dxfId="13593" priority="13524" stopIfTrue="1" operator="equal">
      <formula>"Fail"</formula>
    </cfRule>
  </conditionalFormatting>
  <conditionalFormatting sqref="I761:P761">
    <cfRule type="cellIs" dxfId="13592" priority="13521" stopIfTrue="1" operator="equal">
      <formula>"Pass"</formula>
    </cfRule>
    <cfRule type="cellIs" dxfId="13591" priority="13522" stopIfTrue="1" operator="equal">
      <formula>"Fail"</formula>
    </cfRule>
  </conditionalFormatting>
  <conditionalFormatting sqref="I761:P761">
    <cfRule type="cellIs" dxfId="13590" priority="13519" stopIfTrue="1" operator="equal">
      <formula>"Pass"</formula>
    </cfRule>
    <cfRule type="cellIs" dxfId="13589" priority="13520" stopIfTrue="1" operator="equal">
      <formula>"Fail"</formula>
    </cfRule>
  </conditionalFormatting>
  <conditionalFormatting sqref="H761:P761">
    <cfRule type="cellIs" dxfId="13588" priority="13517" stopIfTrue="1" operator="equal">
      <formula>"Pass"</formula>
    </cfRule>
    <cfRule type="cellIs" dxfId="13587" priority="13518" stopIfTrue="1" operator="equal">
      <formula>"Fail"</formula>
    </cfRule>
  </conditionalFormatting>
  <conditionalFormatting sqref="H761:P761">
    <cfRule type="cellIs" dxfId="13586" priority="13515" stopIfTrue="1" operator="equal">
      <formula>"Pass"</formula>
    </cfRule>
    <cfRule type="cellIs" dxfId="13585" priority="13516" stopIfTrue="1" operator="equal">
      <formula>"Fail"</formula>
    </cfRule>
  </conditionalFormatting>
  <conditionalFormatting sqref="I761:P761">
    <cfRule type="cellIs" dxfId="13584" priority="13513" stopIfTrue="1" operator="equal">
      <formula>"Pass"</formula>
    </cfRule>
    <cfRule type="cellIs" dxfId="13583" priority="13514" stopIfTrue="1" operator="equal">
      <formula>"Fail"</formula>
    </cfRule>
  </conditionalFormatting>
  <conditionalFormatting sqref="I761:P761">
    <cfRule type="cellIs" dxfId="13582" priority="13511" stopIfTrue="1" operator="equal">
      <formula>"Pass"</formula>
    </cfRule>
    <cfRule type="cellIs" dxfId="13581" priority="13512" stopIfTrue="1" operator="equal">
      <formula>"Fail"</formula>
    </cfRule>
  </conditionalFormatting>
  <conditionalFormatting sqref="I761:P761">
    <cfRule type="cellIs" dxfId="13580" priority="13509" stopIfTrue="1" operator="equal">
      <formula>"Pass"</formula>
    </cfRule>
    <cfRule type="cellIs" dxfId="13579" priority="13510" stopIfTrue="1" operator="equal">
      <formula>"Fail"</formula>
    </cfRule>
  </conditionalFormatting>
  <conditionalFormatting sqref="I761:P761">
    <cfRule type="cellIs" dxfId="13578" priority="13507" stopIfTrue="1" operator="equal">
      <formula>"Pass"</formula>
    </cfRule>
    <cfRule type="cellIs" dxfId="13577" priority="13508" stopIfTrue="1" operator="equal">
      <formula>"Fail"</formula>
    </cfRule>
  </conditionalFormatting>
  <conditionalFormatting sqref="H761:O761">
    <cfRule type="cellIs" dxfId="13576" priority="13505" stopIfTrue="1" operator="equal">
      <formula>"Pass"</formula>
    </cfRule>
    <cfRule type="cellIs" dxfId="13575" priority="13506" stopIfTrue="1" operator="equal">
      <formula>"Fail"</formula>
    </cfRule>
  </conditionalFormatting>
  <conditionalFormatting sqref="H761:O761">
    <cfRule type="cellIs" dxfId="13574" priority="13503" stopIfTrue="1" operator="equal">
      <formula>"Pass"</formula>
    </cfRule>
    <cfRule type="cellIs" dxfId="13573" priority="13504" stopIfTrue="1" operator="equal">
      <formula>"Fail"</formula>
    </cfRule>
  </conditionalFormatting>
  <conditionalFormatting sqref="I761:P761">
    <cfRule type="cellIs" dxfId="13572" priority="13501" stopIfTrue="1" operator="equal">
      <formula>"Pass"</formula>
    </cfRule>
    <cfRule type="cellIs" dxfId="13571" priority="13502" stopIfTrue="1" operator="equal">
      <formula>"Fail"</formula>
    </cfRule>
  </conditionalFormatting>
  <conditionalFormatting sqref="I761:P761">
    <cfRule type="cellIs" dxfId="13570" priority="13499" stopIfTrue="1" operator="equal">
      <formula>"Pass"</formula>
    </cfRule>
    <cfRule type="cellIs" dxfId="13569" priority="13500" stopIfTrue="1" operator="equal">
      <formula>"Fail"</formula>
    </cfRule>
  </conditionalFormatting>
  <conditionalFormatting sqref="I761:P761">
    <cfRule type="cellIs" dxfId="13568" priority="13497" stopIfTrue="1" operator="equal">
      <formula>"Pass"</formula>
    </cfRule>
    <cfRule type="cellIs" dxfId="13567" priority="13498" stopIfTrue="1" operator="equal">
      <formula>"Fail"</formula>
    </cfRule>
  </conditionalFormatting>
  <conditionalFormatting sqref="I761:P761">
    <cfRule type="cellIs" dxfId="13566" priority="13495" stopIfTrue="1" operator="equal">
      <formula>"Pass"</formula>
    </cfRule>
    <cfRule type="cellIs" dxfId="13565" priority="13496" stopIfTrue="1" operator="equal">
      <formula>"Fail"</formula>
    </cfRule>
  </conditionalFormatting>
  <conditionalFormatting sqref="H761:O761">
    <cfRule type="cellIs" dxfId="13564" priority="13493" stopIfTrue="1" operator="equal">
      <formula>"Pass"</formula>
    </cfRule>
    <cfRule type="cellIs" dxfId="13563" priority="13494" stopIfTrue="1" operator="equal">
      <formula>"Fail"</formula>
    </cfRule>
  </conditionalFormatting>
  <conditionalFormatting sqref="H761:O761">
    <cfRule type="cellIs" dxfId="13562" priority="13491" stopIfTrue="1" operator="equal">
      <formula>"Pass"</formula>
    </cfRule>
    <cfRule type="cellIs" dxfId="13561" priority="13492" stopIfTrue="1" operator="equal">
      <formula>"Fail"</formula>
    </cfRule>
  </conditionalFormatting>
  <conditionalFormatting sqref="I761:P761">
    <cfRule type="cellIs" dxfId="13560" priority="13489" stopIfTrue="1" operator="equal">
      <formula>"Pass"</formula>
    </cfRule>
    <cfRule type="cellIs" dxfId="13559" priority="13490" stopIfTrue="1" operator="equal">
      <formula>"Fail"</formula>
    </cfRule>
  </conditionalFormatting>
  <conditionalFormatting sqref="I761:P761">
    <cfRule type="cellIs" dxfId="13558" priority="13487" stopIfTrue="1" operator="equal">
      <formula>"Pass"</formula>
    </cfRule>
    <cfRule type="cellIs" dxfId="13557" priority="13488" stopIfTrue="1" operator="equal">
      <formula>"Fail"</formula>
    </cfRule>
  </conditionalFormatting>
  <conditionalFormatting sqref="I761:P761">
    <cfRule type="cellIs" dxfId="13556" priority="13485" stopIfTrue="1" operator="equal">
      <formula>"Pass"</formula>
    </cfRule>
    <cfRule type="cellIs" dxfId="13555" priority="13486" stopIfTrue="1" operator="equal">
      <formula>"Fail"</formula>
    </cfRule>
  </conditionalFormatting>
  <conditionalFormatting sqref="I761:P761">
    <cfRule type="cellIs" dxfId="13554" priority="13483" stopIfTrue="1" operator="equal">
      <formula>"Pass"</formula>
    </cfRule>
    <cfRule type="cellIs" dxfId="13553" priority="13484" stopIfTrue="1" operator="equal">
      <formula>"Fail"</formula>
    </cfRule>
  </conditionalFormatting>
  <conditionalFormatting sqref="H761:P761">
    <cfRule type="cellIs" dxfId="13552" priority="13481" stopIfTrue="1" operator="equal">
      <formula>"Pass"</formula>
    </cfRule>
    <cfRule type="cellIs" dxfId="13551" priority="13482" stopIfTrue="1" operator="equal">
      <formula>"Fail"</formula>
    </cfRule>
  </conditionalFormatting>
  <conditionalFormatting sqref="H761:P761">
    <cfRule type="cellIs" dxfId="13550" priority="13479" stopIfTrue="1" operator="equal">
      <formula>"Pass"</formula>
    </cfRule>
    <cfRule type="cellIs" dxfId="13549" priority="13480" stopIfTrue="1" operator="equal">
      <formula>"Fail"</formula>
    </cfRule>
  </conditionalFormatting>
  <conditionalFormatting sqref="I761:P761">
    <cfRule type="cellIs" dxfId="13548" priority="13477" stopIfTrue="1" operator="equal">
      <formula>"Pass"</formula>
    </cfRule>
    <cfRule type="cellIs" dxfId="13547" priority="13478" stopIfTrue="1" operator="equal">
      <formula>"Fail"</formula>
    </cfRule>
  </conditionalFormatting>
  <conditionalFormatting sqref="I761:P761">
    <cfRule type="cellIs" dxfId="13546" priority="13475" stopIfTrue="1" operator="equal">
      <formula>"Pass"</formula>
    </cfRule>
    <cfRule type="cellIs" dxfId="13545" priority="13476" stopIfTrue="1" operator="equal">
      <formula>"Fail"</formula>
    </cfRule>
  </conditionalFormatting>
  <conditionalFormatting sqref="I761:P761">
    <cfRule type="cellIs" dxfId="13544" priority="13473" stopIfTrue="1" operator="equal">
      <formula>"Pass"</formula>
    </cfRule>
    <cfRule type="cellIs" dxfId="13543" priority="13474" stopIfTrue="1" operator="equal">
      <formula>"Fail"</formula>
    </cfRule>
  </conditionalFormatting>
  <conditionalFormatting sqref="I761:P761">
    <cfRule type="cellIs" dxfId="13542" priority="13471" stopIfTrue="1" operator="equal">
      <formula>"Pass"</formula>
    </cfRule>
    <cfRule type="cellIs" dxfId="13541" priority="13472" stopIfTrue="1" operator="equal">
      <formula>"Fail"</formula>
    </cfRule>
  </conditionalFormatting>
  <conditionalFormatting sqref="H761:P761">
    <cfRule type="cellIs" dxfId="13540" priority="13469" stopIfTrue="1" operator="equal">
      <formula>"Pass"</formula>
    </cfRule>
    <cfRule type="cellIs" dxfId="13539" priority="13470" stopIfTrue="1" operator="equal">
      <formula>"Fail"</formula>
    </cfRule>
  </conditionalFormatting>
  <conditionalFormatting sqref="H761:P761">
    <cfRule type="cellIs" dxfId="13538" priority="13467" stopIfTrue="1" operator="equal">
      <formula>"Pass"</formula>
    </cfRule>
    <cfRule type="cellIs" dxfId="13537" priority="13468" stopIfTrue="1" operator="equal">
      <formula>"Fail"</formula>
    </cfRule>
  </conditionalFormatting>
  <conditionalFormatting sqref="I761:P761">
    <cfRule type="cellIs" dxfId="13536" priority="13465" stopIfTrue="1" operator="equal">
      <formula>"Pass"</formula>
    </cfRule>
    <cfRule type="cellIs" dxfId="13535" priority="13466" stopIfTrue="1" operator="equal">
      <formula>"Fail"</formula>
    </cfRule>
  </conditionalFormatting>
  <conditionalFormatting sqref="I761:P761">
    <cfRule type="cellIs" dxfId="13534" priority="13463" stopIfTrue="1" operator="equal">
      <formula>"Pass"</formula>
    </cfRule>
    <cfRule type="cellIs" dxfId="13533" priority="13464" stopIfTrue="1" operator="equal">
      <formula>"Fail"</formula>
    </cfRule>
  </conditionalFormatting>
  <conditionalFormatting sqref="I761:P761">
    <cfRule type="cellIs" dxfId="13532" priority="13461" stopIfTrue="1" operator="equal">
      <formula>"Pass"</formula>
    </cfRule>
    <cfRule type="cellIs" dxfId="13531" priority="13462" stopIfTrue="1" operator="equal">
      <formula>"Fail"</formula>
    </cfRule>
  </conditionalFormatting>
  <conditionalFormatting sqref="I761:P761">
    <cfRule type="cellIs" dxfId="13530" priority="13459" stopIfTrue="1" operator="equal">
      <formula>"Pass"</formula>
    </cfRule>
    <cfRule type="cellIs" dxfId="13529" priority="13460" stopIfTrue="1" operator="equal">
      <formula>"Fail"</formula>
    </cfRule>
  </conditionalFormatting>
  <conditionalFormatting sqref="H761:P761">
    <cfRule type="cellIs" dxfId="13528" priority="13457" stopIfTrue="1" operator="equal">
      <formula>"Pass"</formula>
    </cfRule>
    <cfRule type="cellIs" dxfId="13527" priority="13458" stopIfTrue="1" operator="equal">
      <formula>"Fail"</formula>
    </cfRule>
  </conditionalFormatting>
  <conditionalFormatting sqref="H761:P761">
    <cfRule type="cellIs" dxfId="13526" priority="13455" stopIfTrue="1" operator="equal">
      <formula>"Pass"</formula>
    </cfRule>
    <cfRule type="cellIs" dxfId="13525" priority="13456" stopIfTrue="1" operator="equal">
      <formula>"Fail"</formula>
    </cfRule>
  </conditionalFormatting>
  <conditionalFormatting sqref="I761:P761">
    <cfRule type="cellIs" dxfId="13524" priority="13453" stopIfTrue="1" operator="equal">
      <formula>"Pass"</formula>
    </cfRule>
    <cfRule type="cellIs" dxfId="13523" priority="13454" stopIfTrue="1" operator="equal">
      <formula>"Fail"</formula>
    </cfRule>
  </conditionalFormatting>
  <conditionalFormatting sqref="I761:P761">
    <cfRule type="cellIs" dxfId="13522" priority="13451" stopIfTrue="1" operator="equal">
      <formula>"Pass"</formula>
    </cfRule>
    <cfRule type="cellIs" dxfId="13521" priority="13452" stopIfTrue="1" operator="equal">
      <formula>"Fail"</formula>
    </cfRule>
  </conditionalFormatting>
  <conditionalFormatting sqref="I761:P761">
    <cfRule type="cellIs" dxfId="13520" priority="13449" stopIfTrue="1" operator="equal">
      <formula>"Pass"</formula>
    </cfRule>
    <cfRule type="cellIs" dxfId="13519" priority="13450" stopIfTrue="1" operator="equal">
      <formula>"Fail"</formula>
    </cfRule>
  </conditionalFormatting>
  <conditionalFormatting sqref="I761:P761">
    <cfRule type="cellIs" dxfId="13518" priority="13447" stopIfTrue="1" operator="equal">
      <formula>"Pass"</formula>
    </cfRule>
    <cfRule type="cellIs" dxfId="13517" priority="13448" stopIfTrue="1" operator="equal">
      <formula>"Fail"</formula>
    </cfRule>
  </conditionalFormatting>
  <conditionalFormatting sqref="H761:P761">
    <cfRule type="cellIs" dxfId="13516" priority="13445" stopIfTrue="1" operator="equal">
      <formula>"Pass"</formula>
    </cfRule>
    <cfRule type="cellIs" dxfId="13515" priority="13446" stopIfTrue="1" operator="equal">
      <formula>"Fail"</formula>
    </cfRule>
  </conditionalFormatting>
  <conditionalFormatting sqref="H761:P761">
    <cfRule type="cellIs" dxfId="13514" priority="13443" stopIfTrue="1" operator="equal">
      <formula>"Pass"</formula>
    </cfRule>
    <cfRule type="cellIs" dxfId="13513" priority="13444" stopIfTrue="1" operator="equal">
      <formula>"Fail"</formula>
    </cfRule>
  </conditionalFormatting>
  <conditionalFormatting sqref="I761:P761">
    <cfRule type="cellIs" dxfId="13512" priority="13441" stopIfTrue="1" operator="equal">
      <formula>"Pass"</formula>
    </cfRule>
    <cfRule type="cellIs" dxfId="13511" priority="13442" stopIfTrue="1" operator="equal">
      <formula>"Fail"</formula>
    </cfRule>
  </conditionalFormatting>
  <conditionalFormatting sqref="I761:P761">
    <cfRule type="cellIs" dxfId="13510" priority="13439" stopIfTrue="1" operator="equal">
      <formula>"Pass"</formula>
    </cfRule>
    <cfRule type="cellIs" dxfId="13509" priority="13440" stopIfTrue="1" operator="equal">
      <formula>"Fail"</formula>
    </cfRule>
  </conditionalFormatting>
  <conditionalFormatting sqref="I761:P761">
    <cfRule type="cellIs" dxfId="13508" priority="13437" stopIfTrue="1" operator="equal">
      <formula>"Pass"</formula>
    </cfRule>
    <cfRule type="cellIs" dxfId="13507" priority="13438" stopIfTrue="1" operator="equal">
      <formula>"Fail"</formula>
    </cfRule>
  </conditionalFormatting>
  <conditionalFormatting sqref="I761:P761">
    <cfRule type="cellIs" dxfId="13506" priority="13435" stopIfTrue="1" operator="equal">
      <formula>"Pass"</formula>
    </cfRule>
    <cfRule type="cellIs" dxfId="13505" priority="13436" stopIfTrue="1" operator="equal">
      <formula>"Fail"</formula>
    </cfRule>
  </conditionalFormatting>
  <conditionalFormatting sqref="E761 H761:P761">
    <cfRule type="cellIs" dxfId="13504" priority="13433" stopIfTrue="1" operator="equal">
      <formula>"Pass"</formula>
    </cfRule>
    <cfRule type="cellIs" dxfId="13503" priority="13434" stopIfTrue="1" operator="equal">
      <formula>"Fail"</formula>
    </cfRule>
  </conditionalFormatting>
  <conditionalFormatting sqref="H761:O761">
    <cfRule type="cellIs" dxfId="13502" priority="13431" stopIfTrue="1" operator="equal">
      <formula>"Pass"</formula>
    </cfRule>
    <cfRule type="cellIs" dxfId="13501" priority="13432" stopIfTrue="1" operator="equal">
      <formula>"Fail"</formula>
    </cfRule>
  </conditionalFormatting>
  <conditionalFormatting sqref="H761:O761">
    <cfRule type="cellIs" dxfId="13500" priority="13429" stopIfTrue="1" operator="equal">
      <formula>"Pass"</formula>
    </cfRule>
    <cfRule type="cellIs" dxfId="13499" priority="13430" stopIfTrue="1" operator="equal">
      <formula>"Fail"</formula>
    </cfRule>
  </conditionalFormatting>
  <conditionalFormatting sqref="I761:P761">
    <cfRule type="cellIs" dxfId="13498" priority="13427" stopIfTrue="1" operator="equal">
      <formula>"Pass"</formula>
    </cfRule>
    <cfRule type="cellIs" dxfId="13497" priority="13428" stopIfTrue="1" operator="equal">
      <formula>"Fail"</formula>
    </cfRule>
  </conditionalFormatting>
  <conditionalFormatting sqref="I761:P761">
    <cfRule type="cellIs" dxfId="13496" priority="13425" stopIfTrue="1" operator="equal">
      <formula>"Pass"</formula>
    </cfRule>
    <cfRule type="cellIs" dxfId="13495" priority="13426" stopIfTrue="1" operator="equal">
      <formula>"Fail"</formula>
    </cfRule>
  </conditionalFormatting>
  <conditionalFormatting sqref="I761:P761">
    <cfRule type="cellIs" dxfId="13494" priority="13423" stopIfTrue="1" operator="equal">
      <formula>"Pass"</formula>
    </cfRule>
    <cfRule type="cellIs" dxfId="13493" priority="13424" stopIfTrue="1" operator="equal">
      <formula>"Fail"</formula>
    </cfRule>
  </conditionalFormatting>
  <conditionalFormatting sqref="I761:P761">
    <cfRule type="cellIs" dxfId="13492" priority="13421" stopIfTrue="1" operator="equal">
      <formula>"Pass"</formula>
    </cfRule>
    <cfRule type="cellIs" dxfId="13491" priority="13422" stopIfTrue="1" operator="equal">
      <formula>"Fail"</formula>
    </cfRule>
  </conditionalFormatting>
  <conditionalFormatting sqref="H761:O761">
    <cfRule type="cellIs" dxfId="13490" priority="13419" stopIfTrue="1" operator="equal">
      <formula>"Pass"</formula>
    </cfRule>
    <cfRule type="cellIs" dxfId="13489" priority="13420" stopIfTrue="1" operator="equal">
      <formula>"Fail"</formula>
    </cfRule>
  </conditionalFormatting>
  <conditionalFormatting sqref="H761:O761">
    <cfRule type="cellIs" dxfId="13488" priority="13417" stopIfTrue="1" operator="equal">
      <formula>"Pass"</formula>
    </cfRule>
    <cfRule type="cellIs" dxfId="13487" priority="13418" stopIfTrue="1" operator="equal">
      <formula>"Fail"</formula>
    </cfRule>
  </conditionalFormatting>
  <conditionalFormatting sqref="I761:P761">
    <cfRule type="cellIs" dxfId="13486" priority="13415" stopIfTrue="1" operator="equal">
      <formula>"Pass"</formula>
    </cfRule>
    <cfRule type="cellIs" dxfId="13485" priority="13416" stopIfTrue="1" operator="equal">
      <formula>"Fail"</formula>
    </cfRule>
  </conditionalFormatting>
  <conditionalFormatting sqref="I761:P761">
    <cfRule type="cellIs" dxfId="13484" priority="13413" stopIfTrue="1" operator="equal">
      <formula>"Pass"</formula>
    </cfRule>
    <cfRule type="cellIs" dxfId="13483" priority="13414" stopIfTrue="1" operator="equal">
      <formula>"Fail"</formula>
    </cfRule>
  </conditionalFormatting>
  <conditionalFormatting sqref="I761:P761">
    <cfRule type="cellIs" dxfId="13482" priority="13411" stopIfTrue="1" operator="equal">
      <formula>"Pass"</formula>
    </cfRule>
    <cfRule type="cellIs" dxfId="13481" priority="13412" stopIfTrue="1" operator="equal">
      <formula>"Fail"</formula>
    </cfRule>
  </conditionalFormatting>
  <conditionalFormatting sqref="I761:P761">
    <cfRule type="cellIs" dxfId="13480" priority="13409" stopIfTrue="1" operator="equal">
      <formula>"Pass"</formula>
    </cfRule>
    <cfRule type="cellIs" dxfId="13479" priority="13410" stopIfTrue="1" operator="equal">
      <formula>"Fail"</formula>
    </cfRule>
  </conditionalFormatting>
  <conditionalFormatting sqref="H761:O761">
    <cfRule type="cellIs" dxfId="13478" priority="13407" stopIfTrue="1" operator="equal">
      <formula>"Pass"</formula>
    </cfRule>
    <cfRule type="cellIs" dxfId="13477" priority="13408" stopIfTrue="1" operator="equal">
      <formula>"Fail"</formula>
    </cfRule>
  </conditionalFormatting>
  <conditionalFormatting sqref="H761:O761">
    <cfRule type="cellIs" dxfId="13476" priority="13405" stopIfTrue="1" operator="equal">
      <formula>"Pass"</formula>
    </cfRule>
    <cfRule type="cellIs" dxfId="13475" priority="13406" stopIfTrue="1" operator="equal">
      <formula>"Fail"</formula>
    </cfRule>
  </conditionalFormatting>
  <conditionalFormatting sqref="I761:P761">
    <cfRule type="cellIs" dxfId="13474" priority="13403" stopIfTrue="1" operator="equal">
      <formula>"Pass"</formula>
    </cfRule>
    <cfRule type="cellIs" dxfId="13473" priority="13404" stopIfTrue="1" operator="equal">
      <formula>"Fail"</formula>
    </cfRule>
  </conditionalFormatting>
  <conditionalFormatting sqref="I761:P761">
    <cfRule type="cellIs" dxfId="13472" priority="13401" stopIfTrue="1" operator="equal">
      <formula>"Pass"</formula>
    </cfRule>
    <cfRule type="cellIs" dxfId="13471" priority="13402" stopIfTrue="1" operator="equal">
      <formula>"Fail"</formula>
    </cfRule>
  </conditionalFormatting>
  <conditionalFormatting sqref="I761:P761">
    <cfRule type="cellIs" dxfId="13470" priority="13399" stopIfTrue="1" operator="equal">
      <formula>"Pass"</formula>
    </cfRule>
    <cfRule type="cellIs" dxfId="13469" priority="13400" stopIfTrue="1" operator="equal">
      <formula>"Fail"</formula>
    </cfRule>
  </conditionalFormatting>
  <conditionalFormatting sqref="I761:P761">
    <cfRule type="cellIs" dxfId="13468" priority="13397" stopIfTrue="1" operator="equal">
      <formula>"Pass"</formula>
    </cfRule>
    <cfRule type="cellIs" dxfId="13467" priority="13398" stopIfTrue="1" operator="equal">
      <formula>"Fail"</formula>
    </cfRule>
  </conditionalFormatting>
  <conditionalFormatting sqref="H761:O761">
    <cfRule type="cellIs" dxfId="13466" priority="13395" stopIfTrue="1" operator="equal">
      <formula>"Pass"</formula>
    </cfRule>
    <cfRule type="cellIs" dxfId="13465" priority="13396" stopIfTrue="1" operator="equal">
      <formula>"Fail"</formula>
    </cfRule>
  </conditionalFormatting>
  <conditionalFormatting sqref="H761:O761">
    <cfRule type="cellIs" dxfId="13464" priority="13393" stopIfTrue="1" operator="equal">
      <formula>"Pass"</formula>
    </cfRule>
    <cfRule type="cellIs" dxfId="13463" priority="13394" stopIfTrue="1" operator="equal">
      <formula>"Fail"</formula>
    </cfRule>
  </conditionalFormatting>
  <conditionalFormatting sqref="I761:P761">
    <cfRule type="cellIs" dxfId="13462" priority="13391" stopIfTrue="1" operator="equal">
      <formula>"Pass"</formula>
    </cfRule>
    <cfRule type="cellIs" dxfId="13461" priority="13392" stopIfTrue="1" operator="equal">
      <formula>"Fail"</formula>
    </cfRule>
  </conditionalFormatting>
  <conditionalFormatting sqref="I761:P761">
    <cfRule type="cellIs" dxfId="13460" priority="13389" stopIfTrue="1" operator="equal">
      <formula>"Pass"</formula>
    </cfRule>
    <cfRule type="cellIs" dxfId="13459" priority="13390" stopIfTrue="1" operator="equal">
      <formula>"Fail"</formula>
    </cfRule>
  </conditionalFormatting>
  <conditionalFormatting sqref="I761:P761">
    <cfRule type="cellIs" dxfId="13458" priority="13387" stopIfTrue="1" operator="equal">
      <formula>"Pass"</formula>
    </cfRule>
    <cfRule type="cellIs" dxfId="13457" priority="13388" stopIfTrue="1" operator="equal">
      <formula>"Fail"</formula>
    </cfRule>
  </conditionalFormatting>
  <conditionalFormatting sqref="I761:P761">
    <cfRule type="cellIs" dxfId="13456" priority="13385" stopIfTrue="1" operator="equal">
      <formula>"Pass"</formula>
    </cfRule>
    <cfRule type="cellIs" dxfId="13455" priority="13386" stopIfTrue="1" operator="equal">
      <formula>"Fail"</formula>
    </cfRule>
  </conditionalFormatting>
  <conditionalFormatting sqref="H761:O761">
    <cfRule type="cellIs" dxfId="13454" priority="13383" stopIfTrue="1" operator="equal">
      <formula>"Pass"</formula>
    </cfRule>
    <cfRule type="cellIs" dxfId="13453" priority="13384" stopIfTrue="1" operator="equal">
      <formula>"Fail"</formula>
    </cfRule>
  </conditionalFormatting>
  <conditionalFormatting sqref="H761:O761">
    <cfRule type="cellIs" dxfId="13452" priority="13381" stopIfTrue="1" operator="equal">
      <formula>"Pass"</formula>
    </cfRule>
    <cfRule type="cellIs" dxfId="13451" priority="13382" stopIfTrue="1" operator="equal">
      <formula>"Fail"</formula>
    </cfRule>
  </conditionalFormatting>
  <conditionalFormatting sqref="I761:P761">
    <cfRule type="cellIs" dxfId="13450" priority="13379" stopIfTrue="1" operator="equal">
      <formula>"Pass"</formula>
    </cfRule>
    <cfRule type="cellIs" dxfId="13449" priority="13380" stopIfTrue="1" operator="equal">
      <formula>"Fail"</formula>
    </cfRule>
  </conditionalFormatting>
  <conditionalFormatting sqref="I761:P761">
    <cfRule type="cellIs" dxfId="13448" priority="13377" stopIfTrue="1" operator="equal">
      <formula>"Pass"</formula>
    </cfRule>
    <cfRule type="cellIs" dxfId="13447" priority="13378" stopIfTrue="1" operator="equal">
      <formula>"Fail"</formula>
    </cfRule>
  </conditionalFormatting>
  <conditionalFormatting sqref="I761:P761">
    <cfRule type="cellIs" dxfId="13446" priority="13375" stopIfTrue="1" operator="equal">
      <formula>"Pass"</formula>
    </cfRule>
    <cfRule type="cellIs" dxfId="13445" priority="13376" stopIfTrue="1" operator="equal">
      <formula>"Fail"</formula>
    </cfRule>
  </conditionalFormatting>
  <conditionalFormatting sqref="I761:P761">
    <cfRule type="cellIs" dxfId="13444" priority="13373" stopIfTrue="1" operator="equal">
      <formula>"Pass"</formula>
    </cfRule>
    <cfRule type="cellIs" dxfId="13443" priority="13374" stopIfTrue="1" operator="equal">
      <formula>"Fail"</formula>
    </cfRule>
  </conditionalFormatting>
  <conditionalFormatting sqref="H761:O761">
    <cfRule type="cellIs" dxfId="13442" priority="13371" stopIfTrue="1" operator="equal">
      <formula>"Pass"</formula>
    </cfRule>
    <cfRule type="cellIs" dxfId="13441" priority="13372" stopIfTrue="1" operator="equal">
      <formula>"Fail"</formula>
    </cfRule>
  </conditionalFormatting>
  <conditionalFormatting sqref="H761:O761">
    <cfRule type="cellIs" dxfId="13440" priority="13369" stopIfTrue="1" operator="equal">
      <formula>"Pass"</formula>
    </cfRule>
    <cfRule type="cellIs" dxfId="13439" priority="13370" stopIfTrue="1" operator="equal">
      <formula>"Fail"</formula>
    </cfRule>
  </conditionalFormatting>
  <conditionalFormatting sqref="I761:P761">
    <cfRule type="cellIs" dxfId="13438" priority="13367" stopIfTrue="1" operator="equal">
      <formula>"Pass"</formula>
    </cfRule>
    <cfRule type="cellIs" dxfId="13437" priority="13368" stopIfTrue="1" operator="equal">
      <formula>"Fail"</formula>
    </cfRule>
  </conditionalFormatting>
  <conditionalFormatting sqref="I761:P761">
    <cfRule type="cellIs" dxfId="13436" priority="13365" stopIfTrue="1" operator="equal">
      <formula>"Pass"</formula>
    </cfRule>
    <cfRule type="cellIs" dxfId="13435" priority="13366" stopIfTrue="1" operator="equal">
      <formula>"Fail"</formula>
    </cfRule>
  </conditionalFormatting>
  <conditionalFormatting sqref="I761:P761">
    <cfRule type="cellIs" dxfId="13434" priority="13363" stopIfTrue="1" operator="equal">
      <formula>"Pass"</formula>
    </cfRule>
    <cfRule type="cellIs" dxfId="13433" priority="13364" stopIfTrue="1" operator="equal">
      <formula>"Fail"</formula>
    </cfRule>
  </conditionalFormatting>
  <conditionalFormatting sqref="I761:P761">
    <cfRule type="cellIs" dxfId="13432" priority="13361" stopIfTrue="1" operator="equal">
      <formula>"Pass"</formula>
    </cfRule>
    <cfRule type="cellIs" dxfId="13431" priority="13362" stopIfTrue="1" operator="equal">
      <formula>"Fail"</formula>
    </cfRule>
  </conditionalFormatting>
  <conditionalFormatting sqref="H761:O761">
    <cfRule type="cellIs" dxfId="13430" priority="13359" stopIfTrue="1" operator="equal">
      <formula>"Pass"</formula>
    </cfRule>
    <cfRule type="cellIs" dxfId="13429" priority="13360" stopIfTrue="1" operator="equal">
      <formula>"Fail"</formula>
    </cfRule>
  </conditionalFormatting>
  <conditionalFormatting sqref="H761:O761">
    <cfRule type="cellIs" dxfId="13428" priority="13357" stopIfTrue="1" operator="equal">
      <formula>"Pass"</formula>
    </cfRule>
    <cfRule type="cellIs" dxfId="13427" priority="13358" stopIfTrue="1" operator="equal">
      <formula>"Fail"</formula>
    </cfRule>
  </conditionalFormatting>
  <conditionalFormatting sqref="I761:P761">
    <cfRule type="cellIs" dxfId="13426" priority="13355" stopIfTrue="1" operator="equal">
      <formula>"Pass"</formula>
    </cfRule>
    <cfRule type="cellIs" dxfId="13425" priority="13356" stopIfTrue="1" operator="equal">
      <formula>"Fail"</formula>
    </cfRule>
  </conditionalFormatting>
  <conditionalFormatting sqref="I761:P761">
    <cfRule type="cellIs" dxfId="13424" priority="13353" stopIfTrue="1" operator="equal">
      <formula>"Pass"</formula>
    </cfRule>
    <cfRule type="cellIs" dxfId="13423" priority="13354" stopIfTrue="1" operator="equal">
      <formula>"Fail"</formula>
    </cfRule>
  </conditionalFormatting>
  <conditionalFormatting sqref="I761:P761">
    <cfRule type="cellIs" dxfId="13422" priority="13351" stopIfTrue="1" operator="equal">
      <formula>"Pass"</formula>
    </cfRule>
    <cfRule type="cellIs" dxfId="13421" priority="13352" stopIfTrue="1" operator="equal">
      <formula>"Fail"</formula>
    </cfRule>
  </conditionalFormatting>
  <conditionalFormatting sqref="I761:P761">
    <cfRule type="cellIs" dxfId="13420" priority="13349" stopIfTrue="1" operator="equal">
      <formula>"Pass"</formula>
    </cfRule>
    <cfRule type="cellIs" dxfId="13419" priority="13350" stopIfTrue="1" operator="equal">
      <formula>"Fail"</formula>
    </cfRule>
  </conditionalFormatting>
  <conditionalFormatting sqref="H761:O761">
    <cfRule type="cellIs" dxfId="13418" priority="13347" stopIfTrue="1" operator="equal">
      <formula>"Pass"</formula>
    </cfRule>
    <cfRule type="cellIs" dxfId="13417" priority="13348" stopIfTrue="1" operator="equal">
      <formula>"Fail"</formula>
    </cfRule>
  </conditionalFormatting>
  <conditionalFormatting sqref="H761:O761">
    <cfRule type="cellIs" dxfId="13416" priority="13345" stopIfTrue="1" operator="equal">
      <formula>"Pass"</formula>
    </cfRule>
    <cfRule type="cellIs" dxfId="13415" priority="13346" stopIfTrue="1" operator="equal">
      <formula>"Fail"</formula>
    </cfRule>
  </conditionalFormatting>
  <conditionalFormatting sqref="I761:P761">
    <cfRule type="cellIs" dxfId="13414" priority="13343" stopIfTrue="1" operator="equal">
      <formula>"Pass"</formula>
    </cfRule>
    <cfRule type="cellIs" dxfId="13413" priority="13344" stopIfTrue="1" operator="equal">
      <formula>"Fail"</formula>
    </cfRule>
  </conditionalFormatting>
  <conditionalFormatting sqref="I761:P761">
    <cfRule type="cellIs" dxfId="13412" priority="13341" stopIfTrue="1" operator="equal">
      <formula>"Pass"</formula>
    </cfRule>
    <cfRule type="cellIs" dxfId="13411" priority="13342" stopIfTrue="1" operator="equal">
      <formula>"Fail"</formula>
    </cfRule>
  </conditionalFormatting>
  <conditionalFormatting sqref="I761:P761">
    <cfRule type="cellIs" dxfId="13410" priority="13339" stopIfTrue="1" operator="equal">
      <formula>"Pass"</formula>
    </cfRule>
    <cfRule type="cellIs" dxfId="13409" priority="13340" stopIfTrue="1" operator="equal">
      <formula>"Fail"</formula>
    </cfRule>
  </conditionalFormatting>
  <conditionalFormatting sqref="I761:P761">
    <cfRule type="cellIs" dxfId="13408" priority="13337" stopIfTrue="1" operator="equal">
      <formula>"Pass"</formula>
    </cfRule>
    <cfRule type="cellIs" dxfId="13407" priority="13338" stopIfTrue="1" operator="equal">
      <formula>"Fail"</formula>
    </cfRule>
  </conditionalFormatting>
  <conditionalFormatting sqref="H761:O761">
    <cfRule type="cellIs" dxfId="13406" priority="13335" stopIfTrue="1" operator="equal">
      <formula>"Pass"</formula>
    </cfRule>
    <cfRule type="cellIs" dxfId="13405" priority="13336" stopIfTrue="1" operator="equal">
      <formula>"Fail"</formula>
    </cfRule>
  </conditionalFormatting>
  <conditionalFormatting sqref="H761:O761">
    <cfRule type="cellIs" dxfId="13404" priority="13333" stopIfTrue="1" operator="equal">
      <formula>"Pass"</formula>
    </cfRule>
    <cfRule type="cellIs" dxfId="13403" priority="13334" stopIfTrue="1" operator="equal">
      <formula>"Fail"</formula>
    </cfRule>
  </conditionalFormatting>
  <conditionalFormatting sqref="I761:P761">
    <cfRule type="cellIs" dxfId="13402" priority="13331" stopIfTrue="1" operator="equal">
      <formula>"Pass"</formula>
    </cfRule>
    <cfRule type="cellIs" dxfId="13401" priority="13332" stopIfTrue="1" operator="equal">
      <formula>"Fail"</formula>
    </cfRule>
  </conditionalFormatting>
  <conditionalFormatting sqref="I761:P761">
    <cfRule type="cellIs" dxfId="13400" priority="13329" stopIfTrue="1" operator="equal">
      <formula>"Pass"</formula>
    </cfRule>
    <cfRule type="cellIs" dxfId="13399" priority="13330" stopIfTrue="1" operator="equal">
      <formula>"Fail"</formula>
    </cfRule>
  </conditionalFormatting>
  <conditionalFormatting sqref="I761:P761">
    <cfRule type="cellIs" dxfId="13398" priority="13327" stopIfTrue="1" operator="equal">
      <formula>"Pass"</formula>
    </cfRule>
    <cfRule type="cellIs" dxfId="13397" priority="13328" stopIfTrue="1" operator="equal">
      <formula>"Fail"</formula>
    </cfRule>
  </conditionalFormatting>
  <conditionalFormatting sqref="I761:P761">
    <cfRule type="cellIs" dxfId="13396" priority="13325" stopIfTrue="1" operator="equal">
      <formula>"Pass"</formula>
    </cfRule>
    <cfRule type="cellIs" dxfId="13395" priority="13326" stopIfTrue="1" operator="equal">
      <formula>"Fail"</formula>
    </cfRule>
  </conditionalFormatting>
  <conditionalFormatting sqref="H761:O761">
    <cfRule type="cellIs" dxfId="13394" priority="13323" stopIfTrue="1" operator="equal">
      <formula>"Pass"</formula>
    </cfRule>
    <cfRule type="cellIs" dxfId="13393" priority="13324" stopIfTrue="1" operator="equal">
      <formula>"Fail"</formula>
    </cfRule>
  </conditionalFormatting>
  <conditionalFormatting sqref="H761:O761">
    <cfRule type="cellIs" dxfId="13392" priority="13321" stopIfTrue="1" operator="equal">
      <formula>"Pass"</formula>
    </cfRule>
    <cfRule type="cellIs" dxfId="13391" priority="13322" stopIfTrue="1" operator="equal">
      <formula>"Fail"</formula>
    </cfRule>
  </conditionalFormatting>
  <conditionalFormatting sqref="I761:P761">
    <cfRule type="cellIs" dxfId="13390" priority="13319" stopIfTrue="1" operator="equal">
      <formula>"Pass"</formula>
    </cfRule>
    <cfRule type="cellIs" dxfId="13389" priority="13320" stopIfTrue="1" operator="equal">
      <formula>"Fail"</formula>
    </cfRule>
  </conditionalFormatting>
  <conditionalFormatting sqref="I761:P761">
    <cfRule type="cellIs" dxfId="13388" priority="13317" stopIfTrue="1" operator="equal">
      <formula>"Pass"</formula>
    </cfRule>
    <cfRule type="cellIs" dxfId="13387" priority="13318" stopIfTrue="1" operator="equal">
      <formula>"Fail"</formula>
    </cfRule>
  </conditionalFormatting>
  <conditionalFormatting sqref="I761:P761">
    <cfRule type="cellIs" dxfId="13386" priority="13315" stopIfTrue="1" operator="equal">
      <formula>"Pass"</formula>
    </cfRule>
    <cfRule type="cellIs" dxfId="13385" priority="13316" stopIfTrue="1" operator="equal">
      <formula>"Fail"</formula>
    </cfRule>
  </conditionalFormatting>
  <conditionalFormatting sqref="I761:P761">
    <cfRule type="cellIs" dxfId="13384" priority="13313" stopIfTrue="1" operator="equal">
      <formula>"Pass"</formula>
    </cfRule>
    <cfRule type="cellIs" dxfId="13383" priority="13314" stopIfTrue="1" operator="equal">
      <formula>"Fail"</formula>
    </cfRule>
  </conditionalFormatting>
  <conditionalFormatting sqref="H761:O761">
    <cfRule type="cellIs" dxfId="13382" priority="13311" stopIfTrue="1" operator="equal">
      <formula>"Pass"</formula>
    </cfRule>
    <cfRule type="cellIs" dxfId="13381" priority="13312" stopIfTrue="1" operator="equal">
      <formula>"Fail"</formula>
    </cfRule>
  </conditionalFormatting>
  <conditionalFormatting sqref="H761:O761">
    <cfRule type="cellIs" dxfId="13380" priority="13309" stopIfTrue="1" operator="equal">
      <formula>"Pass"</formula>
    </cfRule>
    <cfRule type="cellIs" dxfId="13379" priority="13310" stopIfTrue="1" operator="equal">
      <formula>"Fail"</formula>
    </cfRule>
  </conditionalFormatting>
  <conditionalFormatting sqref="I761:P761">
    <cfRule type="cellIs" dxfId="13378" priority="13307" stopIfTrue="1" operator="equal">
      <formula>"Pass"</formula>
    </cfRule>
    <cfRule type="cellIs" dxfId="13377" priority="13308" stopIfTrue="1" operator="equal">
      <formula>"Fail"</formula>
    </cfRule>
  </conditionalFormatting>
  <conditionalFormatting sqref="I761:P761">
    <cfRule type="cellIs" dxfId="13376" priority="13305" stopIfTrue="1" operator="equal">
      <formula>"Pass"</formula>
    </cfRule>
    <cfRule type="cellIs" dxfId="13375" priority="13306" stopIfTrue="1" operator="equal">
      <formula>"Fail"</formula>
    </cfRule>
  </conditionalFormatting>
  <conditionalFormatting sqref="I761:P761">
    <cfRule type="cellIs" dxfId="13374" priority="13303" stopIfTrue="1" operator="equal">
      <formula>"Pass"</formula>
    </cfRule>
    <cfRule type="cellIs" dxfId="13373" priority="13304" stopIfTrue="1" operator="equal">
      <formula>"Fail"</formula>
    </cfRule>
  </conditionalFormatting>
  <conditionalFormatting sqref="I761:P761">
    <cfRule type="cellIs" dxfId="13372" priority="13301" stopIfTrue="1" operator="equal">
      <formula>"Pass"</formula>
    </cfRule>
    <cfRule type="cellIs" dxfId="13371" priority="13302" stopIfTrue="1" operator="equal">
      <formula>"Fail"</formula>
    </cfRule>
  </conditionalFormatting>
  <conditionalFormatting sqref="H761:O761">
    <cfRule type="cellIs" dxfId="13370" priority="13299" stopIfTrue="1" operator="equal">
      <formula>"Pass"</formula>
    </cfRule>
    <cfRule type="cellIs" dxfId="13369" priority="13300" stopIfTrue="1" operator="equal">
      <formula>"Fail"</formula>
    </cfRule>
  </conditionalFormatting>
  <conditionalFormatting sqref="H761:O761">
    <cfRule type="cellIs" dxfId="13368" priority="13297" stopIfTrue="1" operator="equal">
      <formula>"Pass"</formula>
    </cfRule>
    <cfRule type="cellIs" dxfId="13367" priority="13298" stopIfTrue="1" operator="equal">
      <formula>"Fail"</formula>
    </cfRule>
  </conditionalFormatting>
  <conditionalFormatting sqref="I761:P761">
    <cfRule type="cellIs" dxfId="13366" priority="13295" stopIfTrue="1" operator="equal">
      <formula>"Pass"</formula>
    </cfRule>
    <cfRule type="cellIs" dxfId="13365" priority="13296" stopIfTrue="1" operator="equal">
      <formula>"Fail"</formula>
    </cfRule>
  </conditionalFormatting>
  <conditionalFormatting sqref="I761:P761">
    <cfRule type="cellIs" dxfId="13364" priority="13293" stopIfTrue="1" operator="equal">
      <formula>"Pass"</formula>
    </cfRule>
    <cfRule type="cellIs" dxfId="13363" priority="13294" stopIfTrue="1" operator="equal">
      <formula>"Fail"</formula>
    </cfRule>
  </conditionalFormatting>
  <conditionalFormatting sqref="I761:P761">
    <cfRule type="cellIs" dxfId="13362" priority="13291" stopIfTrue="1" operator="equal">
      <formula>"Pass"</formula>
    </cfRule>
    <cfRule type="cellIs" dxfId="13361" priority="13292" stopIfTrue="1" operator="equal">
      <formula>"Fail"</formula>
    </cfRule>
  </conditionalFormatting>
  <conditionalFormatting sqref="I761:P761">
    <cfRule type="cellIs" dxfId="13360" priority="13289" stopIfTrue="1" operator="equal">
      <formula>"Pass"</formula>
    </cfRule>
    <cfRule type="cellIs" dxfId="13359" priority="13290" stopIfTrue="1" operator="equal">
      <formula>"Fail"</formula>
    </cfRule>
  </conditionalFormatting>
  <conditionalFormatting sqref="H761:O761">
    <cfRule type="cellIs" dxfId="13358" priority="13287" stopIfTrue="1" operator="equal">
      <formula>"Pass"</formula>
    </cfRule>
    <cfRule type="cellIs" dxfId="13357" priority="13288" stopIfTrue="1" operator="equal">
      <formula>"Fail"</formula>
    </cfRule>
  </conditionalFormatting>
  <conditionalFormatting sqref="H761:O761">
    <cfRule type="cellIs" dxfId="13356" priority="13285" stopIfTrue="1" operator="equal">
      <formula>"Pass"</formula>
    </cfRule>
    <cfRule type="cellIs" dxfId="13355" priority="13286" stopIfTrue="1" operator="equal">
      <formula>"Fail"</formula>
    </cfRule>
  </conditionalFormatting>
  <conditionalFormatting sqref="I761:P761">
    <cfRule type="cellIs" dxfId="13354" priority="13283" stopIfTrue="1" operator="equal">
      <formula>"Pass"</formula>
    </cfRule>
    <cfRule type="cellIs" dxfId="13353" priority="13284" stopIfTrue="1" operator="equal">
      <formula>"Fail"</formula>
    </cfRule>
  </conditionalFormatting>
  <conditionalFormatting sqref="I761:P761">
    <cfRule type="cellIs" dxfId="13352" priority="13281" stopIfTrue="1" operator="equal">
      <formula>"Pass"</formula>
    </cfRule>
    <cfRule type="cellIs" dxfId="13351" priority="13282" stopIfTrue="1" operator="equal">
      <formula>"Fail"</formula>
    </cfRule>
  </conditionalFormatting>
  <conditionalFormatting sqref="I761:P761">
    <cfRule type="cellIs" dxfId="13350" priority="13279" stopIfTrue="1" operator="equal">
      <formula>"Pass"</formula>
    </cfRule>
    <cfRule type="cellIs" dxfId="13349" priority="13280" stopIfTrue="1" operator="equal">
      <formula>"Fail"</formula>
    </cfRule>
  </conditionalFormatting>
  <conditionalFormatting sqref="I761:P761">
    <cfRule type="cellIs" dxfId="13348" priority="13277" stopIfTrue="1" operator="equal">
      <formula>"Pass"</formula>
    </cfRule>
    <cfRule type="cellIs" dxfId="13347" priority="13278" stopIfTrue="1" operator="equal">
      <formula>"Fail"</formula>
    </cfRule>
  </conditionalFormatting>
  <conditionalFormatting sqref="H761:O761">
    <cfRule type="cellIs" dxfId="13346" priority="13275" stopIfTrue="1" operator="equal">
      <formula>"Pass"</formula>
    </cfRule>
    <cfRule type="cellIs" dxfId="13345" priority="13276" stopIfTrue="1" operator="equal">
      <formula>"Fail"</formula>
    </cfRule>
  </conditionalFormatting>
  <conditionalFormatting sqref="H761:O761">
    <cfRule type="cellIs" dxfId="13344" priority="13273" stopIfTrue="1" operator="equal">
      <formula>"Pass"</formula>
    </cfRule>
    <cfRule type="cellIs" dxfId="13343" priority="13274" stopIfTrue="1" operator="equal">
      <formula>"Fail"</formula>
    </cfRule>
  </conditionalFormatting>
  <conditionalFormatting sqref="I761:P761">
    <cfRule type="cellIs" dxfId="13342" priority="13271" stopIfTrue="1" operator="equal">
      <formula>"Pass"</formula>
    </cfRule>
    <cfRule type="cellIs" dxfId="13341" priority="13272" stopIfTrue="1" operator="equal">
      <formula>"Fail"</formula>
    </cfRule>
  </conditionalFormatting>
  <conditionalFormatting sqref="I761:P761">
    <cfRule type="cellIs" dxfId="13340" priority="13269" stopIfTrue="1" operator="equal">
      <formula>"Pass"</formula>
    </cfRule>
    <cfRule type="cellIs" dxfId="13339" priority="13270" stopIfTrue="1" operator="equal">
      <formula>"Fail"</formula>
    </cfRule>
  </conditionalFormatting>
  <conditionalFormatting sqref="I761:P761">
    <cfRule type="cellIs" dxfId="13338" priority="13267" stopIfTrue="1" operator="equal">
      <formula>"Pass"</formula>
    </cfRule>
    <cfRule type="cellIs" dxfId="13337" priority="13268" stopIfTrue="1" operator="equal">
      <formula>"Fail"</formula>
    </cfRule>
  </conditionalFormatting>
  <conditionalFormatting sqref="I761:P761">
    <cfRule type="cellIs" dxfId="13336" priority="13265" stopIfTrue="1" operator="equal">
      <formula>"Pass"</formula>
    </cfRule>
    <cfRule type="cellIs" dxfId="13335" priority="13266" stopIfTrue="1" operator="equal">
      <formula>"Fail"</formula>
    </cfRule>
  </conditionalFormatting>
  <conditionalFormatting sqref="H761:O761">
    <cfRule type="cellIs" dxfId="13334" priority="13263" stopIfTrue="1" operator="equal">
      <formula>"Pass"</formula>
    </cfRule>
    <cfRule type="cellIs" dxfId="13333" priority="13264" stopIfTrue="1" operator="equal">
      <formula>"Fail"</formula>
    </cfRule>
  </conditionalFormatting>
  <conditionalFormatting sqref="H761:O761">
    <cfRule type="cellIs" dxfId="13332" priority="13261" stopIfTrue="1" operator="equal">
      <formula>"Pass"</formula>
    </cfRule>
    <cfRule type="cellIs" dxfId="13331" priority="13262" stopIfTrue="1" operator="equal">
      <formula>"Fail"</formula>
    </cfRule>
  </conditionalFormatting>
  <conditionalFormatting sqref="I761:P761">
    <cfRule type="cellIs" dxfId="13330" priority="13259" stopIfTrue="1" operator="equal">
      <formula>"Pass"</formula>
    </cfRule>
    <cfRule type="cellIs" dxfId="13329" priority="13260" stopIfTrue="1" operator="equal">
      <formula>"Fail"</formula>
    </cfRule>
  </conditionalFormatting>
  <conditionalFormatting sqref="I761:P761">
    <cfRule type="cellIs" dxfId="13328" priority="13257" stopIfTrue="1" operator="equal">
      <formula>"Pass"</formula>
    </cfRule>
    <cfRule type="cellIs" dxfId="13327" priority="13258" stopIfTrue="1" operator="equal">
      <formula>"Fail"</formula>
    </cfRule>
  </conditionalFormatting>
  <conditionalFormatting sqref="I761:P761">
    <cfRule type="cellIs" dxfId="13326" priority="13255" stopIfTrue="1" operator="equal">
      <formula>"Pass"</formula>
    </cfRule>
    <cfRule type="cellIs" dxfId="13325" priority="13256" stopIfTrue="1" operator="equal">
      <formula>"Fail"</formula>
    </cfRule>
  </conditionalFormatting>
  <conditionalFormatting sqref="I761:P761">
    <cfRule type="cellIs" dxfId="13324" priority="13253" stopIfTrue="1" operator="equal">
      <formula>"Pass"</formula>
    </cfRule>
    <cfRule type="cellIs" dxfId="13323" priority="13254" stopIfTrue="1" operator="equal">
      <formula>"Fail"</formula>
    </cfRule>
  </conditionalFormatting>
  <conditionalFormatting sqref="H761:O761">
    <cfRule type="cellIs" dxfId="13322" priority="13251" stopIfTrue="1" operator="equal">
      <formula>"Pass"</formula>
    </cfRule>
    <cfRule type="cellIs" dxfId="13321" priority="13252" stopIfTrue="1" operator="equal">
      <formula>"Fail"</formula>
    </cfRule>
  </conditionalFormatting>
  <conditionalFormatting sqref="H761:O761">
    <cfRule type="cellIs" dxfId="13320" priority="13249" stopIfTrue="1" operator="equal">
      <formula>"Pass"</formula>
    </cfRule>
    <cfRule type="cellIs" dxfId="13319" priority="13250" stopIfTrue="1" operator="equal">
      <formula>"Fail"</formula>
    </cfRule>
  </conditionalFormatting>
  <conditionalFormatting sqref="I761:P761">
    <cfRule type="cellIs" dxfId="13318" priority="13247" stopIfTrue="1" operator="equal">
      <formula>"Pass"</formula>
    </cfRule>
    <cfRule type="cellIs" dxfId="13317" priority="13248" stopIfTrue="1" operator="equal">
      <formula>"Fail"</formula>
    </cfRule>
  </conditionalFormatting>
  <conditionalFormatting sqref="I761:P761">
    <cfRule type="cellIs" dxfId="13316" priority="13245" stopIfTrue="1" operator="equal">
      <formula>"Pass"</formula>
    </cfRule>
    <cfRule type="cellIs" dxfId="13315" priority="13246" stopIfTrue="1" operator="equal">
      <formula>"Fail"</formula>
    </cfRule>
  </conditionalFormatting>
  <conditionalFormatting sqref="I761:P761">
    <cfRule type="cellIs" dxfId="13314" priority="13243" stopIfTrue="1" operator="equal">
      <formula>"Pass"</formula>
    </cfRule>
    <cfRule type="cellIs" dxfId="13313" priority="13244" stopIfTrue="1" operator="equal">
      <formula>"Fail"</formula>
    </cfRule>
  </conditionalFormatting>
  <conditionalFormatting sqref="I761:P761">
    <cfRule type="cellIs" dxfId="13312" priority="13241" stopIfTrue="1" operator="equal">
      <formula>"Pass"</formula>
    </cfRule>
    <cfRule type="cellIs" dxfId="13311" priority="13242" stopIfTrue="1" operator="equal">
      <formula>"Fail"</formula>
    </cfRule>
  </conditionalFormatting>
  <conditionalFormatting sqref="H761:O761">
    <cfRule type="cellIs" dxfId="13310" priority="13239" stopIfTrue="1" operator="equal">
      <formula>"Pass"</formula>
    </cfRule>
    <cfRule type="cellIs" dxfId="13309" priority="13240" stopIfTrue="1" operator="equal">
      <formula>"Fail"</formula>
    </cfRule>
  </conditionalFormatting>
  <conditionalFormatting sqref="H761:O761">
    <cfRule type="cellIs" dxfId="13308" priority="13237" stopIfTrue="1" operator="equal">
      <formula>"Pass"</formula>
    </cfRule>
    <cfRule type="cellIs" dxfId="13307" priority="13238" stopIfTrue="1" operator="equal">
      <formula>"Fail"</formula>
    </cfRule>
  </conditionalFormatting>
  <conditionalFormatting sqref="I761:P761">
    <cfRule type="cellIs" dxfId="13306" priority="13235" stopIfTrue="1" operator="equal">
      <formula>"Pass"</formula>
    </cfRule>
    <cfRule type="cellIs" dxfId="13305" priority="13236" stopIfTrue="1" operator="equal">
      <formula>"Fail"</formula>
    </cfRule>
  </conditionalFormatting>
  <conditionalFormatting sqref="I761:P761">
    <cfRule type="cellIs" dxfId="13304" priority="13233" stopIfTrue="1" operator="equal">
      <formula>"Pass"</formula>
    </cfRule>
    <cfRule type="cellIs" dxfId="13303" priority="13234" stopIfTrue="1" operator="equal">
      <formula>"Fail"</formula>
    </cfRule>
  </conditionalFormatting>
  <conditionalFormatting sqref="I761:P761">
    <cfRule type="cellIs" dxfId="13302" priority="13231" stopIfTrue="1" operator="equal">
      <formula>"Pass"</formula>
    </cfRule>
    <cfRule type="cellIs" dxfId="13301" priority="13232" stopIfTrue="1" operator="equal">
      <formula>"Fail"</formula>
    </cfRule>
  </conditionalFormatting>
  <conditionalFormatting sqref="I761:P761">
    <cfRule type="cellIs" dxfId="13300" priority="13229" stopIfTrue="1" operator="equal">
      <formula>"Pass"</formula>
    </cfRule>
    <cfRule type="cellIs" dxfId="13299" priority="13230" stopIfTrue="1" operator="equal">
      <formula>"Fail"</formula>
    </cfRule>
  </conditionalFormatting>
  <conditionalFormatting sqref="H761:O761">
    <cfRule type="cellIs" dxfId="13298" priority="13227" stopIfTrue="1" operator="equal">
      <formula>"Pass"</formula>
    </cfRule>
    <cfRule type="cellIs" dxfId="13297" priority="13228" stopIfTrue="1" operator="equal">
      <formula>"Fail"</formula>
    </cfRule>
  </conditionalFormatting>
  <conditionalFormatting sqref="H761:O761">
    <cfRule type="cellIs" dxfId="13296" priority="13225" stopIfTrue="1" operator="equal">
      <formula>"Pass"</formula>
    </cfRule>
    <cfRule type="cellIs" dxfId="13295" priority="13226" stopIfTrue="1" operator="equal">
      <formula>"Fail"</formula>
    </cfRule>
  </conditionalFormatting>
  <conditionalFormatting sqref="I761:P761">
    <cfRule type="cellIs" dxfId="13294" priority="13223" stopIfTrue="1" operator="equal">
      <formula>"Pass"</formula>
    </cfRule>
    <cfRule type="cellIs" dxfId="13293" priority="13224" stopIfTrue="1" operator="equal">
      <formula>"Fail"</formula>
    </cfRule>
  </conditionalFormatting>
  <conditionalFormatting sqref="I761:P761">
    <cfRule type="cellIs" dxfId="13292" priority="13221" stopIfTrue="1" operator="equal">
      <formula>"Pass"</formula>
    </cfRule>
    <cfRule type="cellIs" dxfId="13291" priority="13222" stopIfTrue="1" operator="equal">
      <formula>"Fail"</formula>
    </cfRule>
  </conditionalFormatting>
  <conditionalFormatting sqref="I761:P761">
    <cfRule type="cellIs" dxfId="13290" priority="13219" stopIfTrue="1" operator="equal">
      <formula>"Pass"</formula>
    </cfRule>
    <cfRule type="cellIs" dxfId="13289" priority="13220" stopIfTrue="1" operator="equal">
      <formula>"Fail"</formula>
    </cfRule>
  </conditionalFormatting>
  <conditionalFormatting sqref="I761:P761">
    <cfRule type="cellIs" dxfId="13288" priority="13217" stopIfTrue="1" operator="equal">
      <formula>"Pass"</formula>
    </cfRule>
    <cfRule type="cellIs" dxfId="13287" priority="13218" stopIfTrue="1" operator="equal">
      <formula>"Fail"</formula>
    </cfRule>
  </conditionalFormatting>
  <conditionalFormatting sqref="H761:O761">
    <cfRule type="cellIs" dxfId="13286" priority="13215" stopIfTrue="1" operator="equal">
      <formula>"Pass"</formula>
    </cfRule>
    <cfRule type="cellIs" dxfId="13285" priority="13216" stopIfTrue="1" operator="equal">
      <formula>"Fail"</formula>
    </cfRule>
  </conditionalFormatting>
  <conditionalFormatting sqref="H761:O761">
    <cfRule type="cellIs" dxfId="13284" priority="13213" stopIfTrue="1" operator="equal">
      <formula>"Pass"</formula>
    </cfRule>
    <cfRule type="cellIs" dxfId="13283" priority="13214" stopIfTrue="1" operator="equal">
      <formula>"Fail"</formula>
    </cfRule>
  </conditionalFormatting>
  <conditionalFormatting sqref="I761:P761">
    <cfRule type="cellIs" dxfId="13282" priority="13211" stopIfTrue="1" operator="equal">
      <formula>"Pass"</formula>
    </cfRule>
    <cfRule type="cellIs" dxfId="13281" priority="13212" stopIfTrue="1" operator="equal">
      <formula>"Fail"</formula>
    </cfRule>
  </conditionalFormatting>
  <conditionalFormatting sqref="I761:P761">
    <cfRule type="cellIs" dxfId="13280" priority="13209" stopIfTrue="1" operator="equal">
      <formula>"Pass"</formula>
    </cfRule>
    <cfRule type="cellIs" dxfId="13279" priority="13210" stopIfTrue="1" operator="equal">
      <formula>"Fail"</formula>
    </cfRule>
  </conditionalFormatting>
  <conditionalFormatting sqref="I761:P761">
    <cfRule type="cellIs" dxfId="13278" priority="13207" stopIfTrue="1" operator="equal">
      <formula>"Pass"</formula>
    </cfRule>
    <cfRule type="cellIs" dxfId="13277" priority="13208" stopIfTrue="1" operator="equal">
      <formula>"Fail"</formula>
    </cfRule>
  </conditionalFormatting>
  <conditionalFormatting sqref="I761:P761">
    <cfRule type="cellIs" dxfId="13276" priority="13205" stopIfTrue="1" operator="equal">
      <formula>"Pass"</formula>
    </cfRule>
    <cfRule type="cellIs" dxfId="13275" priority="13206" stopIfTrue="1" operator="equal">
      <formula>"Fail"</formula>
    </cfRule>
  </conditionalFormatting>
  <conditionalFormatting sqref="H761:O761">
    <cfRule type="cellIs" dxfId="13274" priority="13203" stopIfTrue="1" operator="equal">
      <formula>"Pass"</formula>
    </cfRule>
    <cfRule type="cellIs" dxfId="13273" priority="13204" stopIfTrue="1" operator="equal">
      <formula>"Fail"</formula>
    </cfRule>
  </conditionalFormatting>
  <conditionalFormatting sqref="H761:O761">
    <cfRule type="cellIs" dxfId="13272" priority="13201" stopIfTrue="1" operator="equal">
      <formula>"Pass"</formula>
    </cfRule>
    <cfRule type="cellIs" dxfId="13271" priority="13202" stopIfTrue="1" operator="equal">
      <formula>"Fail"</formula>
    </cfRule>
  </conditionalFormatting>
  <conditionalFormatting sqref="I761:P761">
    <cfRule type="cellIs" dxfId="13270" priority="13199" stopIfTrue="1" operator="equal">
      <formula>"Pass"</formula>
    </cfRule>
    <cfRule type="cellIs" dxfId="13269" priority="13200" stopIfTrue="1" operator="equal">
      <formula>"Fail"</formula>
    </cfRule>
  </conditionalFormatting>
  <conditionalFormatting sqref="I761:P761">
    <cfRule type="cellIs" dxfId="13268" priority="13197" stopIfTrue="1" operator="equal">
      <formula>"Pass"</formula>
    </cfRule>
    <cfRule type="cellIs" dxfId="13267" priority="13198" stopIfTrue="1" operator="equal">
      <formula>"Fail"</formula>
    </cfRule>
  </conditionalFormatting>
  <conditionalFormatting sqref="I761:P761">
    <cfRule type="cellIs" dxfId="13266" priority="13195" stopIfTrue="1" operator="equal">
      <formula>"Pass"</formula>
    </cfRule>
    <cfRule type="cellIs" dxfId="13265" priority="13196" stopIfTrue="1" operator="equal">
      <formula>"Fail"</formula>
    </cfRule>
  </conditionalFormatting>
  <conditionalFormatting sqref="I761:P761">
    <cfRule type="cellIs" dxfId="13264" priority="13193" stopIfTrue="1" operator="equal">
      <formula>"Pass"</formula>
    </cfRule>
    <cfRule type="cellIs" dxfId="13263" priority="13194" stopIfTrue="1" operator="equal">
      <formula>"Fail"</formula>
    </cfRule>
  </conditionalFormatting>
  <conditionalFormatting sqref="D761:E761">
    <cfRule type="cellIs" dxfId="13262" priority="13191" stopIfTrue="1" operator="equal">
      <formula>"Pass"</formula>
    </cfRule>
    <cfRule type="cellIs" dxfId="13261" priority="13192" stopIfTrue="1" operator="equal">
      <formula>"Fail"</formula>
    </cfRule>
  </conditionalFormatting>
  <conditionalFormatting sqref="D761:E761">
    <cfRule type="cellIs" dxfId="13260" priority="13189" stopIfTrue="1" operator="equal">
      <formula>"Pass"</formula>
    </cfRule>
    <cfRule type="cellIs" dxfId="13259" priority="13190" stopIfTrue="1" operator="equal">
      <formula>"Fail"</formula>
    </cfRule>
  </conditionalFormatting>
  <conditionalFormatting sqref="G761:H761">
    <cfRule type="cellIs" dxfId="13258" priority="13187" stopIfTrue="1" operator="equal">
      <formula>"Pass"</formula>
    </cfRule>
    <cfRule type="cellIs" dxfId="13257" priority="13188" stopIfTrue="1" operator="equal">
      <formula>"Fail"</formula>
    </cfRule>
  </conditionalFormatting>
  <conditionalFormatting sqref="G761:H761">
    <cfRule type="cellIs" dxfId="13256" priority="13185" stopIfTrue="1" operator="equal">
      <formula>"Pass"</formula>
    </cfRule>
    <cfRule type="cellIs" dxfId="13255" priority="13186" stopIfTrue="1" operator="equal">
      <formula>"Fail"</formula>
    </cfRule>
  </conditionalFormatting>
  <conditionalFormatting sqref="G761:H761">
    <cfRule type="cellIs" dxfId="13254" priority="13183" stopIfTrue="1" operator="equal">
      <formula>"Pass"</formula>
    </cfRule>
    <cfRule type="cellIs" dxfId="13253" priority="13184" stopIfTrue="1" operator="equal">
      <formula>"Fail"</formula>
    </cfRule>
  </conditionalFormatting>
  <conditionalFormatting sqref="G761:H761">
    <cfRule type="cellIs" dxfId="13252" priority="13181" stopIfTrue="1" operator="equal">
      <formula>"Pass"</formula>
    </cfRule>
    <cfRule type="cellIs" dxfId="13251" priority="13182" stopIfTrue="1" operator="equal">
      <formula>"Fail"</formula>
    </cfRule>
  </conditionalFormatting>
  <conditionalFormatting sqref="H761:O761">
    <cfRule type="cellIs" dxfId="13250" priority="13179" stopIfTrue="1" operator="equal">
      <formula>"Pass"</formula>
    </cfRule>
    <cfRule type="cellIs" dxfId="13249" priority="13180" stopIfTrue="1" operator="equal">
      <formula>"Fail"</formula>
    </cfRule>
  </conditionalFormatting>
  <conditionalFormatting sqref="H761:O761">
    <cfRule type="cellIs" dxfId="13248" priority="13177" stopIfTrue="1" operator="equal">
      <formula>"Pass"</formula>
    </cfRule>
    <cfRule type="cellIs" dxfId="13247" priority="13178" stopIfTrue="1" operator="equal">
      <formula>"Fail"</formula>
    </cfRule>
  </conditionalFormatting>
  <conditionalFormatting sqref="I761:P761">
    <cfRule type="cellIs" dxfId="13246" priority="13175" stopIfTrue="1" operator="equal">
      <formula>"Pass"</formula>
    </cfRule>
    <cfRule type="cellIs" dxfId="13245" priority="13176" stopIfTrue="1" operator="equal">
      <formula>"Fail"</formula>
    </cfRule>
  </conditionalFormatting>
  <conditionalFormatting sqref="I761:P761">
    <cfRule type="cellIs" dxfId="13244" priority="13173" stopIfTrue="1" operator="equal">
      <formula>"Pass"</formula>
    </cfRule>
    <cfRule type="cellIs" dxfId="13243" priority="13174" stopIfTrue="1" operator="equal">
      <formula>"Fail"</formula>
    </cfRule>
  </conditionalFormatting>
  <conditionalFormatting sqref="I761:P761">
    <cfRule type="cellIs" dxfId="13242" priority="13171" stopIfTrue="1" operator="equal">
      <formula>"Pass"</formula>
    </cfRule>
    <cfRule type="cellIs" dxfId="13241" priority="13172" stopIfTrue="1" operator="equal">
      <formula>"Fail"</formula>
    </cfRule>
  </conditionalFormatting>
  <conditionalFormatting sqref="I761:P761">
    <cfRule type="cellIs" dxfId="13240" priority="13169" stopIfTrue="1" operator="equal">
      <formula>"Pass"</formula>
    </cfRule>
    <cfRule type="cellIs" dxfId="13239" priority="13170" stopIfTrue="1" operator="equal">
      <formula>"Fail"</formula>
    </cfRule>
  </conditionalFormatting>
  <conditionalFormatting sqref="H761:O761">
    <cfRule type="cellIs" dxfId="13238" priority="13167" stopIfTrue="1" operator="equal">
      <formula>"Pass"</formula>
    </cfRule>
    <cfRule type="cellIs" dxfId="13237" priority="13168" stopIfTrue="1" operator="equal">
      <formula>"Fail"</formula>
    </cfRule>
  </conditionalFormatting>
  <conditionalFormatting sqref="H761:O761">
    <cfRule type="cellIs" dxfId="13236" priority="13165" stopIfTrue="1" operator="equal">
      <formula>"Pass"</formula>
    </cfRule>
    <cfRule type="cellIs" dxfId="13235" priority="13166" stopIfTrue="1" operator="equal">
      <formula>"Fail"</formula>
    </cfRule>
  </conditionalFormatting>
  <conditionalFormatting sqref="I761:P761">
    <cfRule type="cellIs" dxfId="13234" priority="13163" stopIfTrue="1" operator="equal">
      <formula>"Pass"</formula>
    </cfRule>
    <cfRule type="cellIs" dxfId="13233" priority="13164" stopIfTrue="1" operator="equal">
      <formula>"Fail"</formula>
    </cfRule>
  </conditionalFormatting>
  <conditionalFormatting sqref="I761:P761">
    <cfRule type="cellIs" dxfId="13232" priority="13161" stopIfTrue="1" operator="equal">
      <formula>"Pass"</formula>
    </cfRule>
    <cfRule type="cellIs" dxfId="13231" priority="13162" stopIfTrue="1" operator="equal">
      <formula>"Fail"</formula>
    </cfRule>
  </conditionalFormatting>
  <conditionalFormatting sqref="I761:P761">
    <cfRule type="cellIs" dxfId="13230" priority="13159" stopIfTrue="1" operator="equal">
      <formula>"Pass"</formula>
    </cfRule>
    <cfRule type="cellIs" dxfId="13229" priority="13160" stopIfTrue="1" operator="equal">
      <formula>"Fail"</formula>
    </cfRule>
  </conditionalFormatting>
  <conditionalFormatting sqref="I761:P761">
    <cfRule type="cellIs" dxfId="13228" priority="13157" stopIfTrue="1" operator="equal">
      <formula>"Pass"</formula>
    </cfRule>
    <cfRule type="cellIs" dxfId="13227" priority="13158" stopIfTrue="1" operator="equal">
      <formula>"Fail"</formula>
    </cfRule>
  </conditionalFormatting>
  <conditionalFormatting sqref="H761:O761">
    <cfRule type="cellIs" dxfId="13226" priority="13155" stopIfTrue="1" operator="equal">
      <formula>"Pass"</formula>
    </cfRule>
    <cfRule type="cellIs" dxfId="13225" priority="13156" stopIfTrue="1" operator="equal">
      <formula>"Fail"</formula>
    </cfRule>
  </conditionalFormatting>
  <conditionalFormatting sqref="H761:O761">
    <cfRule type="cellIs" dxfId="13224" priority="13153" stopIfTrue="1" operator="equal">
      <formula>"Pass"</formula>
    </cfRule>
    <cfRule type="cellIs" dxfId="13223" priority="13154" stopIfTrue="1" operator="equal">
      <formula>"Fail"</formula>
    </cfRule>
  </conditionalFormatting>
  <conditionalFormatting sqref="I761:P761">
    <cfRule type="cellIs" dxfId="13222" priority="13151" stopIfTrue="1" operator="equal">
      <formula>"Pass"</formula>
    </cfRule>
    <cfRule type="cellIs" dxfId="13221" priority="13152" stopIfTrue="1" operator="equal">
      <formula>"Fail"</formula>
    </cfRule>
  </conditionalFormatting>
  <conditionalFormatting sqref="I761:P761">
    <cfRule type="cellIs" dxfId="13220" priority="13149" stopIfTrue="1" operator="equal">
      <formula>"Pass"</formula>
    </cfRule>
    <cfRule type="cellIs" dxfId="13219" priority="13150" stopIfTrue="1" operator="equal">
      <formula>"Fail"</formula>
    </cfRule>
  </conditionalFormatting>
  <conditionalFormatting sqref="I761:P761">
    <cfRule type="cellIs" dxfId="13218" priority="13147" stopIfTrue="1" operator="equal">
      <formula>"Pass"</formula>
    </cfRule>
    <cfRule type="cellIs" dxfId="13217" priority="13148" stopIfTrue="1" operator="equal">
      <formula>"Fail"</formula>
    </cfRule>
  </conditionalFormatting>
  <conditionalFormatting sqref="I761:P761">
    <cfRule type="cellIs" dxfId="13216" priority="13145" stopIfTrue="1" operator="equal">
      <formula>"Pass"</formula>
    </cfRule>
    <cfRule type="cellIs" dxfId="13215" priority="13146" stopIfTrue="1" operator="equal">
      <formula>"Fail"</formula>
    </cfRule>
  </conditionalFormatting>
  <conditionalFormatting sqref="H761:O761">
    <cfRule type="cellIs" dxfId="13214" priority="13143" stopIfTrue="1" operator="equal">
      <formula>"Pass"</formula>
    </cfRule>
    <cfRule type="cellIs" dxfId="13213" priority="13144" stopIfTrue="1" operator="equal">
      <formula>"Fail"</formula>
    </cfRule>
  </conditionalFormatting>
  <conditionalFormatting sqref="H761:O761">
    <cfRule type="cellIs" dxfId="13212" priority="13141" stopIfTrue="1" operator="equal">
      <formula>"Pass"</formula>
    </cfRule>
    <cfRule type="cellIs" dxfId="13211" priority="13142" stopIfTrue="1" operator="equal">
      <formula>"Fail"</formula>
    </cfRule>
  </conditionalFormatting>
  <conditionalFormatting sqref="I761:P761">
    <cfRule type="cellIs" dxfId="13210" priority="13139" stopIfTrue="1" operator="equal">
      <formula>"Pass"</formula>
    </cfRule>
    <cfRule type="cellIs" dxfId="13209" priority="13140" stopIfTrue="1" operator="equal">
      <formula>"Fail"</formula>
    </cfRule>
  </conditionalFormatting>
  <conditionalFormatting sqref="I761:P761">
    <cfRule type="cellIs" dxfId="13208" priority="13137" stopIfTrue="1" operator="equal">
      <formula>"Pass"</formula>
    </cfRule>
    <cfRule type="cellIs" dxfId="13207" priority="13138" stopIfTrue="1" operator="equal">
      <formula>"Fail"</formula>
    </cfRule>
  </conditionalFormatting>
  <conditionalFormatting sqref="I761:P761">
    <cfRule type="cellIs" dxfId="13206" priority="13135" stopIfTrue="1" operator="equal">
      <formula>"Pass"</formula>
    </cfRule>
    <cfRule type="cellIs" dxfId="13205" priority="13136" stopIfTrue="1" operator="equal">
      <formula>"Fail"</formula>
    </cfRule>
  </conditionalFormatting>
  <conditionalFormatting sqref="I761:P761">
    <cfRule type="cellIs" dxfId="13204" priority="13133" stopIfTrue="1" operator="equal">
      <formula>"Pass"</formula>
    </cfRule>
    <cfRule type="cellIs" dxfId="13203" priority="13134" stopIfTrue="1" operator="equal">
      <formula>"Fail"</formula>
    </cfRule>
  </conditionalFormatting>
  <conditionalFormatting sqref="H761:O761">
    <cfRule type="cellIs" dxfId="13202" priority="13131" stopIfTrue="1" operator="equal">
      <formula>"Pass"</formula>
    </cfRule>
    <cfRule type="cellIs" dxfId="13201" priority="13132" stopIfTrue="1" operator="equal">
      <formula>"Fail"</formula>
    </cfRule>
  </conditionalFormatting>
  <conditionalFormatting sqref="H761:O761">
    <cfRule type="cellIs" dxfId="13200" priority="13129" stopIfTrue="1" operator="equal">
      <formula>"Pass"</formula>
    </cfRule>
    <cfRule type="cellIs" dxfId="13199" priority="13130" stopIfTrue="1" operator="equal">
      <formula>"Fail"</formula>
    </cfRule>
  </conditionalFormatting>
  <conditionalFormatting sqref="I761:P761">
    <cfRule type="cellIs" dxfId="13198" priority="13127" stopIfTrue="1" operator="equal">
      <formula>"Pass"</formula>
    </cfRule>
    <cfRule type="cellIs" dxfId="13197" priority="13128" stopIfTrue="1" operator="equal">
      <formula>"Fail"</formula>
    </cfRule>
  </conditionalFormatting>
  <conditionalFormatting sqref="I761:P761">
    <cfRule type="cellIs" dxfId="13196" priority="13125" stopIfTrue="1" operator="equal">
      <formula>"Pass"</formula>
    </cfRule>
    <cfRule type="cellIs" dxfId="13195" priority="13126" stopIfTrue="1" operator="equal">
      <formula>"Fail"</formula>
    </cfRule>
  </conditionalFormatting>
  <conditionalFormatting sqref="I761:P761">
    <cfRule type="cellIs" dxfId="13194" priority="13123" stopIfTrue="1" operator="equal">
      <formula>"Pass"</formula>
    </cfRule>
    <cfRule type="cellIs" dxfId="13193" priority="13124" stopIfTrue="1" operator="equal">
      <formula>"Fail"</formula>
    </cfRule>
  </conditionalFormatting>
  <conditionalFormatting sqref="I761:P761">
    <cfRule type="cellIs" dxfId="13192" priority="13121" stopIfTrue="1" operator="equal">
      <formula>"Pass"</formula>
    </cfRule>
    <cfRule type="cellIs" dxfId="13191" priority="13122" stopIfTrue="1" operator="equal">
      <formula>"Fail"</formula>
    </cfRule>
  </conditionalFormatting>
  <conditionalFormatting sqref="H761:O761">
    <cfRule type="cellIs" dxfId="13190" priority="13119" stopIfTrue="1" operator="equal">
      <formula>"Pass"</formula>
    </cfRule>
    <cfRule type="cellIs" dxfId="13189" priority="13120" stopIfTrue="1" operator="equal">
      <formula>"Fail"</formula>
    </cfRule>
  </conditionalFormatting>
  <conditionalFormatting sqref="H761:O761">
    <cfRule type="cellIs" dxfId="13188" priority="13117" stopIfTrue="1" operator="equal">
      <formula>"Pass"</formula>
    </cfRule>
    <cfRule type="cellIs" dxfId="13187" priority="13118" stopIfTrue="1" operator="equal">
      <formula>"Fail"</formula>
    </cfRule>
  </conditionalFormatting>
  <conditionalFormatting sqref="I761:P761">
    <cfRule type="cellIs" dxfId="13186" priority="13115" stopIfTrue="1" operator="equal">
      <formula>"Pass"</formula>
    </cfRule>
    <cfRule type="cellIs" dxfId="13185" priority="13116" stopIfTrue="1" operator="equal">
      <formula>"Fail"</formula>
    </cfRule>
  </conditionalFormatting>
  <conditionalFormatting sqref="I761:P761">
    <cfRule type="cellIs" dxfId="13184" priority="13113" stopIfTrue="1" operator="equal">
      <formula>"Pass"</formula>
    </cfRule>
    <cfRule type="cellIs" dxfId="13183" priority="13114" stopIfTrue="1" operator="equal">
      <formula>"Fail"</formula>
    </cfRule>
  </conditionalFormatting>
  <conditionalFormatting sqref="I761:P761">
    <cfRule type="cellIs" dxfId="13182" priority="13111" stopIfTrue="1" operator="equal">
      <formula>"Pass"</formula>
    </cfRule>
    <cfRule type="cellIs" dxfId="13181" priority="13112" stopIfTrue="1" operator="equal">
      <formula>"Fail"</formula>
    </cfRule>
  </conditionalFormatting>
  <conditionalFormatting sqref="I761:P761">
    <cfRule type="cellIs" dxfId="13180" priority="13109" stopIfTrue="1" operator="equal">
      <formula>"Pass"</formula>
    </cfRule>
    <cfRule type="cellIs" dxfId="13179" priority="13110" stopIfTrue="1" operator="equal">
      <formula>"Fail"</formula>
    </cfRule>
  </conditionalFormatting>
  <conditionalFormatting sqref="H761:O761">
    <cfRule type="cellIs" dxfId="13178" priority="13107" stopIfTrue="1" operator="equal">
      <formula>"Pass"</formula>
    </cfRule>
    <cfRule type="cellIs" dxfId="13177" priority="13108" stopIfTrue="1" operator="equal">
      <formula>"Fail"</formula>
    </cfRule>
  </conditionalFormatting>
  <conditionalFormatting sqref="H761:O761">
    <cfRule type="cellIs" dxfId="13176" priority="13105" stopIfTrue="1" operator="equal">
      <formula>"Pass"</formula>
    </cfRule>
    <cfRule type="cellIs" dxfId="13175" priority="13106" stopIfTrue="1" operator="equal">
      <formula>"Fail"</formula>
    </cfRule>
  </conditionalFormatting>
  <conditionalFormatting sqref="I761:P761">
    <cfRule type="cellIs" dxfId="13174" priority="13103" stopIfTrue="1" operator="equal">
      <formula>"Pass"</formula>
    </cfRule>
    <cfRule type="cellIs" dxfId="13173" priority="13104" stopIfTrue="1" operator="equal">
      <formula>"Fail"</formula>
    </cfRule>
  </conditionalFormatting>
  <conditionalFormatting sqref="I761:P761">
    <cfRule type="cellIs" dxfId="13172" priority="13101" stopIfTrue="1" operator="equal">
      <formula>"Pass"</formula>
    </cfRule>
    <cfRule type="cellIs" dxfId="13171" priority="13102" stopIfTrue="1" operator="equal">
      <formula>"Fail"</formula>
    </cfRule>
  </conditionalFormatting>
  <conditionalFormatting sqref="I761:P761">
    <cfRule type="cellIs" dxfId="13170" priority="13099" stopIfTrue="1" operator="equal">
      <formula>"Pass"</formula>
    </cfRule>
    <cfRule type="cellIs" dxfId="13169" priority="13100" stopIfTrue="1" operator="equal">
      <formula>"Fail"</formula>
    </cfRule>
  </conditionalFormatting>
  <conditionalFormatting sqref="I761:P761">
    <cfRule type="cellIs" dxfId="13168" priority="13097" stopIfTrue="1" operator="equal">
      <formula>"Pass"</formula>
    </cfRule>
    <cfRule type="cellIs" dxfId="13167" priority="13098" stopIfTrue="1" operator="equal">
      <formula>"Fail"</formula>
    </cfRule>
  </conditionalFormatting>
  <conditionalFormatting sqref="H761:O761">
    <cfRule type="cellIs" dxfId="13166" priority="13095" stopIfTrue="1" operator="equal">
      <formula>"Pass"</formula>
    </cfRule>
    <cfRule type="cellIs" dxfId="13165" priority="13096" stopIfTrue="1" operator="equal">
      <formula>"Fail"</formula>
    </cfRule>
  </conditionalFormatting>
  <conditionalFormatting sqref="H761:O761">
    <cfRule type="cellIs" dxfId="13164" priority="13093" stopIfTrue="1" operator="equal">
      <formula>"Pass"</formula>
    </cfRule>
    <cfRule type="cellIs" dxfId="13163" priority="13094" stopIfTrue="1" operator="equal">
      <formula>"Fail"</formula>
    </cfRule>
  </conditionalFormatting>
  <conditionalFormatting sqref="I761:P761">
    <cfRule type="cellIs" dxfId="13162" priority="13091" stopIfTrue="1" operator="equal">
      <formula>"Pass"</formula>
    </cfRule>
    <cfRule type="cellIs" dxfId="13161" priority="13092" stopIfTrue="1" operator="equal">
      <formula>"Fail"</formula>
    </cfRule>
  </conditionalFormatting>
  <conditionalFormatting sqref="I761:P761">
    <cfRule type="cellIs" dxfId="13160" priority="13089" stopIfTrue="1" operator="equal">
      <formula>"Pass"</formula>
    </cfRule>
    <cfRule type="cellIs" dxfId="13159" priority="13090" stopIfTrue="1" operator="equal">
      <formula>"Fail"</formula>
    </cfRule>
  </conditionalFormatting>
  <conditionalFormatting sqref="I761:P761">
    <cfRule type="cellIs" dxfId="13158" priority="13087" stopIfTrue="1" operator="equal">
      <formula>"Pass"</formula>
    </cfRule>
    <cfRule type="cellIs" dxfId="13157" priority="13088" stopIfTrue="1" operator="equal">
      <formula>"Fail"</formula>
    </cfRule>
  </conditionalFormatting>
  <conditionalFormatting sqref="I761:P761">
    <cfRule type="cellIs" dxfId="13156" priority="13085" stopIfTrue="1" operator="equal">
      <formula>"Pass"</formula>
    </cfRule>
    <cfRule type="cellIs" dxfId="13155" priority="13086" stopIfTrue="1" operator="equal">
      <formula>"Fail"</formula>
    </cfRule>
  </conditionalFormatting>
  <conditionalFormatting sqref="H761:O761">
    <cfRule type="cellIs" dxfId="13154" priority="13083" stopIfTrue="1" operator="equal">
      <formula>"Pass"</formula>
    </cfRule>
    <cfRule type="cellIs" dxfId="13153" priority="13084" stopIfTrue="1" operator="equal">
      <formula>"Fail"</formula>
    </cfRule>
  </conditionalFormatting>
  <conditionalFormatting sqref="H761:O761">
    <cfRule type="cellIs" dxfId="13152" priority="13081" stopIfTrue="1" operator="equal">
      <formula>"Pass"</formula>
    </cfRule>
    <cfRule type="cellIs" dxfId="13151" priority="13082" stopIfTrue="1" operator="equal">
      <formula>"Fail"</formula>
    </cfRule>
  </conditionalFormatting>
  <conditionalFormatting sqref="I761:P761">
    <cfRule type="cellIs" dxfId="13150" priority="13079" stopIfTrue="1" operator="equal">
      <formula>"Pass"</formula>
    </cfRule>
    <cfRule type="cellIs" dxfId="13149" priority="13080" stopIfTrue="1" operator="equal">
      <formula>"Fail"</formula>
    </cfRule>
  </conditionalFormatting>
  <conditionalFormatting sqref="I761:P761">
    <cfRule type="cellIs" dxfId="13148" priority="13077" stopIfTrue="1" operator="equal">
      <formula>"Pass"</formula>
    </cfRule>
    <cfRule type="cellIs" dxfId="13147" priority="13078" stopIfTrue="1" operator="equal">
      <formula>"Fail"</formula>
    </cfRule>
  </conditionalFormatting>
  <conditionalFormatting sqref="I761:P761">
    <cfRule type="cellIs" dxfId="13146" priority="13075" stopIfTrue="1" operator="equal">
      <formula>"Pass"</formula>
    </cfRule>
    <cfRule type="cellIs" dxfId="13145" priority="13076" stopIfTrue="1" operator="equal">
      <formula>"Fail"</formula>
    </cfRule>
  </conditionalFormatting>
  <conditionalFormatting sqref="I761:P761">
    <cfRule type="cellIs" dxfId="13144" priority="13073" stopIfTrue="1" operator="equal">
      <formula>"Pass"</formula>
    </cfRule>
    <cfRule type="cellIs" dxfId="13143" priority="13074" stopIfTrue="1" operator="equal">
      <formula>"Fail"</formula>
    </cfRule>
  </conditionalFormatting>
  <conditionalFormatting sqref="H761:O761">
    <cfRule type="cellIs" dxfId="13142" priority="13071" stopIfTrue="1" operator="equal">
      <formula>"Pass"</formula>
    </cfRule>
    <cfRule type="cellIs" dxfId="13141" priority="13072" stopIfTrue="1" operator="equal">
      <formula>"Fail"</formula>
    </cfRule>
  </conditionalFormatting>
  <conditionalFormatting sqref="H761:O761">
    <cfRule type="cellIs" dxfId="13140" priority="13069" stopIfTrue="1" operator="equal">
      <formula>"Pass"</formula>
    </cfRule>
    <cfRule type="cellIs" dxfId="13139" priority="13070" stopIfTrue="1" operator="equal">
      <formula>"Fail"</formula>
    </cfRule>
  </conditionalFormatting>
  <conditionalFormatting sqref="I761:P761">
    <cfRule type="cellIs" dxfId="13138" priority="13067" stopIfTrue="1" operator="equal">
      <formula>"Pass"</formula>
    </cfRule>
    <cfRule type="cellIs" dxfId="13137" priority="13068" stopIfTrue="1" operator="equal">
      <formula>"Fail"</formula>
    </cfRule>
  </conditionalFormatting>
  <conditionalFormatting sqref="I761:P761">
    <cfRule type="cellIs" dxfId="13136" priority="13065" stopIfTrue="1" operator="equal">
      <formula>"Pass"</formula>
    </cfRule>
    <cfRule type="cellIs" dxfId="13135" priority="13066" stopIfTrue="1" operator="equal">
      <formula>"Fail"</formula>
    </cfRule>
  </conditionalFormatting>
  <conditionalFormatting sqref="I761:P761">
    <cfRule type="cellIs" dxfId="13134" priority="13063" stopIfTrue="1" operator="equal">
      <formula>"Pass"</formula>
    </cfRule>
    <cfRule type="cellIs" dxfId="13133" priority="13064" stopIfTrue="1" operator="equal">
      <formula>"Fail"</formula>
    </cfRule>
  </conditionalFormatting>
  <conditionalFormatting sqref="I761:P761">
    <cfRule type="cellIs" dxfId="13132" priority="13061" stopIfTrue="1" operator="equal">
      <formula>"Pass"</formula>
    </cfRule>
    <cfRule type="cellIs" dxfId="13131" priority="13062" stopIfTrue="1" operator="equal">
      <formula>"Fail"</formula>
    </cfRule>
  </conditionalFormatting>
  <conditionalFormatting sqref="H761:O761">
    <cfRule type="cellIs" dxfId="13130" priority="13059" stopIfTrue="1" operator="equal">
      <formula>"Pass"</formula>
    </cfRule>
    <cfRule type="cellIs" dxfId="13129" priority="13060" stopIfTrue="1" operator="equal">
      <formula>"Fail"</formula>
    </cfRule>
  </conditionalFormatting>
  <conditionalFormatting sqref="H761:O761">
    <cfRule type="cellIs" dxfId="13128" priority="13057" stopIfTrue="1" operator="equal">
      <formula>"Pass"</formula>
    </cfRule>
    <cfRule type="cellIs" dxfId="13127" priority="13058" stopIfTrue="1" operator="equal">
      <formula>"Fail"</formula>
    </cfRule>
  </conditionalFormatting>
  <conditionalFormatting sqref="I761:P761">
    <cfRule type="cellIs" dxfId="13126" priority="13055" stopIfTrue="1" operator="equal">
      <formula>"Pass"</formula>
    </cfRule>
    <cfRule type="cellIs" dxfId="13125" priority="13056" stopIfTrue="1" operator="equal">
      <formula>"Fail"</formula>
    </cfRule>
  </conditionalFormatting>
  <conditionalFormatting sqref="I761:P761">
    <cfRule type="cellIs" dxfId="13124" priority="13053" stopIfTrue="1" operator="equal">
      <formula>"Pass"</formula>
    </cfRule>
    <cfRule type="cellIs" dxfId="13123" priority="13054" stopIfTrue="1" operator="equal">
      <formula>"Fail"</formula>
    </cfRule>
  </conditionalFormatting>
  <conditionalFormatting sqref="I761:P761">
    <cfRule type="cellIs" dxfId="13122" priority="13051" stopIfTrue="1" operator="equal">
      <formula>"Pass"</formula>
    </cfRule>
    <cfRule type="cellIs" dxfId="13121" priority="13052" stopIfTrue="1" operator="equal">
      <formula>"Fail"</formula>
    </cfRule>
  </conditionalFormatting>
  <conditionalFormatting sqref="I761:P761">
    <cfRule type="cellIs" dxfId="13120" priority="13049" stopIfTrue="1" operator="equal">
      <formula>"Pass"</formula>
    </cfRule>
    <cfRule type="cellIs" dxfId="13119" priority="13050" stopIfTrue="1" operator="equal">
      <formula>"Fail"</formula>
    </cfRule>
  </conditionalFormatting>
  <conditionalFormatting sqref="H761:O761">
    <cfRule type="cellIs" dxfId="13118" priority="13047" stopIfTrue="1" operator="equal">
      <formula>"Pass"</formula>
    </cfRule>
    <cfRule type="cellIs" dxfId="13117" priority="13048" stopIfTrue="1" operator="equal">
      <formula>"Fail"</formula>
    </cfRule>
  </conditionalFormatting>
  <conditionalFormatting sqref="H761:O761">
    <cfRule type="cellIs" dxfId="13116" priority="13045" stopIfTrue="1" operator="equal">
      <formula>"Pass"</formula>
    </cfRule>
    <cfRule type="cellIs" dxfId="13115" priority="13046" stopIfTrue="1" operator="equal">
      <formula>"Fail"</formula>
    </cfRule>
  </conditionalFormatting>
  <conditionalFormatting sqref="I761:P761">
    <cfRule type="cellIs" dxfId="13114" priority="13043" stopIfTrue="1" operator="equal">
      <formula>"Pass"</formula>
    </cfRule>
    <cfRule type="cellIs" dxfId="13113" priority="13044" stopIfTrue="1" operator="equal">
      <formula>"Fail"</formula>
    </cfRule>
  </conditionalFormatting>
  <conditionalFormatting sqref="I761:P761">
    <cfRule type="cellIs" dxfId="13112" priority="13041" stopIfTrue="1" operator="equal">
      <formula>"Pass"</formula>
    </cfRule>
    <cfRule type="cellIs" dxfId="13111" priority="13042" stopIfTrue="1" operator="equal">
      <formula>"Fail"</formula>
    </cfRule>
  </conditionalFormatting>
  <conditionalFormatting sqref="I761:P761">
    <cfRule type="cellIs" dxfId="13110" priority="13039" stopIfTrue="1" operator="equal">
      <formula>"Pass"</formula>
    </cfRule>
    <cfRule type="cellIs" dxfId="13109" priority="13040" stopIfTrue="1" operator="equal">
      <formula>"Fail"</formula>
    </cfRule>
  </conditionalFormatting>
  <conditionalFormatting sqref="I761:P761">
    <cfRule type="cellIs" dxfId="13108" priority="13037" stopIfTrue="1" operator="equal">
      <formula>"Pass"</formula>
    </cfRule>
    <cfRule type="cellIs" dxfId="13107" priority="13038" stopIfTrue="1" operator="equal">
      <formula>"Fail"</formula>
    </cfRule>
  </conditionalFormatting>
  <conditionalFormatting sqref="D761:E761 G761:P761">
    <cfRule type="cellIs" dxfId="13106" priority="13035" stopIfTrue="1" operator="equal">
      <formula>"Pass"</formula>
    </cfRule>
    <cfRule type="cellIs" dxfId="13105" priority="13036" stopIfTrue="1" operator="equal">
      <formula>"Fail"</formula>
    </cfRule>
  </conditionalFormatting>
  <conditionalFormatting sqref="E761 H761:P761">
    <cfRule type="cellIs" dxfId="13104" priority="13033" stopIfTrue="1" operator="equal">
      <formula>"Pass"</formula>
    </cfRule>
    <cfRule type="cellIs" dxfId="13103" priority="13034" stopIfTrue="1" operator="equal">
      <formula>"Fail"</formula>
    </cfRule>
  </conditionalFormatting>
  <conditionalFormatting sqref="E761 H761:P761">
    <cfRule type="cellIs" dxfId="13102" priority="13031" stopIfTrue="1" operator="equal">
      <formula>"Pass"</formula>
    </cfRule>
    <cfRule type="cellIs" dxfId="13101" priority="13032" stopIfTrue="1" operator="equal">
      <formula>"Fail"</formula>
    </cfRule>
  </conditionalFormatting>
  <conditionalFormatting sqref="E761 H761:P761">
    <cfRule type="cellIs" dxfId="13100" priority="13029" stopIfTrue="1" operator="equal">
      <formula>"Pass"</formula>
    </cfRule>
    <cfRule type="cellIs" dxfId="13099" priority="13030" stopIfTrue="1" operator="equal">
      <formula>"Fail"</formula>
    </cfRule>
  </conditionalFormatting>
  <conditionalFormatting sqref="E761 H761:P761">
    <cfRule type="cellIs" dxfId="13098" priority="13027" stopIfTrue="1" operator="equal">
      <formula>"Pass"</formula>
    </cfRule>
    <cfRule type="cellIs" dxfId="13097" priority="13028" stopIfTrue="1" operator="equal">
      <formula>"Fail"</formula>
    </cfRule>
  </conditionalFormatting>
  <conditionalFormatting sqref="E761 H761:P761">
    <cfRule type="cellIs" dxfId="13096" priority="13025" stopIfTrue="1" operator="equal">
      <formula>"Pass"</formula>
    </cfRule>
    <cfRule type="cellIs" dxfId="13095" priority="13026" stopIfTrue="1" operator="equal">
      <formula>"Fail"</formula>
    </cfRule>
  </conditionalFormatting>
  <conditionalFormatting sqref="E761 H761:P761">
    <cfRule type="cellIs" dxfId="13094" priority="13023" stopIfTrue="1" operator="equal">
      <formula>"Pass"</formula>
    </cfRule>
    <cfRule type="cellIs" dxfId="13093" priority="13024" stopIfTrue="1" operator="equal">
      <formula>"Fail"</formula>
    </cfRule>
  </conditionalFormatting>
  <conditionalFormatting sqref="E761 H761:P761">
    <cfRule type="cellIs" dxfId="13092" priority="13021" stopIfTrue="1" operator="equal">
      <formula>"Pass"</formula>
    </cfRule>
    <cfRule type="cellIs" dxfId="13091" priority="13022" stopIfTrue="1" operator="equal">
      <formula>"Fail"</formula>
    </cfRule>
  </conditionalFormatting>
  <conditionalFormatting sqref="E761 H761:P761">
    <cfRule type="cellIs" dxfId="13090" priority="13019" stopIfTrue="1" operator="equal">
      <formula>"Pass"</formula>
    </cfRule>
    <cfRule type="cellIs" dxfId="13089" priority="13020" stopIfTrue="1" operator="equal">
      <formula>"Fail"</formula>
    </cfRule>
  </conditionalFormatting>
  <conditionalFormatting sqref="E761 H761:P761">
    <cfRule type="cellIs" dxfId="13088" priority="13017" stopIfTrue="1" operator="equal">
      <formula>"Pass"</formula>
    </cfRule>
    <cfRule type="cellIs" dxfId="13087" priority="13018" stopIfTrue="1" operator="equal">
      <formula>"Fail"</formula>
    </cfRule>
  </conditionalFormatting>
  <conditionalFormatting sqref="E761 H761:P761">
    <cfRule type="cellIs" dxfId="13086" priority="13015" stopIfTrue="1" operator="equal">
      <formula>"Pass"</formula>
    </cfRule>
    <cfRule type="cellIs" dxfId="13085" priority="13016" stopIfTrue="1" operator="equal">
      <formula>"Fail"</formula>
    </cfRule>
  </conditionalFormatting>
  <conditionalFormatting sqref="E761 H761:P761">
    <cfRule type="cellIs" dxfId="13084" priority="13013" stopIfTrue="1" operator="equal">
      <formula>"Pass"</formula>
    </cfRule>
    <cfRule type="cellIs" dxfId="13083" priority="13014" stopIfTrue="1" operator="equal">
      <formula>"Fail"</formula>
    </cfRule>
  </conditionalFormatting>
  <conditionalFormatting sqref="E761 H761:P761">
    <cfRule type="cellIs" dxfId="13082" priority="13011" stopIfTrue="1" operator="equal">
      <formula>"Pass"</formula>
    </cfRule>
    <cfRule type="cellIs" dxfId="13081" priority="13012" stopIfTrue="1" operator="equal">
      <formula>"Fail"</formula>
    </cfRule>
  </conditionalFormatting>
  <conditionalFormatting sqref="E761 H761:P761">
    <cfRule type="cellIs" dxfId="13080" priority="13009" stopIfTrue="1" operator="equal">
      <formula>"Pass"</formula>
    </cfRule>
    <cfRule type="cellIs" dxfId="13079" priority="13010" stopIfTrue="1" operator="equal">
      <formula>"Fail"</formula>
    </cfRule>
  </conditionalFormatting>
  <conditionalFormatting sqref="E761 H761:P761">
    <cfRule type="cellIs" dxfId="13078" priority="13007" stopIfTrue="1" operator="equal">
      <formula>"Pass"</formula>
    </cfRule>
    <cfRule type="cellIs" dxfId="13077" priority="13008" stopIfTrue="1" operator="equal">
      <formula>"Fail"</formula>
    </cfRule>
  </conditionalFormatting>
  <conditionalFormatting sqref="E761 H761:P761">
    <cfRule type="cellIs" dxfId="13076" priority="13005" stopIfTrue="1" operator="equal">
      <formula>"Pass"</formula>
    </cfRule>
    <cfRule type="cellIs" dxfId="13075" priority="13006" stopIfTrue="1" operator="equal">
      <formula>"Fail"</formula>
    </cfRule>
  </conditionalFormatting>
  <conditionalFormatting sqref="E761 H761:P761">
    <cfRule type="cellIs" dxfId="13074" priority="13003" stopIfTrue="1" operator="equal">
      <formula>"Pass"</formula>
    </cfRule>
    <cfRule type="cellIs" dxfId="13073" priority="13004" stopIfTrue="1" operator="equal">
      <formula>"Fail"</formula>
    </cfRule>
  </conditionalFormatting>
  <conditionalFormatting sqref="E761 H761:P761">
    <cfRule type="cellIs" dxfId="13072" priority="13001" stopIfTrue="1" operator="equal">
      <formula>"Pass"</formula>
    </cfRule>
    <cfRule type="cellIs" dxfId="13071" priority="13002" stopIfTrue="1" operator="equal">
      <formula>"Fail"</formula>
    </cfRule>
  </conditionalFormatting>
  <conditionalFormatting sqref="E761 H761:P761">
    <cfRule type="cellIs" dxfId="13070" priority="12999" stopIfTrue="1" operator="equal">
      <formula>"Pass"</formula>
    </cfRule>
    <cfRule type="cellIs" dxfId="13069" priority="13000" stopIfTrue="1" operator="equal">
      <formula>"Fail"</formula>
    </cfRule>
  </conditionalFormatting>
  <conditionalFormatting sqref="H762:P762">
    <cfRule type="cellIs" dxfId="13068" priority="12997" stopIfTrue="1" operator="equal">
      <formula>"Pass"</formula>
    </cfRule>
    <cfRule type="cellIs" dxfId="13067" priority="12998" stopIfTrue="1" operator="equal">
      <formula>"Fail"</formula>
    </cfRule>
  </conditionalFormatting>
  <conditionalFormatting sqref="H762:O762">
    <cfRule type="cellIs" dxfId="13066" priority="12995" stopIfTrue="1" operator="equal">
      <formula>"Pass"</formula>
    </cfRule>
    <cfRule type="cellIs" dxfId="13065" priority="12996" stopIfTrue="1" operator="equal">
      <formula>"Fail"</formula>
    </cfRule>
  </conditionalFormatting>
  <conditionalFormatting sqref="H762:O762">
    <cfRule type="cellIs" dxfId="13064" priority="12993" stopIfTrue="1" operator="equal">
      <formula>"Pass"</formula>
    </cfRule>
    <cfRule type="cellIs" dxfId="13063" priority="12994" stopIfTrue="1" operator="equal">
      <formula>"Fail"</formula>
    </cfRule>
  </conditionalFormatting>
  <conditionalFormatting sqref="I762:P762">
    <cfRule type="cellIs" dxfId="13062" priority="12991" stopIfTrue="1" operator="equal">
      <formula>"Pass"</formula>
    </cfRule>
    <cfRule type="cellIs" dxfId="13061" priority="12992" stopIfTrue="1" operator="equal">
      <formula>"Fail"</formula>
    </cfRule>
  </conditionalFormatting>
  <conditionalFormatting sqref="I762:P762">
    <cfRule type="cellIs" dxfId="13060" priority="12989" stopIfTrue="1" operator="equal">
      <formula>"Pass"</formula>
    </cfRule>
    <cfRule type="cellIs" dxfId="13059" priority="12990" stopIfTrue="1" operator="equal">
      <formula>"Fail"</formula>
    </cfRule>
  </conditionalFormatting>
  <conditionalFormatting sqref="I762:P762">
    <cfRule type="cellIs" dxfId="13058" priority="12987" stopIfTrue="1" operator="equal">
      <formula>"Pass"</formula>
    </cfRule>
    <cfRule type="cellIs" dxfId="13057" priority="12988" stopIfTrue="1" operator="equal">
      <formula>"Fail"</formula>
    </cfRule>
  </conditionalFormatting>
  <conditionalFormatting sqref="I762:P762">
    <cfRule type="cellIs" dxfId="13056" priority="12985" stopIfTrue="1" operator="equal">
      <formula>"Pass"</formula>
    </cfRule>
    <cfRule type="cellIs" dxfId="13055" priority="12986" stopIfTrue="1" operator="equal">
      <formula>"Fail"</formula>
    </cfRule>
  </conditionalFormatting>
  <conditionalFormatting sqref="H762:O762">
    <cfRule type="cellIs" dxfId="13054" priority="12983" stopIfTrue="1" operator="equal">
      <formula>"Pass"</formula>
    </cfRule>
    <cfRule type="cellIs" dxfId="13053" priority="12984" stopIfTrue="1" operator="equal">
      <formula>"Fail"</formula>
    </cfRule>
  </conditionalFormatting>
  <conditionalFormatting sqref="H762:O762">
    <cfRule type="cellIs" dxfId="13052" priority="12981" stopIfTrue="1" operator="equal">
      <formula>"Pass"</formula>
    </cfRule>
    <cfRule type="cellIs" dxfId="13051" priority="12982" stopIfTrue="1" operator="equal">
      <formula>"Fail"</formula>
    </cfRule>
  </conditionalFormatting>
  <conditionalFormatting sqref="I762:P762">
    <cfRule type="cellIs" dxfId="13050" priority="12979" stopIfTrue="1" operator="equal">
      <formula>"Pass"</formula>
    </cfRule>
    <cfRule type="cellIs" dxfId="13049" priority="12980" stopIfTrue="1" operator="equal">
      <formula>"Fail"</formula>
    </cfRule>
  </conditionalFormatting>
  <conditionalFormatting sqref="I762:P762">
    <cfRule type="cellIs" dxfId="13048" priority="12977" stopIfTrue="1" operator="equal">
      <formula>"Pass"</formula>
    </cfRule>
    <cfRule type="cellIs" dxfId="13047" priority="12978" stopIfTrue="1" operator="equal">
      <formula>"Fail"</formula>
    </cfRule>
  </conditionalFormatting>
  <conditionalFormatting sqref="I762:P762">
    <cfRule type="cellIs" dxfId="13046" priority="12975" stopIfTrue="1" operator="equal">
      <formula>"Pass"</formula>
    </cfRule>
    <cfRule type="cellIs" dxfId="13045" priority="12976" stopIfTrue="1" operator="equal">
      <formula>"Fail"</formula>
    </cfRule>
  </conditionalFormatting>
  <conditionalFormatting sqref="I762:P762">
    <cfRule type="cellIs" dxfId="13044" priority="12973" stopIfTrue="1" operator="equal">
      <formula>"Pass"</formula>
    </cfRule>
    <cfRule type="cellIs" dxfId="13043" priority="12974" stopIfTrue="1" operator="equal">
      <formula>"Fail"</formula>
    </cfRule>
  </conditionalFormatting>
  <conditionalFormatting sqref="H762:O762">
    <cfRule type="cellIs" dxfId="13042" priority="12971" stopIfTrue="1" operator="equal">
      <formula>"Pass"</formula>
    </cfRule>
    <cfRule type="cellIs" dxfId="13041" priority="12972" stopIfTrue="1" operator="equal">
      <formula>"Fail"</formula>
    </cfRule>
  </conditionalFormatting>
  <conditionalFormatting sqref="H762:O762">
    <cfRule type="cellIs" dxfId="13040" priority="12969" stopIfTrue="1" operator="equal">
      <formula>"Pass"</formula>
    </cfRule>
    <cfRule type="cellIs" dxfId="13039" priority="12970" stopIfTrue="1" operator="equal">
      <formula>"Fail"</formula>
    </cfRule>
  </conditionalFormatting>
  <conditionalFormatting sqref="I762:P762">
    <cfRule type="cellIs" dxfId="13038" priority="12967" stopIfTrue="1" operator="equal">
      <formula>"Pass"</formula>
    </cfRule>
    <cfRule type="cellIs" dxfId="13037" priority="12968" stopIfTrue="1" operator="equal">
      <formula>"Fail"</formula>
    </cfRule>
  </conditionalFormatting>
  <conditionalFormatting sqref="I762:P762">
    <cfRule type="cellIs" dxfId="13036" priority="12965" stopIfTrue="1" operator="equal">
      <formula>"Pass"</formula>
    </cfRule>
    <cfRule type="cellIs" dxfId="13035" priority="12966" stopIfTrue="1" operator="equal">
      <formula>"Fail"</formula>
    </cfRule>
  </conditionalFormatting>
  <conditionalFormatting sqref="I762:P762">
    <cfRule type="cellIs" dxfId="13034" priority="12963" stopIfTrue="1" operator="equal">
      <formula>"Pass"</formula>
    </cfRule>
    <cfRule type="cellIs" dxfId="13033" priority="12964" stopIfTrue="1" operator="equal">
      <formula>"Fail"</formula>
    </cfRule>
  </conditionalFormatting>
  <conditionalFormatting sqref="I762:P762">
    <cfRule type="cellIs" dxfId="13032" priority="12961" stopIfTrue="1" operator="equal">
      <formula>"Pass"</formula>
    </cfRule>
    <cfRule type="cellIs" dxfId="13031" priority="12962" stopIfTrue="1" operator="equal">
      <formula>"Fail"</formula>
    </cfRule>
  </conditionalFormatting>
  <conditionalFormatting sqref="H762:O762">
    <cfRule type="cellIs" dxfId="13030" priority="12959" stopIfTrue="1" operator="equal">
      <formula>"Pass"</formula>
    </cfRule>
    <cfRule type="cellIs" dxfId="13029" priority="12960" stopIfTrue="1" operator="equal">
      <formula>"Fail"</formula>
    </cfRule>
  </conditionalFormatting>
  <conditionalFormatting sqref="H762:O762">
    <cfRule type="cellIs" dxfId="13028" priority="12957" stopIfTrue="1" operator="equal">
      <formula>"Pass"</formula>
    </cfRule>
    <cfRule type="cellIs" dxfId="13027" priority="12958" stopIfTrue="1" operator="equal">
      <formula>"Fail"</formula>
    </cfRule>
  </conditionalFormatting>
  <conditionalFormatting sqref="I762:P762">
    <cfRule type="cellIs" dxfId="13026" priority="12955" stopIfTrue="1" operator="equal">
      <formula>"Pass"</formula>
    </cfRule>
    <cfRule type="cellIs" dxfId="13025" priority="12956" stopIfTrue="1" operator="equal">
      <formula>"Fail"</formula>
    </cfRule>
  </conditionalFormatting>
  <conditionalFormatting sqref="I762:P762">
    <cfRule type="cellIs" dxfId="13024" priority="12953" stopIfTrue="1" operator="equal">
      <formula>"Pass"</formula>
    </cfRule>
    <cfRule type="cellIs" dxfId="13023" priority="12954" stopIfTrue="1" operator="equal">
      <formula>"Fail"</formula>
    </cfRule>
  </conditionalFormatting>
  <conditionalFormatting sqref="I762:P762">
    <cfRule type="cellIs" dxfId="13022" priority="12951" stopIfTrue="1" operator="equal">
      <formula>"Pass"</formula>
    </cfRule>
    <cfRule type="cellIs" dxfId="13021" priority="12952" stopIfTrue="1" operator="equal">
      <formula>"Fail"</formula>
    </cfRule>
  </conditionalFormatting>
  <conditionalFormatting sqref="I762:P762">
    <cfRule type="cellIs" dxfId="13020" priority="12949" stopIfTrue="1" operator="equal">
      <formula>"Pass"</formula>
    </cfRule>
    <cfRule type="cellIs" dxfId="13019" priority="12950" stopIfTrue="1" operator="equal">
      <formula>"Fail"</formula>
    </cfRule>
  </conditionalFormatting>
  <conditionalFormatting sqref="H762:O762">
    <cfRule type="cellIs" dxfId="13018" priority="12947" stopIfTrue="1" operator="equal">
      <formula>"Pass"</formula>
    </cfRule>
    <cfRule type="cellIs" dxfId="13017" priority="12948" stopIfTrue="1" operator="equal">
      <formula>"Fail"</formula>
    </cfRule>
  </conditionalFormatting>
  <conditionalFormatting sqref="H762:O762">
    <cfRule type="cellIs" dxfId="13016" priority="12945" stopIfTrue="1" operator="equal">
      <formula>"Pass"</formula>
    </cfRule>
    <cfRule type="cellIs" dxfId="13015" priority="12946" stopIfTrue="1" operator="equal">
      <formula>"Fail"</formula>
    </cfRule>
  </conditionalFormatting>
  <conditionalFormatting sqref="I762:P762">
    <cfRule type="cellIs" dxfId="13014" priority="12943" stopIfTrue="1" operator="equal">
      <formula>"Pass"</formula>
    </cfRule>
    <cfRule type="cellIs" dxfId="13013" priority="12944" stopIfTrue="1" operator="equal">
      <formula>"Fail"</formula>
    </cfRule>
  </conditionalFormatting>
  <conditionalFormatting sqref="I762:P762">
    <cfRule type="cellIs" dxfId="13012" priority="12941" stopIfTrue="1" operator="equal">
      <formula>"Pass"</formula>
    </cfRule>
    <cfRule type="cellIs" dxfId="13011" priority="12942" stopIfTrue="1" operator="equal">
      <formula>"Fail"</formula>
    </cfRule>
  </conditionalFormatting>
  <conditionalFormatting sqref="I762:P762">
    <cfRule type="cellIs" dxfId="13010" priority="12939" stopIfTrue="1" operator="equal">
      <formula>"Pass"</formula>
    </cfRule>
    <cfRule type="cellIs" dxfId="13009" priority="12940" stopIfTrue="1" operator="equal">
      <formula>"Fail"</formula>
    </cfRule>
  </conditionalFormatting>
  <conditionalFormatting sqref="I762:P762">
    <cfRule type="cellIs" dxfId="13008" priority="12937" stopIfTrue="1" operator="equal">
      <formula>"Pass"</formula>
    </cfRule>
    <cfRule type="cellIs" dxfId="13007" priority="12938" stopIfTrue="1" operator="equal">
      <formula>"Fail"</formula>
    </cfRule>
  </conditionalFormatting>
  <conditionalFormatting sqref="H762:O762">
    <cfRule type="cellIs" dxfId="13006" priority="12935" stopIfTrue="1" operator="equal">
      <formula>"Pass"</formula>
    </cfRule>
    <cfRule type="cellIs" dxfId="13005" priority="12936" stopIfTrue="1" operator="equal">
      <formula>"Fail"</formula>
    </cfRule>
  </conditionalFormatting>
  <conditionalFormatting sqref="H762:O762">
    <cfRule type="cellIs" dxfId="13004" priority="12933" stopIfTrue="1" operator="equal">
      <formula>"Pass"</formula>
    </cfRule>
    <cfRule type="cellIs" dxfId="13003" priority="12934" stopIfTrue="1" operator="equal">
      <formula>"Fail"</formula>
    </cfRule>
  </conditionalFormatting>
  <conditionalFormatting sqref="I762:P762">
    <cfRule type="cellIs" dxfId="13002" priority="12931" stopIfTrue="1" operator="equal">
      <formula>"Pass"</formula>
    </cfRule>
    <cfRule type="cellIs" dxfId="13001" priority="12932" stopIfTrue="1" operator="equal">
      <formula>"Fail"</formula>
    </cfRule>
  </conditionalFormatting>
  <conditionalFormatting sqref="I762:P762">
    <cfRule type="cellIs" dxfId="13000" priority="12929" stopIfTrue="1" operator="equal">
      <formula>"Pass"</formula>
    </cfRule>
    <cfRule type="cellIs" dxfId="12999" priority="12930" stopIfTrue="1" operator="equal">
      <formula>"Fail"</formula>
    </cfRule>
  </conditionalFormatting>
  <conditionalFormatting sqref="I762:P762">
    <cfRule type="cellIs" dxfId="12998" priority="12927" stopIfTrue="1" operator="equal">
      <formula>"Pass"</formula>
    </cfRule>
    <cfRule type="cellIs" dxfId="12997" priority="12928" stopIfTrue="1" operator="equal">
      <formula>"Fail"</formula>
    </cfRule>
  </conditionalFormatting>
  <conditionalFormatting sqref="I762:P762">
    <cfRule type="cellIs" dxfId="12996" priority="12925" stopIfTrue="1" operator="equal">
      <formula>"Pass"</formula>
    </cfRule>
    <cfRule type="cellIs" dxfId="12995" priority="12926" stopIfTrue="1" operator="equal">
      <formula>"Fail"</formula>
    </cfRule>
  </conditionalFormatting>
  <conditionalFormatting sqref="H762:O762">
    <cfRule type="cellIs" dxfId="12994" priority="12923" stopIfTrue="1" operator="equal">
      <formula>"Pass"</formula>
    </cfRule>
    <cfRule type="cellIs" dxfId="12993" priority="12924" stopIfTrue="1" operator="equal">
      <formula>"Fail"</formula>
    </cfRule>
  </conditionalFormatting>
  <conditionalFormatting sqref="H762:O762">
    <cfRule type="cellIs" dxfId="12992" priority="12921" stopIfTrue="1" operator="equal">
      <formula>"Pass"</formula>
    </cfRule>
    <cfRule type="cellIs" dxfId="12991" priority="12922" stopIfTrue="1" operator="equal">
      <formula>"Fail"</formula>
    </cfRule>
  </conditionalFormatting>
  <conditionalFormatting sqref="I762:P762">
    <cfRule type="cellIs" dxfId="12990" priority="12919" stopIfTrue="1" operator="equal">
      <formula>"Pass"</formula>
    </cfRule>
    <cfRule type="cellIs" dxfId="12989" priority="12920" stopIfTrue="1" operator="equal">
      <formula>"Fail"</formula>
    </cfRule>
  </conditionalFormatting>
  <conditionalFormatting sqref="I762:P762">
    <cfRule type="cellIs" dxfId="12988" priority="12917" stopIfTrue="1" operator="equal">
      <formula>"Pass"</formula>
    </cfRule>
    <cfRule type="cellIs" dxfId="12987" priority="12918" stopIfTrue="1" operator="equal">
      <formula>"Fail"</formula>
    </cfRule>
  </conditionalFormatting>
  <conditionalFormatting sqref="I762:P762">
    <cfRule type="cellIs" dxfId="12986" priority="12915" stopIfTrue="1" operator="equal">
      <formula>"Pass"</formula>
    </cfRule>
    <cfRule type="cellIs" dxfId="12985" priority="12916" stopIfTrue="1" operator="equal">
      <formula>"Fail"</formula>
    </cfRule>
  </conditionalFormatting>
  <conditionalFormatting sqref="I762:P762">
    <cfRule type="cellIs" dxfId="12984" priority="12913" stopIfTrue="1" operator="equal">
      <formula>"Pass"</formula>
    </cfRule>
    <cfRule type="cellIs" dxfId="12983" priority="12914" stopIfTrue="1" operator="equal">
      <formula>"Fail"</formula>
    </cfRule>
  </conditionalFormatting>
  <conditionalFormatting sqref="H762:O762">
    <cfRule type="cellIs" dxfId="12982" priority="12911" stopIfTrue="1" operator="equal">
      <formula>"Pass"</formula>
    </cfRule>
    <cfRule type="cellIs" dxfId="12981" priority="12912" stopIfTrue="1" operator="equal">
      <formula>"Fail"</formula>
    </cfRule>
  </conditionalFormatting>
  <conditionalFormatting sqref="H762:O762">
    <cfRule type="cellIs" dxfId="12980" priority="12909" stopIfTrue="1" operator="equal">
      <formula>"Pass"</formula>
    </cfRule>
    <cfRule type="cellIs" dxfId="12979" priority="12910" stopIfTrue="1" operator="equal">
      <formula>"Fail"</formula>
    </cfRule>
  </conditionalFormatting>
  <conditionalFormatting sqref="I762:P762">
    <cfRule type="cellIs" dxfId="12978" priority="12907" stopIfTrue="1" operator="equal">
      <formula>"Pass"</formula>
    </cfRule>
    <cfRule type="cellIs" dxfId="12977" priority="12908" stopIfTrue="1" operator="equal">
      <formula>"Fail"</formula>
    </cfRule>
  </conditionalFormatting>
  <conditionalFormatting sqref="I762:P762">
    <cfRule type="cellIs" dxfId="12976" priority="12905" stopIfTrue="1" operator="equal">
      <formula>"Pass"</formula>
    </cfRule>
    <cfRule type="cellIs" dxfId="12975" priority="12906" stopIfTrue="1" operator="equal">
      <formula>"Fail"</formula>
    </cfRule>
  </conditionalFormatting>
  <conditionalFormatting sqref="I762:P762">
    <cfRule type="cellIs" dxfId="12974" priority="12903" stopIfTrue="1" operator="equal">
      <formula>"Pass"</formula>
    </cfRule>
    <cfRule type="cellIs" dxfId="12973" priority="12904" stopIfTrue="1" operator="equal">
      <formula>"Fail"</formula>
    </cfRule>
  </conditionalFormatting>
  <conditionalFormatting sqref="I762:P762">
    <cfRule type="cellIs" dxfId="12972" priority="12901" stopIfTrue="1" operator="equal">
      <formula>"Pass"</formula>
    </cfRule>
    <cfRule type="cellIs" dxfId="12971" priority="12902" stopIfTrue="1" operator="equal">
      <formula>"Fail"</formula>
    </cfRule>
  </conditionalFormatting>
  <conditionalFormatting sqref="H762:O762">
    <cfRule type="cellIs" dxfId="12970" priority="12899" stopIfTrue="1" operator="equal">
      <formula>"Pass"</formula>
    </cfRule>
    <cfRule type="cellIs" dxfId="12969" priority="12900" stopIfTrue="1" operator="equal">
      <formula>"Fail"</formula>
    </cfRule>
  </conditionalFormatting>
  <conditionalFormatting sqref="H762:O762">
    <cfRule type="cellIs" dxfId="12968" priority="12897" stopIfTrue="1" operator="equal">
      <formula>"Pass"</formula>
    </cfRule>
    <cfRule type="cellIs" dxfId="12967" priority="12898" stopIfTrue="1" operator="equal">
      <formula>"Fail"</formula>
    </cfRule>
  </conditionalFormatting>
  <conditionalFormatting sqref="I762:P762">
    <cfRule type="cellIs" dxfId="12966" priority="12895" stopIfTrue="1" operator="equal">
      <formula>"Pass"</formula>
    </cfRule>
    <cfRule type="cellIs" dxfId="12965" priority="12896" stopIfTrue="1" operator="equal">
      <formula>"Fail"</formula>
    </cfRule>
  </conditionalFormatting>
  <conditionalFormatting sqref="I762:P762">
    <cfRule type="cellIs" dxfId="12964" priority="12893" stopIfTrue="1" operator="equal">
      <formula>"Pass"</formula>
    </cfRule>
    <cfRule type="cellIs" dxfId="12963" priority="12894" stopIfTrue="1" operator="equal">
      <formula>"Fail"</formula>
    </cfRule>
  </conditionalFormatting>
  <conditionalFormatting sqref="I762:P762">
    <cfRule type="cellIs" dxfId="12962" priority="12891" stopIfTrue="1" operator="equal">
      <formula>"Pass"</formula>
    </cfRule>
    <cfRule type="cellIs" dxfId="12961" priority="12892" stopIfTrue="1" operator="equal">
      <formula>"Fail"</formula>
    </cfRule>
  </conditionalFormatting>
  <conditionalFormatting sqref="I762:P762">
    <cfRule type="cellIs" dxfId="12960" priority="12889" stopIfTrue="1" operator="equal">
      <formula>"Pass"</formula>
    </cfRule>
    <cfRule type="cellIs" dxfId="12959" priority="12890" stopIfTrue="1" operator="equal">
      <formula>"Fail"</formula>
    </cfRule>
  </conditionalFormatting>
  <conditionalFormatting sqref="H762:O762">
    <cfRule type="cellIs" dxfId="12958" priority="12887" stopIfTrue="1" operator="equal">
      <formula>"Pass"</formula>
    </cfRule>
    <cfRule type="cellIs" dxfId="12957" priority="12888" stopIfTrue="1" operator="equal">
      <formula>"Fail"</formula>
    </cfRule>
  </conditionalFormatting>
  <conditionalFormatting sqref="H762:O762">
    <cfRule type="cellIs" dxfId="12956" priority="12885" stopIfTrue="1" operator="equal">
      <formula>"Pass"</formula>
    </cfRule>
    <cfRule type="cellIs" dxfId="12955" priority="12886" stopIfTrue="1" operator="equal">
      <formula>"Fail"</formula>
    </cfRule>
  </conditionalFormatting>
  <conditionalFormatting sqref="I762:P762">
    <cfRule type="cellIs" dxfId="12954" priority="12883" stopIfTrue="1" operator="equal">
      <formula>"Pass"</formula>
    </cfRule>
    <cfRule type="cellIs" dxfId="12953" priority="12884" stopIfTrue="1" operator="equal">
      <formula>"Fail"</formula>
    </cfRule>
  </conditionalFormatting>
  <conditionalFormatting sqref="I762:P762">
    <cfRule type="cellIs" dxfId="12952" priority="12881" stopIfTrue="1" operator="equal">
      <formula>"Pass"</formula>
    </cfRule>
    <cfRule type="cellIs" dxfId="12951" priority="12882" stopIfTrue="1" operator="equal">
      <formula>"Fail"</formula>
    </cfRule>
  </conditionalFormatting>
  <conditionalFormatting sqref="I762:P762">
    <cfRule type="cellIs" dxfId="12950" priority="12879" stopIfTrue="1" operator="equal">
      <formula>"Pass"</formula>
    </cfRule>
    <cfRule type="cellIs" dxfId="12949" priority="12880" stopIfTrue="1" operator="equal">
      <formula>"Fail"</formula>
    </cfRule>
  </conditionalFormatting>
  <conditionalFormatting sqref="I762:P762">
    <cfRule type="cellIs" dxfId="12948" priority="12877" stopIfTrue="1" operator="equal">
      <formula>"Pass"</formula>
    </cfRule>
    <cfRule type="cellIs" dxfId="12947" priority="12878" stopIfTrue="1" operator="equal">
      <formula>"Fail"</formula>
    </cfRule>
  </conditionalFormatting>
  <conditionalFormatting sqref="H762:O762">
    <cfRule type="cellIs" dxfId="12946" priority="12875" stopIfTrue="1" operator="equal">
      <formula>"Pass"</formula>
    </cfRule>
    <cfRule type="cellIs" dxfId="12945" priority="12876" stopIfTrue="1" operator="equal">
      <formula>"Fail"</formula>
    </cfRule>
  </conditionalFormatting>
  <conditionalFormatting sqref="H762:O762">
    <cfRule type="cellIs" dxfId="12944" priority="12873" stopIfTrue="1" operator="equal">
      <formula>"Pass"</formula>
    </cfRule>
    <cfRule type="cellIs" dxfId="12943" priority="12874" stopIfTrue="1" operator="equal">
      <formula>"Fail"</formula>
    </cfRule>
  </conditionalFormatting>
  <conditionalFormatting sqref="I762:P762">
    <cfRule type="cellIs" dxfId="12942" priority="12871" stopIfTrue="1" operator="equal">
      <formula>"Pass"</formula>
    </cfRule>
    <cfRule type="cellIs" dxfId="12941" priority="12872" stopIfTrue="1" operator="equal">
      <formula>"Fail"</formula>
    </cfRule>
  </conditionalFormatting>
  <conditionalFormatting sqref="I762:P762">
    <cfRule type="cellIs" dxfId="12940" priority="12869" stopIfTrue="1" operator="equal">
      <formula>"Pass"</formula>
    </cfRule>
    <cfRule type="cellIs" dxfId="12939" priority="12870" stopIfTrue="1" operator="equal">
      <formula>"Fail"</formula>
    </cfRule>
  </conditionalFormatting>
  <conditionalFormatting sqref="I762:P762">
    <cfRule type="cellIs" dxfId="12938" priority="12867" stopIfTrue="1" operator="equal">
      <formula>"Pass"</formula>
    </cfRule>
    <cfRule type="cellIs" dxfId="12937" priority="12868" stopIfTrue="1" operator="equal">
      <formula>"Fail"</formula>
    </cfRule>
  </conditionalFormatting>
  <conditionalFormatting sqref="I762:P762">
    <cfRule type="cellIs" dxfId="12936" priority="12865" stopIfTrue="1" operator="equal">
      <formula>"Pass"</formula>
    </cfRule>
    <cfRule type="cellIs" dxfId="12935" priority="12866" stopIfTrue="1" operator="equal">
      <formula>"Fail"</formula>
    </cfRule>
  </conditionalFormatting>
  <conditionalFormatting sqref="H762:O762">
    <cfRule type="cellIs" dxfId="12934" priority="12863" stopIfTrue="1" operator="equal">
      <formula>"Pass"</formula>
    </cfRule>
    <cfRule type="cellIs" dxfId="12933" priority="12864" stopIfTrue="1" operator="equal">
      <formula>"Fail"</formula>
    </cfRule>
  </conditionalFormatting>
  <conditionalFormatting sqref="H762:O762">
    <cfRule type="cellIs" dxfId="12932" priority="12861" stopIfTrue="1" operator="equal">
      <formula>"Pass"</formula>
    </cfRule>
    <cfRule type="cellIs" dxfId="12931" priority="12862" stopIfTrue="1" operator="equal">
      <formula>"Fail"</formula>
    </cfRule>
  </conditionalFormatting>
  <conditionalFormatting sqref="I762:P762">
    <cfRule type="cellIs" dxfId="12930" priority="12859" stopIfTrue="1" operator="equal">
      <formula>"Pass"</formula>
    </cfRule>
    <cfRule type="cellIs" dxfId="12929" priority="12860" stopIfTrue="1" operator="equal">
      <formula>"Fail"</formula>
    </cfRule>
  </conditionalFormatting>
  <conditionalFormatting sqref="I762:P762">
    <cfRule type="cellIs" dxfId="12928" priority="12857" stopIfTrue="1" operator="equal">
      <formula>"Pass"</formula>
    </cfRule>
    <cfRule type="cellIs" dxfId="12927" priority="12858" stopIfTrue="1" operator="equal">
      <formula>"Fail"</formula>
    </cfRule>
  </conditionalFormatting>
  <conditionalFormatting sqref="I762:P762">
    <cfRule type="cellIs" dxfId="12926" priority="12855" stopIfTrue="1" operator="equal">
      <formula>"Pass"</formula>
    </cfRule>
    <cfRule type="cellIs" dxfId="12925" priority="12856" stopIfTrue="1" operator="equal">
      <formula>"Fail"</formula>
    </cfRule>
  </conditionalFormatting>
  <conditionalFormatting sqref="I762:P762">
    <cfRule type="cellIs" dxfId="12924" priority="12853" stopIfTrue="1" operator="equal">
      <formula>"Pass"</formula>
    </cfRule>
    <cfRule type="cellIs" dxfId="12923" priority="12854" stopIfTrue="1" operator="equal">
      <formula>"Fail"</formula>
    </cfRule>
  </conditionalFormatting>
  <conditionalFormatting sqref="H762:O762">
    <cfRule type="cellIs" dxfId="12922" priority="12851" stopIfTrue="1" operator="equal">
      <formula>"Pass"</formula>
    </cfRule>
    <cfRule type="cellIs" dxfId="12921" priority="12852" stopIfTrue="1" operator="equal">
      <formula>"Fail"</formula>
    </cfRule>
  </conditionalFormatting>
  <conditionalFormatting sqref="H762:O762">
    <cfRule type="cellIs" dxfId="12920" priority="12849" stopIfTrue="1" operator="equal">
      <formula>"Pass"</formula>
    </cfRule>
    <cfRule type="cellIs" dxfId="12919" priority="12850" stopIfTrue="1" operator="equal">
      <formula>"Fail"</formula>
    </cfRule>
  </conditionalFormatting>
  <conditionalFormatting sqref="I762:P762">
    <cfRule type="cellIs" dxfId="12918" priority="12847" stopIfTrue="1" operator="equal">
      <formula>"Pass"</formula>
    </cfRule>
    <cfRule type="cellIs" dxfId="12917" priority="12848" stopIfTrue="1" operator="equal">
      <formula>"Fail"</formula>
    </cfRule>
  </conditionalFormatting>
  <conditionalFormatting sqref="I762:P762">
    <cfRule type="cellIs" dxfId="12916" priority="12845" stopIfTrue="1" operator="equal">
      <formula>"Pass"</formula>
    </cfRule>
    <cfRule type="cellIs" dxfId="12915" priority="12846" stopIfTrue="1" operator="equal">
      <formula>"Fail"</formula>
    </cfRule>
  </conditionalFormatting>
  <conditionalFormatting sqref="I762:P762">
    <cfRule type="cellIs" dxfId="12914" priority="12843" stopIfTrue="1" operator="equal">
      <formula>"Pass"</formula>
    </cfRule>
    <cfRule type="cellIs" dxfId="12913" priority="12844" stopIfTrue="1" operator="equal">
      <formula>"Fail"</formula>
    </cfRule>
  </conditionalFormatting>
  <conditionalFormatting sqref="I762:P762">
    <cfRule type="cellIs" dxfId="12912" priority="12841" stopIfTrue="1" operator="equal">
      <formula>"Pass"</formula>
    </cfRule>
    <cfRule type="cellIs" dxfId="12911" priority="12842" stopIfTrue="1" operator="equal">
      <formula>"Fail"</formula>
    </cfRule>
  </conditionalFormatting>
  <conditionalFormatting sqref="H762:O762">
    <cfRule type="cellIs" dxfId="12910" priority="12839" stopIfTrue="1" operator="equal">
      <formula>"Pass"</formula>
    </cfRule>
    <cfRule type="cellIs" dxfId="12909" priority="12840" stopIfTrue="1" operator="equal">
      <formula>"Fail"</formula>
    </cfRule>
  </conditionalFormatting>
  <conditionalFormatting sqref="H762:O762">
    <cfRule type="cellIs" dxfId="12908" priority="12837" stopIfTrue="1" operator="equal">
      <formula>"Pass"</formula>
    </cfRule>
    <cfRule type="cellIs" dxfId="12907" priority="12838" stopIfTrue="1" operator="equal">
      <formula>"Fail"</formula>
    </cfRule>
  </conditionalFormatting>
  <conditionalFormatting sqref="I762:P762">
    <cfRule type="cellIs" dxfId="12906" priority="12835" stopIfTrue="1" operator="equal">
      <formula>"Pass"</formula>
    </cfRule>
    <cfRule type="cellIs" dxfId="12905" priority="12836" stopIfTrue="1" operator="equal">
      <formula>"Fail"</formula>
    </cfRule>
  </conditionalFormatting>
  <conditionalFormatting sqref="I762:P762">
    <cfRule type="cellIs" dxfId="12904" priority="12833" stopIfTrue="1" operator="equal">
      <formula>"Pass"</formula>
    </cfRule>
    <cfRule type="cellIs" dxfId="12903" priority="12834" stopIfTrue="1" operator="equal">
      <formula>"Fail"</formula>
    </cfRule>
  </conditionalFormatting>
  <conditionalFormatting sqref="I762:P762">
    <cfRule type="cellIs" dxfId="12902" priority="12831" stopIfTrue="1" operator="equal">
      <formula>"Pass"</formula>
    </cfRule>
    <cfRule type="cellIs" dxfId="12901" priority="12832" stopIfTrue="1" operator="equal">
      <formula>"Fail"</formula>
    </cfRule>
  </conditionalFormatting>
  <conditionalFormatting sqref="I762:P762">
    <cfRule type="cellIs" dxfId="12900" priority="12829" stopIfTrue="1" operator="equal">
      <formula>"Pass"</formula>
    </cfRule>
    <cfRule type="cellIs" dxfId="12899" priority="12830" stopIfTrue="1" operator="equal">
      <formula>"Fail"</formula>
    </cfRule>
  </conditionalFormatting>
  <conditionalFormatting sqref="H762:O762">
    <cfRule type="cellIs" dxfId="12898" priority="12827" stopIfTrue="1" operator="equal">
      <formula>"Pass"</formula>
    </cfRule>
    <cfRule type="cellIs" dxfId="12897" priority="12828" stopIfTrue="1" operator="equal">
      <formula>"Fail"</formula>
    </cfRule>
  </conditionalFormatting>
  <conditionalFormatting sqref="H762:O762">
    <cfRule type="cellIs" dxfId="12896" priority="12825" stopIfTrue="1" operator="equal">
      <formula>"Pass"</formula>
    </cfRule>
    <cfRule type="cellIs" dxfId="12895" priority="12826" stopIfTrue="1" operator="equal">
      <formula>"Fail"</formula>
    </cfRule>
  </conditionalFormatting>
  <conditionalFormatting sqref="I762:P762">
    <cfRule type="cellIs" dxfId="12894" priority="12823" stopIfTrue="1" operator="equal">
      <formula>"Pass"</formula>
    </cfRule>
    <cfRule type="cellIs" dxfId="12893" priority="12824" stopIfTrue="1" operator="equal">
      <formula>"Fail"</formula>
    </cfRule>
  </conditionalFormatting>
  <conditionalFormatting sqref="I762:P762">
    <cfRule type="cellIs" dxfId="12892" priority="12821" stopIfTrue="1" operator="equal">
      <formula>"Pass"</formula>
    </cfRule>
    <cfRule type="cellIs" dxfId="12891" priority="12822" stopIfTrue="1" operator="equal">
      <formula>"Fail"</formula>
    </cfRule>
  </conditionalFormatting>
  <conditionalFormatting sqref="I762:P762">
    <cfRule type="cellIs" dxfId="12890" priority="12819" stopIfTrue="1" operator="equal">
      <formula>"Pass"</formula>
    </cfRule>
    <cfRule type="cellIs" dxfId="12889" priority="12820" stopIfTrue="1" operator="equal">
      <formula>"Fail"</formula>
    </cfRule>
  </conditionalFormatting>
  <conditionalFormatting sqref="I762:P762">
    <cfRule type="cellIs" dxfId="12888" priority="12817" stopIfTrue="1" operator="equal">
      <formula>"Pass"</formula>
    </cfRule>
    <cfRule type="cellIs" dxfId="12887" priority="12818" stopIfTrue="1" operator="equal">
      <formula>"Fail"</formula>
    </cfRule>
  </conditionalFormatting>
  <conditionalFormatting sqref="H762:O762">
    <cfRule type="cellIs" dxfId="12886" priority="12815" stopIfTrue="1" operator="equal">
      <formula>"Pass"</formula>
    </cfRule>
    <cfRule type="cellIs" dxfId="12885" priority="12816" stopIfTrue="1" operator="equal">
      <formula>"Fail"</formula>
    </cfRule>
  </conditionalFormatting>
  <conditionalFormatting sqref="H762:O762">
    <cfRule type="cellIs" dxfId="12884" priority="12813" stopIfTrue="1" operator="equal">
      <formula>"Pass"</formula>
    </cfRule>
    <cfRule type="cellIs" dxfId="12883" priority="12814" stopIfTrue="1" operator="equal">
      <formula>"Fail"</formula>
    </cfRule>
  </conditionalFormatting>
  <conditionalFormatting sqref="I762:P762">
    <cfRule type="cellIs" dxfId="12882" priority="12811" stopIfTrue="1" operator="equal">
      <formula>"Pass"</formula>
    </cfRule>
    <cfRule type="cellIs" dxfId="12881" priority="12812" stopIfTrue="1" operator="equal">
      <formula>"Fail"</formula>
    </cfRule>
  </conditionalFormatting>
  <conditionalFormatting sqref="I762:P762">
    <cfRule type="cellIs" dxfId="12880" priority="12809" stopIfTrue="1" operator="equal">
      <formula>"Pass"</formula>
    </cfRule>
    <cfRule type="cellIs" dxfId="12879" priority="12810" stopIfTrue="1" operator="equal">
      <formula>"Fail"</formula>
    </cfRule>
  </conditionalFormatting>
  <conditionalFormatting sqref="I762:P762">
    <cfRule type="cellIs" dxfId="12878" priority="12807" stopIfTrue="1" operator="equal">
      <formula>"Pass"</formula>
    </cfRule>
    <cfRule type="cellIs" dxfId="12877" priority="12808" stopIfTrue="1" operator="equal">
      <formula>"Fail"</formula>
    </cfRule>
  </conditionalFormatting>
  <conditionalFormatting sqref="I762:P762">
    <cfRule type="cellIs" dxfId="12876" priority="12805" stopIfTrue="1" operator="equal">
      <formula>"Pass"</formula>
    </cfRule>
    <cfRule type="cellIs" dxfId="12875" priority="12806" stopIfTrue="1" operator="equal">
      <formula>"Fail"</formula>
    </cfRule>
  </conditionalFormatting>
  <conditionalFormatting sqref="H762:O762">
    <cfRule type="cellIs" dxfId="12874" priority="12803" stopIfTrue="1" operator="equal">
      <formula>"Pass"</formula>
    </cfRule>
    <cfRule type="cellIs" dxfId="12873" priority="12804" stopIfTrue="1" operator="equal">
      <formula>"Fail"</formula>
    </cfRule>
  </conditionalFormatting>
  <conditionalFormatting sqref="H762:O762">
    <cfRule type="cellIs" dxfId="12872" priority="12801" stopIfTrue="1" operator="equal">
      <formula>"Pass"</formula>
    </cfRule>
    <cfRule type="cellIs" dxfId="12871" priority="12802" stopIfTrue="1" operator="equal">
      <formula>"Fail"</formula>
    </cfRule>
  </conditionalFormatting>
  <conditionalFormatting sqref="I762:P762">
    <cfRule type="cellIs" dxfId="12870" priority="12799" stopIfTrue="1" operator="equal">
      <formula>"Pass"</formula>
    </cfRule>
    <cfRule type="cellIs" dxfId="12869" priority="12800" stopIfTrue="1" operator="equal">
      <formula>"Fail"</formula>
    </cfRule>
  </conditionalFormatting>
  <conditionalFormatting sqref="I762:P762">
    <cfRule type="cellIs" dxfId="12868" priority="12797" stopIfTrue="1" operator="equal">
      <formula>"Pass"</formula>
    </cfRule>
    <cfRule type="cellIs" dxfId="12867" priority="12798" stopIfTrue="1" operator="equal">
      <formula>"Fail"</formula>
    </cfRule>
  </conditionalFormatting>
  <conditionalFormatting sqref="I762:P762">
    <cfRule type="cellIs" dxfId="12866" priority="12795" stopIfTrue="1" operator="equal">
      <formula>"Pass"</formula>
    </cfRule>
    <cfRule type="cellIs" dxfId="12865" priority="12796" stopIfTrue="1" operator="equal">
      <formula>"Fail"</formula>
    </cfRule>
  </conditionalFormatting>
  <conditionalFormatting sqref="I762:P762">
    <cfRule type="cellIs" dxfId="12864" priority="12793" stopIfTrue="1" operator="equal">
      <formula>"Pass"</formula>
    </cfRule>
    <cfRule type="cellIs" dxfId="12863" priority="12794" stopIfTrue="1" operator="equal">
      <formula>"Fail"</formula>
    </cfRule>
  </conditionalFormatting>
  <conditionalFormatting sqref="H762:O762">
    <cfRule type="cellIs" dxfId="12862" priority="12791" stopIfTrue="1" operator="equal">
      <formula>"Pass"</formula>
    </cfRule>
    <cfRule type="cellIs" dxfId="12861" priority="12792" stopIfTrue="1" operator="equal">
      <formula>"Fail"</formula>
    </cfRule>
  </conditionalFormatting>
  <conditionalFormatting sqref="H762:O762">
    <cfRule type="cellIs" dxfId="12860" priority="12789" stopIfTrue="1" operator="equal">
      <formula>"Pass"</formula>
    </cfRule>
    <cfRule type="cellIs" dxfId="12859" priority="12790" stopIfTrue="1" operator="equal">
      <formula>"Fail"</formula>
    </cfRule>
  </conditionalFormatting>
  <conditionalFormatting sqref="I762:P762">
    <cfRule type="cellIs" dxfId="12858" priority="12787" stopIfTrue="1" operator="equal">
      <formula>"Pass"</formula>
    </cfRule>
    <cfRule type="cellIs" dxfId="12857" priority="12788" stopIfTrue="1" operator="equal">
      <formula>"Fail"</formula>
    </cfRule>
  </conditionalFormatting>
  <conditionalFormatting sqref="I762:P762">
    <cfRule type="cellIs" dxfId="12856" priority="12785" stopIfTrue="1" operator="equal">
      <formula>"Pass"</formula>
    </cfRule>
    <cfRule type="cellIs" dxfId="12855" priority="12786" stopIfTrue="1" operator="equal">
      <formula>"Fail"</formula>
    </cfRule>
  </conditionalFormatting>
  <conditionalFormatting sqref="I762:P762">
    <cfRule type="cellIs" dxfId="12854" priority="12783" stopIfTrue="1" operator="equal">
      <formula>"Pass"</formula>
    </cfRule>
    <cfRule type="cellIs" dxfId="12853" priority="12784" stopIfTrue="1" operator="equal">
      <formula>"Fail"</formula>
    </cfRule>
  </conditionalFormatting>
  <conditionalFormatting sqref="I762:P762">
    <cfRule type="cellIs" dxfId="12852" priority="12781" stopIfTrue="1" operator="equal">
      <formula>"Pass"</formula>
    </cfRule>
    <cfRule type="cellIs" dxfId="12851" priority="12782" stopIfTrue="1" operator="equal">
      <formula>"Fail"</formula>
    </cfRule>
  </conditionalFormatting>
  <conditionalFormatting sqref="H762:O762">
    <cfRule type="cellIs" dxfId="12850" priority="12779" stopIfTrue="1" operator="equal">
      <formula>"Pass"</formula>
    </cfRule>
    <cfRule type="cellIs" dxfId="12849" priority="12780" stopIfTrue="1" operator="equal">
      <formula>"Fail"</formula>
    </cfRule>
  </conditionalFormatting>
  <conditionalFormatting sqref="H762:O762">
    <cfRule type="cellIs" dxfId="12848" priority="12777" stopIfTrue="1" operator="equal">
      <formula>"Pass"</formula>
    </cfRule>
    <cfRule type="cellIs" dxfId="12847" priority="12778" stopIfTrue="1" operator="equal">
      <formula>"Fail"</formula>
    </cfRule>
  </conditionalFormatting>
  <conditionalFormatting sqref="I762:P762">
    <cfRule type="cellIs" dxfId="12846" priority="12775" stopIfTrue="1" operator="equal">
      <formula>"Pass"</formula>
    </cfRule>
    <cfRule type="cellIs" dxfId="12845" priority="12776" stopIfTrue="1" operator="equal">
      <formula>"Fail"</formula>
    </cfRule>
  </conditionalFormatting>
  <conditionalFormatting sqref="I762:P762">
    <cfRule type="cellIs" dxfId="12844" priority="12773" stopIfTrue="1" operator="equal">
      <formula>"Pass"</formula>
    </cfRule>
    <cfRule type="cellIs" dxfId="12843" priority="12774" stopIfTrue="1" operator="equal">
      <formula>"Fail"</formula>
    </cfRule>
  </conditionalFormatting>
  <conditionalFormatting sqref="I762:P762">
    <cfRule type="cellIs" dxfId="12842" priority="12771" stopIfTrue="1" operator="equal">
      <formula>"Pass"</formula>
    </cfRule>
    <cfRule type="cellIs" dxfId="12841" priority="12772" stopIfTrue="1" operator="equal">
      <formula>"Fail"</formula>
    </cfRule>
  </conditionalFormatting>
  <conditionalFormatting sqref="I762:P762">
    <cfRule type="cellIs" dxfId="12840" priority="12769" stopIfTrue="1" operator="equal">
      <formula>"Pass"</formula>
    </cfRule>
    <cfRule type="cellIs" dxfId="12839" priority="12770" stopIfTrue="1" operator="equal">
      <formula>"Fail"</formula>
    </cfRule>
  </conditionalFormatting>
  <conditionalFormatting sqref="H762:O762">
    <cfRule type="cellIs" dxfId="12838" priority="12767" stopIfTrue="1" operator="equal">
      <formula>"Pass"</formula>
    </cfRule>
    <cfRule type="cellIs" dxfId="12837" priority="12768" stopIfTrue="1" operator="equal">
      <formula>"Fail"</formula>
    </cfRule>
  </conditionalFormatting>
  <conditionalFormatting sqref="H762:O762">
    <cfRule type="cellIs" dxfId="12836" priority="12765" stopIfTrue="1" operator="equal">
      <formula>"Pass"</formula>
    </cfRule>
    <cfRule type="cellIs" dxfId="12835" priority="12766" stopIfTrue="1" operator="equal">
      <formula>"Fail"</formula>
    </cfRule>
  </conditionalFormatting>
  <conditionalFormatting sqref="I762:P762">
    <cfRule type="cellIs" dxfId="12834" priority="12763" stopIfTrue="1" operator="equal">
      <formula>"Pass"</formula>
    </cfRule>
    <cfRule type="cellIs" dxfId="12833" priority="12764" stopIfTrue="1" operator="equal">
      <formula>"Fail"</formula>
    </cfRule>
  </conditionalFormatting>
  <conditionalFormatting sqref="I762:P762">
    <cfRule type="cellIs" dxfId="12832" priority="12761" stopIfTrue="1" operator="equal">
      <formula>"Pass"</formula>
    </cfRule>
    <cfRule type="cellIs" dxfId="12831" priority="12762" stopIfTrue="1" operator="equal">
      <formula>"Fail"</formula>
    </cfRule>
  </conditionalFormatting>
  <conditionalFormatting sqref="I762:P762">
    <cfRule type="cellIs" dxfId="12830" priority="12759" stopIfTrue="1" operator="equal">
      <formula>"Pass"</formula>
    </cfRule>
    <cfRule type="cellIs" dxfId="12829" priority="12760" stopIfTrue="1" operator="equal">
      <formula>"Fail"</formula>
    </cfRule>
  </conditionalFormatting>
  <conditionalFormatting sqref="I762:P762">
    <cfRule type="cellIs" dxfId="12828" priority="12757" stopIfTrue="1" operator="equal">
      <formula>"Pass"</formula>
    </cfRule>
    <cfRule type="cellIs" dxfId="12827" priority="12758" stopIfTrue="1" operator="equal">
      <formula>"Fail"</formula>
    </cfRule>
  </conditionalFormatting>
  <conditionalFormatting sqref="D762:E762">
    <cfRule type="cellIs" dxfId="12826" priority="12755" stopIfTrue="1" operator="equal">
      <formula>"Pass"</formula>
    </cfRule>
    <cfRule type="cellIs" dxfId="12825" priority="12756" stopIfTrue="1" operator="equal">
      <formula>"Fail"</formula>
    </cfRule>
  </conditionalFormatting>
  <conditionalFormatting sqref="D762:E762">
    <cfRule type="cellIs" dxfId="12824" priority="12753" stopIfTrue="1" operator="equal">
      <formula>"Pass"</formula>
    </cfRule>
    <cfRule type="cellIs" dxfId="12823" priority="12754" stopIfTrue="1" operator="equal">
      <formula>"Fail"</formula>
    </cfRule>
  </conditionalFormatting>
  <conditionalFormatting sqref="G762:H762">
    <cfRule type="cellIs" dxfId="12822" priority="12751" stopIfTrue="1" operator="equal">
      <formula>"Pass"</formula>
    </cfRule>
    <cfRule type="cellIs" dxfId="12821" priority="12752" stopIfTrue="1" operator="equal">
      <formula>"Fail"</formula>
    </cfRule>
  </conditionalFormatting>
  <conditionalFormatting sqref="G762:H762">
    <cfRule type="cellIs" dxfId="12820" priority="12749" stopIfTrue="1" operator="equal">
      <formula>"Pass"</formula>
    </cfRule>
    <cfRule type="cellIs" dxfId="12819" priority="12750" stopIfTrue="1" operator="equal">
      <formula>"Fail"</formula>
    </cfRule>
  </conditionalFormatting>
  <conditionalFormatting sqref="G762:H762">
    <cfRule type="cellIs" dxfId="12818" priority="12747" stopIfTrue="1" operator="equal">
      <formula>"Pass"</formula>
    </cfRule>
    <cfRule type="cellIs" dxfId="12817" priority="12748" stopIfTrue="1" operator="equal">
      <formula>"Fail"</formula>
    </cfRule>
  </conditionalFormatting>
  <conditionalFormatting sqref="G762:H762">
    <cfRule type="cellIs" dxfId="12816" priority="12745" stopIfTrue="1" operator="equal">
      <formula>"Pass"</formula>
    </cfRule>
    <cfRule type="cellIs" dxfId="12815" priority="12746" stopIfTrue="1" operator="equal">
      <formula>"Fail"</formula>
    </cfRule>
  </conditionalFormatting>
  <conditionalFormatting sqref="H762:O762">
    <cfRule type="cellIs" dxfId="12814" priority="12743" stopIfTrue="1" operator="equal">
      <formula>"Pass"</formula>
    </cfRule>
    <cfRule type="cellIs" dxfId="12813" priority="12744" stopIfTrue="1" operator="equal">
      <formula>"Fail"</formula>
    </cfRule>
  </conditionalFormatting>
  <conditionalFormatting sqref="H762:O762">
    <cfRule type="cellIs" dxfId="12812" priority="12741" stopIfTrue="1" operator="equal">
      <formula>"Pass"</formula>
    </cfRule>
    <cfRule type="cellIs" dxfId="12811" priority="12742" stopIfTrue="1" operator="equal">
      <formula>"Fail"</formula>
    </cfRule>
  </conditionalFormatting>
  <conditionalFormatting sqref="I762:P762">
    <cfRule type="cellIs" dxfId="12810" priority="12739" stopIfTrue="1" operator="equal">
      <formula>"Pass"</formula>
    </cfRule>
    <cfRule type="cellIs" dxfId="12809" priority="12740" stopIfTrue="1" operator="equal">
      <formula>"Fail"</formula>
    </cfRule>
  </conditionalFormatting>
  <conditionalFormatting sqref="I762:P762">
    <cfRule type="cellIs" dxfId="12808" priority="12737" stopIfTrue="1" operator="equal">
      <formula>"Pass"</formula>
    </cfRule>
    <cfRule type="cellIs" dxfId="12807" priority="12738" stopIfTrue="1" operator="equal">
      <formula>"Fail"</formula>
    </cfRule>
  </conditionalFormatting>
  <conditionalFormatting sqref="I762:P762">
    <cfRule type="cellIs" dxfId="12806" priority="12735" stopIfTrue="1" operator="equal">
      <formula>"Pass"</formula>
    </cfRule>
    <cfRule type="cellIs" dxfId="12805" priority="12736" stopIfTrue="1" operator="equal">
      <formula>"Fail"</formula>
    </cfRule>
  </conditionalFormatting>
  <conditionalFormatting sqref="I762:P762">
    <cfRule type="cellIs" dxfId="12804" priority="12733" stopIfTrue="1" operator="equal">
      <formula>"Pass"</formula>
    </cfRule>
    <cfRule type="cellIs" dxfId="12803" priority="12734" stopIfTrue="1" operator="equal">
      <formula>"Fail"</formula>
    </cfRule>
  </conditionalFormatting>
  <conditionalFormatting sqref="H762:O762">
    <cfRule type="cellIs" dxfId="12802" priority="12731" stopIfTrue="1" operator="equal">
      <formula>"Pass"</formula>
    </cfRule>
    <cfRule type="cellIs" dxfId="12801" priority="12732" stopIfTrue="1" operator="equal">
      <formula>"Fail"</formula>
    </cfRule>
  </conditionalFormatting>
  <conditionalFormatting sqref="H762:O762">
    <cfRule type="cellIs" dxfId="12800" priority="12729" stopIfTrue="1" operator="equal">
      <formula>"Pass"</formula>
    </cfRule>
    <cfRule type="cellIs" dxfId="12799" priority="12730" stopIfTrue="1" operator="equal">
      <formula>"Fail"</formula>
    </cfRule>
  </conditionalFormatting>
  <conditionalFormatting sqref="I762:P762">
    <cfRule type="cellIs" dxfId="12798" priority="12727" stopIfTrue="1" operator="equal">
      <formula>"Pass"</formula>
    </cfRule>
    <cfRule type="cellIs" dxfId="12797" priority="12728" stopIfTrue="1" operator="equal">
      <formula>"Fail"</formula>
    </cfRule>
  </conditionalFormatting>
  <conditionalFormatting sqref="I762:P762">
    <cfRule type="cellIs" dxfId="12796" priority="12725" stopIfTrue="1" operator="equal">
      <formula>"Pass"</formula>
    </cfRule>
    <cfRule type="cellIs" dxfId="12795" priority="12726" stopIfTrue="1" operator="equal">
      <formula>"Fail"</formula>
    </cfRule>
  </conditionalFormatting>
  <conditionalFormatting sqref="I762:P762">
    <cfRule type="cellIs" dxfId="12794" priority="12723" stopIfTrue="1" operator="equal">
      <formula>"Pass"</formula>
    </cfRule>
    <cfRule type="cellIs" dxfId="12793" priority="12724" stopIfTrue="1" operator="equal">
      <formula>"Fail"</formula>
    </cfRule>
  </conditionalFormatting>
  <conditionalFormatting sqref="I762:P762">
    <cfRule type="cellIs" dxfId="12792" priority="12721" stopIfTrue="1" operator="equal">
      <formula>"Pass"</formula>
    </cfRule>
    <cfRule type="cellIs" dxfId="12791" priority="12722" stopIfTrue="1" operator="equal">
      <formula>"Fail"</formula>
    </cfRule>
  </conditionalFormatting>
  <conditionalFormatting sqref="H762:O762">
    <cfRule type="cellIs" dxfId="12790" priority="12719" stopIfTrue="1" operator="equal">
      <formula>"Pass"</formula>
    </cfRule>
    <cfRule type="cellIs" dxfId="12789" priority="12720" stopIfTrue="1" operator="equal">
      <formula>"Fail"</formula>
    </cfRule>
  </conditionalFormatting>
  <conditionalFormatting sqref="H762:O762">
    <cfRule type="cellIs" dxfId="12788" priority="12717" stopIfTrue="1" operator="equal">
      <formula>"Pass"</formula>
    </cfRule>
    <cfRule type="cellIs" dxfId="12787" priority="12718" stopIfTrue="1" operator="equal">
      <formula>"Fail"</formula>
    </cfRule>
  </conditionalFormatting>
  <conditionalFormatting sqref="I762:P762">
    <cfRule type="cellIs" dxfId="12786" priority="12715" stopIfTrue="1" operator="equal">
      <formula>"Pass"</formula>
    </cfRule>
    <cfRule type="cellIs" dxfId="12785" priority="12716" stopIfTrue="1" operator="equal">
      <formula>"Fail"</formula>
    </cfRule>
  </conditionalFormatting>
  <conditionalFormatting sqref="I762:P762">
    <cfRule type="cellIs" dxfId="12784" priority="12713" stopIfTrue="1" operator="equal">
      <formula>"Pass"</formula>
    </cfRule>
    <cfRule type="cellIs" dxfId="12783" priority="12714" stopIfTrue="1" operator="equal">
      <formula>"Fail"</formula>
    </cfRule>
  </conditionalFormatting>
  <conditionalFormatting sqref="I762:P762">
    <cfRule type="cellIs" dxfId="12782" priority="12711" stopIfTrue="1" operator="equal">
      <formula>"Pass"</formula>
    </cfRule>
    <cfRule type="cellIs" dxfId="12781" priority="12712" stopIfTrue="1" operator="equal">
      <formula>"Fail"</formula>
    </cfRule>
  </conditionalFormatting>
  <conditionalFormatting sqref="I762:P762">
    <cfRule type="cellIs" dxfId="12780" priority="12709" stopIfTrue="1" operator="equal">
      <formula>"Pass"</formula>
    </cfRule>
    <cfRule type="cellIs" dxfId="12779" priority="12710" stopIfTrue="1" operator="equal">
      <formula>"Fail"</formula>
    </cfRule>
  </conditionalFormatting>
  <conditionalFormatting sqref="H762:O762">
    <cfRule type="cellIs" dxfId="12778" priority="12707" stopIfTrue="1" operator="equal">
      <formula>"Pass"</formula>
    </cfRule>
    <cfRule type="cellIs" dxfId="12777" priority="12708" stopIfTrue="1" operator="equal">
      <formula>"Fail"</formula>
    </cfRule>
  </conditionalFormatting>
  <conditionalFormatting sqref="H762:O762">
    <cfRule type="cellIs" dxfId="12776" priority="12705" stopIfTrue="1" operator="equal">
      <formula>"Pass"</formula>
    </cfRule>
    <cfRule type="cellIs" dxfId="12775" priority="12706" stopIfTrue="1" operator="equal">
      <formula>"Fail"</formula>
    </cfRule>
  </conditionalFormatting>
  <conditionalFormatting sqref="I762:P762">
    <cfRule type="cellIs" dxfId="12774" priority="12703" stopIfTrue="1" operator="equal">
      <formula>"Pass"</formula>
    </cfRule>
    <cfRule type="cellIs" dxfId="12773" priority="12704" stopIfTrue="1" operator="equal">
      <formula>"Fail"</formula>
    </cfRule>
  </conditionalFormatting>
  <conditionalFormatting sqref="I762:P762">
    <cfRule type="cellIs" dxfId="12772" priority="12701" stopIfTrue="1" operator="equal">
      <formula>"Pass"</formula>
    </cfRule>
    <cfRule type="cellIs" dxfId="12771" priority="12702" stopIfTrue="1" operator="equal">
      <formula>"Fail"</formula>
    </cfRule>
  </conditionalFormatting>
  <conditionalFormatting sqref="I762:P762">
    <cfRule type="cellIs" dxfId="12770" priority="12699" stopIfTrue="1" operator="equal">
      <formula>"Pass"</formula>
    </cfRule>
    <cfRule type="cellIs" dxfId="12769" priority="12700" stopIfTrue="1" operator="equal">
      <formula>"Fail"</formula>
    </cfRule>
  </conditionalFormatting>
  <conditionalFormatting sqref="I762:P762">
    <cfRule type="cellIs" dxfId="12768" priority="12697" stopIfTrue="1" operator="equal">
      <formula>"Pass"</formula>
    </cfRule>
    <cfRule type="cellIs" dxfId="12767" priority="12698" stopIfTrue="1" operator="equal">
      <formula>"Fail"</formula>
    </cfRule>
  </conditionalFormatting>
  <conditionalFormatting sqref="H762:O762">
    <cfRule type="cellIs" dxfId="12766" priority="12695" stopIfTrue="1" operator="equal">
      <formula>"Pass"</formula>
    </cfRule>
    <cfRule type="cellIs" dxfId="12765" priority="12696" stopIfTrue="1" operator="equal">
      <formula>"Fail"</formula>
    </cfRule>
  </conditionalFormatting>
  <conditionalFormatting sqref="H762:O762">
    <cfRule type="cellIs" dxfId="12764" priority="12693" stopIfTrue="1" operator="equal">
      <formula>"Pass"</formula>
    </cfRule>
    <cfRule type="cellIs" dxfId="12763" priority="12694" stopIfTrue="1" operator="equal">
      <formula>"Fail"</formula>
    </cfRule>
  </conditionalFormatting>
  <conditionalFormatting sqref="I762:P762">
    <cfRule type="cellIs" dxfId="12762" priority="12691" stopIfTrue="1" operator="equal">
      <formula>"Pass"</formula>
    </cfRule>
    <cfRule type="cellIs" dxfId="12761" priority="12692" stopIfTrue="1" operator="equal">
      <formula>"Fail"</formula>
    </cfRule>
  </conditionalFormatting>
  <conditionalFormatting sqref="I762:P762">
    <cfRule type="cellIs" dxfId="12760" priority="12689" stopIfTrue="1" operator="equal">
      <formula>"Pass"</formula>
    </cfRule>
    <cfRule type="cellIs" dxfId="12759" priority="12690" stopIfTrue="1" operator="equal">
      <formula>"Fail"</formula>
    </cfRule>
  </conditionalFormatting>
  <conditionalFormatting sqref="I762:P762">
    <cfRule type="cellIs" dxfId="12758" priority="12687" stopIfTrue="1" operator="equal">
      <formula>"Pass"</formula>
    </cfRule>
    <cfRule type="cellIs" dxfId="12757" priority="12688" stopIfTrue="1" operator="equal">
      <formula>"Fail"</formula>
    </cfRule>
  </conditionalFormatting>
  <conditionalFormatting sqref="I762:P762">
    <cfRule type="cellIs" dxfId="12756" priority="12685" stopIfTrue="1" operator="equal">
      <formula>"Pass"</formula>
    </cfRule>
    <cfRule type="cellIs" dxfId="12755" priority="12686" stopIfTrue="1" operator="equal">
      <formula>"Fail"</formula>
    </cfRule>
  </conditionalFormatting>
  <conditionalFormatting sqref="H762:O762">
    <cfRule type="cellIs" dxfId="12754" priority="12683" stopIfTrue="1" operator="equal">
      <formula>"Pass"</formula>
    </cfRule>
    <cfRule type="cellIs" dxfId="12753" priority="12684" stopIfTrue="1" operator="equal">
      <formula>"Fail"</formula>
    </cfRule>
  </conditionalFormatting>
  <conditionalFormatting sqref="H762:O762">
    <cfRule type="cellIs" dxfId="12752" priority="12681" stopIfTrue="1" operator="equal">
      <formula>"Pass"</formula>
    </cfRule>
    <cfRule type="cellIs" dxfId="12751" priority="12682" stopIfTrue="1" operator="equal">
      <formula>"Fail"</formula>
    </cfRule>
  </conditionalFormatting>
  <conditionalFormatting sqref="I762:P762">
    <cfRule type="cellIs" dxfId="12750" priority="12679" stopIfTrue="1" operator="equal">
      <formula>"Pass"</formula>
    </cfRule>
    <cfRule type="cellIs" dxfId="12749" priority="12680" stopIfTrue="1" operator="equal">
      <formula>"Fail"</formula>
    </cfRule>
  </conditionalFormatting>
  <conditionalFormatting sqref="I762:P762">
    <cfRule type="cellIs" dxfId="12748" priority="12677" stopIfTrue="1" operator="equal">
      <formula>"Pass"</formula>
    </cfRule>
    <cfRule type="cellIs" dxfId="12747" priority="12678" stopIfTrue="1" operator="equal">
      <formula>"Fail"</formula>
    </cfRule>
  </conditionalFormatting>
  <conditionalFormatting sqref="I762:P762">
    <cfRule type="cellIs" dxfId="12746" priority="12675" stopIfTrue="1" operator="equal">
      <formula>"Pass"</formula>
    </cfRule>
    <cfRule type="cellIs" dxfId="12745" priority="12676" stopIfTrue="1" operator="equal">
      <formula>"Fail"</formula>
    </cfRule>
  </conditionalFormatting>
  <conditionalFormatting sqref="I762:P762">
    <cfRule type="cellIs" dxfId="12744" priority="12673" stopIfTrue="1" operator="equal">
      <formula>"Pass"</formula>
    </cfRule>
    <cfRule type="cellIs" dxfId="12743" priority="12674" stopIfTrue="1" operator="equal">
      <formula>"Fail"</formula>
    </cfRule>
  </conditionalFormatting>
  <conditionalFormatting sqref="H762:O762">
    <cfRule type="cellIs" dxfId="12742" priority="12671" stopIfTrue="1" operator="equal">
      <formula>"Pass"</formula>
    </cfRule>
    <cfRule type="cellIs" dxfId="12741" priority="12672" stopIfTrue="1" operator="equal">
      <formula>"Fail"</formula>
    </cfRule>
  </conditionalFormatting>
  <conditionalFormatting sqref="H762:O762">
    <cfRule type="cellIs" dxfId="12740" priority="12669" stopIfTrue="1" operator="equal">
      <formula>"Pass"</formula>
    </cfRule>
    <cfRule type="cellIs" dxfId="12739" priority="12670" stopIfTrue="1" operator="equal">
      <formula>"Fail"</formula>
    </cfRule>
  </conditionalFormatting>
  <conditionalFormatting sqref="I762:P762">
    <cfRule type="cellIs" dxfId="12738" priority="12667" stopIfTrue="1" operator="equal">
      <formula>"Pass"</formula>
    </cfRule>
    <cfRule type="cellIs" dxfId="12737" priority="12668" stopIfTrue="1" operator="equal">
      <formula>"Fail"</formula>
    </cfRule>
  </conditionalFormatting>
  <conditionalFormatting sqref="I762:P762">
    <cfRule type="cellIs" dxfId="12736" priority="12665" stopIfTrue="1" operator="equal">
      <formula>"Pass"</formula>
    </cfRule>
    <cfRule type="cellIs" dxfId="12735" priority="12666" stopIfTrue="1" operator="equal">
      <formula>"Fail"</formula>
    </cfRule>
  </conditionalFormatting>
  <conditionalFormatting sqref="I762:P762">
    <cfRule type="cellIs" dxfId="12734" priority="12663" stopIfTrue="1" operator="equal">
      <formula>"Pass"</formula>
    </cfRule>
    <cfRule type="cellIs" dxfId="12733" priority="12664" stopIfTrue="1" operator="equal">
      <formula>"Fail"</formula>
    </cfRule>
  </conditionalFormatting>
  <conditionalFormatting sqref="I762:P762">
    <cfRule type="cellIs" dxfId="12732" priority="12661" stopIfTrue="1" operator="equal">
      <formula>"Pass"</formula>
    </cfRule>
    <cfRule type="cellIs" dxfId="12731" priority="12662" stopIfTrue="1" operator="equal">
      <formula>"Fail"</formula>
    </cfRule>
  </conditionalFormatting>
  <conditionalFormatting sqref="H762:O762">
    <cfRule type="cellIs" dxfId="12730" priority="12659" stopIfTrue="1" operator="equal">
      <formula>"Pass"</formula>
    </cfRule>
    <cfRule type="cellIs" dxfId="12729" priority="12660" stopIfTrue="1" operator="equal">
      <formula>"Fail"</formula>
    </cfRule>
  </conditionalFormatting>
  <conditionalFormatting sqref="H762:O762">
    <cfRule type="cellIs" dxfId="12728" priority="12657" stopIfTrue="1" operator="equal">
      <formula>"Pass"</formula>
    </cfRule>
    <cfRule type="cellIs" dxfId="12727" priority="12658" stopIfTrue="1" operator="equal">
      <formula>"Fail"</formula>
    </cfRule>
  </conditionalFormatting>
  <conditionalFormatting sqref="I762:P762">
    <cfRule type="cellIs" dxfId="12726" priority="12655" stopIfTrue="1" operator="equal">
      <formula>"Pass"</formula>
    </cfRule>
    <cfRule type="cellIs" dxfId="12725" priority="12656" stopIfTrue="1" operator="equal">
      <formula>"Fail"</formula>
    </cfRule>
  </conditionalFormatting>
  <conditionalFormatting sqref="I762:P762">
    <cfRule type="cellIs" dxfId="12724" priority="12653" stopIfTrue="1" operator="equal">
      <formula>"Pass"</formula>
    </cfRule>
    <cfRule type="cellIs" dxfId="12723" priority="12654" stopIfTrue="1" operator="equal">
      <formula>"Fail"</formula>
    </cfRule>
  </conditionalFormatting>
  <conditionalFormatting sqref="I762:P762">
    <cfRule type="cellIs" dxfId="12722" priority="12651" stopIfTrue="1" operator="equal">
      <formula>"Pass"</formula>
    </cfRule>
    <cfRule type="cellIs" dxfId="12721" priority="12652" stopIfTrue="1" operator="equal">
      <formula>"Fail"</formula>
    </cfRule>
  </conditionalFormatting>
  <conditionalFormatting sqref="I762:P762">
    <cfRule type="cellIs" dxfId="12720" priority="12649" stopIfTrue="1" operator="equal">
      <formula>"Pass"</formula>
    </cfRule>
    <cfRule type="cellIs" dxfId="12719" priority="12650" stopIfTrue="1" operator="equal">
      <formula>"Fail"</formula>
    </cfRule>
  </conditionalFormatting>
  <conditionalFormatting sqref="H762:O762">
    <cfRule type="cellIs" dxfId="12718" priority="12647" stopIfTrue="1" operator="equal">
      <formula>"Pass"</formula>
    </cfRule>
    <cfRule type="cellIs" dxfId="12717" priority="12648" stopIfTrue="1" operator="equal">
      <formula>"Fail"</formula>
    </cfRule>
  </conditionalFormatting>
  <conditionalFormatting sqref="H762:O762">
    <cfRule type="cellIs" dxfId="12716" priority="12645" stopIfTrue="1" operator="equal">
      <formula>"Pass"</formula>
    </cfRule>
    <cfRule type="cellIs" dxfId="12715" priority="12646" stopIfTrue="1" operator="equal">
      <formula>"Fail"</formula>
    </cfRule>
  </conditionalFormatting>
  <conditionalFormatting sqref="I762:P762">
    <cfRule type="cellIs" dxfId="12714" priority="12643" stopIfTrue="1" operator="equal">
      <formula>"Pass"</formula>
    </cfRule>
    <cfRule type="cellIs" dxfId="12713" priority="12644" stopIfTrue="1" operator="equal">
      <formula>"Fail"</formula>
    </cfRule>
  </conditionalFormatting>
  <conditionalFormatting sqref="I762:P762">
    <cfRule type="cellIs" dxfId="12712" priority="12641" stopIfTrue="1" operator="equal">
      <formula>"Pass"</formula>
    </cfRule>
    <cfRule type="cellIs" dxfId="12711" priority="12642" stopIfTrue="1" operator="equal">
      <formula>"Fail"</formula>
    </cfRule>
  </conditionalFormatting>
  <conditionalFormatting sqref="I762:P762">
    <cfRule type="cellIs" dxfId="12710" priority="12639" stopIfTrue="1" operator="equal">
      <formula>"Pass"</formula>
    </cfRule>
    <cfRule type="cellIs" dxfId="12709" priority="12640" stopIfTrue="1" operator="equal">
      <formula>"Fail"</formula>
    </cfRule>
  </conditionalFormatting>
  <conditionalFormatting sqref="I762:P762">
    <cfRule type="cellIs" dxfId="12708" priority="12637" stopIfTrue="1" operator="equal">
      <formula>"Pass"</formula>
    </cfRule>
    <cfRule type="cellIs" dxfId="12707" priority="12638" stopIfTrue="1" operator="equal">
      <formula>"Fail"</formula>
    </cfRule>
  </conditionalFormatting>
  <conditionalFormatting sqref="H762:O762">
    <cfRule type="cellIs" dxfId="12706" priority="12635" stopIfTrue="1" operator="equal">
      <formula>"Pass"</formula>
    </cfRule>
    <cfRule type="cellIs" dxfId="12705" priority="12636" stopIfTrue="1" operator="equal">
      <formula>"Fail"</formula>
    </cfRule>
  </conditionalFormatting>
  <conditionalFormatting sqref="H762:O762">
    <cfRule type="cellIs" dxfId="12704" priority="12633" stopIfTrue="1" operator="equal">
      <formula>"Pass"</formula>
    </cfRule>
    <cfRule type="cellIs" dxfId="12703" priority="12634" stopIfTrue="1" operator="equal">
      <formula>"Fail"</formula>
    </cfRule>
  </conditionalFormatting>
  <conditionalFormatting sqref="I762:P762">
    <cfRule type="cellIs" dxfId="12702" priority="12631" stopIfTrue="1" operator="equal">
      <formula>"Pass"</formula>
    </cfRule>
    <cfRule type="cellIs" dxfId="12701" priority="12632" stopIfTrue="1" operator="equal">
      <formula>"Fail"</formula>
    </cfRule>
  </conditionalFormatting>
  <conditionalFormatting sqref="I762:P762">
    <cfRule type="cellIs" dxfId="12700" priority="12629" stopIfTrue="1" operator="equal">
      <formula>"Pass"</formula>
    </cfRule>
    <cfRule type="cellIs" dxfId="12699" priority="12630" stopIfTrue="1" operator="equal">
      <formula>"Fail"</formula>
    </cfRule>
  </conditionalFormatting>
  <conditionalFormatting sqref="I762:P762">
    <cfRule type="cellIs" dxfId="12698" priority="12627" stopIfTrue="1" operator="equal">
      <formula>"Pass"</formula>
    </cfRule>
    <cfRule type="cellIs" dxfId="12697" priority="12628" stopIfTrue="1" operator="equal">
      <formula>"Fail"</formula>
    </cfRule>
  </conditionalFormatting>
  <conditionalFormatting sqref="I762:P762">
    <cfRule type="cellIs" dxfId="12696" priority="12625" stopIfTrue="1" operator="equal">
      <formula>"Pass"</formula>
    </cfRule>
    <cfRule type="cellIs" dxfId="12695" priority="12626" stopIfTrue="1" operator="equal">
      <formula>"Fail"</formula>
    </cfRule>
  </conditionalFormatting>
  <conditionalFormatting sqref="H762:O762">
    <cfRule type="cellIs" dxfId="12694" priority="12623" stopIfTrue="1" operator="equal">
      <formula>"Pass"</formula>
    </cfRule>
    <cfRule type="cellIs" dxfId="12693" priority="12624" stopIfTrue="1" operator="equal">
      <formula>"Fail"</formula>
    </cfRule>
  </conditionalFormatting>
  <conditionalFormatting sqref="H762:O762">
    <cfRule type="cellIs" dxfId="12692" priority="12621" stopIfTrue="1" operator="equal">
      <formula>"Pass"</formula>
    </cfRule>
    <cfRule type="cellIs" dxfId="12691" priority="12622" stopIfTrue="1" operator="equal">
      <formula>"Fail"</formula>
    </cfRule>
  </conditionalFormatting>
  <conditionalFormatting sqref="I762:P762">
    <cfRule type="cellIs" dxfId="12690" priority="12619" stopIfTrue="1" operator="equal">
      <formula>"Pass"</formula>
    </cfRule>
    <cfRule type="cellIs" dxfId="12689" priority="12620" stopIfTrue="1" operator="equal">
      <formula>"Fail"</formula>
    </cfRule>
  </conditionalFormatting>
  <conditionalFormatting sqref="I762:P762">
    <cfRule type="cellIs" dxfId="12688" priority="12617" stopIfTrue="1" operator="equal">
      <formula>"Pass"</formula>
    </cfRule>
    <cfRule type="cellIs" dxfId="12687" priority="12618" stopIfTrue="1" operator="equal">
      <formula>"Fail"</formula>
    </cfRule>
  </conditionalFormatting>
  <conditionalFormatting sqref="I762:P762">
    <cfRule type="cellIs" dxfId="12686" priority="12615" stopIfTrue="1" operator="equal">
      <formula>"Pass"</formula>
    </cfRule>
    <cfRule type="cellIs" dxfId="12685" priority="12616" stopIfTrue="1" operator="equal">
      <formula>"Fail"</formula>
    </cfRule>
  </conditionalFormatting>
  <conditionalFormatting sqref="I762:P762">
    <cfRule type="cellIs" dxfId="12684" priority="12613" stopIfTrue="1" operator="equal">
      <formula>"Pass"</formula>
    </cfRule>
    <cfRule type="cellIs" dxfId="12683" priority="12614" stopIfTrue="1" operator="equal">
      <formula>"Fail"</formula>
    </cfRule>
  </conditionalFormatting>
  <conditionalFormatting sqref="H762:O762">
    <cfRule type="cellIs" dxfId="12682" priority="12611" stopIfTrue="1" operator="equal">
      <formula>"Pass"</formula>
    </cfRule>
    <cfRule type="cellIs" dxfId="12681" priority="12612" stopIfTrue="1" operator="equal">
      <formula>"Fail"</formula>
    </cfRule>
  </conditionalFormatting>
  <conditionalFormatting sqref="H762:O762">
    <cfRule type="cellIs" dxfId="12680" priority="12609" stopIfTrue="1" operator="equal">
      <formula>"Pass"</formula>
    </cfRule>
    <cfRule type="cellIs" dxfId="12679" priority="12610" stopIfTrue="1" operator="equal">
      <formula>"Fail"</formula>
    </cfRule>
  </conditionalFormatting>
  <conditionalFormatting sqref="I762:P762">
    <cfRule type="cellIs" dxfId="12678" priority="12607" stopIfTrue="1" operator="equal">
      <formula>"Pass"</formula>
    </cfRule>
    <cfRule type="cellIs" dxfId="12677" priority="12608" stopIfTrue="1" operator="equal">
      <formula>"Fail"</formula>
    </cfRule>
  </conditionalFormatting>
  <conditionalFormatting sqref="I762:P762">
    <cfRule type="cellIs" dxfId="12676" priority="12605" stopIfTrue="1" operator="equal">
      <formula>"Pass"</formula>
    </cfRule>
    <cfRule type="cellIs" dxfId="12675" priority="12606" stopIfTrue="1" operator="equal">
      <formula>"Fail"</formula>
    </cfRule>
  </conditionalFormatting>
  <conditionalFormatting sqref="I762:P762">
    <cfRule type="cellIs" dxfId="12674" priority="12603" stopIfTrue="1" operator="equal">
      <formula>"Pass"</formula>
    </cfRule>
    <cfRule type="cellIs" dxfId="12673" priority="12604" stopIfTrue="1" operator="equal">
      <formula>"Fail"</formula>
    </cfRule>
  </conditionalFormatting>
  <conditionalFormatting sqref="I762:P762">
    <cfRule type="cellIs" dxfId="12672" priority="12601" stopIfTrue="1" operator="equal">
      <formula>"Pass"</formula>
    </cfRule>
    <cfRule type="cellIs" dxfId="12671" priority="12602" stopIfTrue="1" operator="equal">
      <formula>"Fail"</formula>
    </cfRule>
  </conditionalFormatting>
  <conditionalFormatting sqref="D762:E762 G762:P762">
    <cfRule type="cellIs" dxfId="12670" priority="12599" stopIfTrue="1" operator="equal">
      <formula>"Pass"</formula>
    </cfRule>
    <cfRule type="cellIs" dxfId="12669" priority="12600" stopIfTrue="1" operator="equal">
      <formula>"Fail"</formula>
    </cfRule>
  </conditionalFormatting>
  <conditionalFormatting sqref="D762:E762 G762:P762">
    <cfRule type="cellIs" dxfId="12668" priority="12597" stopIfTrue="1" operator="equal">
      <formula>"Pass"</formula>
    </cfRule>
    <cfRule type="cellIs" dxfId="12667" priority="12598" stopIfTrue="1" operator="equal">
      <formula>"Fail"</formula>
    </cfRule>
  </conditionalFormatting>
  <conditionalFormatting sqref="D762:E762 G762:P762">
    <cfRule type="cellIs" dxfId="12666" priority="12595" stopIfTrue="1" operator="equal">
      <formula>"Pass"</formula>
    </cfRule>
    <cfRule type="cellIs" dxfId="12665" priority="12596" stopIfTrue="1" operator="equal">
      <formula>"Fail"</formula>
    </cfRule>
  </conditionalFormatting>
  <conditionalFormatting sqref="D762:E762 G762:P762">
    <cfRule type="cellIs" dxfId="12664" priority="12593" stopIfTrue="1" operator="equal">
      <formula>"Pass"</formula>
    </cfRule>
    <cfRule type="cellIs" dxfId="12663" priority="12594" stopIfTrue="1" operator="equal">
      <formula>"Fail"</formula>
    </cfRule>
  </conditionalFormatting>
  <conditionalFormatting sqref="D762:E762 G762:P762">
    <cfRule type="cellIs" dxfId="12662" priority="12591" stopIfTrue="1" operator="equal">
      <formula>"Pass"</formula>
    </cfRule>
    <cfRule type="cellIs" dxfId="12661" priority="12592" stopIfTrue="1" operator="equal">
      <formula>"Fail"</formula>
    </cfRule>
  </conditionalFormatting>
  <conditionalFormatting sqref="D762:E762 G762:P762">
    <cfRule type="cellIs" dxfId="12660" priority="12589" stopIfTrue="1" operator="equal">
      <formula>"Pass"</formula>
    </cfRule>
    <cfRule type="cellIs" dxfId="12659" priority="12590" stopIfTrue="1" operator="equal">
      <formula>"Fail"</formula>
    </cfRule>
  </conditionalFormatting>
  <conditionalFormatting sqref="D762:E762 G762:P762">
    <cfRule type="cellIs" dxfId="12658" priority="12587" stopIfTrue="1" operator="equal">
      <formula>"Pass"</formula>
    </cfRule>
    <cfRule type="cellIs" dxfId="12657" priority="12588" stopIfTrue="1" operator="equal">
      <formula>"Fail"</formula>
    </cfRule>
  </conditionalFormatting>
  <conditionalFormatting sqref="D762:E762 G762:P762">
    <cfRule type="cellIs" dxfId="12656" priority="12585" stopIfTrue="1" operator="equal">
      <formula>"Pass"</formula>
    </cfRule>
    <cfRule type="cellIs" dxfId="12655" priority="12586" stopIfTrue="1" operator="equal">
      <formula>"Fail"</formula>
    </cfRule>
  </conditionalFormatting>
  <conditionalFormatting sqref="D762:E762 G762:P762">
    <cfRule type="cellIs" dxfId="12654" priority="12583" stopIfTrue="1" operator="equal">
      <formula>"Pass"</formula>
    </cfRule>
    <cfRule type="cellIs" dxfId="12653" priority="12584" stopIfTrue="1" operator="equal">
      <formula>"Fail"</formula>
    </cfRule>
  </conditionalFormatting>
  <conditionalFormatting sqref="D762:E762 G762:P762">
    <cfRule type="cellIs" dxfId="12652" priority="12581" stopIfTrue="1" operator="equal">
      <formula>"Pass"</formula>
    </cfRule>
    <cfRule type="cellIs" dxfId="12651" priority="12582" stopIfTrue="1" operator="equal">
      <formula>"Fail"</formula>
    </cfRule>
  </conditionalFormatting>
  <conditionalFormatting sqref="D762:E762 G762:P762">
    <cfRule type="cellIs" dxfId="12650" priority="12579" stopIfTrue="1" operator="equal">
      <formula>"Pass"</formula>
    </cfRule>
    <cfRule type="cellIs" dxfId="12649" priority="12580" stopIfTrue="1" operator="equal">
      <formula>"Fail"</formula>
    </cfRule>
  </conditionalFormatting>
  <conditionalFormatting sqref="D762:E762 G762:P762">
    <cfRule type="cellIs" dxfId="12648" priority="12577" stopIfTrue="1" operator="equal">
      <formula>"Pass"</formula>
    </cfRule>
    <cfRule type="cellIs" dxfId="12647" priority="12578" stopIfTrue="1" operator="equal">
      <formula>"Fail"</formula>
    </cfRule>
  </conditionalFormatting>
  <conditionalFormatting sqref="D762:E762 G762:P762">
    <cfRule type="cellIs" dxfId="12646" priority="12575" stopIfTrue="1" operator="equal">
      <formula>"Pass"</formula>
    </cfRule>
    <cfRule type="cellIs" dxfId="12645" priority="12576" stopIfTrue="1" operator="equal">
      <formula>"Fail"</formula>
    </cfRule>
  </conditionalFormatting>
  <conditionalFormatting sqref="D762:E762 G762:P762">
    <cfRule type="cellIs" dxfId="12644" priority="12573" stopIfTrue="1" operator="equal">
      <formula>"Pass"</formula>
    </cfRule>
    <cfRule type="cellIs" dxfId="12643" priority="12574" stopIfTrue="1" operator="equal">
      <formula>"Fail"</formula>
    </cfRule>
  </conditionalFormatting>
  <conditionalFormatting sqref="D762:E762 G762:P762">
    <cfRule type="cellIs" dxfId="12642" priority="12571" stopIfTrue="1" operator="equal">
      <formula>"Pass"</formula>
    </cfRule>
    <cfRule type="cellIs" dxfId="12641" priority="12572" stopIfTrue="1" operator="equal">
      <formula>"Fail"</formula>
    </cfRule>
  </conditionalFormatting>
  <conditionalFormatting sqref="D762:E762 G762:P762">
    <cfRule type="cellIs" dxfId="12640" priority="12569" stopIfTrue="1" operator="equal">
      <formula>"Pass"</formula>
    </cfRule>
    <cfRule type="cellIs" dxfId="12639" priority="12570" stopIfTrue="1" operator="equal">
      <formula>"Fail"</formula>
    </cfRule>
  </conditionalFormatting>
  <conditionalFormatting sqref="D762:E762 G762:P762">
    <cfRule type="cellIs" dxfId="12638" priority="12567" stopIfTrue="1" operator="equal">
      <formula>"Pass"</formula>
    </cfRule>
    <cfRule type="cellIs" dxfId="12637" priority="12568" stopIfTrue="1" operator="equal">
      <formula>"Fail"</formula>
    </cfRule>
  </conditionalFormatting>
  <conditionalFormatting sqref="D762:E762 G762:P762">
    <cfRule type="cellIs" dxfId="12636" priority="12565" stopIfTrue="1" operator="equal">
      <formula>"Pass"</formula>
    </cfRule>
    <cfRule type="cellIs" dxfId="12635" priority="12566" stopIfTrue="1" operator="equal">
      <formula>"Fail"</formula>
    </cfRule>
  </conditionalFormatting>
  <conditionalFormatting sqref="D762:E762 G762:P762">
    <cfRule type="cellIs" dxfId="12634" priority="12563" stopIfTrue="1" operator="equal">
      <formula>"Pass"</formula>
    </cfRule>
    <cfRule type="cellIs" dxfId="12633" priority="12564" stopIfTrue="1" operator="equal">
      <formula>"Fail"</formula>
    </cfRule>
  </conditionalFormatting>
  <conditionalFormatting sqref="D762:E762 G762:P762">
    <cfRule type="cellIs" dxfId="12632" priority="12561" stopIfTrue="1" operator="equal">
      <formula>"Pass"</formula>
    </cfRule>
    <cfRule type="cellIs" dxfId="12631" priority="12562" stopIfTrue="1" operator="equal">
      <formula>"Fail"</formula>
    </cfRule>
  </conditionalFormatting>
  <conditionalFormatting sqref="D762:E762 G762:P762">
    <cfRule type="cellIs" dxfId="12630" priority="12559" stopIfTrue="1" operator="equal">
      <formula>"Pass"</formula>
    </cfRule>
    <cfRule type="cellIs" dxfId="12629" priority="12560" stopIfTrue="1" operator="equal">
      <formula>"Fail"</formula>
    </cfRule>
  </conditionalFormatting>
  <conditionalFormatting sqref="H761:P761">
    <cfRule type="cellIs" dxfId="12628" priority="12557" stopIfTrue="1" operator="equal">
      <formula>"Pass"</formula>
    </cfRule>
    <cfRule type="cellIs" dxfId="12627" priority="12558" stopIfTrue="1" operator="equal">
      <formula>"Fail"</formula>
    </cfRule>
  </conditionalFormatting>
  <conditionalFormatting sqref="H761:P761">
    <cfRule type="cellIs" dxfId="12626" priority="12555" stopIfTrue="1" operator="equal">
      <formula>"Pass"</formula>
    </cfRule>
    <cfRule type="cellIs" dxfId="12625" priority="12556" stopIfTrue="1" operator="equal">
      <formula>"Fail"</formula>
    </cfRule>
  </conditionalFormatting>
  <conditionalFormatting sqref="H761:P761">
    <cfRule type="cellIs" dxfId="12624" priority="12553" stopIfTrue="1" operator="equal">
      <formula>"Pass"</formula>
    </cfRule>
    <cfRule type="cellIs" dxfId="12623" priority="12554" stopIfTrue="1" operator="equal">
      <formula>"Fail"</formula>
    </cfRule>
  </conditionalFormatting>
  <conditionalFormatting sqref="I761:P761">
    <cfRule type="cellIs" dxfId="12622" priority="12551" stopIfTrue="1" operator="equal">
      <formula>"Pass"</formula>
    </cfRule>
    <cfRule type="cellIs" dxfId="12621" priority="12552" stopIfTrue="1" operator="equal">
      <formula>"Fail"</formula>
    </cfRule>
  </conditionalFormatting>
  <conditionalFormatting sqref="I761:P761">
    <cfRule type="cellIs" dxfId="12620" priority="12549" stopIfTrue="1" operator="equal">
      <formula>"Pass"</formula>
    </cfRule>
    <cfRule type="cellIs" dxfId="12619" priority="12550" stopIfTrue="1" operator="equal">
      <formula>"Fail"</formula>
    </cfRule>
  </conditionalFormatting>
  <conditionalFormatting sqref="I761:P761">
    <cfRule type="cellIs" dxfId="12618" priority="12547" stopIfTrue="1" operator="equal">
      <formula>"Pass"</formula>
    </cfRule>
    <cfRule type="cellIs" dxfId="12617" priority="12548" stopIfTrue="1" operator="equal">
      <formula>"Fail"</formula>
    </cfRule>
  </conditionalFormatting>
  <conditionalFormatting sqref="I761:P761">
    <cfRule type="cellIs" dxfId="12616" priority="12545" stopIfTrue="1" operator="equal">
      <formula>"Pass"</formula>
    </cfRule>
    <cfRule type="cellIs" dxfId="12615" priority="12546" stopIfTrue="1" operator="equal">
      <formula>"Fail"</formula>
    </cfRule>
  </conditionalFormatting>
  <conditionalFormatting sqref="H761:P761">
    <cfRule type="cellIs" dxfId="12614" priority="12543" stopIfTrue="1" operator="equal">
      <formula>"Pass"</formula>
    </cfRule>
    <cfRule type="cellIs" dxfId="12613" priority="12544" stopIfTrue="1" operator="equal">
      <formula>"Fail"</formula>
    </cfRule>
  </conditionalFormatting>
  <conditionalFormatting sqref="H761:P761">
    <cfRule type="cellIs" dxfId="12612" priority="12541" stopIfTrue="1" operator="equal">
      <formula>"Pass"</formula>
    </cfRule>
    <cfRule type="cellIs" dxfId="12611" priority="12542" stopIfTrue="1" operator="equal">
      <formula>"Fail"</formula>
    </cfRule>
  </conditionalFormatting>
  <conditionalFormatting sqref="I761:P761">
    <cfRule type="cellIs" dxfId="12610" priority="12539" stopIfTrue="1" operator="equal">
      <formula>"Pass"</formula>
    </cfRule>
    <cfRule type="cellIs" dxfId="12609" priority="12540" stopIfTrue="1" operator="equal">
      <formula>"Fail"</formula>
    </cfRule>
  </conditionalFormatting>
  <conditionalFormatting sqref="I761:P761">
    <cfRule type="cellIs" dxfId="12608" priority="12537" stopIfTrue="1" operator="equal">
      <formula>"Pass"</formula>
    </cfRule>
    <cfRule type="cellIs" dxfId="12607" priority="12538" stopIfTrue="1" operator="equal">
      <formula>"Fail"</formula>
    </cfRule>
  </conditionalFormatting>
  <conditionalFormatting sqref="I761:P761">
    <cfRule type="cellIs" dxfId="12606" priority="12535" stopIfTrue="1" operator="equal">
      <formula>"Pass"</formula>
    </cfRule>
    <cfRule type="cellIs" dxfId="12605" priority="12536" stopIfTrue="1" operator="equal">
      <formula>"Fail"</formula>
    </cfRule>
  </conditionalFormatting>
  <conditionalFormatting sqref="I761:P761">
    <cfRule type="cellIs" dxfId="12604" priority="12533" stopIfTrue="1" operator="equal">
      <formula>"Pass"</formula>
    </cfRule>
    <cfRule type="cellIs" dxfId="12603" priority="12534" stopIfTrue="1" operator="equal">
      <formula>"Fail"</formula>
    </cfRule>
  </conditionalFormatting>
  <conditionalFormatting sqref="H761:P761">
    <cfRule type="cellIs" dxfId="12602" priority="12531" stopIfTrue="1" operator="equal">
      <formula>"Pass"</formula>
    </cfRule>
    <cfRule type="cellIs" dxfId="12601" priority="12532" stopIfTrue="1" operator="equal">
      <formula>"Fail"</formula>
    </cfRule>
  </conditionalFormatting>
  <conditionalFormatting sqref="H761:P761">
    <cfRule type="cellIs" dxfId="12600" priority="12529" stopIfTrue="1" operator="equal">
      <formula>"Pass"</formula>
    </cfRule>
    <cfRule type="cellIs" dxfId="12599" priority="12530" stopIfTrue="1" operator="equal">
      <formula>"Fail"</formula>
    </cfRule>
  </conditionalFormatting>
  <conditionalFormatting sqref="I761:P761">
    <cfRule type="cellIs" dxfId="12598" priority="12527" stopIfTrue="1" operator="equal">
      <formula>"Pass"</formula>
    </cfRule>
    <cfRule type="cellIs" dxfId="12597" priority="12528" stopIfTrue="1" operator="equal">
      <formula>"Fail"</formula>
    </cfRule>
  </conditionalFormatting>
  <conditionalFormatting sqref="I761:P761">
    <cfRule type="cellIs" dxfId="12596" priority="12525" stopIfTrue="1" operator="equal">
      <formula>"Pass"</formula>
    </cfRule>
    <cfRule type="cellIs" dxfId="12595" priority="12526" stopIfTrue="1" operator="equal">
      <formula>"Fail"</formula>
    </cfRule>
  </conditionalFormatting>
  <conditionalFormatting sqref="I761:P761">
    <cfRule type="cellIs" dxfId="12594" priority="12523" stopIfTrue="1" operator="equal">
      <formula>"Pass"</formula>
    </cfRule>
    <cfRule type="cellIs" dxfId="12593" priority="12524" stopIfTrue="1" operator="equal">
      <formula>"Fail"</formula>
    </cfRule>
  </conditionalFormatting>
  <conditionalFormatting sqref="I761:P761">
    <cfRule type="cellIs" dxfId="12592" priority="12521" stopIfTrue="1" operator="equal">
      <formula>"Pass"</formula>
    </cfRule>
    <cfRule type="cellIs" dxfId="12591" priority="12522" stopIfTrue="1" operator="equal">
      <formula>"Fail"</formula>
    </cfRule>
  </conditionalFormatting>
  <conditionalFormatting sqref="H761:P761">
    <cfRule type="cellIs" dxfId="12590" priority="12519" stopIfTrue="1" operator="equal">
      <formula>"Pass"</formula>
    </cfRule>
    <cfRule type="cellIs" dxfId="12589" priority="12520" stopIfTrue="1" operator="equal">
      <formula>"Fail"</formula>
    </cfRule>
  </conditionalFormatting>
  <conditionalFormatting sqref="H761:P761">
    <cfRule type="cellIs" dxfId="12588" priority="12517" stopIfTrue="1" operator="equal">
      <formula>"Pass"</formula>
    </cfRule>
    <cfRule type="cellIs" dxfId="12587" priority="12518" stopIfTrue="1" operator="equal">
      <formula>"Fail"</formula>
    </cfRule>
  </conditionalFormatting>
  <conditionalFormatting sqref="I761:P761">
    <cfRule type="cellIs" dxfId="12586" priority="12515" stopIfTrue="1" operator="equal">
      <formula>"Pass"</formula>
    </cfRule>
    <cfRule type="cellIs" dxfId="12585" priority="12516" stopIfTrue="1" operator="equal">
      <formula>"Fail"</formula>
    </cfRule>
  </conditionalFormatting>
  <conditionalFormatting sqref="I761:P761">
    <cfRule type="cellIs" dxfId="12584" priority="12513" stopIfTrue="1" operator="equal">
      <formula>"Pass"</formula>
    </cfRule>
    <cfRule type="cellIs" dxfId="12583" priority="12514" stopIfTrue="1" operator="equal">
      <formula>"Fail"</formula>
    </cfRule>
  </conditionalFormatting>
  <conditionalFormatting sqref="I761:P761">
    <cfRule type="cellIs" dxfId="12582" priority="12511" stopIfTrue="1" operator="equal">
      <formula>"Pass"</formula>
    </cfRule>
    <cfRule type="cellIs" dxfId="12581" priority="12512" stopIfTrue="1" operator="equal">
      <formula>"Fail"</formula>
    </cfRule>
  </conditionalFormatting>
  <conditionalFormatting sqref="I761:P761">
    <cfRule type="cellIs" dxfId="12580" priority="12509" stopIfTrue="1" operator="equal">
      <formula>"Pass"</formula>
    </cfRule>
    <cfRule type="cellIs" dxfId="12579" priority="12510" stopIfTrue="1" operator="equal">
      <formula>"Fail"</formula>
    </cfRule>
  </conditionalFormatting>
  <conditionalFormatting sqref="H761:P761">
    <cfRule type="cellIs" dxfId="12578" priority="12507" stopIfTrue="1" operator="equal">
      <formula>"Pass"</formula>
    </cfRule>
    <cfRule type="cellIs" dxfId="12577" priority="12508" stopIfTrue="1" operator="equal">
      <formula>"Fail"</formula>
    </cfRule>
  </conditionalFormatting>
  <conditionalFormatting sqref="H761:P761">
    <cfRule type="cellIs" dxfId="12576" priority="12505" stopIfTrue="1" operator="equal">
      <formula>"Pass"</formula>
    </cfRule>
    <cfRule type="cellIs" dxfId="12575" priority="12506" stopIfTrue="1" operator="equal">
      <formula>"Fail"</formula>
    </cfRule>
  </conditionalFormatting>
  <conditionalFormatting sqref="I761:P761">
    <cfRule type="cellIs" dxfId="12574" priority="12503" stopIfTrue="1" operator="equal">
      <formula>"Pass"</formula>
    </cfRule>
    <cfRule type="cellIs" dxfId="12573" priority="12504" stopIfTrue="1" operator="equal">
      <formula>"Fail"</formula>
    </cfRule>
  </conditionalFormatting>
  <conditionalFormatting sqref="I761:P761">
    <cfRule type="cellIs" dxfId="12572" priority="12501" stopIfTrue="1" operator="equal">
      <formula>"Pass"</formula>
    </cfRule>
    <cfRule type="cellIs" dxfId="12571" priority="12502" stopIfTrue="1" operator="equal">
      <formula>"Fail"</formula>
    </cfRule>
  </conditionalFormatting>
  <conditionalFormatting sqref="I761:P761">
    <cfRule type="cellIs" dxfId="12570" priority="12499" stopIfTrue="1" operator="equal">
      <formula>"Pass"</formula>
    </cfRule>
    <cfRule type="cellIs" dxfId="12569" priority="12500" stopIfTrue="1" operator="equal">
      <formula>"Fail"</formula>
    </cfRule>
  </conditionalFormatting>
  <conditionalFormatting sqref="I761:P761">
    <cfRule type="cellIs" dxfId="12568" priority="12497" stopIfTrue="1" operator="equal">
      <formula>"Pass"</formula>
    </cfRule>
    <cfRule type="cellIs" dxfId="12567" priority="12498" stopIfTrue="1" operator="equal">
      <formula>"Fail"</formula>
    </cfRule>
  </conditionalFormatting>
  <conditionalFormatting sqref="H761:P761">
    <cfRule type="cellIs" dxfId="12566" priority="12495" stopIfTrue="1" operator="equal">
      <formula>"Pass"</formula>
    </cfRule>
    <cfRule type="cellIs" dxfId="12565" priority="12496" stopIfTrue="1" operator="equal">
      <formula>"Fail"</formula>
    </cfRule>
  </conditionalFormatting>
  <conditionalFormatting sqref="H761:P761">
    <cfRule type="cellIs" dxfId="12564" priority="12493" stopIfTrue="1" operator="equal">
      <formula>"Pass"</formula>
    </cfRule>
    <cfRule type="cellIs" dxfId="12563" priority="12494" stopIfTrue="1" operator="equal">
      <formula>"Fail"</formula>
    </cfRule>
  </conditionalFormatting>
  <conditionalFormatting sqref="I761:P761">
    <cfRule type="cellIs" dxfId="12562" priority="12491" stopIfTrue="1" operator="equal">
      <formula>"Pass"</formula>
    </cfRule>
    <cfRule type="cellIs" dxfId="12561" priority="12492" stopIfTrue="1" operator="equal">
      <formula>"Fail"</formula>
    </cfRule>
  </conditionalFormatting>
  <conditionalFormatting sqref="I761:P761">
    <cfRule type="cellIs" dxfId="12560" priority="12489" stopIfTrue="1" operator="equal">
      <formula>"Pass"</formula>
    </cfRule>
    <cfRule type="cellIs" dxfId="12559" priority="12490" stopIfTrue="1" operator="equal">
      <formula>"Fail"</formula>
    </cfRule>
  </conditionalFormatting>
  <conditionalFormatting sqref="I761:P761">
    <cfRule type="cellIs" dxfId="12558" priority="12487" stopIfTrue="1" operator="equal">
      <formula>"Pass"</formula>
    </cfRule>
    <cfRule type="cellIs" dxfId="12557" priority="12488" stopIfTrue="1" operator="equal">
      <formula>"Fail"</formula>
    </cfRule>
  </conditionalFormatting>
  <conditionalFormatting sqref="I761:P761">
    <cfRule type="cellIs" dxfId="12556" priority="12485" stopIfTrue="1" operator="equal">
      <formula>"Pass"</formula>
    </cfRule>
    <cfRule type="cellIs" dxfId="12555" priority="12486" stopIfTrue="1" operator="equal">
      <formula>"Fail"</formula>
    </cfRule>
  </conditionalFormatting>
  <conditionalFormatting sqref="H761:P761">
    <cfRule type="cellIs" dxfId="12554" priority="12483" stopIfTrue="1" operator="equal">
      <formula>"Pass"</formula>
    </cfRule>
    <cfRule type="cellIs" dxfId="12553" priority="12484" stopIfTrue="1" operator="equal">
      <formula>"Fail"</formula>
    </cfRule>
  </conditionalFormatting>
  <conditionalFormatting sqref="H761:P761">
    <cfRule type="cellIs" dxfId="12552" priority="12481" stopIfTrue="1" operator="equal">
      <formula>"Pass"</formula>
    </cfRule>
    <cfRule type="cellIs" dxfId="12551" priority="12482" stopIfTrue="1" operator="equal">
      <formula>"Fail"</formula>
    </cfRule>
  </conditionalFormatting>
  <conditionalFormatting sqref="I761:P761">
    <cfRule type="cellIs" dxfId="12550" priority="12479" stopIfTrue="1" operator="equal">
      <formula>"Pass"</formula>
    </cfRule>
    <cfRule type="cellIs" dxfId="12549" priority="12480" stopIfTrue="1" operator="equal">
      <formula>"Fail"</formula>
    </cfRule>
  </conditionalFormatting>
  <conditionalFormatting sqref="I761:P761">
    <cfRule type="cellIs" dxfId="12548" priority="12477" stopIfTrue="1" operator="equal">
      <formula>"Pass"</formula>
    </cfRule>
    <cfRule type="cellIs" dxfId="12547" priority="12478" stopIfTrue="1" operator="equal">
      <formula>"Fail"</formula>
    </cfRule>
  </conditionalFormatting>
  <conditionalFormatting sqref="I761:P761">
    <cfRule type="cellIs" dxfId="12546" priority="12475" stopIfTrue="1" operator="equal">
      <formula>"Pass"</formula>
    </cfRule>
    <cfRule type="cellIs" dxfId="12545" priority="12476" stopIfTrue="1" operator="equal">
      <formula>"Fail"</formula>
    </cfRule>
  </conditionalFormatting>
  <conditionalFormatting sqref="I761:P761">
    <cfRule type="cellIs" dxfId="12544" priority="12473" stopIfTrue="1" operator="equal">
      <formula>"Pass"</formula>
    </cfRule>
    <cfRule type="cellIs" dxfId="12543" priority="12474" stopIfTrue="1" operator="equal">
      <formula>"Fail"</formula>
    </cfRule>
  </conditionalFormatting>
  <conditionalFormatting sqref="H761:P761">
    <cfRule type="cellIs" dxfId="12542" priority="12471" stopIfTrue="1" operator="equal">
      <formula>"Pass"</formula>
    </cfRule>
    <cfRule type="cellIs" dxfId="12541" priority="12472" stopIfTrue="1" operator="equal">
      <formula>"Fail"</formula>
    </cfRule>
  </conditionalFormatting>
  <conditionalFormatting sqref="H761:P761">
    <cfRule type="cellIs" dxfId="12540" priority="12469" stopIfTrue="1" operator="equal">
      <formula>"Pass"</formula>
    </cfRule>
    <cfRule type="cellIs" dxfId="12539" priority="12470" stopIfTrue="1" operator="equal">
      <formula>"Fail"</formula>
    </cfRule>
  </conditionalFormatting>
  <conditionalFormatting sqref="I761:P761">
    <cfRule type="cellIs" dxfId="12538" priority="12467" stopIfTrue="1" operator="equal">
      <formula>"Pass"</formula>
    </cfRule>
    <cfRule type="cellIs" dxfId="12537" priority="12468" stopIfTrue="1" operator="equal">
      <formula>"Fail"</formula>
    </cfRule>
  </conditionalFormatting>
  <conditionalFormatting sqref="I761:P761">
    <cfRule type="cellIs" dxfId="12536" priority="12465" stopIfTrue="1" operator="equal">
      <formula>"Pass"</formula>
    </cfRule>
    <cfRule type="cellIs" dxfId="12535" priority="12466" stopIfTrue="1" operator="equal">
      <formula>"Fail"</formula>
    </cfRule>
  </conditionalFormatting>
  <conditionalFormatting sqref="I761:P761">
    <cfRule type="cellIs" dxfId="12534" priority="12463" stopIfTrue="1" operator="equal">
      <formula>"Pass"</formula>
    </cfRule>
    <cfRule type="cellIs" dxfId="12533" priority="12464" stopIfTrue="1" operator="equal">
      <formula>"Fail"</formula>
    </cfRule>
  </conditionalFormatting>
  <conditionalFormatting sqref="I761:P761">
    <cfRule type="cellIs" dxfId="12532" priority="12461" stopIfTrue="1" operator="equal">
      <formula>"Pass"</formula>
    </cfRule>
    <cfRule type="cellIs" dxfId="12531" priority="12462" stopIfTrue="1" operator="equal">
      <formula>"Fail"</formula>
    </cfRule>
  </conditionalFormatting>
  <conditionalFormatting sqref="H761:O761">
    <cfRule type="cellIs" dxfId="12530" priority="12459" stopIfTrue="1" operator="equal">
      <formula>"Pass"</formula>
    </cfRule>
    <cfRule type="cellIs" dxfId="12529" priority="12460" stopIfTrue="1" operator="equal">
      <formula>"Fail"</formula>
    </cfRule>
  </conditionalFormatting>
  <conditionalFormatting sqref="H761:O761">
    <cfRule type="cellIs" dxfId="12528" priority="12457" stopIfTrue="1" operator="equal">
      <formula>"Pass"</formula>
    </cfRule>
    <cfRule type="cellIs" dxfId="12527" priority="12458" stopIfTrue="1" operator="equal">
      <formula>"Fail"</formula>
    </cfRule>
  </conditionalFormatting>
  <conditionalFormatting sqref="I761:P761">
    <cfRule type="cellIs" dxfId="12526" priority="12455" stopIfTrue="1" operator="equal">
      <formula>"Pass"</formula>
    </cfRule>
    <cfRule type="cellIs" dxfId="12525" priority="12456" stopIfTrue="1" operator="equal">
      <formula>"Fail"</formula>
    </cfRule>
  </conditionalFormatting>
  <conditionalFormatting sqref="I761:P761">
    <cfRule type="cellIs" dxfId="12524" priority="12453" stopIfTrue="1" operator="equal">
      <formula>"Pass"</formula>
    </cfRule>
    <cfRule type="cellIs" dxfId="12523" priority="12454" stopIfTrue="1" operator="equal">
      <formula>"Fail"</formula>
    </cfRule>
  </conditionalFormatting>
  <conditionalFormatting sqref="I761:P761">
    <cfRule type="cellIs" dxfId="12522" priority="12451" stopIfTrue="1" operator="equal">
      <formula>"Pass"</formula>
    </cfRule>
    <cfRule type="cellIs" dxfId="12521" priority="12452" stopIfTrue="1" operator="equal">
      <formula>"Fail"</formula>
    </cfRule>
  </conditionalFormatting>
  <conditionalFormatting sqref="I761:P761">
    <cfRule type="cellIs" dxfId="12520" priority="12449" stopIfTrue="1" operator="equal">
      <formula>"Pass"</formula>
    </cfRule>
    <cfRule type="cellIs" dxfId="12519" priority="12450" stopIfTrue="1" operator="equal">
      <formula>"Fail"</formula>
    </cfRule>
  </conditionalFormatting>
  <conditionalFormatting sqref="H761:O761">
    <cfRule type="cellIs" dxfId="12518" priority="12447" stopIfTrue="1" operator="equal">
      <formula>"Pass"</formula>
    </cfRule>
    <cfRule type="cellIs" dxfId="12517" priority="12448" stopIfTrue="1" operator="equal">
      <formula>"Fail"</formula>
    </cfRule>
  </conditionalFormatting>
  <conditionalFormatting sqref="H761:O761">
    <cfRule type="cellIs" dxfId="12516" priority="12445" stopIfTrue="1" operator="equal">
      <formula>"Pass"</formula>
    </cfRule>
    <cfRule type="cellIs" dxfId="12515" priority="12446" stopIfTrue="1" operator="equal">
      <formula>"Fail"</formula>
    </cfRule>
  </conditionalFormatting>
  <conditionalFormatting sqref="I761:P761">
    <cfRule type="cellIs" dxfId="12514" priority="12443" stopIfTrue="1" operator="equal">
      <formula>"Pass"</formula>
    </cfRule>
    <cfRule type="cellIs" dxfId="12513" priority="12444" stopIfTrue="1" operator="equal">
      <formula>"Fail"</formula>
    </cfRule>
  </conditionalFormatting>
  <conditionalFormatting sqref="I761:P761">
    <cfRule type="cellIs" dxfId="12512" priority="12441" stopIfTrue="1" operator="equal">
      <formula>"Pass"</formula>
    </cfRule>
    <cfRule type="cellIs" dxfId="12511" priority="12442" stopIfTrue="1" operator="equal">
      <formula>"Fail"</formula>
    </cfRule>
  </conditionalFormatting>
  <conditionalFormatting sqref="I761:P761">
    <cfRule type="cellIs" dxfId="12510" priority="12439" stopIfTrue="1" operator="equal">
      <formula>"Pass"</formula>
    </cfRule>
    <cfRule type="cellIs" dxfId="12509" priority="12440" stopIfTrue="1" operator="equal">
      <formula>"Fail"</formula>
    </cfRule>
  </conditionalFormatting>
  <conditionalFormatting sqref="I761:P761">
    <cfRule type="cellIs" dxfId="12508" priority="12437" stopIfTrue="1" operator="equal">
      <formula>"Pass"</formula>
    </cfRule>
    <cfRule type="cellIs" dxfId="12507" priority="12438" stopIfTrue="1" operator="equal">
      <formula>"Fail"</formula>
    </cfRule>
  </conditionalFormatting>
  <conditionalFormatting sqref="H761:P761">
    <cfRule type="cellIs" dxfId="12506" priority="12435" stopIfTrue="1" operator="equal">
      <formula>"Pass"</formula>
    </cfRule>
    <cfRule type="cellIs" dxfId="12505" priority="12436" stopIfTrue="1" operator="equal">
      <formula>"Fail"</formula>
    </cfRule>
  </conditionalFormatting>
  <conditionalFormatting sqref="H761:P761">
    <cfRule type="cellIs" dxfId="12504" priority="12433" stopIfTrue="1" operator="equal">
      <formula>"Pass"</formula>
    </cfRule>
    <cfRule type="cellIs" dxfId="12503" priority="12434" stopIfTrue="1" operator="equal">
      <formula>"Fail"</formula>
    </cfRule>
  </conditionalFormatting>
  <conditionalFormatting sqref="I761:P761">
    <cfRule type="cellIs" dxfId="12502" priority="12431" stopIfTrue="1" operator="equal">
      <formula>"Pass"</formula>
    </cfRule>
    <cfRule type="cellIs" dxfId="12501" priority="12432" stopIfTrue="1" operator="equal">
      <formula>"Fail"</formula>
    </cfRule>
  </conditionalFormatting>
  <conditionalFormatting sqref="I761:P761">
    <cfRule type="cellIs" dxfId="12500" priority="12429" stopIfTrue="1" operator="equal">
      <formula>"Pass"</formula>
    </cfRule>
    <cfRule type="cellIs" dxfId="12499" priority="12430" stopIfTrue="1" operator="equal">
      <formula>"Fail"</formula>
    </cfRule>
  </conditionalFormatting>
  <conditionalFormatting sqref="I761:P761">
    <cfRule type="cellIs" dxfId="12498" priority="12427" stopIfTrue="1" operator="equal">
      <formula>"Pass"</formula>
    </cfRule>
    <cfRule type="cellIs" dxfId="12497" priority="12428" stopIfTrue="1" operator="equal">
      <formula>"Fail"</formula>
    </cfRule>
  </conditionalFormatting>
  <conditionalFormatting sqref="I761:P761">
    <cfRule type="cellIs" dxfId="12496" priority="12425" stopIfTrue="1" operator="equal">
      <formula>"Pass"</formula>
    </cfRule>
    <cfRule type="cellIs" dxfId="12495" priority="12426" stopIfTrue="1" operator="equal">
      <formula>"Fail"</formula>
    </cfRule>
  </conditionalFormatting>
  <conditionalFormatting sqref="H761:P761">
    <cfRule type="cellIs" dxfId="12494" priority="12423" stopIfTrue="1" operator="equal">
      <formula>"Pass"</formula>
    </cfRule>
    <cfRule type="cellIs" dxfId="12493" priority="12424" stopIfTrue="1" operator="equal">
      <formula>"Fail"</formula>
    </cfRule>
  </conditionalFormatting>
  <conditionalFormatting sqref="H761:P761">
    <cfRule type="cellIs" dxfId="12492" priority="12421" stopIfTrue="1" operator="equal">
      <formula>"Pass"</formula>
    </cfRule>
    <cfRule type="cellIs" dxfId="12491" priority="12422" stopIfTrue="1" operator="equal">
      <formula>"Fail"</formula>
    </cfRule>
  </conditionalFormatting>
  <conditionalFormatting sqref="I761:P761">
    <cfRule type="cellIs" dxfId="12490" priority="12419" stopIfTrue="1" operator="equal">
      <formula>"Pass"</formula>
    </cfRule>
    <cfRule type="cellIs" dxfId="12489" priority="12420" stopIfTrue="1" operator="equal">
      <formula>"Fail"</formula>
    </cfRule>
  </conditionalFormatting>
  <conditionalFormatting sqref="I761:P761">
    <cfRule type="cellIs" dxfId="12488" priority="12417" stopIfTrue="1" operator="equal">
      <formula>"Pass"</formula>
    </cfRule>
    <cfRule type="cellIs" dxfId="12487" priority="12418" stopIfTrue="1" operator="equal">
      <formula>"Fail"</formula>
    </cfRule>
  </conditionalFormatting>
  <conditionalFormatting sqref="I761:P761">
    <cfRule type="cellIs" dxfId="12486" priority="12415" stopIfTrue="1" operator="equal">
      <formula>"Pass"</formula>
    </cfRule>
    <cfRule type="cellIs" dxfId="12485" priority="12416" stopIfTrue="1" operator="equal">
      <formula>"Fail"</formula>
    </cfRule>
  </conditionalFormatting>
  <conditionalFormatting sqref="I761:P761">
    <cfRule type="cellIs" dxfId="12484" priority="12413" stopIfTrue="1" operator="equal">
      <formula>"Pass"</formula>
    </cfRule>
    <cfRule type="cellIs" dxfId="12483" priority="12414" stopIfTrue="1" operator="equal">
      <formula>"Fail"</formula>
    </cfRule>
  </conditionalFormatting>
  <conditionalFormatting sqref="H761:P761">
    <cfRule type="cellIs" dxfId="12482" priority="12411" stopIfTrue="1" operator="equal">
      <formula>"Pass"</formula>
    </cfRule>
    <cfRule type="cellIs" dxfId="12481" priority="12412" stopIfTrue="1" operator="equal">
      <formula>"Fail"</formula>
    </cfRule>
  </conditionalFormatting>
  <conditionalFormatting sqref="H761:P761">
    <cfRule type="cellIs" dxfId="12480" priority="12409" stopIfTrue="1" operator="equal">
      <formula>"Pass"</formula>
    </cfRule>
    <cfRule type="cellIs" dxfId="12479" priority="12410" stopIfTrue="1" operator="equal">
      <formula>"Fail"</formula>
    </cfRule>
  </conditionalFormatting>
  <conditionalFormatting sqref="I761:P761">
    <cfRule type="cellIs" dxfId="12478" priority="12407" stopIfTrue="1" operator="equal">
      <formula>"Pass"</formula>
    </cfRule>
    <cfRule type="cellIs" dxfId="12477" priority="12408" stopIfTrue="1" operator="equal">
      <formula>"Fail"</formula>
    </cfRule>
  </conditionalFormatting>
  <conditionalFormatting sqref="I761:P761">
    <cfRule type="cellIs" dxfId="12476" priority="12405" stopIfTrue="1" operator="equal">
      <formula>"Pass"</formula>
    </cfRule>
    <cfRule type="cellIs" dxfId="12475" priority="12406" stopIfTrue="1" operator="equal">
      <formula>"Fail"</formula>
    </cfRule>
  </conditionalFormatting>
  <conditionalFormatting sqref="I761:P761">
    <cfRule type="cellIs" dxfId="12474" priority="12403" stopIfTrue="1" operator="equal">
      <formula>"Pass"</formula>
    </cfRule>
    <cfRule type="cellIs" dxfId="12473" priority="12404" stopIfTrue="1" operator="equal">
      <formula>"Fail"</formula>
    </cfRule>
  </conditionalFormatting>
  <conditionalFormatting sqref="I761:P761">
    <cfRule type="cellIs" dxfId="12472" priority="12401" stopIfTrue="1" operator="equal">
      <formula>"Pass"</formula>
    </cfRule>
    <cfRule type="cellIs" dxfId="12471" priority="12402" stopIfTrue="1" operator="equal">
      <formula>"Fail"</formula>
    </cfRule>
  </conditionalFormatting>
  <conditionalFormatting sqref="H761:P761">
    <cfRule type="cellIs" dxfId="12470" priority="12399" stopIfTrue="1" operator="equal">
      <formula>"Pass"</formula>
    </cfRule>
    <cfRule type="cellIs" dxfId="12469" priority="12400" stopIfTrue="1" operator="equal">
      <formula>"Fail"</formula>
    </cfRule>
  </conditionalFormatting>
  <conditionalFormatting sqref="H761:P761">
    <cfRule type="cellIs" dxfId="12468" priority="12397" stopIfTrue="1" operator="equal">
      <formula>"Pass"</formula>
    </cfRule>
    <cfRule type="cellIs" dxfId="12467" priority="12398" stopIfTrue="1" operator="equal">
      <formula>"Fail"</formula>
    </cfRule>
  </conditionalFormatting>
  <conditionalFormatting sqref="I761:P761">
    <cfRule type="cellIs" dxfId="12466" priority="12395" stopIfTrue="1" operator="equal">
      <formula>"Pass"</formula>
    </cfRule>
    <cfRule type="cellIs" dxfId="12465" priority="12396" stopIfTrue="1" operator="equal">
      <formula>"Fail"</formula>
    </cfRule>
  </conditionalFormatting>
  <conditionalFormatting sqref="I761:P761">
    <cfRule type="cellIs" dxfId="12464" priority="12393" stopIfTrue="1" operator="equal">
      <formula>"Pass"</formula>
    </cfRule>
    <cfRule type="cellIs" dxfId="12463" priority="12394" stopIfTrue="1" operator="equal">
      <formula>"Fail"</formula>
    </cfRule>
  </conditionalFormatting>
  <conditionalFormatting sqref="I761:P761">
    <cfRule type="cellIs" dxfId="12462" priority="12391" stopIfTrue="1" operator="equal">
      <formula>"Pass"</formula>
    </cfRule>
    <cfRule type="cellIs" dxfId="12461" priority="12392" stopIfTrue="1" operator="equal">
      <formula>"Fail"</formula>
    </cfRule>
  </conditionalFormatting>
  <conditionalFormatting sqref="I761:P761">
    <cfRule type="cellIs" dxfId="12460" priority="12389" stopIfTrue="1" operator="equal">
      <formula>"Pass"</formula>
    </cfRule>
    <cfRule type="cellIs" dxfId="12459" priority="12390" stopIfTrue="1" operator="equal">
      <formula>"Fail"</formula>
    </cfRule>
  </conditionalFormatting>
  <conditionalFormatting sqref="H761:P761">
    <cfRule type="cellIs" dxfId="12458" priority="12387" stopIfTrue="1" operator="equal">
      <formula>"Pass"</formula>
    </cfRule>
    <cfRule type="cellIs" dxfId="12457" priority="12388" stopIfTrue="1" operator="equal">
      <formula>"Fail"</formula>
    </cfRule>
  </conditionalFormatting>
  <conditionalFormatting sqref="H761:P761">
    <cfRule type="cellIs" dxfId="12456" priority="12385" stopIfTrue="1" operator="equal">
      <formula>"Pass"</formula>
    </cfRule>
    <cfRule type="cellIs" dxfId="12455" priority="12386" stopIfTrue="1" operator="equal">
      <formula>"Fail"</formula>
    </cfRule>
  </conditionalFormatting>
  <conditionalFormatting sqref="I761:P761">
    <cfRule type="cellIs" dxfId="12454" priority="12383" stopIfTrue="1" operator="equal">
      <formula>"Pass"</formula>
    </cfRule>
    <cfRule type="cellIs" dxfId="12453" priority="12384" stopIfTrue="1" operator="equal">
      <formula>"Fail"</formula>
    </cfRule>
  </conditionalFormatting>
  <conditionalFormatting sqref="I761:P761">
    <cfRule type="cellIs" dxfId="12452" priority="12381" stopIfTrue="1" operator="equal">
      <formula>"Pass"</formula>
    </cfRule>
    <cfRule type="cellIs" dxfId="12451" priority="12382" stopIfTrue="1" operator="equal">
      <formula>"Fail"</formula>
    </cfRule>
  </conditionalFormatting>
  <conditionalFormatting sqref="I761:P761">
    <cfRule type="cellIs" dxfId="12450" priority="12379" stopIfTrue="1" operator="equal">
      <formula>"Pass"</formula>
    </cfRule>
    <cfRule type="cellIs" dxfId="12449" priority="12380" stopIfTrue="1" operator="equal">
      <formula>"Fail"</formula>
    </cfRule>
  </conditionalFormatting>
  <conditionalFormatting sqref="I761:P761">
    <cfRule type="cellIs" dxfId="12448" priority="12377" stopIfTrue="1" operator="equal">
      <formula>"Pass"</formula>
    </cfRule>
    <cfRule type="cellIs" dxfId="12447" priority="12378" stopIfTrue="1" operator="equal">
      <formula>"Fail"</formula>
    </cfRule>
  </conditionalFormatting>
  <conditionalFormatting sqref="H761:P761">
    <cfRule type="cellIs" dxfId="12446" priority="12375" stopIfTrue="1" operator="equal">
      <formula>"Pass"</formula>
    </cfRule>
    <cfRule type="cellIs" dxfId="12445" priority="12376" stopIfTrue="1" operator="equal">
      <formula>"Fail"</formula>
    </cfRule>
  </conditionalFormatting>
  <conditionalFormatting sqref="H761:P761">
    <cfRule type="cellIs" dxfId="12444" priority="12373" stopIfTrue="1" operator="equal">
      <formula>"Pass"</formula>
    </cfRule>
    <cfRule type="cellIs" dxfId="12443" priority="12374" stopIfTrue="1" operator="equal">
      <formula>"Fail"</formula>
    </cfRule>
  </conditionalFormatting>
  <conditionalFormatting sqref="I761:P761">
    <cfRule type="cellIs" dxfId="12442" priority="12371" stopIfTrue="1" operator="equal">
      <formula>"Pass"</formula>
    </cfRule>
    <cfRule type="cellIs" dxfId="12441" priority="12372" stopIfTrue="1" operator="equal">
      <formula>"Fail"</formula>
    </cfRule>
  </conditionalFormatting>
  <conditionalFormatting sqref="I761:P761">
    <cfRule type="cellIs" dxfId="12440" priority="12369" stopIfTrue="1" operator="equal">
      <formula>"Pass"</formula>
    </cfRule>
    <cfRule type="cellIs" dxfId="12439" priority="12370" stopIfTrue="1" operator="equal">
      <formula>"Fail"</formula>
    </cfRule>
  </conditionalFormatting>
  <conditionalFormatting sqref="I761:P761">
    <cfRule type="cellIs" dxfId="12438" priority="12367" stopIfTrue="1" operator="equal">
      <formula>"Pass"</formula>
    </cfRule>
    <cfRule type="cellIs" dxfId="12437" priority="12368" stopIfTrue="1" operator="equal">
      <formula>"Fail"</formula>
    </cfRule>
  </conditionalFormatting>
  <conditionalFormatting sqref="I761:P761">
    <cfRule type="cellIs" dxfId="12436" priority="12365" stopIfTrue="1" operator="equal">
      <formula>"Pass"</formula>
    </cfRule>
    <cfRule type="cellIs" dxfId="12435" priority="12366" stopIfTrue="1" operator="equal">
      <formula>"Fail"</formula>
    </cfRule>
  </conditionalFormatting>
  <conditionalFormatting sqref="H761:P761">
    <cfRule type="cellIs" dxfId="12434" priority="12363" stopIfTrue="1" operator="equal">
      <formula>"Pass"</formula>
    </cfRule>
    <cfRule type="cellIs" dxfId="12433" priority="12364" stopIfTrue="1" operator="equal">
      <formula>"Fail"</formula>
    </cfRule>
  </conditionalFormatting>
  <conditionalFormatting sqref="H761:P761">
    <cfRule type="cellIs" dxfId="12432" priority="12361" stopIfTrue="1" operator="equal">
      <formula>"Pass"</formula>
    </cfRule>
    <cfRule type="cellIs" dxfId="12431" priority="12362" stopIfTrue="1" operator="equal">
      <formula>"Fail"</formula>
    </cfRule>
  </conditionalFormatting>
  <conditionalFormatting sqref="I761:P761">
    <cfRule type="cellIs" dxfId="12430" priority="12359" stopIfTrue="1" operator="equal">
      <formula>"Pass"</formula>
    </cfRule>
    <cfRule type="cellIs" dxfId="12429" priority="12360" stopIfTrue="1" operator="equal">
      <formula>"Fail"</formula>
    </cfRule>
  </conditionalFormatting>
  <conditionalFormatting sqref="I761:P761">
    <cfRule type="cellIs" dxfId="12428" priority="12357" stopIfTrue="1" operator="equal">
      <formula>"Pass"</formula>
    </cfRule>
    <cfRule type="cellIs" dxfId="12427" priority="12358" stopIfTrue="1" operator="equal">
      <formula>"Fail"</formula>
    </cfRule>
  </conditionalFormatting>
  <conditionalFormatting sqref="I761:P761">
    <cfRule type="cellIs" dxfId="12426" priority="12355" stopIfTrue="1" operator="equal">
      <formula>"Pass"</formula>
    </cfRule>
    <cfRule type="cellIs" dxfId="12425" priority="12356" stopIfTrue="1" operator="equal">
      <formula>"Fail"</formula>
    </cfRule>
  </conditionalFormatting>
  <conditionalFormatting sqref="I761:P761">
    <cfRule type="cellIs" dxfId="12424" priority="12353" stopIfTrue="1" operator="equal">
      <formula>"Pass"</formula>
    </cfRule>
    <cfRule type="cellIs" dxfId="12423" priority="12354" stopIfTrue="1" operator="equal">
      <formula>"Fail"</formula>
    </cfRule>
  </conditionalFormatting>
  <conditionalFormatting sqref="H761:P761">
    <cfRule type="cellIs" dxfId="12422" priority="12351" stopIfTrue="1" operator="equal">
      <formula>"Pass"</formula>
    </cfRule>
    <cfRule type="cellIs" dxfId="12421" priority="12352" stopIfTrue="1" operator="equal">
      <formula>"Fail"</formula>
    </cfRule>
  </conditionalFormatting>
  <conditionalFormatting sqref="H761:P761">
    <cfRule type="cellIs" dxfId="12420" priority="12349" stopIfTrue="1" operator="equal">
      <formula>"Pass"</formula>
    </cfRule>
    <cfRule type="cellIs" dxfId="12419" priority="12350" stopIfTrue="1" operator="equal">
      <formula>"Fail"</formula>
    </cfRule>
  </conditionalFormatting>
  <conditionalFormatting sqref="I761:P761">
    <cfRule type="cellIs" dxfId="12418" priority="12347" stopIfTrue="1" operator="equal">
      <formula>"Pass"</formula>
    </cfRule>
    <cfRule type="cellIs" dxfId="12417" priority="12348" stopIfTrue="1" operator="equal">
      <formula>"Fail"</formula>
    </cfRule>
  </conditionalFormatting>
  <conditionalFormatting sqref="I761:P761">
    <cfRule type="cellIs" dxfId="12416" priority="12345" stopIfTrue="1" operator="equal">
      <formula>"Pass"</formula>
    </cfRule>
    <cfRule type="cellIs" dxfId="12415" priority="12346" stopIfTrue="1" operator="equal">
      <formula>"Fail"</formula>
    </cfRule>
  </conditionalFormatting>
  <conditionalFormatting sqref="I761:P761">
    <cfRule type="cellIs" dxfId="12414" priority="12343" stopIfTrue="1" operator="equal">
      <formula>"Pass"</formula>
    </cfRule>
    <cfRule type="cellIs" dxfId="12413" priority="12344" stopIfTrue="1" operator="equal">
      <formula>"Fail"</formula>
    </cfRule>
  </conditionalFormatting>
  <conditionalFormatting sqref="I761:P761">
    <cfRule type="cellIs" dxfId="12412" priority="12341" stopIfTrue="1" operator="equal">
      <formula>"Pass"</formula>
    </cfRule>
    <cfRule type="cellIs" dxfId="12411" priority="12342" stopIfTrue="1" operator="equal">
      <formula>"Fail"</formula>
    </cfRule>
  </conditionalFormatting>
  <conditionalFormatting sqref="H761:P761">
    <cfRule type="cellIs" dxfId="12410" priority="12339" stopIfTrue="1" operator="equal">
      <formula>"Pass"</formula>
    </cfRule>
    <cfRule type="cellIs" dxfId="12409" priority="12340" stopIfTrue="1" operator="equal">
      <formula>"Fail"</formula>
    </cfRule>
  </conditionalFormatting>
  <conditionalFormatting sqref="H761:P761">
    <cfRule type="cellIs" dxfId="12408" priority="12337" stopIfTrue="1" operator="equal">
      <formula>"Pass"</formula>
    </cfRule>
    <cfRule type="cellIs" dxfId="12407" priority="12338" stopIfTrue="1" operator="equal">
      <formula>"Fail"</formula>
    </cfRule>
  </conditionalFormatting>
  <conditionalFormatting sqref="I761:P761">
    <cfRule type="cellIs" dxfId="12406" priority="12335" stopIfTrue="1" operator="equal">
      <formula>"Pass"</formula>
    </cfRule>
    <cfRule type="cellIs" dxfId="12405" priority="12336" stopIfTrue="1" operator="equal">
      <formula>"Fail"</formula>
    </cfRule>
  </conditionalFormatting>
  <conditionalFormatting sqref="I761:P761">
    <cfRule type="cellIs" dxfId="12404" priority="12333" stopIfTrue="1" operator="equal">
      <formula>"Pass"</formula>
    </cfRule>
    <cfRule type="cellIs" dxfId="12403" priority="12334" stopIfTrue="1" operator="equal">
      <formula>"Fail"</formula>
    </cfRule>
  </conditionalFormatting>
  <conditionalFormatting sqref="I761:P761">
    <cfRule type="cellIs" dxfId="12402" priority="12331" stopIfTrue="1" operator="equal">
      <formula>"Pass"</formula>
    </cfRule>
    <cfRule type="cellIs" dxfId="12401" priority="12332" stopIfTrue="1" operator="equal">
      <formula>"Fail"</formula>
    </cfRule>
  </conditionalFormatting>
  <conditionalFormatting sqref="I761:P761">
    <cfRule type="cellIs" dxfId="12400" priority="12329" stopIfTrue="1" operator="equal">
      <formula>"Pass"</formula>
    </cfRule>
    <cfRule type="cellIs" dxfId="12399" priority="12330" stopIfTrue="1" operator="equal">
      <formula>"Fail"</formula>
    </cfRule>
  </conditionalFormatting>
  <conditionalFormatting sqref="H761:P761">
    <cfRule type="cellIs" dxfId="12398" priority="12327" stopIfTrue="1" operator="equal">
      <formula>"Pass"</formula>
    </cfRule>
    <cfRule type="cellIs" dxfId="12397" priority="12328" stopIfTrue="1" operator="equal">
      <formula>"Fail"</formula>
    </cfRule>
  </conditionalFormatting>
  <conditionalFormatting sqref="H761:P761">
    <cfRule type="cellIs" dxfId="12396" priority="12325" stopIfTrue="1" operator="equal">
      <formula>"Pass"</formula>
    </cfRule>
    <cfRule type="cellIs" dxfId="12395" priority="12326" stopIfTrue="1" operator="equal">
      <formula>"Fail"</formula>
    </cfRule>
  </conditionalFormatting>
  <conditionalFormatting sqref="I761:P761">
    <cfRule type="cellIs" dxfId="12394" priority="12323" stopIfTrue="1" operator="equal">
      <formula>"Pass"</formula>
    </cfRule>
    <cfRule type="cellIs" dxfId="12393" priority="12324" stopIfTrue="1" operator="equal">
      <formula>"Fail"</formula>
    </cfRule>
  </conditionalFormatting>
  <conditionalFormatting sqref="I761:P761">
    <cfRule type="cellIs" dxfId="12392" priority="12321" stopIfTrue="1" operator="equal">
      <formula>"Pass"</formula>
    </cfRule>
    <cfRule type="cellIs" dxfId="12391" priority="12322" stopIfTrue="1" operator="equal">
      <formula>"Fail"</formula>
    </cfRule>
  </conditionalFormatting>
  <conditionalFormatting sqref="I761:P761">
    <cfRule type="cellIs" dxfId="12390" priority="12319" stopIfTrue="1" operator="equal">
      <formula>"Pass"</formula>
    </cfRule>
    <cfRule type="cellIs" dxfId="12389" priority="12320" stopIfTrue="1" operator="equal">
      <formula>"Fail"</formula>
    </cfRule>
  </conditionalFormatting>
  <conditionalFormatting sqref="I761:P761">
    <cfRule type="cellIs" dxfId="12388" priority="12317" stopIfTrue="1" operator="equal">
      <formula>"Pass"</formula>
    </cfRule>
    <cfRule type="cellIs" dxfId="12387" priority="12318" stopIfTrue="1" operator="equal">
      <formula>"Fail"</formula>
    </cfRule>
  </conditionalFormatting>
  <conditionalFormatting sqref="H761:P761">
    <cfRule type="cellIs" dxfId="12386" priority="12315" stopIfTrue="1" operator="equal">
      <formula>"Pass"</formula>
    </cfRule>
    <cfRule type="cellIs" dxfId="12385" priority="12316" stopIfTrue="1" operator="equal">
      <formula>"Fail"</formula>
    </cfRule>
  </conditionalFormatting>
  <conditionalFormatting sqref="H761:P761">
    <cfRule type="cellIs" dxfId="12384" priority="12313" stopIfTrue="1" operator="equal">
      <formula>"Pass"</formula>
    </cfRule>
    <cfRule type="cellIs" dxfId="12383" priority="12314" stopIfTrue="1" operator="equal">
      <formula>"Fail"</formula>
    </cfRule>
  </conditionalFormatting>
  <conditionalFormatting sqref="I761:P761">
    <cfRule type="cellIs" dxfId="12382" priority="12311" stopIfTrue="1" operator="equal">
      <formula>"Pass"</formula>
    </cfRule>
    <cfRule type="cellIs" dxfId="12381" priority="12312" stopIfTrue="1" operator="equal">
      <formula>"Fail"</formula>
    </cfRule>
  </conditionalFormatting>
  <conditionalFormatting sqref="I761:P761">
    <cfRule type="cellIs" dxfId="12380" priority="12309" stopIfTrue="1" operator="equal">
      <formula>"Pass"</formula>
    </cfRule>
    <cfRule type="cellIs" dxfId="12379" priority="12310" stopIfTrue="1" operator="equal">
      <formula>"Fail"</formula>
    </cfRule>
  </conditionalFormatting>
  <conditionalFormatting sqref="I761:P761">
    <cfRule type="cellIs" dxfId="12378" priority="12307" stopIfTrue="1" operator="equal">
      <formula>"Pass"</formula>
    </cfRule>
    <cfRule type="cellIs" dxfId="12377" priority="12308" stopIfTrue="1" operator="equal">
      <formula>"Fail"</formula>
    </cfRule>
  </conditionalFormatting>
  <conditionalFormatting sqref="I761:P761">
    <cfRule type="cellIs" dxfId="12376" priority="12305" stopIfTrue="1" operator="equal">
      <formula>"Pass"</formula>
    </cfRule>
    <cfRule type="cellIs" dxfId="12375" priority="12306" stopIfTrue="1" operator="equal">
      <formula>"Fail"</formula>
    </cfRule>
  </conditionalFormatting>
  <conditionalFormatting sqref="H761:P761">
    <cfRule type="cellIs" dxfId="12374" priority="12303" stopIfTrue="1" operator="equal">
      <formula>"Pass"</formula>
    </cfRule>
    <cfRule type="cellIs" dxfId="12373" priority="12304" stopIfTrue="1" operator="equal">
      <formula>"Fail"</formula>
    </cfRule>
  </conditionalFormatting>
  <conditionalFormatting sqref="H761:P761">
    <cfRule type="cellIs" dxfId="12372" priority="12301" stopIfTrue="1" operator="equal">
      <formula>"Pass"</formula>
    </cfRule>
    <cfRule type="cellIs" dxfId="12371" priority="12302" stopIfTrue="1" operator="equal">
      <formula>"Fail"</formula>
    </cfRule>
  </conditionalFormatting>
  <conditionalFormatting sqref="I761:P761">
    <cfRule type="cellIs" dxfId="12370" priority="12299" stopIfTrue="1" operator="equal">
      <formula>"Pass"</formula>
    </cfRule>
    <cfRule type="cellIs" dxfId="12369" priority="12300" stopIfTrue="1" operator="equal">
      <formula>"Fail"</formula>
    </cfRule>
  </conditionalFormatting>
  <conditionalFormatting sqref="I761:P761">
    <cfRule type="cellIs" dxfId="12368" priority="12297" stopIfTrue="1" operator="equal">
      <formula>"Pass"</formula>
    </cfRule>
    <cfRule type="cellIs" dxfId="12367" priority="12298" stopIfTrue="1" operator="equal">
      <formula>"Fail"</formula>
    </cfRule>
  </conditionalFormatting>
  <conditionalFormatting sqref="I761:P761">
    <cfRule type="cellIs" dxfId="12366" priority="12295" stopIfTrue="1" operator="equal">
      <formula>"Pass"</formula>
    </cfRule>
    <cfRule type="cellIs" dxfId="12365" priority="12296" stopIfTrue="1" operator="equal">
      <formula>"Fail"</formula>
    </cfRule>
  </conditionalFormatting>
  <conditionalFormatting sqref="I761:P761">
    <cfRule type="cellIs" dxfId="12364" priority="12293" stopIfTrue="1" operator="equal">
      <formula>"Pass"</formula>
    </cfRule>
    <cfRule type="cellIs" dxfId="12363" priority="12294" stopIfTrue="1" operator="equal">
      <formula>"Fail"</formula>
    </cfRule>
  </conditionalFormatting>
  <conditionalFormatting sqref="E761">
    <cfRule type="cellIs" dxfId="12362" priority="12291" stopIfTrue="1" operator="equal">
      <formula>"Pass"</formula>
    </cfRule>
    <cfRule type="cellIs" dxfId="12361" priority="12292" stopIfTrue="1" operator="equal">
      <formula>"Fail"</formula>
    </cfRule>
  </conditionalFormatting>
  <conditionalFormatting sqref="E761">
    <cfRule type="cellIs" dxfId="12360" priority="12289" stopIfTrue="1" operator="equal">
      <formula>"Pass"</formula>
    </cfRule>
    <cfRule type="cellIs" dxfId="12359" priority="12290" stopIfTrue="1" operator="equal">
      <formula>"Fail"</formula>
    </cfRule>
  </conditionalFormatting>
  <conditionalFormatting sqref="E761">
    <cfRule type="cellIs" dxfId="12358" priority="12287" stopIfTrue="1" operator="equal">
      <formula>"Pass"</formula>
    </cfRule>
    <cfRule type="cellIs" dxfId="12357" priority="12288" stopIfTrue="1" operator="equal">
      <formula>"Fail"</formula>
    </cfRule>
  </conditionalFormatting>
  <conditionalFormatting sqref="E761">
    <cfRule type="cellIs" dxfId="12356" priority="12285" stopIfTrue="1" operator="equal">
      <formula>"Pass"</formula>
    </cfRule>
    <cfRule type="cellIs" dxfId="12355" priority="12286" stopIfTrue="1" operator="equal">
      <formula>"Fail"</formula>
    </cfRule>
  </conditionalFormatting>
  <conditionalFormatting sqref="E761">
    <cfRule type="cellIs" dxfId="12354" priority="12283" stopIfTrue="1" operator="equal">
      <formula>"Pass"</formula>
    </cfRule>
    <cfRule type="cellIs" dxfId="12353" priority="12284" stopIfTrue="1" operator="equal">
      <formula>"Fail"</formula>
    </cfRule>
  </conditionalFormatting>
  <conditionalFormatting sqref="E761">
    <cfRule type="cellIs" dxfId="12352" priority="12281" stopIfTrue="1" operator="equal">
      <formula>"Pass"</formula>
    </cfRule>
    <cfRule type="cellIs" dxfId="12351" priority="12282" stopIfTrue="1" operator="equal">
      <formula>"Fail"</formula>
    </cfRule>
  </conditionalFormatting>
  <conditionalFormatting sqref="H761:P761">
    <cfRule type="cellIs" dxfId="12350" priority="12279" stopIfTrue="1" operator="equal">
      <formula>"Pass"</formula>
    </cfRule>
    <cfRule type="cellIs" dxfId="12349" priority="12280" stopIfTrue="1" operator="equal">
      <formula>"Fail"</formula>
    </cfRule>
  </conditionalFormatting>
  <conditionalFormatting sqref="H761:P761">
    <cfRule type="cellIs" dxfId="12348" priority="12277" stopIfTrue="1" operator="equal">
      <formula>"Pass"</formula>
    </cfRule>
    <cfRule type="cellIs" dxfId="12347" priority="12278" stopIfTrue="1" operator="equal">
      <formula>"Fail"</formula>
    </cfRule>
  </conditionalFormatting>
  <conditionalFormatting sqref="I761:P761">
    <cfRule type="cellIs" dxfId="12346" priority="12275" stopIfTrue="1" operator="equal">
      <formula>"Pass"</formula>
    </cfRule>
    <cfRule type="cellIs" dxfId="12345" priority="12276" stopIfTrue="1" operator="equal">
      <formula>"Fail"</formula>
    </cfRule>
  </conditionalFormatting>
  <conditionalFormatting sqref="I761:P761">
    <cfRule type="cellIs" dxfId="12344" priority="12273" stopIfTrue="1" operator="equal">
      <formula>"Pass"</formula>
    </cfRule>
    <cfRule type="cellIs" dxfId="12343" priority="12274" stopIfTrue="1" operator="equal">
      <formula>"Fail"</formula>
    </cfRule>
  </conditionalFormatting>
  <conditionalFormatting sqref="I761:P761">
    <cfRule type="cellIs" dxfId="12342" priority="12271" stopIfTrue="1" operator="equal">
      <formula>"Pass"</formula>
    </cfRule>
    <cfRule type="cellIs" dxfId="12341" priority="12272" stopIfTrue="1" operator="equal">
      <formula>"Fail"</formula>
    </cfRule>
  </conditionalFormatting>
  <conditionalFormatting sqref="I761:P761">
    <cfRule type="cellIs" dxfId="12340" priority="12269" stopIfTrue="1" operator="equal">
      <formula>"Pass"</formula>
    </cfRule>
    <cfRule type="cellIs" dxfId="12339" priority="12270" stopIfTrue="1" operator="equal">
      <formula>"Fail"</formula>
    </cfRule>
  </conditionalFormatting>
  <conditionalFormatting sqref="H761:P761">
    <cfRule type="cellIs" dxfId="12338" priority="12267" stopIfTrue="1" operator="equal">
      <formula>"Pass"</formula>
    </cfRule>
    <cfRule type="cellIs" dxfId="12337" priority="12268" stopIfTrue="1" operator="equal">
      <formula>"Fail"</formula>
    </cfRule>
  </conditionalFormatting>
  <conditionalFormatting sqref="H761:P761">
    <cfRule type="cellIs" dxfId="12336" priority="12265" stopIfTrue="1" operator="equal">
      <formula>"Pass"</formula>
    </cfRule>
    <cfRule type="cellIs" dxfId="12335" priority="12266" stopIfTrue="1" operator="equal">
      <formula>"Fail"</formula>
    </cfRule>
  </conditionalFormatting>
  <conditionalFormatting sqref="I761:P761">
    <cfRule type="cellIs" dxfId="12334" priority="12263" stopIfTrue="1" operator="equal">
      <formula>"Pass"</formula>
    </cfRule>
    <cfRule type="cellIs" dxfId="12333" priority="12264" stopIfTrue="1" operator="equal">
      <formula>"Fail"</formula>
    </cfRule>
  </conditionalFormatting>
  <conditionalFormatting sqref="I761:P761">
    <cfRule type="cellIs" dxfId="12332" priority="12261" stopIfTrue="1" operator="equal">
      <formula>"Pass"</formula>
    </cfRule>
    <cfRule type="cellIs" dxfId="12331" priority="12262" stopIfTrue="1" operator="equal">
      <formula>"Fail"</formula>
    </cfRule>
  </conditionalFormatting>
  <conditionalFormatting sqref="I761:P761">
    <cfRule type="cellIs" dxfId="12330" priority="12259" stopIfTrue="1" operator="equal">
      <formula>"Pass"</formula>
    </cfRule>
    <cfRule type="cellIs" dxfId="12329" priority="12260" stopIfTrue="1" operator="equal">
      <formula>"Fail"</formula>
    </cfRule>
  </conditionalFormatting>
  <conditionalFormatting sqref="I761:P761">
    <cfRule type="cellIs" dxfId="12328" priority="12257" stopIfTrue="1" operator="equal">
      <formula>"Pass"</formula>
    </cfRule>
    <cfRule type="cellIs" dxfId="12327" priority="12258" stopIfTrue="1" operator="equal">
      <formula>"Fail"</formula>
    </cfRule>
  </conditionalFormatting>
  <conditionalFormatting sqref="H761:P761">
    <cfRule type="cellIs" dxfId="12326" priority="12255" stopIfTrue="1" operator="equal">
      <formula>"Pass"</formula>
    </cfRule>
    <cfRule type="cellIs" dxfId="12325" priority="12256" stopIfTrue="1" operator="equal">
      <formula>"Fail"</formula>
    </cfRule>
  </conditionalFormatting>
  <conditionalFormatting sqref="H761:P761">
    <cfRule type="cellIs" dxfId="12324" priority="12253" stopIfTrue="1" operator="equal">
      <formula>"Pass"</formula>
    </cfRule>
    <cfRule type="cellIs" dxfId="12323" priority="12254" stopIfTrue="1" operator="equal">
      <formula>"Fail"</formula>
    </cfRule>
  </conditionalFormatting>
  <conditionalFormatting sqref="I761:P761">
    <cfRule type="cellIs" dxfId="12322" priority="12251" stopIfTrue="1" operator="equal">
      <formula>"Pass"</formula>
    </cfRule>
    <cfRule type="cellIs" dxfId="12321" priority="12252" stopIfTrue="1" operator="equal">
      <formula>"Fail"</formula>
    </cfRule>
  </conditionalFormatting>
  <conditionalFormatting sqref="I761:P761">
    <cfRule type="cellIs" dxfId="12320" priority="12249" stopIfTrue="1" operator="equal">
      <formula>"Pass"</formula>
    </cfRule>
    <cfRule type="cellIs" dxfId="12319" priority="12250" stopIfTrue="1" operator="equal">
      <formula>"Fail"</formula>
    </cfRule>
  </conditionalFormatting>
  <conditionalFormatting sqref="I761:P761">
    <cfRule type="cellIs" dxfId="12318" priority="12247" stopIfTrue="1" operator="equal">
      <formula>"Pass"</formula>
    </cfRule>
    <cfRule type="cellIs" dxfId="12317" priority="12248" stopIfTrue="1" operator="equal">
      <formula>"Fail"</formula>
    </cfRule>
  </conditionalFormatting>
  <conditionalFormatting sqref="I761:P761">
    <cfRule type="cellIs" dxfId="12316" priority="12245" stopIfTrue="1" operator="equal">
      <formula>"Pass"</formula>
    </cfRule>
    <cfRule type="cellIs" dxfId="12315" priority="12246" stopIfTrue="1" operator="equal">
      <formula>"Fail"</formula>
    </cfRule>
  </conditionalFormatting>
  <conditionalFormatting sqref="H761:P761">
    <cfRule type="cellIs" dxfId="12314" priority="12243" stopIfTrue="1" operator="equal">
      <formula>"Pass"</formula>
    </cfRule>
    <cfRule type="cellIs" dxfId="12313" priority="12244" stopIfTrue="1" operator="equal">
      <formula>"Fail"</formula>
    </cfRule>
  </conditionalFormatting>
  <conditionalFormatting sqref="H761:P761">
    <cfRule type="cellIs" dxfId="12312" priority="12241" stopIfTrue="1" operator="equal">
      <formula>"Pass"</formula>
    </cfRule>
    <cfRule type="cellIs" dxfId="12311" priority="12242" stopIfTrue="1" operator="equal">
      <formula>"Fail"</formula>
    </cfRule>
  </conditionalFormatting>
  <conditionalFormatting sqref="I761:P761">
    <cfRule type="cellIs" dxfId="12310" priority="12239" stopIfTrue="1" operator="equal">
      <formula>"Pass"</formula>
    </cfRule>
    <cfRule type="cellIs" dxfId="12309" priority="12240" stopIfTrue="1" operator="equal">
      <formula>"Fail"</formula>
    </cfRule>
  </conditionalFormatting>
  <conditionalFormatting sqref="I761:P761">
    <cfRule type="cellIs" dxfId="12308" priority="12237" stopIfTrue="1" operator="equal">
      <formula>"Pass"</formula>
    </cfRule>
    <cfRule type="cellIs" dxfId="12307" priority="12238" stopIfTrue="1" operator="equal">
      <formula>"Fail"</formula>
    </cfRule>
  </conditionalFormatting>
  <conditionalFormatting sqref="I761:P761">
    <cfRule type="cellIs" dxfId="12306" priority="12235" stopIfTrue="1" operator="equal">
      <formula>"Pass"</formula>
    </cfRule>
    <cfRule type="cellIs" dxfId="12305" priority="12236" stopIfTrue="1" operator="equal">
      <formula>"Fail"</formula>
    </cfRule>
  </conditionalFormatting>
  <conditionalFormatting sqref="I761:P761">
    <cfRule type="cellIs" dxfId="12304" priority="12233" stopIfTrue="1" operator="equal">
      <formula>"Pass"</formula>
    </cfRule>
    <cfRule type="cellIs" dxfId="12303" priority="12234" stopIfTrue="1" operator="equal">
      <formula>"Fail"</formula>
    </cfRule>
  </conditionalFormatting>
  <conditionalFormatting sqref="H761:P761">
    <cfRule type="cellIs" dxfId="12302" priority="12231" stopIfTrue="1" operator="equal">
      <formula>"Pass"</formula>
    </cfRule>
    <cfRule type="cellIs" dxfId="12301" priority="12232" stopIfTrue="1" operator="equal">
      <formula>"Fail"</formula>
    </cfRule>
  </conditionalFormatting>
  <conditionalFormatting sqref="H761:P761">
    <cfRule type="cellIs" dxfId="12300" priority="12229" stopIfTrue="1" operator="equal">
      <formula>"Pass"</formula>
    </cfRule>
    <cfRule type="cellIs" dxfId="12299" priority="12230" stopIfTrue="1" operator="equal">
      <formula>"Fail"</formula>
    </cfRule>
  </conditionalFormatting>
  <conditionalFormatting sqref="I761:P761">
    <cfRule type="cellIs" dxfId="12298" priority="12227" stopIfTrue="1" operator="equal">
      <formula>"Pass"</formula>
    </cfRule>
    <cfRule type="cellIs" dxfId="12297" priority="12228" stopIfTrue="1" operator="equal">
      <formula>"Fail"</formula>
    </cfRule>
  </conditionalFormatting>
  <conditionalFormatting sqref="I761:P761">
    <cfRule type="cellIs" dxfId="12296" priority="12225" stopIfTrue="1" operator="equal">
      <formula>"Pass"</formula>
    </cfRule>
    <cfRule type="cellIs" dxfId="12295" priority="12226" stopIfTrue="1" operator="equal">
      <formula>"Fail"</formula>
    </cfRule>
  </conditionalFormatting>
  <conditionalFormatting sqref="I761:P761">
    <cfRule type="cellIs" dxfId="12294" priority="12223" stopIfTrue="1" operator="equal">
      <formula>"Pass"</formula>
    </cfRule>
    <cfRule type="cellIs" dxfId="12293" priority="12224" stopIfTrue="1" operator="equal">
      <formula>"Fail"</formula>
    </cfRule>
  </conditionalFormatting>
  <conditionalFormatting sqref="I761:P761">
    <cfRule type="cellIs" dxfId="12292" priority="12221" stopIfTrue="1" operator="equal">
      <formula>"Pass"</formula>
    </cfRule>
    <cfRule type="cellIs" dxfId="12291" priority="12222" stopIfTrue="1" operator="equal">
      <formula>"Fail"</formula>
    </cfRule>
  </conditionalFormatting>
  <conditionalFormatting sqref="H761:P761">
    <cfRule type="cellIs" dxfId="12290" priority="12219" stopIfTrue="1" operator="equal">
      <formula>"Pass"</formula>
    </cfRule>
    <cfRule type="cellIs" dxfId="12289" priority="12220" stopIfTrue="1" operator="equal">
      <formula>"Fail"</formula>
    </cfRule>
  </conditionalFormatting>
  <conditionalFormatting sqref="H761:P761">
    <cfRule type="cellIs" dxfId="12288" priority="12217" stopIfTrue="1" operator="equal">
      <formula>"Pass"</formula>
    </cfRule>
    <cfRule type="cellIs" dxfId="12287" priority="12218" stopIfTrue="1" operator="equal">
      <formula>"Fail"</formula>
    </cfRule>
  </conditionalFormatting>
  <conditionalFormatting sqref="I761:P761">
    <cfRule type="cellIs" dxfId="12286" priority="12215" stopIfTrue="1" operator="equal">
      <formula>"Pass"</formula>
    </cfRule>
    <cfRule type="cellIs" dxfId="12285" priority="12216" stopIfTrue="1" operator="equal">
      <formula>"Fail"</formula>
    </cfRule>
  </conditionalFormatting>
  <conditionalFormatting sqref="I761:P761">
    <cfRule type="cellIs" dxfId="12284" priority="12213" stopIfTrue="1" operator="equal">
      <formula>"Pass"</formula>
    </cfRule>
    <cfRule type="cellIs" dxfId="12283" priority="12214" stopIfTrue="1" operator="equal">
      <formula>"Fail"</formula>
    </cfRule>
  </conditionalFormatting>
  <conditionalFormatting sqref="I761:P761">
    <cfRule type="cellIs" dxfId="12282" priority="12211" stopIfTrue="1" operator="equal">
      <formula>"Pass"</formula>
    </cfRule>
    <cfRule type="cellIs" dxfId="12281" priority="12212" stopIfTrue="1" operator="equal">
      <formula>"Fail"</formula>
    </cfRule>
  </conditionalFormatting>
  <conditionalFormatting sqref="I761:P761">
    <cfRule type="cellIs" dxfId="12280" priority="12209" stopIfTrue="1" operator="equal">
      <formula>"Pass"</formula>
    </cfRule>
    <cfRule type="cellIs" dxfId="12279" priority="12210" stopIfTrue="1" operator="equal">
      <formula>"Fail"</formula>
    </cfRule>
  </conditionalFormatting>
  <conditionalFormatting sqref="H761:P761">
    <cfRule type="cellIs" dxfId="12278" priority="12207" stopIfTrue="1" operator="equal">
      <formula>"Pass"</formula>
    </cfRule>
    <cfRule type="cellIs" dxfId="12277" priority="12208" stopIfTrue="1" operator="equal">
      <formula>"Fail"</formula>
    </cfRule>
  </conditionalFormatting>
  <conditionalFormatting sqref="H761:P761">
    <cfRule type="cellIs" dxfId="12276" priority="12205" stopIfTrue="1" operator="equal">
      <formula>"Pass"</formula>
    </cfRule>
    <cfRule type="cellIs" dxfId="12275" priority="12206" stopIfTrue="1" operator="equal">
      <formula>"Fail"</formula>
    </cfRule>
  </conditionalFormatting>
  <conditionalFormatting sqref="I761:P761">
    <cfRule type="cellIs" dxfId="12274" priority="12203" stopIfTrue="1" operator="equal">
      <formula>"Pass"</formula>
    </cfRule>
    <cfRule type="cellIs" dxfId="12273" priority="12204" stopIfTrue="1" operator="equal">
      <formula>"Fail"</formula>
    </cfRule>
  </conditionalFormatting>
  <conditionalFormatting sqref="I761:P761">
    <cfRule type="cellIs" dxfId="12272" priority="12201" stopIfTrue="1" operator="equal">
      <formula>"Pass"</formula>
    </cfRule>
    <cfRule type="cellIs" dxfId="12271" priority="12202" stopIfTrue="1" operator="equal">
      <formula>"Fail"</formula>
    </cfRule>
  </conditionalFormatting>
  <conditionalFormatting sqref="I761:P761">
    <cfRule type="cellIs" dxfId="12270" priority="12199" stopIfTrue="1" operator="equal">
      <formula>"Pass"</formula>
    </cfRule>
    <cfRule type="cellIs" dxfId="12269" priority="12200" stopIfTrue="1" operator="equal">
      <formula>"Fail"</formula>
    </cfRule>
  </conditionalFormatting>
  <conditionalFormatting sqref="I761:P761">
    <cfRule type="cellIs" dxfId="12268" priority="12197" stopIfTrue="1" operator="equal">
      <formula>"Pass"</formula>
    </cfRule>
    <cfRule type="cellIs" dxfId="12267" priority="12198" stopIfTrue="1" operator="equal">
      <formula>"Fail"</formula>
    </cfRule>
  </conditionalFormatting>
  <conditionalFormatting sqref="H761:P761">
    <cfRule type="cellIs" dxfId="12266" priority="12195" stopIfTrue="1" operator="equal">
      <formula>"Pass"</formula>
    </cfRule>
    <cfRule type="cellIs" dxfId="12265" priority="12196" stopIfTrue="1" operator="equal">
      <formula>"Fail"</formula>
    </cfRule>
  </conditionalFormatting>
  <conditionalFormatting sqref="H761:P761">
    <cfRule type="cellIs" dxfId="12264" priority="12193" stopIfTrue="1" operator="equal">
      <formula>"Pass"</formula>
    </cfRule>
    <cfRule type="cellIs" dxfId="12263" priority="12194" stopIfTrue="1" operator="equal">
      <formula>"Fail"</formula>
    </cfRule>
  </conditionalFormatting>
  <conditionalFormatting sqref="I761:P761">
    <cfRule type="cellIs" dxfId="12262" priority="12191" stopIfTrue="1" operator="equal">
      <formula>"Pass"</formula>
    </cfRule>
    <cfRule type="cellIs" dxfId="12261" priority="12192" stopIfTrue="1" operator="equal">
      <formula>"Fail"</formula>
    </cfRule>
  </conditionalFormatting>
  <conditionalFormatting sqref="I761:P761">
    <cfRule type="cellIs" dxfId="12260" priority="12189" stopIfTrue="1" operator="equal">
      <formula>"Pass"</formula>
    </cfRule>
    <cfRule type="cellIs" dxfId="12259" priority="12190" stopIfTrue="1" operator="equal">
      <formula>"Fail"</formula>
    </cfRule>
  </conditionalFormatting>
  <conditionalFormatting sqref="I761:P761">
    <cfRule type="cellIs" dxfId="12258" priority="12187" stopIfTrue="1" operator="equal">
      <formula>"Pass"</formula>
    </cfRule>
    <cfRule type="cellIs" dxfId="12257" priority="12188" stopIfTrue="1" operator="equal">
      <formula>"Fail"</formula>
    </cfRule>
  </conditionalFormatting>
  <conditionalFormatting sqref="I761:P761">
    <cfRule type="cellIs" dxfId="12256" priority="12185" stopIfTrue="1" operator="equal">
      <formula>"Pass"</formula>
    </cfRule>
    <cfRule type="cellIs" dxfId="12255" priority="12186" stopIfTrue="1" operator="equal">
      <formula>"Fail"</formula>
    </cfRule>
  </conditionalFormatting>
  <conditionalFormatting sqref="H761:O761">
    <cfRule type="cellIs" dxfId="12254" priority="12183" stopIfTrue="1" operator="equal">
      <formula>"Pass"</formula>
    </cfRule>
    <cfRule type="cellIs" dxfId="12253" priority="12184" stopIfTrue="1" operator="equal">
      <formula>"Fail"</formula>
    </cfRule>
  </conditionalFormatting>
  <conditionalFormatting sqref="H761:O761">
    <cfRule type="cellIs" dxfId="12252" priority="12181" stopIfTrue="1" operator="equal">
      <formula>"Pass"</formula>
    </cfRule>
    <cfRule type="cellIs" dxfId="12251" priority="12182" stopIfTrue="1" operator="equal">
      <formula>"Fail"</formula>
    </cfRule>
  </conditionalFormatting>
  <conditionalFormatting sqref="I761:P761">
    <cfRule type="cellIs" dxfId="12250" priority="12179" stopIfTrue="1" operator="equal">
      <formula>"Pass"</formula>
    </cfRule>
    <cfRule type="cellIs" dxfId="12249" priority="12180" stopIfTrue="1" operator="equal">
      <formula>"Fail"</formula>
    </cfRule>
  </conditionalFormatting>
  <conditionalFormatting sqref="I761:P761">
    <cfRule type="cellIs" dxfId="12248" priority="12177" stopIfTrue="1" operator="equal">
      <formula>"Pass"</formula>
    </cfRule>
    <cfRule type="cellIs" dxfId="12247" priority="12178" stopIfTrue="1" operator="equal">
      <formula>"Fail"</formula>
    </cfRule>
  </conditionalFormatting>
  <conditionalFormatting sqref="I761:P761">
    <cfRule type="cellIs" dxfId="12246" priority="12175" stopIfTrue="1" operator="equal">
      <formula>"Pass"</formula>
    </cfRule>
    <cfRule type="cellIs" dxfId="12245" priority="12176" stopIfTrue="1" operator="equal">
      <formula>"Fail"</formula>
    </cfRule>
  </conditionalFormatting>
  <conditionalFormatting sqref="I761:P761">
    <cfRule type="cellIs" dxfId="12244" priority="12173" stopIfTrue="1" operator="equal">
      <formula>"Pass"</formula>
    </cfRule>
    <cfRule type="cellIs" dxfId="12243" priority="12174" stopIfTrue="1" operator="equal">
      <formula>"Fail"</formula>
    </cfRule>
  </conditionalFormatting>
  <conditionalFormatting sqref="H761:O761">
    <cfRule type="cellIs" dxfId="12242" priority="12171" stopIfTrue="1" operator="equal">
      <formula>"Pass"</formula>
    </cfRule>
    <cfRule type="cellIs" dxfId="12241" priority="12172" stopIfTrue="1" operator="equal">
      <formula>"Fail"</formula>
    </cfRule>
  </conditionalFormatting>
  <conditionalFormatting sqref="H761:O761">
    <cfRule type="cellIs" dxfId="12240" priority="12169" stopIfTrue="1" operator="equal">
      <formula>"Pass"</formula>
    </cfRule>
    <cfRule type="cellIs" dxfId="12239" priority="12170" stopIfTrue="1" operator="equal">
      <formula>"Fail"</formula>
    </cfRule>
  </conditionalFormatting>
  <conditionalFormatting sqref="I761:P761">
    <cfRule type="cellIs" dxfId="12238" priority="12167" stopIfTrue="1" operator="equal">
      <formula>"Pass"</formula>
    </cfRule>
    <cfRule type="cellIs" dxfId="12237" priority="12168" stopIfTrue="1" operator="equal">
      <formula>"Fail"</formula>
    </cfRule>
  </conditionalFormatting>
  <conditionalFormatting sqref="I761:P761">
    <cfRule type="cellIs" dxfId="12236" priority="12165" stopIfTrue="1" operator="equal">
      <formula>"Pass"</formula>
    </cfRule>
    <cfRule type="cellIs" dxfId="12235" priority="12166" stopIfTrue="1" operator="equal">
      <formula>"Fail"</formula>
    </cfRule>
  </conditionalFormatting>
  <conditionalFormatting sqref="I761:P761">
    <cfRule type="cellIs" dxfId="12234" priority="12163" stopIfTrue="1" operator="equal">
      <formula>"Pass"</formula>
    </cfRule>
    <cfRule type="cellIs" dxfId="12233" priority="12164" stopIfTrue="1" operator="equal">
      <formula>"Fail"</formula>
    </cfRule>
  </conditionalFormatting>
  <conditionalFormatting sqref="I761:P761">
    <cfRule type="cellIs" dxfId="12232" priority="12161" stopIfTrue="1" operator="equal">
      <formula>"Pass"</formula>
    </cfRule>
    <cfRule type="cellIs" dxfId="12231" priority="12162" stopIfTrue="1" operator="equal">
      <formula>"Fail"</formula>
    </cfRule>
  </conditionalFormatting>
  <conditionalFormatting sqref="H761:P761">
    <cfRule type="cellIs" dxfId="12230" priority="12159" stopIfTrue="1" operator="equal">
      <formula>"Pass"</formula>
    </cfRule>
    <cfRule type="cellIs" dxfId="12229" priority="12160" stopIfTrue="1" operator="equal">
      <formula>"Fail"</formula>
    </cfRule>
  </conditionalFormatting>
  <conditionalFormatting sqref="H761:P761">
    <cfRule type="cellIs" dxfId="12228" priority="12157" stopIfTrue="1" operator="equal">
      <formula>"Pass"</formula>
    </cfRule>
    <cfRule type="cellIs" dxfId="12227" priority="12158" stopIfTrue="1" operator="equal">
      <formula>"Fail"</formula>
    </cfRule>
  </conditionalFormatting>
  <conditionalFormatting sqref="I761:P761">
    <cfRule type="cellIs" dxfId="12226" priority="12155" stopIfTrue="1" operator="equal">
      <formula>"Pass"</formula>
    </cfRule>
    <cfRule type="cellIs" dxfId="12225" priority="12156" stopIfTrue="1" operator="equal">
      <formula>"Fail"</formula>
    </cfRule>
  </conditionalFormatting>
  <conditionalFormatting sqref="I761:P761">
    <cfRule type="cellIs" dxfId="12224" priority="12153" stopIfTrue="1" operator="equal">
      <formula>"Pass"</formula>
    </cfRule>
    <cfRule type="cellIs" dxfId="12223" priority="12154" stopIfTrue="1" operator="equal">
      <formula>"Fail"</formula>
    </cfRule>
  </conditionalFormatting>
  <conditionalFormatting sqref="I761:P761">
    <cfRule type="cellIs" dxfId="12222" priority="12151" stopIfTrue="1" operator="equal">
      <formula>"Pass"</formula>
    </cfRule>
    <cfRule type="cellIs" dxfId="12221" priority="12152" stopIfTrue="1" operator="equal">
      <formula>"Fail"</formula>
    </cfRule>
  </conditionalFormatting>
  <conditionalFormatting sqref="I761:P761">
    <cfRule type="cellIs" dxfId="12220" priority="12149" stopIfTrue="1" operator="equal">
      <formula>"Pass"</formula>
    </cfRule>
    <cfRule type="cellIs" dxfId="12219" priority="12150" stopIfTrue="1" operator="equal">
      <formula>"Fail"</formula>
    </cfRule>
  </conditionalFormatting>
  <conditionalFormatting sqref="H761:P761">
    <cfRule type="cellIs" dxfId="12218" priority="12147" stopIfTrue="1" operator="equal">
      <formula>"Pass"</formula>
    </cfRule>
    <cfRule type="cellIs" dxfId="12217" priority="12148" stopIfTrue="1" operator="equal">
      <formula>"Fail"</formula>
    </cfRule>
  </conditionalFormatting>
  <conditionalFormatting sqref="H761:P761">
    <cfRule type="cellIs" dxfId="12216" priority="12145" stopIfTrue="1" operator="equal">
      <formula>"Pass"</formula>
    </cfRule>
    <cfRule type="cellIs" dxfId="12215" priority="12146" stopIfTrue="1" operator="equal">
      <formula>"Fail"</formula>
    </cfRule>
  </conditionalFormatting>
  <conditionalFormatting sqref="I761:P761">
    <cfRule type="cellIs" dxfId="12214" priority="12143" stopIfTrue="1" operator="equal">
      <formula>"Pass"</formula>
    </cfRule>
    <cfRule type="cellIs" dxfId="12213" priority="12144" stopIfTrue="1" operator="equal">
      <formula>"Fail"</formula>
    </cfRule>
  </conditionalFormatting>
  <conditionalFormatting sqref="I761:P761">
    <cfRule type="cellIs" dxfId="12212" priority="12141" stopIfTrue="1" operator="equal">
      <formula>"Pass"</formula>
    </cfRule>
    <cfRule type="cellIs" dxfId="12211" priority="12142" stopIfTrue="1" operator="equal">
      <formula>"Fail"</formula>
    </cfRule>
  </conditionalFormatting>
  <conditionalFormatting sqref="I761:P761">
    <cfRule type="cellIs" dxfId="12210" priority="12139" stopIfTrue="1" operator="equal">
      <formula>"Pass"</formula>
    </cfRule>
    <cfRule type="cellIs" dxfId="12209" priority="12140" stopIfTrue="1" operator="equal">
      <formula>"Fail"</formula>
    </cfRule>
  </conditionalFormatting>
  <conditionalFormatting sqref="I761:P761">
    <cfRule type="cellIs" dxfId="12208" priority="12137" stopIfTrue="1" operator="equal">
      <formula>"Pass"</formula>
    </cfRule>
    <cfRule type="cellIs" dxfId="12207" priority="12138" stopIfTrue="1" operator="equal">
      <formula>"Fail"</formula>
    </cfRule>
  </conditionalFormatting>
  <conditionalFormatting sqref="H761:P761">
    <cfRule type="cellIs" dxfId="12206" priority="12135" stopIfTrue="1" operator="equal">
      <formula>"Pass"</formula>
    </cfRule>
    <cfRule type="cellIs" dxfId="12205" priority="12136" stopIfTrue="1" operator="equal">
      <formula>"Fail"</formula>
    </cfRule>
  </conditionalFormatting>
  <conditionalFormatting sqref="H761:P761">
    <cfRule type="cellIs" dxfId="12204" priority="12133" stopIfTrue="1" operator="equal">
      <formula>"Pass"</formula>
    </cfRule>
    <cfRule type="cellIs" dxfId="12203" priority="12134" stopIfTrue="1" operator="equal">
      <formula>"Fail"</formula>
    </cfRule>
  </conditionalFormatting>
  <conditionalFormatting sqref="I761:P761">
    <cfRule type="cellIs" dxfId="12202" priority="12131" stopIfTrue="1" operator="equal">
      <formula>"Pass"</formula>
    </cfRule>
    <cfRule type="cellIs" dxfId="12201" priority="12132" stopIfTrue="1" operator="equal">
      <formula>"Fail"</formula>
    </cfRule>
  </conditionalFormatting>
  <conditionalFormatting sqref="I761:P761">
    <cfRule type="cellIs" dxfId="12200" priority="12129" stopIfTrue="1" operator="equal">
      <formula>"Pass"</formula>
    </cfRule>
    <cfRule type="cellIs" dxfId="12199" priority="12130" stopIfTrue="1" operator="equal">
      <formula>"Fail"</formula>
    </cfRule>
  </conditionalFormatting>
  <conditionalFormatting sqref="I761:P761">
    <cfRule type="cellIs" dxfId="12198" priority="12127" stopIfTrue="1" operator="equal">
      <formula>"Pass"</formula>
    </cfRule>
    <cfRule type="cellIs" dxfId="12197" priority="12128" stopIfTrue="1" operator="equal">
      <formula>"Fail"</formula>
    </cfRule>
  </conditionalFormatting>
  <conditionalFormatting sqref="I761:P761">
    <cfRule type="cellIs" dxfId="12196" priority="12125" stopIfTrue="1" operator="equal">
      <formula>"Pass"</formula>
    </cfRule>
    <cfRule type="cellIs" dxfId="12195" priority="12126" stopIfTrue="1" operator="equal">
      <formula>"Fail"</formula>
    </cfRule>
  </conditionalFormatting>
  <conditionalFormatting sqref="H761:P761">
    <cfRule type="cellIs" dxfId="12194" priority="12123" stopIfTrue="1" operator="equal">
      <formula>"Pass"</formula>
    </cfRule>
    <cfRule type="cellIs" dxfId="12193" priority="12124" stopIfTrue="1" operator="equal">
      <formula>"Fail"</formula>
    </cfRule>
  </conditionalFormatting>
  <conditionalFormatting sqref="H761:P761">
    <cfRule type="cellIs" dxfId="12192" priority="12121" stopIfTrue="1" operator="equal">
      <formula>"Pass"</formula>
    </cfRule>
    <cfRule type="cellIs" dxfId="12191" priority="12122" stopIfTrue="1" operator="equal">
      <formula>"Fail"</formula>
    </cfRule>
  </conditionalFormatting>
  <conditionalFormatting sqref="I761:P761">
    <cfRule type="cellIs" dxfId="12190" priority="12119" stopIfTrue="1" operator="equal">
      <formula>"Pass"</formula>
    </cfRule>
    <cfRule type="cellIs" dxfId="12189" priority="12120" stopIfTrue="1" operator="equal">
      <formula>"Fail"</formula>
    </cfRule>
  </conditionalFormatting>
  <conditionalFormatting sqref="I761:P761">
    <cfRule type="cellIs" dxfId="12188" priority="12117" stopIfTrue="1" operator="equal">
      <formula>"Pass"</formula>
    </cfRule>
    <cfRule type="cellIs" dxfId="12187" priority="12118" stopIfTrue="1" operator="equal">
      <formula>"Fail"</formula>
    </cfRule>
  </conditionalFormatting>
  <conditionalFormatting sqref="I761:P761">
    <cfRule type="cellIs" dxfId="12186" priority="12115" stopIfTrue="1" operator="equal">
      <formula>"Pass"</formula>
    </cfRule>
    <cfRule type="cellIs" dxfId="12185" priority="12116" stopIfTrue="1" operator="equal">
      <formula>"Fail"</formula>
    </cfRule>
  </conditionalFormatting>
  <conditionalFormatting sqref="I761:P761">
    <cfRule type="cellIs" dxfId="12184" priority="12113" stopIfTrue="1" operator="equal">
      <formula>"Pass"</formula>
    </cfRule>
    <cfRule type="cellIs" dxfId="12183" priority="12114" stopIfTrue="1" operator="equal">
      <formula>"Fail"</formula>
    </cfRule>
  </conditionalFormatting>
  <conditionalFormatting sqref="E761 H761:P761">
    <cfRule type="cellIs" dxfId="12182" priority="12111" stopIfTrue="1" operator="equal">
      <formula>"Pass"</formula>
    </cfRule>
    <cfRule type="cellIs" dxfId="12181" priority="12112" stopIfTrue="1" operator="equal">
      <formula>"Fail"</formula>
    </cfRule>
  </conditionalFormatting>
  <conditionalFormatting sqref="H761:O761">
    <cfRule type="cellIs" dxfId="12180" priority="12109" stopIfTrue="1" operator="equal">
      <formula>"Pass"</formula>
    </cfRule>
    <cfRule type="cellIs" dxfId="12179" priority="12110" stopIfTrue="1" operator="equal">
      <formula>"Fail"</formula>
    </cfRule>
  </conditionalFormatting>
  <conditionalFormatting sqref="H761:O761">
    <cfRule type="cellIs" dxfId="12178" priority="12107" stopIfTrue="1" operator="equal">
      <formula>"Pass"</formula>
    </cfRule>
    <cfRule type="cellIs" dxfId="12177" priority="12108" stopIfTrue="1" operator="equal">
      <formula>"Fail"</formula>
    </cfRule>
  </conditionalFormatting>
  <conditionalFormatting sqref="I761:P761">
    <cfRule type="cellIs" dxfId="12176" priority="12105" stopIfTrue="1" operator="equal">
      <formula>"Pass"</formula>
    </cfRule>
    <cfRule type="cellIs" dxfId="12175" priority="12106" stopIfTrue="1" operator="equal">
      <formula>"Fail"</formula>
    </cfRule>
  </conditionalFormatting>
  <conditionalFormatting sqref="I761:P761">
    <cfRule type="cellIs" dxfId="12174" priority="12103" stopIfTrue="1" operator="equal">
      <formula>"Pass"</formula>
    </cfRule>
    <cfRule type="cellIs" dxfId="12173" priority="12104" stopIfTrue="1" operator="equal">
      <formula>"Fail"</formula>
    </cfRule>
  </conditionalFormatting>
  <conditionalFormatting sqref="I761:P761">
    <cfRule type="cellIs" dxfId="12172" priority="12101" stopIfTrue="1" operator="equal">
      <formula>"Pass"</formula>
    </cfRule>
    <cfRule type="cellIs" dxfId="12171" priority="12102" stopIfTrue="1" operator="equal">
      <formula>"Fail"</formula>
    </cfRule>
  </conditionalFormatting>
  <conditionalFormatting sqref="I761:P761">
    <cfRule type="cellIs" dxfId="12170" priority="12099" stopIfTrue="1" operator="equal">
      <formula>"Pass"</formula>
    </cfRule>
    <cfRule type="cellIs" dxfId="12169" priority="12100" stopIfTrue="1" operator="equal">
      <formula>"Fail"</formula>
    </cfRule>
  </conditionalFormatting>
  <conditionalFormatting sqref="H761:O761">
    <cfRule type="cellIs" dxfId="12168" priority="12097" stopIfTrue="1" operator="equal">
      <formula>"Pass"</formula>
    </cfRule>
    <cfRule type="cellIs" dxfId="12167" priority="12098" stopIfTrue="1" operator="equal">
      <formula>"Fail"</formula>
    </cfRule>
  </conditionalFormatting>
  <conditionalFormatting sqref="H761:O761">
    <cfRule type="cellIs" dxfId="12166" priority="12095" stopIfTrue="1" operator="equal">
      <formula>"Pass"</formula>
    </cfRule>
    <cfRule type="cellIs" dxfId="12165" priority="12096" stopIfTrue="1" operator="equal">
      <formula>"Fail"</formula>
    </cfRule>
  </conditionalFormatting>
  <conditionalFormatting sqref="I761:P761">
    <cfRule type="cellIs" dxfId="12164" priority="12093" stopIfTrue="1" operator="equal">
      <formula>"Pass"</formula>
    </cfRule>
    <cfRule type="cellIs" dxfId="12163" priority="12094" stopIfTrue="1" operator="equal">
      <formula>"Fail"</formula>
    </cfRule>
  </conditionalFormatting>
  <conditionalFormatting sqref="I761:P761">
    <cfRule type="cellIs" dxfId="12162" priority="12091" stopIfTrue="1" operator="equal">
      <formula>"Pass"</formula>
    </cfRule>
    <cfRule type="cellIs" dxfId="12161" priority="12092" stopIfTrue="1" operator="equal">
      <formula>"Fail"</formula>
    </cfRule>
  </conditionalFormatting>
  <conditionalFormatting sqref="I761:P761">
    <cfRule type="cellIs" dxfId="12160" priority="12089" stopIfTrue="1" operator="equal">
      <formula>"Pass"</formula>
    </cfRule>
    <cfRule type="cellIs" dxfId="12159" priority="12090" stopIfTrue="1" operator="equal">
      <formula>"Fail"</formula>
    </cfRule>
  </conditionalFormatting>
  <conditionalFormatting sqref="I761:P761">
    <cfRule type="cellIs" dxfId="12158" priority="12087" stopIfTrue="1" operator="equal">
      <formula>"Pass"</formula>
    </cfRule>
    <cfRule type="cellIs" dxfId="12157" priority="12088" stopIfTrue="1" operator="equal">
      <formula>"Fail"</formula>
    </cfRule>
  </conditionalFormatting>
  <conditionalFormatting sqref="H761:O761">
    <cfRule type="cellIs" dxfId="12156" priority="12085" stopIfTrue="1" operator="equal">
      <formula>"Pass"</formula>
    </cfRule>
    <cfRule type="cellIs" dxfId="12155" priority="12086" stopIfTrue="1" operator="equal">
      <formula>"Fail"</formula>
    </cfRule>
  </conditionalFormatting>
  <conditionalFormatting sqref="H761:O761">
    <cfRule type="cellIs" dxfId="12154" priority="12083" stopIfTrue="1" operator="equal">
      <formula>"Pass"</formula>
    </cfRule>
    <cfRule type="cellIs" dxfId="12153" priority="12084" stopIfTrue="1" operator="equal">
      <formula>"Fail"</formula>
    </cfRule>
  </conditionalFormatting>
  <conditionalFormatting sqref="I761:P761">
    <cfRule type="cellIs" dxfId="12152" priority="12081" stopIfTrue="1" operator="equal">
      <formula>"Pass"</formula>
    </cfRule>
    <cfRule type="cellIs" dxfId="12151" priority="12082" stopIfTrue="1" operator="equal">
      <formula>"Fail"</formula>
    </cfRule>
  </conditionalFormatting>
  <conditionalFormatting sqref="I761:P761">
    <cfRule type="cellIs" dxfId="12150" priority="12079" stopIfTrue="1" operator="equal">
      <formula>"Pass"</formula>
    </cfRule>
    <cfRule type="cellIs" dxfId="12149" priority="12080" stopIfTrue="1" operator="equal">
      <formula>"Fail"</formula>
    </cfRule>
  </conditionalFormatting>
  <conditionalFormatting sqref="I761:P761">
    <cfRule type="cellIs" dxfId="12148" priority="12077" stopIfTrue="1" operator="equal">
      <formula>"Pass"</formula>
    </cfRule>
    <cfRule type="cellIs" dxfId="12147" priority="12078" stopIfTrue="1" operator="equal">
      <formula>"Fail"</formula>
    </cfRule>
  </conditionalFormatting>
  <conditionalFormatting sqref="I761:P761">
    <cfRule type="cellIs" dxfId="12146" priority="12075" stopIfTrue="1" operator="equal">
      <formula>"Pass"</formula>
    </cfRule>
    <cfRule type="cellIs" dxfId="12145" priority="12076" stopIfTrue="1" operator="equal">
      <formula>"Fail"</formula>
    </cfRule>
  </conditionalFormatting>
  <conditionalFormatting sqref="H761:O761">
    <cfRule type="cellIs" dxfId="12144" priority="12073" stopIfTrue="1" operator="equal">
      <formula>"Pass"</formula>
    </cfRule>
    <cfRule type="cellIs" dxfId="12143" priority="12074" stopIfTrue="1" operator="equal">
      <formula>"Fail"</formula>
    </cfRule>
  </conditionalFormatting>
  <conditionalFormatting sqref="H761:O761">
    <cfRule type="cellIs" dxfId="12142" priority="12071" stopIfTrue="1" operator="equal">
      <formula>"Pass"</formula>
    </cfRule>
    <cfRule type="cellIs" dxfId="12141" priority="12072" stopIfTrue="1" operator="equal">
      <formula>"Fail"</formula>
    </cfRule>
  </conditionalFormatting>
  <conditionalFormatting sqref="I761:P761">
    <cfRule type="cellIs" dxfId="12140" priority="12069" stopIfTrue="1" operator="equal">
      <formula>"Pass"</formula>
    </cfRule>
    <cfRule type="cellIs" dxfId="12139" priority="12070" stopIfTrue="1" operator="equal">
      <formula>"Fail"</formula>
    </cfRule>
  </conditionalFormatting>
  <conditionalFormatting sqref="I761:P761">
    <cfRule type="cellIs" dxfId="12138" priority="12067" stopIfTrue="1" operator="equal">
      <formula>"Pass"</formula>
    </cfRule>
    <cfRule type="cellIs" dxfId="12137" priority="12068" stopIfTrue="1" operator="equal">
      <formula>"Fail"</formula>
    </cfRule>
  </conditionalFormatting>
  <conditionalFormatting sqref="I761:P761">
    <cfRule type="cellIs" dxfId="12136" priority="12065" stopIfTrue="1" operator="equal">
      <formula>"Pass"</formula>
    </cfRule>
    <cfRule type="cellIs" dxfId="12135" priority="12066" stopIfTrue="1" operator="equal">
      <formula>"Fail"</formula>
    </cfRule>
  </conditionalFormatting>
  <conditionalFormatting sqref="I761:P761">
    <cfRule type="cellIs" dxfId="12134" priority="12063" stopIfTrue="1" operator="equal">
      <formula>"Pass"</formula>
    </cfRule>
    <cfRule type="cellIs" dxfId="12133" priority="12064" stopIfTrue="1" operator="equal">
      <formula>"Fail"</formula>
    </cfRule>
  </conditionalFormatting>
  <conditionalFormatting sqref="H761:O761">
    <cfRule type="cellIs" dxfId="12132" priority="12061" stopIfTrue="1" operator="equal">
      <formula>"Pass"</formula>
    </cfRule>
    <cfRule type="cellIs" dxfId="12131" priority="12062" stopIfTrue="1" operator="equal">
      <formula>"Fail"</formula>
    </cfRule>
  </conditionalFormatting>
  <conditionalFormatting sqref="H761:O761">
    <cfRule type="cellIs" dxfId="12130" priority="12059" stopIfTrue="1" operator="equal">
      <formula>"Pass"</formula>
    </cfRule>
    <cfRule type="cellIs" dxfId="12129" priority="12060" stopIfTrue="1" operator="equal">
      <formula>"Fail"</formula>
    </cfRule>
  </conditionalFormatting>
  <conditionalFormatting sqref="I761:P761">
    <cfRule type="cellIs" dxfId="12128" priority="12057" stopIfTrue="1" operator="equal">
      <formula>"Pass"</formula>
    </cfRule>
    <cfRule type="cellIs" dxfId="12127" priority="12058" stopIfTrue="1" operator="equal">
      <formula>"Fail"</formula>
    </cfRule>
  </conditionalFormatting>
  <conditionalFormatting sqref="I761:P761">
    <cfRule type="cellIs" dxfId="12126" priority="12055" stopIfTrue="1" operator="equal">
      <formula>"Pass"</formula>
    </cfRule>
    <cfRule type="cellIs" dxfId="12125" priority="12056" stopIfTrue="1" operator="equal">
      <formula>"Fail"</formula>
    </cfRule>
  </conditionalFormatting>
  <conditionalFormatting sqref="I761:P761">
    <cfRule type="cellIs" dxfId="12124" priority="12053" stopIfTrue="1" operator="equal">
      <formula>"Pass"</formula>
    </cfRule>
    <cfRule type="cellIs" dxfId="12123" priority="12054" stopIfTrue="1" operator="equal">
      <formula>"Fail"</formula>
    </cfRule>
  </conditionalFormatting>
  <conditionalFormatting sqref="I761:P761">
    <cfRule type="cellIs" dxfId="12122" priority="12051" stopIfTrue="1" operator="equal">
      <formula>"Pass"</formula>
    </cfRule>
    <cfRule type="cellIs" dxfId="12121" priority="12052" stopIfTrue="1" operator="equal">
      <formula>"Fail"</formula>
    </cfRule>
  </conditionalFormatting>
  <conditionalFormatting sqref="H761:O761">
    <cfRule type="cellIs" dxfId="12120" priority="12049" stopIfTrue="1" operator="equal">
      <formula>"Pass"</formula>
    </cfRule>
    <cfRule type="cellIs" dxfId="12119" priority="12050" stopIfTrue="1" operator="equal">
      <formula>"Fail"</formula>
    </cfRule>
  </conditionalFormatting>
  <conditionalFormatting sqref="H761:O761">
    <cfRule type="cellIs" dxfId="12118" priority="12047" stopIfTrue="1" operator="equal">
      <formula>"Pass"</formula>
    </cfRule>
    <cfRule type="cellIs" dxfId="12117" priority="12048" stopIfTrue="1" operator="equal">
      <formula>"Fail"</formula>
    </cfRule>
  </conditionalFormatting>
  <conditionalFormatting sqref="I761:P761">
    <cfRule type="cellIs" dxfId="12116" priority="12045" stopIfTrue="1" operator="equal">
      <formula>"Pass"</formula>
    </cfRule>
    <cfRule type="cellIs" dxfId="12115" priority="12046" stopIfTrue="1" operator="equal">
      <formula>"Fail"</formula>
    </cfRule>
  </conditionalFormatting>
  <conditionalFormatting sqref="I761:P761">
    <cfRule type="cellIs" dxfId="12114" priority="12043" stopIfTrue="1" operator="equal">
      <formula>"Pass"</formula>
    </cfRule>
    <cfRule type="cellIs" dxfId="12113" priority="12044" stopIfTrue="1" operator="equal">
      <formula>"Fail"</formula>
    </cfRule>
  </conditionalFormatting>
  <conditionalFormatting sqref="I761:P761">
    <cfRule type="cellIs" dxfId="12112" priority="12041" stopIfTrue="1" operator="equal">
      <formula>"Pass"</formula>
    </cfRule>
    <cfRule type="cellIs" dxfId="12111" priority="12042" stopIfTrue="1" operator="equal">
      <formula>"Fail"</formula>
    </cfRule>
  </conditionalFormatting>
  <conditionalFormatting sqref="I761:P761">
    <cfRule type="cellIs" dxfId="12110" priority="12039" stopIfTrue="1" operator="equal">
      <formula>"Pass"</formula>
    </cfRule>
    <cfRule type="cellIs" dxfId="12109" priority="12040" stopIfTrue="1" operator="equal">
      <formula>"Fail"</formula>
    </cfRule>
  </conditionalFormatting>
  <conditionalFormatting sqref="H761:O761">
    <cfRule type="cellIs" dxfId="12108" priority="12037" stopIfTrue="1" operator="equal">
      <formula>"Pass"</formula>
    </cfRule>
    <cfRule type="cellIs" dxfId="12107" priority="12038" stopIfTrue="1" operator="equal">
      <formula>"Fail"</formula>
    </cfRule>
  </conditionalFormatting>
  <conditionalFormatting sqref="H761:O761">
    <cfRule type="cellIs" dxfId="12106" priority="12035" stopIfTrue="1" operator="equal">
      <formula>"Pass"</formula>
    </cfRule>
    <cfRule type="cellIs" dxfId="12105" priority="12036" stopIfTrue="1" operator="equal">
      <formula>"Fail"</formula>
    </cfRule>
  </conditionalFormatting>
  <conditionalFormatting sqref="I761:P761">
    <cfRule type="cellIs" dxfId="12104" priority="12033" stopIfTrue="1" operator="equal">
      <formula>"Pass"</formula>
    </cfRule>
    <cfRule type="cellIs" dxfId="12103" priority="12034" stopIfTrue="1" operator="equal">
      <formula>"Fail"</formula>
    </cfRule>
  </conditionalFormatting>
  <conditionalFormatting sqref="I761:P761">
    <cfRule type="cellIs" dxfId="12102" priority="12031" stopIfTrue="1" operator="equal">
      <formula>"Pass"</formula>
    </cfRule>
    <cfRule type="cellIs" dxfId="12101" priority="12032" stopIfTrue="1" operator="equal">
      <formula>"Fail"</formula>
    </cfRule>
  </conditionalFormatting>
  <conditionalFormatting sqref="I761:P761">
    <cfRule type="cellIs" dxfId="12100" priority="12029" stopIfTrue="1" operator="equal">
      <formula>"Pass"</formula>
    </cfRule>
    <cfRule type="cellIs" dxfId="12099" priority="12030" stopIfTrue="1" operator="equal">
      <formula>"Fail"</formula>
    </cfRule>
  </conditionalFormatting>
  <conditionalFormatting sqref="I761:P761">
    <cfRule type="cellIs" dxfId="12098" priority="12027" stopIfTrue="1" operator="equal">
      <formula>"Pass"</formula>
    </cfRule>
    <cfRule type="cellIs" dxfId="12097" priority="12028" stopIfTrue="1" operator="equal">
      <formula>"Fail"</formula>
    </cfRule>
  </conditionalFormatting>
  <conditionalFormatting sqref="H761:O761">
    <cfRule type="cellIs" dxfId="12096" priority="12025" stopIfTrue="1" operator="equal">
      <formula>"Pass"</formula>
    </cfRule>
    <cfRule type="cellIs" dxfId="12095" priority="12026" stopIfTrue="1" operator="equal">
      <formula>"Fail"</formula>
    </cfRule>
  </conditionalFormatting>
  <conditionalFormatting sqref="H761:O761">
    <cfRule type="cellIs" dxfId="12094" priority="12023" stopIfTrue="1" operator="equal">
      <formula>"Pass"</formula>
    </cfRule>
    <cfRule type="cellIs" dxfId="12093" priority="12024" stopIfTrue="1" operator="equal">
      <formula>"Fail"</formula>
    </cfRule>
  </conditionalFormatting>
  <conditionalFormatting sqref="I761:P761">
    <cfRule type="cellIs" dxfId="12092" priority="12021" stopIfTrue="1" operator="equal">
      <formula>"Pass"</formula>
    </cfRule>
    <cfRule type="cellIs" dxfId="12091" priority="12022" stopIfTrue="1" operator="equal">
      <formula>"Fail"</formula>
    </cfRule>
  </conditionalFormatting>
  <conditionalFormatting sqref="I761:P761">
    <cfRule type="cellIs" dxfId="12090" priority="12019" stopIfTrue="1" operator="equal">
      <formula>"Pass"</formula>
    </cfRule>
    <cfRule type="cellIs" dxfId="12089" priority="12020" stopIfTrue="1" operator="equal">
      <formula>"Fail"</formula>
    </cfRule>
  </conditionalFormatting>
  <conditionalFormatting sqref="I761:P761">
    <cfRule type="cellIs" dxfId="12088" priority="12017" stopIfTrue="1" operator="equal">
      <formula>"Pass"</formula>
    </cfRule>
    <cfRule type="cellIs" dxfId="12087" priority="12018" stopIfTrue="1" operator="equal">
      <formula>"Fail"</formula>
    </cfRule>
  </conditionalFormatting>
  <conditionalFormatting sqref="I761:P761">
    <cfRule type="cellIs" dxfId="12086" priority="12015" stopIfTrue="1" operator="equal">
      <formula>"Pass"</formula>
    </cfRule>
    <cfRule type="cellIs" dxfId="12085" priority="12016" stopIfTrue="1" operator="equal">
      <formula>"Fail"</formula>
    </cfRule>
  </conditionalFormatting>
  <conditionalFormatting sqref="H761:O761">
    <cfRule type="cellIs" dxfId="12084" priority="12013" stopIfTrue="1" operator="equal">
      <formula>"Pass"</formula>
    </cfRule>
    <cfRule type="cellIs" dxfId="12083" priority="12014" stopIfTrue="1" operator="equal">
      <formula>"Fail"</formula>
    </cfRule>
  </conditionalFormatting>
  <conditionalFormatting sqref="H761:O761">
    <cfRule type="cellIs" dxfId="12082" priority="12011" stopIfTrue="1" operator="equal">
      <formula>"Pass"</formula>
    </cfRule>
    <cfRule type="cellIs" dxfId="12081" priority="12012" stopIfTrue="1" operator="equal">
      <formula>"Fail"</formula>
    </cfRule>
  </conditionalFormatting>
  <conditionalFormatting sqref="I761:P761">
    <cfRule type="cellIs" dxfId="12080" priority="12009" stopIfTrue="1" operator="equal">
      <formula>"Pass"</formula>
    </cfRule>
    <cfRule type="cellIs" dxfId="12079" priority="12010" stopIfTrue="1" operator="equal">
      <formula>"Fail"</formula>
    </cfRule>
  </conditionalFormatting>
  <conditionalFormatting sqref="I761:P761">
    <cfRule type="cellIs" dxfId="12078" priority="12007" stopIfTrue="1" operator="equal">
      <formula>"Pass"</formula>
    </cfRule>
    <cfRule type="cellIs" dxfId="12077" priority="12008" stopIfTrue="1" operator="equal">
      <formula>"Fail"</formula>
    </cfRule>
  </conditionalFormatting>
  <conditionalFormatting sqref="I761:P761">
    <cfRule type="cellIs" dxfId="12076" priority="12005" stopIfTrue="1" operator="equal">
      <formula>"Pass"</formula>
    </cfRule>
    <cfRule type="cellIs" dxfId="12075" priority="12006" stopIfTrue="1" operator="equal">
      <formula>"Fail"</formula>
    </cfRule>
  </conditionalFormatting>
  <conditionalFormatting sqref="I761:P761">
    <cfRule type="cellIs" dxfId="12074" priority="12003" stopIfTrue="1" operator="equal">
      <formula>"Pass"</formula>
    </cfRule>
    <cfRule type="cellIs" dxfId="12073" priority="12004" stopIfTrue="1" operator="equal">
      <formula>"Fail"</formula>
    </cfRule>
  </conditionalFormatting>
  <conditionalFormatting sqref="H761:O761">
    <cfRule type="cellIs" dxfId="12072" priority="12001" stopIfTrue="1" operator="equal">
      <formula>"Pass"</formula>
    </cfRule>
    <cfRule type="cellIs" dxfId="12071" priority="12002" stopIfTrue="1" operator="equal">
      <formula>"Fail"</formula>
    </cfRule>
  </conditionalFormatting>
  <conditionalFormatting sqref="H761:O761">
    <cfRule type="cellIs" dxfId="12070" priority="11999" stopIfTrue="1" operator="equal">
      <formula>"Pass"</formula>
    </cfRule>
    <cfRule type="cellIs" dxfId="12069" priority="12000" stopIfTrue="1" operator="equal">
      <formula>"Fail"</formula>
    </cfRule>
  </conditionalFormatting>
  <conditionalFormatting sqref="I761:P761">
    <cfRule type="cellIs" dxfId="12068" priority="11997" stopIfTrue="1" operator="equal">
      <formula>"Pass"</formula>
    </cfRule>
    <cfRule type="cellIs" dxfId="12067" priority="11998" stopIfTrue="1" operator="equal">
      <formula>"Fail"</formula>
    </cfRule>
  </conditionalFormatting>
  <conditionalFormatting sqref="I761:P761">
    <cfRule type="cellIs" dxfId="12066" priority="11995" stopIfTrue="1" operator="equal">
      <formula>"Pass"</formula>
    </cfRule>
    <cfRule type="cellIs" dxfId="12065" priority="11996" stopIfTrue="1" operator="equal">
      <formula>"Fail"</formula>
    </cfRule>
  </conditionalFormatting>
  <conditionalFormatting sqref="I761:P761">
    <cfRule type="cellIs" dxfId="12064" priority="11993" stopIfTrue="1" operator="equal">
      <formula>"Pass"</formula>
    </cfRule>
    <cfRule type="cellIs" dxfId="12063" priority="11994" stopIfTrue="1" operator="equal">
      <formula>"Fail"</formula>
    </cfRule>
  </conditionalFormatting>
  <conditionalFormatting sqref="I761:P761">
    <cfRule type="cellIs" dxfId="12062" priority="11991" stopIfTrue="1" operator="equal">
      <formula>"Pass"</formula>
    </cfRule>
    <cfRule type="cellIs" dxfId="12061" priority="11992" stopIfTrue="1" operator="equal">
      <formula>"Fail"</formula>
    </cfRule>
  </conditionalFormatting>
  <conditionalFormatting sqref="H761:O761">
    <cfRule type="cellIs" dxfId="12060" priority="11989" stopIfTrue="1" operator="equal">
      <formula>"Pass"</formula>
    </cfRule>
    <cfRule type="cellIs" dxfId="12059" priority="11990" stopIfTrue="1" operator="equal">
      <formula>"Fail"</formula>
    </cfRule>
  </conditionalFormatting>
  <conditionalFormatting sqref="H761:O761">
    <cfRule type="cellIs" dxfId="12058" priority="11987" stopIfTrue="1" operator="equal">
      <formula>"Pass"</formula>
    </cfRule>
    <cfRule type="cellIs" dxfId="12057" priority="11988" stopIfTrue="1" operator="equal">
      <formula>"Fail"</formula>
    </cfRule>
  </conditionalFormatting>
  <conditionalFormatting sqref="I761:P761">
    <cfRule type="cellIs" dxfId="12056" priority="11985" stopIfTrue="1" operator="equal">
      <formula>"Pass"</formula>
    </cfRule>
    <cfRule type="cellIs" dxfId="12055" priority="11986" stopIfTrue="1" operator="equal">
      <formula>"Fail"</formula>
    </cfRule>
  </conditionalFormatting>
  <conditionalFormatting sqref="I761:P761">
    <cfRule type="cellIs" dxfId="12054" priority="11983" stopIfTrue="1" operator="equal">
      <formula>"Pass"</formula>
    </cfRule>
    <cfRule type="cellIs" dxfId="12053" priority="11984" stopIfTrue="1" operator="equal">
      <formula>"Fail"</formula>
    </cfRule>
  </conditionalFormatting>
  <conditionalFormatting sqref="I761:P761">
    <cfRule type="cellIs" dxfId="12052" priority="11981" stopIfTrue="1" operator="equal">
      <formula>"Pass"</formula>
    </cfRule>
    <cfRule type="cellIs" dxfId="12051" priority="11982" stopIfTrue="1" operator="equal">
      <formula>"Fail"</formula>
    </cfRule>
  </conditionalFormatting>
  <conditionalFormatting sqref="I761:P761">
    <cfRule type="cellIs" dxfId="12050" priority="11979" stopIfTrue="1" operator="equal">
      <formula>"Pass"</formula>
    </cfRule>
    <cfRule type="cellIs" dxfId="12049" priority="11980" stopIfTrue="1" operator="equal">
      <formula>"Fail"</formula>
    </cfRule>
  </conditionalFormatting>
  <conditionalFormatting sqref="H761:O761">
    <cfRule type="cellIs" dxfId="12048" priority="11977" stopIfTrue="1" operator="equal">
      <formula>"Pass"</formula>
    </cfRule>
    <cfRule type="cellIs" dxfId="12047" priority="11978" stopIfTrue="1" operator="equal">
      <formula>"Fail"</formula>
    </cfRule>
  </conditionalFormatting>
  <conditionalFormatting sqref="H761:O761">
    <cfRule type="cellIs" dxfId="12046" priority="11975" stopIfTrue="1" operator="equal">
      <formula>"Pass"</formula>
    </cfRule>
    <cfRule type="cellIs" dxfId="12045" priority="11976" stopIfTrue="1" operator="equal">
      <formula>"Fail"</formula>
    </cfRule>
  </conditionalFormatting>
  <conditionalFormatting sqref="I761:P761">
    <cfRule type="cellIs" dxfId="12044" priority="11973" stopIfTrue="1" operator="equal">
      <formula>"Pass"</formula>
    </cfRule>
    <cfRule type="cellIs" dxfId="12043" priority="11974" stopIfTrue="1" operator="equal">
      <formula>"Fail"</formula>
    </cfRule>
  </conditionalFormatting>
  <conditionalFormatting sqref="I761:P761">
    <cfRule type="cellIs" dxfId="12042" priority="11971" stopIfTrue="1" operator="equal">
      <formula>"Pass"</formula>
    </cfRule>
    <cfRule type="cellIs" dxfId="12041" priority="11972" stopIfTrue="1" operator="equal">
      <formula>"Fail"</formula>
    </cfRule>
  </conditionalFormatting>
  <conditionalFormatting sqref="I761:P761">
    <cfRule type="cellIs" dxfId="12040" priority="11969" stopIfTrue="1" operator="equal">
      <formula>"Pass"</formula>
    </cfRule>
    <cfRule type="cellIs" dxfId="12039" priority="11970" stopIfTrue="1" operator="equal">
      <formula>"Fail"</formula>
    </cfRule>
  </conditionalFormatting>
  <conditionalFormatting sqref="I761:P761">
    <cfRule type="cellIs" dxfId="12038" priority="11967" stopIfTrue="1" operator="equal">
      <formula>"Pass"</formula>
    </cfRule>
    <cfRule type="cellIs" dxfId="12037" priority="11968" stopIfTrue="1" operator="equal">
      <formula>"Fail"</formula>
    </cfRule>
  </conditionalFormatting>
  <conditionalFormatting sqref="H761:O761">
    <cfRule type="cellIs" dxfId="12036" priority="11965" stopIfTrue="1" operator="equal">
      <formula>"Pass"</formula>
    </cfRule>
    <cfRule type="cellIs" dxfId="12035" priority="11966" stopIfTrue="1" operator="equal">
      <formula>"Fail"</formula>
    </cfRule>
  </conditionalFormatting>
  <conditionalFormatting sqref="H761:O761">
    <cfRule type="cellIs" dxfId="12034" priority="11963" stopIfTrue="1" operator="equal">
      <formula>"Pass"</formula>
    </cfRule>
    <cfRule type="cellIs" dxfId="12033" priority="11964" stopIfTrue="1" operator="equal">
      <formula>"Fail"</formula>
    </cfRule>
  </conditionalFormatting>
  <conditionalFormatting sqref="I761:P761">
    <cfRule type="cellIs" dxfId="12032" priority="11961" stopIfTrue="1" operator="equal">
      <formula>"Pass"</formula>
    </cfRule>
    <cfRule type="cellIs" dxfId="12031" priority="11962" stopIfTrue="1" operator="equal">
      <formula>"Fail"</formula>
    </cfRule>
  </conditionalFormatting>
  <conditionalFormatting sqref="I761:P761">
    <cfRule type="cellIs" dxfId="12030" priority="11959" stopIfTrue="1" operator="equal">
      <formula>"Pass"</formula>
    </cfRule>
    <cfRule type="cellIs" dxfId="12029" priority="11960" stopIfTrue="1" operator="equal">
      <formula>"Fail"</formula>
    </cfRule>
  </conditionalFormatting>
  <conditionalFormatting sqref="I761:P761">
    <cfRule type="cellIs" dxfId="12028" priority="11957" stopIfTrue="1" operator="equal">
      <formula>"Pass"</formula>
    </cfRule>
    <cfRule type="cellIs" dxfId="12027" priority="11958" stopIfTrue="1" operator="equal">
      <formula>"Fail"</formula>
    </cfRule>
  </conditionalFormatting>
  <conditionalFormatting sqref="I761:P761">
    <cfRule type="cellIs" dxfId="12026" priority="11955" stopIfTrue="1" operator="equal">
      <formula>"Pass"</formula>
    </cfRule>
    <cfRule type="cellIs" dxfId="12025" priority="11956" stopIfTrue="1" operator="equal">
      <formula>"Fail"</formula>
    </cfRule>
  </conditionalFormatting>
  <conditionalFormatting sqref="H761:O761">
    <cfRule type="cellIs" dxfId="12024" priority="11953" stopIfTrue="1" operator="equal">
      <formula>"Pass"</formula>
    </cfRule>
    <cfRule type="cellIs" dxfId="12023" priority="11954" stopIfTrue="1" operator="equal">
      <formula>"Fail"</formula>
    </cfRule>
  </conditionalFormatting>
  <conditionalFormatting sqref="H761:O761">
    <cfRule type="cellIs" dxfId="12022" priority="11951" stopIfTrue="1" operator="equal">
      <formula>"Pass"</formula>
    </cfRule>
    <cfRule type="cellIs" dxfId="12021" priority="11952" stopIfTrue="1" operator="equal">
      <formula>"Fail"</formula>
    </cfRule>
  </conditionalFormatting>
  <conditionalFormatting sqref="I761:P761">
    <cfRule type="cellIs" dxfId="12020" priority="11949" stopIfTrue="1" operator="equal">
      <formula>"Pass"</formula>
    </cfRule>
    <cfRule type="cellIs" dxfId="12019" priority="11950" stopIfTrue="1" operator="equal">
      <formula>"Fail"</formula>
    </cfRule>
  </conditionalFormatting>
  <conditionalFormatting sqref="I761:P761">
    <cfRule type="cellIs" dxfId="12018" priority="11947" stopIfTrue="1" operator="equal">
      <formula>"Pass"</formula>
    </cfRule>
    <cfRule type="cellIs" dxfId="12017" priority="11948" stopIfTrue="1" operator="equal">
      <formula>"Fail"</formula>
    </cfRule>
  </conditionalFormatting>
  <conditionalFormatting sqref="I761:P761">
    <cfRule type="cellIs" dxfId="12016" priority="11945" stopIfTrue="1" operator="equal">
      <formula>"Pass"</formula>
    </cfRule>
    <cfRule type="cellIs" dxfId="12015" priority="11946" stopIfTrue="1" operator="equal">
      <formula>"Fail"</formula>
    </cfRule>
  </conditionalFormatting>
  <conditionalFormatting sqref="I761:P761">
    <cfRule type="cellIs" dxfId="12014" priority="11943" stopIfTrue="1" operator="equal">
      <formula>"Pass"</formula>
    </cfRule>
    <cfRule type="cellIs" dxfId="12013" priority="11944" stopIfTrue="1" operator="equal">
      <formula>"Fail"</formula>
    </cfRule>
  </conditionalFormatting>
  <conditionalFormatting sqref="H761:O761">
    <cfRule type="cellIs" dxfId="12012" priority="11941" stopIfTrue="1" operator="equal">
      <formula>"Pass"</formula>
    </cfRule>
    <cfRule type="cellIs" dxfId="12011" priority="11942" stopIfTrue="1" operator="equal">
      <formula>"Fail"</formula>
    </cfRule>
  </conditionalFormatting>
  <conditionalFormatting sqref="H761:O761">
    <cfRule type="cellIs" dxfId="12010" priority="11939" stopIfTrue="1" operator="equal">
      <formula>"Pass"</formula>
    </cfRule>
    <cfRule type="cellIs" dxfId="12009" priority="11940" stopIfTrue="1" operator="equal">
      <formula>"Fail"</formula>
    </cfRule>
  </conditionalFormatting>
  <conditionalFormatting sqref="I761:P761">
    <cfRule type="cellIs" dxfId="12008" priority="11937" stopIfTrue="1" operator="equal">
      <formula>"Pass"</formula>
    </cfRule>
    <cfRule type="cellIs" dxfId="12007" priority="11938" stopIfTrue="1" operator="equal">
      <formula>"Fail"</formula>
    </cfRule>
  </conditionalFormatting>
  <conditionalFormatting sqref="I761:P761">
    <cfRule type="cellIs" dxfId="12006" priority="11935" stopIfTrue="1" operator="equal">
      <formula>"Pass"</formula>
    </cfRule>
    <cfRule type="cellIs" dxfId="12005" priority="11936" stopIfTrue="1" operator="equal">
      <formula>"Fail"</formula>
    </cfRule>
  </conditionalFormatting>
  <conditionalFormatting sqref="I761:P761">
    <cfRule type="cellIs" dxfId="12004" priority="11933" stopIfTrue="1" operator="equal">
      <formula>"Pass"</formula>
    </cfRule>
    <cfRule type="cellIs" dxfId="12003" priority="11934" stopIfTrue="1" operator="equal">
      <formula>"Fail"</formula>
    </cfRule>
  </conditionalFormatting>
  <conditionalFormatting sqref="I761:P761">
    <cfRule type="cellIs" dxfId="12002" priority="11931" stopIfTrue="1" operator="equal">
      <formula>"Pass"</formula>
    </cfRule>
    <cfRule type="cellIs" dxfId="12001" priority="11932" stopIfTrue="1" operator="equal">
      <formula>"Fail"</formula>
    </cfRule>
  </conditionalFormatting>
  <conditionalFormatting sqref="H761:O761">
    <cfRule type="cellIs" dxfId="12000" priority="11929" stopIfTrue="1" operator="equal">
      <formula>"Pass"</formula>
    </cfRule>
    <cfRule type="cellIs" dxfId="11999" priority="11930" stopIfTrue="1" operator="equal">
      <formula>"Fail"</formula>
    </cfRule>
  </conditionalFormatting>
  <conditionalFormatting sqref="H761:O761">
    <cfRule type="cellIs" dxfId="11998" priority="11927" stopIfTrue="1" operator="equal">
      <formula>"Pass"</formula>
    </cfRule>
    <cfRule type="cellIs" dxfId="11997" priority="11928" stopIfTrue="1" operator="equal">
      <formula>"Fail"</formula>
    </cfRule>
  </conditionalFormatting>
  <conditionalFormatting sqref="I761:P761">
    <cfRule type="cellIs" dxfId="11996" priority="11925" stopIfTrue="1" operator="equal">
      <formula>"Pass"</formula>
    </cfRule>
    <cfRule type="cellIs" dxfId="11995" priority="11926" stopIfTrue="1" operator="equal">
      <formula>"Fail"</formula>
    </cfRule>
  </conditionalFormatting>
  <conditionalFormatting sqref="I761:P761">
    <cfRule type="cellIs" dxfId="11994" priority="11923" stopIfTrue="1" operator="equal">
      <formula>"Pass"</formula>
    </cfRule>
    <cfRule type="cellIs" dxfId="11993" priority="11924" stopIfTrue="1" operator="equal">
      <formula>"Fail"</formula>
    </cfRule>
  </conditionalFormatting>
  <conditionalFormatting sqref="I761:P761">
    <cfRule type="cellIs" dxfId="11992" priority="11921" stopIfTrue="1" operator="equal">
      <formula>"Pass"</formula>
    </cfRule>
    <cfRule type="cellIs" dxfId="11991" priority="11922" stopIfTrue="1" operator="equal">
      <formula>"Fail"</formula>
    </cfRule>
  </conditionalFormatting>
  <conditionalFormatting sqref="I761:P761">
    <cfRule type="cellIs" dxfId="11990" priority="11919" stopIfTrue="1" operator="equal">
      <formula>"Pass"</formula>
    </cfRule>
    <cfRule type="cellIs" dxfId="11989" priority="11920" stopIfTrue="1" operator="equal">
      <formula>"Fail"</formula>
    </cfRule>
  </conditionalFormatting>
  <conditionalFormatting sqref="H761:O761">
    <cfRule type="cellIs" dxfId="11988" priority="11917" stopIfTrue="1" operator="equal">
      <formula>"Pass"</formula>
    </cfRule>
    <cfRule type="cellIs" dxfId="11987" priority="11918" stopIfTrue="1" operator="equal">
      <formula>"Fail"</formula>
    </cfRule>
  </conditionalFormatting>
  <conditionalFormatting sqref="H761:O761">
    <cfRule type="cellIs" dxfId="11986" priority="11915" stopIfTrue="1" operator="equal">
      <formula>"Pass"</formula>
    </cfRule>
    <cfRule type="cellIs" dxfId="11985" priority="11916" stopIfTrue="1" operator="equal">
      <formula>"Fail"</formula>
    </cfRule>
  </conditionalFormatting>
  <conditionalFormatting sqref="I761:P761">
    <cfRule type="cellIs" dxfId="11984" priority="11913" stopIfTrue="1" operator="equal">
      <formula>"Pass"</formula>
    </cfRule>
    <cfRule type="cellIs" dxfId="11983" priority="11914" stopIfTrue="1" operator="equal">
      <formula>"Fail"</formula>
    </cfRule>
  </conditionalFormatting>
  <conditionalFormatting sqref="I761:P761">
    <cfRule type="cellIs" dxfId="11982" priority="11911" stopIfTrue="1" operator="equal">
      <formula>"Pass"</formula>
    </cfRule>
    <cfRule type="cellIs" dxfId="11981" priority="11912" stopIfTrue="1" operator="equal">
      <formula>"Fail"</formula>
    </cfRule>
  </conditionalFormatting>
  <conditionalFormatting sqref="I761:P761">
    <cfRule type="cellIs" dxfId="11980" priority="11909" stopIfTrue="1" operator="equal">
      <formula>"Pass"</formula>
    </cfRule>
    <cfRule type="cellIs" dxfId="11979" priority="11910" stopIfTrue="1" operator="equal">
      <formula>"Fail"</formula>
    </cfRule>
  </conditionalFormatting>
  <conditionalFormatting sqref="I761:P761">
    <cfRule type="cellIs" dxfId="11978" priority="11907" stopIfTrue="1" operator="equal">
      <formula>"Pass"</formula>
    </cfRule>
    <cfRule type="cellIs" dxfId="11977" priority="11908" stopIfTrue="1" operator="equal">
      <formula>"Fail"</formula>
    </cfRule>
  </conditionalFormatting>
  <conditionalFormatting sqref="H761:O761">
    <cfRule type="cellIs" dxfId="11976" priority="11905" stopIfTrue="1" operator="equal">
      <formula>"Pass"</formula>
    </cfRule>
    <cfRule type="cellIs" dxfId="11975" priority="11906" stopIfTrue="1" operator="equal">
      <formula>"Fail"</formula>
    </cfRule>
  </conditionalFormatting>
  <conditionalFormatting sqref="H761:O761">
    <cfRule type="cellIs" dxfId="11974" priority="11903" stopIfTrue="1" operator="equal">
      <formula>"Pass"</formula>
    </cfRule>
    <cfRule type="cellIs" dxfId="11973" priority="11904" stopIfTrue="1" operator="equal">
      <formula>"Fail"</formula>
    </cfRule>
  </conditionalFormatting>
  <conditionalFormatting sqref="I761:P761">
    <cfRule type="cellIs" dxfId="11972" priority="11901" stopIfTrue="1" operator="equal">
      <formula>"Pass"</formula>
    </cfRule>
    <cfRule type="cellIs" dxfId="11971" priority="11902" stopIfTrue="1" operator="equal">
      <formula>"Fail"</formula>
    </cfRule>
  </conditionalFormatting>
  <conditionalFormatting sqref="I761:P761">
    <cfRule type="cellIs" dxfId="11970" priority="11899" stopIfTrue="1" operator="equal">
      <formula>"Pass"</formula>
    </cfRule>
    <cfRule type="cellIs" dxfId="11969" priority="11900" stopIfTrue="1" operator="equal">
      <formula>"Fail"</formula>
    </cfRule>
  </conditionalFormatting>
  <conditionalFormatting sqref="I761:P761">
    <cfRule type="cellIs" dxfId="11968" priority="11897" stopIfTrue="1" operator="equal">
      <formula>"Pass"</formula>
    </cfRule>
    <cfRule type="cellIs" dxfId="11967" priority="11898" stopIfTrue="1" operator="equal">
      <formula>"Fail"</formula>
    </cfRule>
  </conditionalFormatting>
  <conditionalFormatting sqref="I761:P761">
    <cfRule type="cellIs" dxfId="11966" priority="11895" stopIfTrue="1" operator="equal">
      <formula>"Pass"</formula>
    </cfRule>
    <cfRule type="cellIs" dxfId="11965" priority="11896" stopIfTrue="1" operator="equal">
      <formula>"Fail"</formula>
    </cfRule>
  </conditionalFormatting>
  <conditionalFormatting sqref="H761:O761">
    <cfRule type="cellIs" dxfId="11964" priority="11893" stopIfTrue="1" operator="equal">
      <formula>"Pass"</formula>
    </cfRule>
    <cfRule type="cellIs" dxfId="11963" priority="11894" stopIfTrue="1" operator="equal">
      <formula>"Fail"</formula>
    </cfRule>
  </conditionalFormatting>
  <conditionalFormatting sqref="H761:O761">
    <cfRule type="cellIs" dxfId="11962" priority="11891" stopIfTrue="1" operator="equal">
      <formula>"Pass"</formula>
    </cfRule>
    <cfRule type="cellIs" dxfId="11961" priority="11892" stopIfTrue="1" operator="equal">
      <formula>"Fail"</formula>
    </cfRule>
  </conditionalFormatting>
  <conditionalFormatting sqref="I761:P761">
    <cfRule type="cellIs" dxfId="11960" priority="11889" stopIfTrue="1" operator="equal">
      <formula>"Pass"</formula>
    </cfRule>
    <cfRule type="cellIs" dxfId="11959" priority="11890" stopIfTrue="1" operator="equal">
      <formula>"Fail"</formula>
    </cfRule>
  </conditionalFormatting>
  <conditionalFormatting sqref="I761:P761">
    <cfRule type="cellIs" dxfId="11958" priority="11887" stopIfTrue="1" operator="equal">
      <formula>"Pass"</formula>
    </cfRule>
    <cfRule type="cellIs" dxfId="11957" priority="11888" stopIfTrue="1" operator="equal">
      <formula>"Fail"</formula>
    </cfRule>
  </conditionalFormatting>
  <conditionalFormatting sqref="I761:P761">
    <cfRule type="cellIs" dxfId="11956" priority="11885" stopIfTrue="1" operator="equal">
      <formula>"Pass"</formula>
    </cfRule>
    <cfRule type="cellIs" dxfId="11955" priority="11886" stopIfTrue="1" operator="equal">
      <formula>"Fail"</formula>
    </cfRule>
  </conditionalFormatting>
  <conditionalFormatting sqref="I761:P761">
    <cfRule type="cellIs" dxfId="11954" priority="11883" stopIfTrue="1" operator="equal">
      <formula>"Pass"</formula>
    </cfRule>
    <cfRule type="cellIs" dxfId="11953" priority="11884" stopIfTrue="1" operator="equal">
      <formula>"Fail"</formula>
    </cfRule>
  </conditionalFormatting>
  <conditionalFormatting sqref="H761:O761">
    <cfRule type="cellIs" dxfId="11952" priority="11881" stopIfTrue="1" operator="equal">
      <formula>"Pass"</formula>
    </cfRule>
    <cfRule type="cellIs" dxfId="11951" priority="11882" stopIfTrue="1" operator="equal">
      <formula>"Fail"</formula>
    </cfRule>
  </conditionalFormatting>
  <conditionalFormatting sqref="H761:O761">
    <cfRule type="cellIs" dxfId="11950" priority="11879" stopIfTrue="1" operator="equal">
      <formula>"Pass"</formula>
    </cfRule>
    <cfRule type="cellIs" dxfId="11949" priority="11880" stopIfTrue="1" operator="equal">
      <formula>"Fail"</formula>
    </cfRule>
  </conditionalFormatting>
  <conditionalFormatting sqref="I761:P761">
    <cfRule type="cellIs" dxfId="11948" priority="11877" stopIfTrue="1" operator="equal">
      <formula>"Pass"</formula>
    </cfRule>
    <cfRule type="cellIs" dxfId="11947" priority="11878" stopIfTrue="1" operator="equal">
      <formula>"Fail"</formula>
    </cfRule>
  </conditionalFormatting>
  <conditionalFormatting sqref="I761:P761">
    <cfRule type="cellIs" dxfId="11946" priority="11875" stopIfTrue="1" operator="equal">
      <formula>"Pass"</formula>
    </cfRule>
    <cfRule type="cellIs" dxfId="11945" priority="11876" stopIfTrue="1" operator="equal">
      <formula>"Fail"</formula>
    </cfRule>
  </conditionalFormatting>
  <conditionalFormatting sqref="I761:P761">
    <cfRule type="cellIs" dxfId="11944" priority="11873" stopIfTrue="1" operator="equal">
      <formula>"Pass"</formula>
    </cfRule>
    <cfRule type="cellIs" dxfId="11943" priority="11874" stopIfTrue="1" operator="equal">
      <formula>"Fail"</formula>
    </cfRule>
  </conditionalFormatting>
  <conditionalFormatting sqref="I761:P761">
    <cfRule type="cellIs" dxfId="11942" priority="11871" stopIfTrue="1" operator="equal">
      <formula>"Pass"</formula>
    </cfRule>
    <cfRule type="cellIs" dxfId="11941" priority="11872" stopIfTrue="1" operator="equal">
      <formula>"Fail"</formula>
    </cfRule>
  </conditionalFormatting>
  <conditionalFormatting sqref="D761:E761">
    <cfRule type="cellIs" dxfId="11940" priority="11869" stopIfTrue="1" operator="equal">
      <formula>"Pass"</formula>
    </cfRule>
    <cfRule type="cellIs" dxfId="11939" priority="11870" stopIfTrue="1" operator="equal">
      <formula>"Fail"</formula>
    </cfRule>
  </conditionalFormatting>
  <conditionalFormatting sqref="D761:E761">
    <cfRule type="cellIs" dxfId="11938" priority="11867" stopIfTrue="1" operator="equal">
      <formula>"Pass"</formula>
    </cfRule>
    <cfRule type="cellIs" dxfId="11937" priority="11868" stopIfTrue="1" operator="equal">
      <formula>"Fail"</formula>
    </cfRule>
  </conditionalFormatting>
  <conditionalFormatting sqref="G761:H761">
    <cfRule type="cellIs" dxfId="11936" priority="11865" stopIfTrue="1" operator="equal">
      <formula>"Pass"</formula>
    </cfRule>
    <cfRule type="cellIs" dxfId="11935" priority="11866" stopIfTrue="1" operator="equal">
      <formula>"Fail"</formula>
    </cfRule>
  </conditionalFormatting>
  <conditionalFormatting sqref="G761:H761">
    <cfRule type="cellIs" dxfId="11934" priority="11863" stopIfTrue="1" operator="equal">
      <formula>"Pass"</formula>
    </cfRule>
    <cfRule type="cellIs" dxfId="11933" priority="11864" stopIfTrue="1" operator="equal">
      <formula>"Fail"</formula>
    </cfRule>
  </conditionalFormatting>
  <conditionalFormatting sqref="G761:H761">
    <cfRule type="cellIs" dxfId="11932" priority="11861" stopIfTrue="1" operator="equal">
      <formula>"Pass"</formula>
    </cfRule>
    <cfRule type="cellIs" dxfId="11931" priority="11862" stopIfTrue="1" operator="equal">
      <formula>"Fail"</formula>
    </cfRule>
  </conditionalFormatting>
  <conditionalFormatting sqref="G761:H761">
    <cfRule type="cellIs" dxfId="11930" priority="11859" stopIfTrue="1" operator="equal">
      <formula>"Pass"</formula>
    </cfRule>
    <cfRule type="cellIs" dxfId="11929" priority="11860" stopIfTrue="1" operator="equal">
      <formula>"Fail"</formula>
    </cfRule>
  </conditionalFormatting>
  <conditionalFormatting sqref="H761:O761">
    <cfRule type="cellIs" dxfId="11928" priority="11857" stopIfTrue="1" operator="equal">
      <formula>"Pass"</formula>
    </cfRule>
    <cfRule type="cellIs" dxfId="11927" priority="11858" stopIfTrue="1" operator="equal">
      <formula>"Fail"</formula>
    </cfRule>
  </conditionalFormatting>
  <conditionalFormatting sqref="H761:O761">
    <cfRule type="cellIs" dxfId="11926" priority="11855" stopIfTrue="1" operator="equal">
      <formula>"Pass"</formula>
    </cfRule>
    <cfRule type="cellIs" dxfId="11925" priority="11856" stopIfTrue="1" operator="equal">
      <formula>"Fail"</formula>
    </cfRule>
  </conditionalFormatting>
  <conditionalFormatting sqref="I761:P761">
    <cfRule type="cellIs" dxfId="11924" priority="11853" stopIfTrue="1" operator="equal">
      <formula>"Pass"</formula>
    </cfRule>
    <cfRule type="cellIs" dxfId="11923" priority="11854" stopIfTrue="1" operator="equal">
      <formula>"Fail"</formula>
    </cfRule>
  </conditionalFormatting>
  <conditionalFormatting sqref="I761:P761">
    <cfRule type="cellIs" dxfId="11922" priority="11851" stopIfTrue="1" operator="equal">
      <formula>"Pass"</formula>
    </cfRule>
    <cfRule type="cellIs" dxfId="11921" priority="11852" stopIfTrue="1" operator="equal">
      <formula>"Fail"</formula>
    </cfRule>
  </conditionalFormatting>
  <conditionalFormatting sqref="I761:P761">
    <cfRule type="cellIs" dxfId="11920" priority="11849" stopIfTrue="1" operator="equal">
      <formula>"Pass"</formula>
    </cfRule>
    <cfRule type="cellIs" dxfId="11919" priority="11850" stopIfTrue="1" operator="equal">
      <formula>"Fail"</formula>
    </cfRule>
  </conditionalFormatting>
  <conditionalFormatting sqref="I761:P761">
    <cfRule type="cellIs" dxfId="11918" priority="11847" stopIfTrue="1" operator="equal">
      <formula>"Pass"</formula>
    </cfRule>
    <cfRule type="cellIs" dxfId="11917" priority="11848" stopIfTrue="1" operator="equal">
      <formula>"Fail"</formula>
    </cfRule>
  </conditionalFormatting>
  <conditionalFormatting sqref="H761:O761">
    <cfRule type="cellIs" dxfId="11916" priority="11845" stopIfTrue="1" operator="equal">
      <formula>"Pass"</formula>
    </cfRule>
    <cfRule type="cellIs" dxfId="11915" priority="11846" stopIfTrue="1" operator="equal">
      <formula>"Fail"</formula>
    </cfRule>
  </conditionalFormatting>
  <conditionalFormatting sqref="H761:O761">
    <cfRule type="cellIs" dxfId="11914" priority="11843" stopIfTrue="1" operator="equal">
      <formula>"Pass"</formula>
    </cfRule>
    <cfRule type="cellIs" dxfId="11913" priority="11844" stopIfTrue="1" operator="equal">
      <formula>"Fail"</formula>
    </cfRule>
  </conditionalFormatting>
  <conditionalFormatting sqref="I761:P761">
    <cfRule type="cellIs" dxfId="11912" priority="11841" stopIfTrue="1" operator="equal">
      <formula>"Pass"</formula>
    </cfRule>
    <cfRule type="cellIs" dxfId="11911" priority="11842" stopIfTrue="1" operator="equal">
      <formula>"Fail"</formula>
    </cfRule>
  </conditionalFormatting>
  <conditionalFormatting sqref="I761:P761">
    <cfRule type="cellIs" dxfId="11910" priority="11839" stopIfTrue="1" operator="equal">
      <formula>"Pass"</formula>
    </cfRule>
    <cfRule type="cellIs" dxfId="11909" priority="11840" stopIfTrue="1" operator="equal">
      <formula>"Fail"</formula>
    </cfRule>
  </conditionalFormatting>
  <conditionalFormatting sqref="I761:P761">
    <cfRule type="cellIs" dxfId="11908" priority="11837" stopIfTrue="1" operator="equal">
      <formula>"Pass"</formula>
    </cfRule>
    <cfRule type="cellIs" dxfId="11907" priority="11838" stopIfTrue="1" operator="equal">
      <formula>"Fail"</formula>
    </cfRule>
  </conditionalFormatting>
  <conditionalFormatting sqref="I761:P761">
    <cfRule type="cellIs" dxfId="11906" priority="11835" stopIfTrue="1" operator="equal">
      <formula>"Pass"</formula>
    </cfRule>
    <cfRule type="cellIs" dxfId="11905" priority="11836" stopIfTrue="1" operator="equal">
      <formula>"Fail"</formula>
    </cfRule>
  </conditionalFormatting>
  <conditionalFormatting sqref="H761:O761">
    <cfRule type="cellIs" dxfId="11904" priority="11833" stopIfTrue="1" operator="equal">
      <formula>"Pass"</formula>
    </cfRule>
    <cfRule type="cellIs" dxfId="11903" priority="11834" stopIfTrue="1" operator="equal">
      <formula>"Fail"</formula>
    </cfRule>
  </conditionalFormatting>
  <conditionalFormatting sqref="H761:O761">
    <cfRule type="cellIs" dxfId="11902" priority="11831" stopIfTrue="1" operator="equal">
      <formula>"Pass"</formula>
    </cfRule>
    <cfRule type="cellIs" dxfId="11901" priority="11832" stopIfTrue="1" operator="equal">
      <formula>"Fail"</formula>
    </cfRule>
  </conditionalFormatting>
  <conditionalFormatting sqref="I761:P761">
    <cfRule type="cellIs" dxfId="11900" priority="11829" stopIfTrue="1" operator="equal">
      <formula>"Pass"</formula>
    </cfRule>
    <cfRule type="cellIs" dxfId="11899" priority="11830" stopIfTrue="1" operator="equal">
      <formula>"Fail"</formula>
    </cfRule>
  </conditionalFormatting>
  <conditionalFormatting sqref="I761:P761">
    <cfRule type="cellIs" dxfId="11898" priority="11827" stopIfTrue="1" operator="equal">
      <formula>"Pass"</formula>
    </cfRule>
    <cfRule type="cellIs" dxfId="11897" priority="11828" stopIfTrue="1" operator="equal">
      <formula>"Fail"</formula>
    </cfRule>
  </conditionalFormatting>
  <conditionalFormatting sqref="I761:P761">
    <cfRule type="cellIs" dxfId="11896" priority="11825" stopIfTrue="1" operator="equal">
      <formula>"Pass"</formula>
    </cfRule>
    <cfRule type="cellIs" dxfId="11895" priority="11826" stopIfTrue="1" operator="equal">
      <formula>"Fail"</formula>
    </cfRule>
  </conditionalFormatting>
  <conditionalFormatting sqref="I761:P761">
    <cfRule type="cellIs" dxfId="11894" priority="11823" stopIfTrue="1" operator="equal">
      <formula>"Pass"</formula>
    </cfRule>
    <cfRule type="cellIs" dxfId="11893" priority="11824" stopIfTrue="1" operator="equal">
      <formula>"Fail"</formula>
    </cfRule>
  </conditionalFormatting>
  <conditionalFormatting sqref="H761:O761">
    <cfRule type="cellIs" dxfId="11892" priority="11821" stopIfTrue="1" operator="equal">
      <formula>"Pass"</formula>
    </cfRule>
    <cfRule type="cellIs" dxfId="11891" priority="11822" stopIfTrue="1" operator="equal">
      <formula>"Fail"</formula>
    </cfRule>
  </conditionalFormatting>
  <conditionalFormatting sqref="H761:O761">
    <cfRule type="cellIs" dxfId="11890" priority="11819" stopIfTrue="1" operator="equal">
      <formula>"Pass"</formula>
    </cfRule>
    <cfRule type="cellIs" dxfId="11889" priority="11820" stopIfTrue="1" operator="equal">
      <formula>"Fail"</formula>
    </cfRule>
  </conditionalFormatting>
  <conditionalFormatting sqref="I761:P761">
    <cfRule type="cellIs" dxfId="11888" priority="11817" stopIfTrue="1" operator="equal">
      <formula>"Pass"</formula>
    </cfRule>
    <cfRule type="cellIs" dxfId="11887" priority="11818" stopIfTrue="1" operator="equal">
      <formula>"Fail"</formula>
    </cfRule>
  </conditionalFormatting>
  <conditionalFormatting sqref="I761:P761">
    <cfRule type="cellIs" dxfId="11886" priority="11815" stopIfTrue="1" operator="equal">
      <formula>"Pass"</formula>
    </cfRule>
    <cfRule type="cellIs" dxfId="11885" priority="11816" stopIfTrue="1" operator="equal">
      <formula>"Fail"</formula>
    </cfRule>
  </conditionalFormatting>
  <conditionalFormatting sqref="I761:P761">
    <cfRule type="cellIs" dxfId="11884" priority="11813" stopIfTrue="1" operator="equal">
      <formula>"Pass"</formula>
    </cfRule>
    <cfRule type="cellIs" dxfId="11883" priority="11814" stopIfTrue="1" operator="equal">
      <formula>"Fail"</formula>
    </cfRule>
  </conditionalFormatting>
  <conditionalFormatting sqref="I761:P761">
    <cfRule type="cellIs" dxfId="11882" priority="11811" stopIfTrue="1" operator="equal">
      <formula>"Pass"</formula>
    </cfRule>
    <cfRule type="cellIs" dxfId="11881" priority="11812" stopIfTrue="1" operator="equal">
      <formula>"Fail"</formula>
    </cfRule>
  </conditionalFormatting>
  <conditionalFormatting sqref="H761:O761">
    <cfRule type="cellIs" dxfId="11880" priority="11809" stopIfTrue="1" operator="equal">
      <formula>"Pass"</formula>
    </cfRule>
    <cfRule type="cellIs" dxfId="11879" priority="11810" stopIfTrue="1" operator="equal">
      <formula>"Fail"</formula>
    </cfRule>
  </conditionalFormatting>
  <conditionalFormatting sqref="H761:O761">
    <cfRule type="cellIs" dxfId="11878" priority="11807" stopIfTrue="1" operator="equal">
      <formula>"Pass"</formula>
    </cfRule>
    <cfRule type="cellIs" dxfId="11877" priority="11808" stopIfTrue="1" operator="equal">
      <formula>"Fail"</formula>
    </cfRule>
  </conditionalFormatting>
  <conditionalFormatting sqref="I761:P761">
    <cfRule type="cellIs" dxfId="11876" priority="11805" stopIfTrue="1" operator="equal">
      <formula>"Pass"</formula>
    </cfRule>
    <cfRule type="cellIs" dxfId="11875" priority="11806" stopIfTrue="1" operator="equal">
      <formula>"Fail"</formula>
    </cfRule>
  </conditionalFormatting>
  <conditionalFormatting sqref="I761:P761">
    <cfRule type="cellIs" dxfId="11874" priority="11803" stopIfTrue="1" operator="equal">
      <formula>"Pass"</formula>
    </cfRule>
    <cfRule type="cellIs" dxfId="11873" priority="11804" stopIfTrue="1" operator="equal">
      <formula>"Fail"</formula>
    </cfRule>
  </conditionalFormatting>
  <conditionalFormatting sqref="I761:P761">
    <cfRule type="cellIs" dxfId="11872" priority="11801" stopIfTrue="1" operator="equal">
      <formula>"Pass"</formula>
    </cfRule>
    <cfRule type="cellIs" dxfId="11871" priority="11802" stopIfTrue="1" operator="equal">
      <formula>"Fail"</formula>
    </cfRule>
  </conditionalFormatting>
  <conditionalFormatting sqref="I761:P761">
    <cfRule type="cellIs" dxfId="11870" priority="11799" stopIfTrue="1" operator="equal">
      <formula>"Pass"</formula>
    </cfRule>
    <cfRule type="cellIs" dxfId="11869" priority="11800" stopIfTrue="1" operator="equal">
      <formula>"Fail"</formula>
    </cfRule>
  </conditionalFormatting>
  <conditionalFormatting sqref="H761:O761">
    <cfRule type="cellIs" dxfId="11868" priority="11797" stopIfTrue="1" operator="equal">
      <formula>"Pass"</formula>
    </cfRule>
    <cfRule type="cellIs" dxfId="11867" priority="11798" stopIfTrue="1" operator="equal">
      <formula>"Fail"</formula>
    </cfRule>
  </conditionalFormatting>
  <conditionalFormatting sqref="H761:O761">
    <cfRule type="cellIs" dxfId="11866" priority="11795" stopIfTrue="1" operator="equal">
      <formula>"Pass"</formula>
    </cfRule>
    <cfRule type="cellIs" dxfId="11865" priority="11796" stopIfTrue="1" operator="equal">
      <formula>"Fail"</formula>
    </cfRule>
  </conditionalFormatting>
  <conditionalFormatting sqref="I761:P761">
    <cfRule type="cellIs" dxfId="11864" priority="11793" stopIfTrue="1" operator="equal">
      <formula>"Pass"</formula>
    </cfRule>
    <cfRule type="cellIs" dxfId="11863" priority="11794" stopIfTrue="1" operator="equal">
      <formula>"Fail"</formula>
    </cfRule>
  </conditionalFormatting>
  <conditionalFormatting sqref="I761:P761">
    <cfRule type="cellIs" dxfId="11862" priority="11791" stopIfTrue="1" operator="equal">
      <formula>"Pass"</formula>
    </cfRule>
    <cfRule type="cellIs" dxfId="11861" priority="11792" stopIfTrue="1" operator="equal">
      <formula>"Fail"</formula>
    </cfRule>
  </conditionalFormatting>
  <conditionalFormatting sqref="I761:P761">
    <cfRule type="cellIs" dxfId="11860" priority="11789" stopIfTrue="1" operator="equal">
      <formula>"Pass"</formula>
    </cfRule>
    <cfRule type="cellIs" dxfId="11859" priority="11790" stopIfTrue="1" operator="equal">
      <formula>"Fail"</formula>
    </cfRule>
  </conditionalFormatting>
  <conditionalFormatting sqref="I761:P761">
    <cfRule type="cellIs" dxfId="11858" priority="11787" stopIfTrue="1" operator="equal">
      <formula>"Pass"</formula>
    </cfRule>
    <cfRule type="cellIs" dxfId="11857" priority="11788" stopIfTrue="1" operator="equal">
      <formula>"Fail"</formula>
    </cfRule>
  </conditionalFormatting>
  <conditionalFormatting sqref="H761:O761">
    <cfRule type="cellIs" dxfId="11856" priority="11785" stopIfTrue="1" operator="equal">
      <formula>"Pass"</formula>
    </cfRule>
    <cfRule type="cellIs" dxfId="11855" priority="11786" stopIfTrue="1" operator="equal">
      <formula>"Fail"</formula>
    </cfRule>
  </conditionalFormatting>
  <conditionalFormatting sqref="H761:O761">
    <cfRule type="cellIs" dxfId="11854" priority="11783" stopIfTrue="1" operator="equal">
      <formula>"Pass"</formula>
    </cfRule>
    <cfRule type="cellIs" dxfId="11853" priority="11784" stopIfTrue="1" operator="equal">
      <formula>"Fail"</formula>
    </cfRule>
  </conditionalFormatting>
  <conditionalFormatting sqref="I761:P761">
    <cfRule type="cellIs" dxfId="11852" priority="11781" stopIfTrue="1" operator="equal">
      <formula>"Pass"</formula>
    </cfRule>
    <cfRule type="cellIs" dxfId="11851" priority="11782" stopIfTrue="1" operator="equal">
      <formula>"Fail"</formula>
    </cfRule>
  </conditionalFormatting>
  <conditionalFormatting sqref="I761:P761">
    <cfRule type="cellIs" dxfId="11850" priority="11779" stopIfTrue="1" operator="equal">
      <formula>"Pass"</formula>
    </cfRule>
    <cfRule type="cellIs" dxfId="11849" priority="11780" stopIfTrue="1" operator="equal">
      <formula>"Fail"</formula>
    </cfRule>
  </conditionalFormatting>
  <conditionalFormatting sqref="I761:P761">
    <cfRule type="cellIs" dxfId="11848" priority="11777" stopIfTrue="1" operator="equal">
      <formula>"Pass"</formula>
    </cfRule>
    <cfRule type="cellIs" dxfId="11847" priority="11778" stopIfTrue="1" operator="equal">
      <formula>"Fail"</formula>
    </cfRule>
  </conditionalFormatting>
  <conditionalFormatting sqref="I761:P761">
    <cfRule type="cellIs" dxfId="11846" priority="11775" stopIfTrue="1" operator="equal">
      <formula>"Pass"</formula>
    </cfRule>
    <cfRule type="cellIs" dxfId="11845" priority="11776" stopIfTrue="1" operator="equal">
      <formula>"Fail"</formula>
    </cfRule>
  </conditionalFormatting>
  <conditionalFormatting sqref="H761:O761">
    <cfRule type="cellIs" dxfId="11844" priority="11773" stopIfTrue="1" operator="equal">
      <formula>"Pass"</formula>
    </cfRule>
    <cfRule type="cellIs" dxfId="11843" priority="11774" stopIfTrue="1" operator="equal">
      <formula>"Fail"</formula>
    </cfRule>
  </conditionalFormatting>
  <conditionalFormatting sqref="H761:O761">
    <cfRule type="cellIs" dxfId="11842" priority="11771" stopIfTrue="1" operator="equal">
      <formula>"Pass"</formula>
    </cfRule>
    <cfRule type="cellIs" dxfId="11841" priority="11772" stopIfTrue="1" operator="equal">
      <formula>"Fail"</formula>
    </cfRule>
  </conditionalFormatting>
  <conditionalFormatting sqref="I761:P761">
    <cfRule type="cellIs" dxfId="11840" priority="11769" stopIfTrue="1" operator="equal">
      <formula>"Pass"</formula>
    </cfRule>
    <cfRule type="cellIs" dxfId="11839" priority="11770" stopIfTrue="1" operator="equal">
      <formula>"Fail"</formula>
    </cfRule>
  </conditionalFormatting>
  <conditionalFormatting sqref="I761:P761">
    <cfRule type="cellIs" dxfId="11838" priority="11767" stopIfTrue="1" operator="equal">
      <formula>"Pass"</formula>
    </cfRule>
    <cfRule type="cellIs" dxfId="11837" priority="11768" stopIfTrue="1" operator="equal">
      <formula>"Fail"</formula>
    </cfRule>
  </conditionalFormatting>
  <conditionalFormatting sqref="I761:P761">
    <cfRule type="cellIs" dxfId="11836" priority="11765" stopIfTrue="1" operator="equal">
      <formula>"Pass"</formula>
    </cfRule>
    <cfRule type="cellIs" dxfId="11835" priority="11766" stopIfTrue="1" operator="equal">
      <formula>"Fail"</formula>
    </cfRule>
  </conditionalFormatting>
  <conditionalFormatting sqref="I761:P761">
    <cfRule type="cellIs" dxfId="11834" priority="11763" stopIfTrue="1" operator="equal">
      <formula>"Pass"</formula>
    </cfRule>
    <cfRule type="cellIs" dxfId="11833" priority="11764" stopIfTrue="1" operator="equal">
      <formula>"Fail"</formula>
    </cfRule>
  </conditionalFormatting>
  <conditionalFormatting sqref="H761:O761">
    <cfRule type="cellIs" dxfId="11832" priority="11761" stopIfTrue="1" operator="equal">
      <formula>"Pass"</formula>
    </cfRule>
    <cfRule type="cellIs" dxfId="11831" priority="11762" stopIfTrue="1" operator="equal">
      <formula>"Fail"</formula>
    </cfRule>
  </conditionalFormatting>
  <conditionalFormatting sqref="H761:O761">
    <cfRule type="cellIs" dxfId="11830" priority="11759" stopIfTrue="1" operator="equal">
      <formula>"Pass"</formula>
    </cfRule>
    <cfRule type="cellIs" dxfId="11829" priority="11760" stopIfTrue="1" operator="equal">
      <formula>"Fail"</formula>
    </cfRule>
  </conditionalFormatting>
  <conditionalFormatting sqref="I761:P761">
    <cfRule type="cellIs" dxfId="11828" priority="11757" stopIfTrue="1" operator="equal">
      <formula>"Pass"</formula>
    </cfRule>
    <cfRule type="cellIs" dxfId="11827" priority="11758" stopIfTrue="1" operator="equal">
      <formula>"Fail"</formula>
    </cfRule>
  </conditionalFormatting>
  <conditionalFormatting sqref="I761:P761">
    <cfRule type="cellIs" dxfId="11826" priority="11755" stopIfTrue="1" operator="equal">
      <formula>"Pass"</formula>
    </cfRule>
    <cfRule type="cellIs" dxfId="11825" priority="11756" stopIfTrue="1" operator="equal">
      <formula>"Fail"</formula>
    </cfRule>
  </conditionalFormatting>
  <conditionalFormatting sqref="I761:P761">
    <cfRule type="cellIs" dxfId="11824" priority="11753" stopIfTrue="1" operator="equal">
      <formula>"Pass"</formula>
    </cfRule>
    <cfRule type="cellIs" dxfId="11823" priority="11754" stopIfTrue="1" operator="equal">
      <formula>"Fail"</formula>
    </cfRule>
  </conditionalFormatting>
  <conditionalFormatting sqref="I761:P761">
    <cfRule type="cellIs" dxfId="11822" priority="11751" stopIfTrue="1" operator="equal">
      <formula>"Pass"</formula>
    </cfRule>
    <cfRule type="cellIs" dxfId="11821" priority="11752" stopIfTrue="1" operator="equal">
      <formula>"Fail"</formula>
    </cfRule>
  </conditionalFormatting>
  <conditionalFormatting sqref="H761:O761">
    <cfRule type="cellIs" dxfId="11820" priority="11749" stopIfTrue="1" operator="equal">
      <formula>"Pass"</formula>
    </cfRule>
    <cfRule type="cellIs" dxfId="11819" priority="11750" stopIfTrue="1" operator="equal">
      <formula>"Fail"</formula>
    </cfRule>
  </conditionalFormatting>
  <conditionalFormatting sqref="H761:O761">
    <cfRule type="cellIs" dxfId="11818" priority="11747" stopIfTrue="1" operator="equal">
      <formula>"Pass"</formula>
    </cfRule>
    <cfRule type="cellIs" dxfId="11817" priority="11748" stopIfTrue="1" operator="equal">
      <formula>"Fail"</formula>
    </cfRule>
  </conditionalFormatting>
  <conditionalFormatting sqref="I761:P761">
    <cfRule type="cellIs" dxfId="11816" priority="11745" stopIfTrue="1" operator="equal">
      <formula>"Pass"</formula>
    </cfRule>
    <cfRule type="cellIs" dxfId="11815" priority="11746" stopIfTrue="1" operator="equal">
      <formula>"Fail"</formula>
    </cfRule>
  </conditionalFormatting>
  <conditionalFormatting sqref="I761:P761">
    <cfRule type="cellIs" dxfId="11814" priority="11743" stopIfTrue="1" operator="equal">
      <formula>"Pass"</formula>
    </cfRule>
    <cfRule type="cellIs" dxfId="11813" priority="11744" stopIfTrue="1" operator="equal">
      <formula>"Fail"</formula>
    </cfRule>
  </conditionalFormatting>
  <conditionalFormatting sqref="I761:P761">
    <cfRule type="cellIs" dxfId="11812" priority="11741" stopIfTrue="1" operator="equal">
      <formula>"Pass"</formula>
    </cfRule>
    <cfRule type="cellIs" dxfId="11811" priority="11742" stopIfTrue="1" operator="equal">
      <formula>"Fail"</formula>
    </cfRule>
  </conditionalFormatting>
  <conditionalFormatting sqref="I761:P761">
    <cfRule type="cellIs" dxfId="11810" priority="11739" stopIfTrue="1" operator="equal">
      <formula>"Pass"</formula>
    </cfRule>
    <cfRule type="cellIs" dxfId="11809" priority="11740" stopIfTrue="1" operator="equal">
      <formula>"Fail"</formula>
    </cfRule>
  </conditionalFormatting>
  <conditionalFormatting sqref="H761:O761">
    <cfRule type="cellIs" dxfId="11808" priority="11737" stopIfTrue="1" operator="equal">
      <formula>"Pass"</formula>
    </cfRule>
    <cfRule type="cellIs" dxfId="11807" priority="11738" stopIfTrue="1" operator="equal">
      <formula>"Fail"</formula>
    </cfRule>
  </conditionalFormatting>
  <conditionalFormatting sqref="H761:O761">
    <cfRule type="cellIs" dxfId="11806" priority="11735" stopIfTrue="1" operator="equal">
      <formula>"Pass"</formula>
    </cfRule>
    <cfRule type="cellIs" dxfId="11805" priority="11736" stopIfTrue="1" operator="equal">
      <formula>"Fail"</formula>
    </cfRule>
  </conditionalFormatting>
  <conditionalFormatting sqref="I761:P761">
    <cfRule type="cellIs" dxfId="11804" priority="11733" stopIfTrue="1" operator="equal">
      <formula>"Pass"</formula>
    </cfRule>
    <cfRule type="cellIs" dxfId="11803" priority="11734" stopIfTrue="1" operator="equal">
      <formula>"Fail"</formula>
    </cfRule>
  </conditionalFormatting>
  <conditionalFormatting sqref="I761:P761">
    <cfRule type="cellIs" dxfId="11802" priority="11731" stopIfTrue="1" operator="equal">
      <formula>"Pass"</formula>
    </cfRule>
    <cfRule type="cellIs" dxfId="11801" priority="11732" stopIfTrue="1" operator="equal">
      <formula>"Fail"</formula>
    </cfRule>
  </conditionalFormatting>
  <conditionalFormatting sqref="I761:P761">
    <cfRule type="cellIs" dxfId="11800" priority="11729" stopIfTrue="1" operator="equal">
      <formula>"Pass"</formula>
    </cfRule>
    <cfRule type="cellIs" dxfId="11799" priority="11730" stopIfTrue="1" operator="equal">
      <formula>"Fail"</formula>
    </cfRule>
  </conditionalFormatting>
  <conditionalFormatting sqref="I761:P761">
    <cfRule type="cellIs" dxfId="11798" priority="11727" stopIfTrue="1" operator="equal">
      <formula>"Pass"</formula>
    </cfRule>
    <cfRule type="cellIs" dxfId="11797" priority="11728" stopIfTrue="1" operator="equal">
      <formula>"Fail"</formula>
    </cfRule>
  </conditionalFormatting>
  <conditionalFormatting sqref="H761:O761">
    <cfRule type="cellIs" dxfId="11796" priority="11725" stopIfTrue="1" operator="equal">
      <formula>"Pass"</formula>
    </cfRule>
    <cfRule type="cellIs" dxfId="11795" priority="11726" stopIfTrue="1" operator="equal">
      <formula>"Fail"</formula>
    </cfRule>
  </conditionalFormatting>
  <conditionalFormatting sqref="H761:O761">
    <cfRule type="cellIs" dxfId="11794" priority="11723" stopIfTrue="1" operator="equal">
      <formula>"Pass"</formula>
    </cfRule>
    <cfRule type="cellIs" dxfId="11793" priority="11724" stopIfTrue="1" operator="equal">
      <formula>"Fail"</formula>
    </cfRule>
  </conditionalFormatting>
  <conditionalFormatting sqref="I761:P761">
    <cfRule type="cellIs" dxfId="11792" priority="11721" stopIfTrue="1" operator="equal">
      <formula>"Pass"</formula>
    </cfRule>
    <cfRule type="cellIs" dxfId="11791" priority="11722" stopIfTrue="1" operator="equal">
      <formula>"Fail"</formula>
    </cfRule>
  </conditionalFormatting>
  <conditionalFormatting sqref="I761:P761">
    <cfRule type="cellIs" dxfId="11790" priority="11719" stopIfTrue="1" operator="equal">
      <formula>"Pass"</formula>
    </cfRule>
    <cfRule type="cellIs" dxfId="11789" priority="11720" stopIfTrue="1" operator="equal">
      <formula>"Fail"</formula>
    </cfRule>
  </conditionalFormatting>
  <conditionalFormatting sqref="I761:P761">
    <cfRule type="cellIs" dxfId="11788" priority="11717" stopIfTrue="1" operator="equal">
      <formula>"Pass"</formula>
    </cfRule>
    <cfRule type="cellIs" dxfId="11787" priority="11718" stopIfTrue="1" operator="equal">
      <formula>"Fail"</formula>
    </cfRule>
  </conditionalFormatting>
  <conditionalFormatting sqref="I761:P761">
    <cfRule type="cellIs" dxfId="11786" priority="11715" stopIfTrue="1" operator="equal">
      <formula>"Pass"</formula>
    </cfRule>
    <cfRule type="cellIs" dxfId="11785" priority="11716" stopIfTrue="1" operator="equal">
      <formula>"Fail"</formula>
    </cfRule>
  </conditionalFormatting>
  <conditionalFormatting sqref="D761:E761 G761:P761">
    <cfRule type="cellIs" dxfId="11784" priority="11713" stopIfTrue="1" operator="equal">
      <formula>"Pass"</formula>
    </cfRule>
    <cfRule type="cellIs" dxfId="11783" priority="11714" stopIfTrue="1" operator="equal">
      <formula>"Fail"</formula>
    </cfRule>
  </conditionalFormatting>
  <conditionalFormatting sqref="E761 H761:P761">
    <cfRule type="cellIs" dxfId="11782" priority="11711" stopIfTrue="1" operator="equal">
      <formula>"Pass"</formula>
    </cfRule>
    <cfRule type="cellIs" dxfId="11781" priority="11712" stopIfTrue="1" operator="equal">
      <formula>"Fail"</formula>
    </cfRule>
  </conditionalFormatting>
  <conditionalFormatting sqref="E761 H761:P761">
    <cfRule type="cellIs" dxfId="11780" priority="11709" stopIfTrue="1" operator="equal">
      <formula>"Pass"</formula>
    </cfRule>
    <cfRule type="cellIs" dxfId="11779" priority="11710" stopIfTrue="1" operator="equal">
      <formula>"Fail"</formula>
    </cfRule>
  </conditionalFormatting>
  <conditionalFormatting sqref="E761 H761:P761">
    <cfRule type="cellIs" dxfId="11778" priority="11707" stopIfTrue="1" operator="equal">
      <formula>"Pass"</formula>
    </cfRule>
    <cfRule type="cellIs" dxfId="11777" priority="11708" stopIfTrue="1" operator="equal">
      <formula>"Fail"</formula>
    </cfRule>
  </conditionalFormatting>
  <conditionalFormatting sqref="E761 H761:P761">
    <cfRule type="cellIs" dxfId="11776" priority="11705" stopIfTrue="1" operator="equal">
      <formula>"Pass"</formula>
    </cfRule>
    <cfRule type="cellIs" dxfId="11775" priority="11706" stopIfTrue="1" operator="equal">
      <formula>"Fail"</formula>
    </cfRule>
  </conditionalFormatting>
  <conditionalFormatting sqref="E761 H761:P761">
    <cfRule type="cellIs" dxfId="11774" priority="11703" stopIfTrue="1" operator="equal">
      <formula>"Pass"</formula>
    </cfRule>
    <cfRule type="cellIs" dxfId="11773" priority="11704" stopIfTrue="1" operator="equal">
      <formula>"Fail"</formula>
    </cfRule>
  </conditionalFormatting>
  <conditionalFormatting sqref="E761 H761:P761">
    <cfRule type="cellIs" dxfId="11772" priority="11701" stopIfTrue="1" operator="equal">
      <formula>"Pass"</formula>
    </cfRule>
    <cfRule type="cellIs" dxfId="11771" priority="11702" stopIfTrue="1" operator="equal">
      <formula>"Fail"</formula>
    </cfRule>
  </conditionalFormatting>
  <conditionalFormatting sqref="E761 H761:P761">
    <cfRule type="cellIs" dxfId="11770" priority="11699" stopIfTrue="1" operator="equal">
      <formula>"Pass"</formula>
    </cfRule>
    <cfRule type="cellIs" dxfId="11769" priority="11700" stopIfTrue="1" operator="equal">
      <formula>"Fail"</formula>
    </cfRule>
  </conditionalFormatting>
  <conditionalFormatting sqref="E761 H761:P761">
    <cfRule type="cellIs" dxfId="11768" priority="11697" stopIfTrue="1" operator="equal">
      <formula>"Pass"</formula>
    </cfRule>
    <cfRule type="cellIs" dxfId="11767" priority="11698" stopIfTrue="1" operator="equal">
      <formula>"Fail"</formula>
    </cfRule>
  </conditionalFormatting>
  <conditionalFormatting sqref="E761 H761:P761">
    <cfRule type="cellIs" dxfId="11766" priority="11695" stopIfTrue="1" operator="equal">
      <formula>"Pass"</formula>
    </cfRule>
    <cfRule type="cellIs" dxfId="11765" priority="11696" stopIfTrue="1" operator="equal">
      <formula>"Fail"</formula>
    </cfRule>
  </conditionalFormatting>
  <conditionalFormatting sqref="E761 H761:P761">
    <cfRule type="cellIs" dxfId="11764" priority="11693" stopIfTrue="1" operator="equal">
      <formula>"Pass"</formula>
    </cfRule>
    <cfRule type="cellIs" dxfId="11763" priority="11694" stopIfTrue="1" operator="equal">
      <formula>"Fail"</formula>
    </cfRule>
  </conditionalFormatting>
  <conditionalFormatting sqref="E761 H761:P761">
    <cfRule type="cellIs" dxfId="11762" priority="11691" stopIfTrue="1" operator="equal">
      <formula>"Pass"</formula>
    </cfRule>
    <cfRule type="cellIs" dxfId="11761" priority="11692" stopIfTrue="1" operator="equal">
      <formula>"Fail"</formula>
    </cfRule>
  </conditionalFormatting>
  <conditionalFormatting sqref="E761 H761:P761">
    <cfRule type="cellIs" dxfId="11760" priority="11689" stopIfTrue="1" operator="equal">
      <formula>"Pass"</formula>
    </cfRule>
    <cfRule type="cellIs" dxfId="11759" priority="11690" stopIfTrue="1" operator="equal">
      <formula>"Fail"</formula>
    </cfRule>
  </conditionalFormatting>
  <conditionalFormatting sqref="E761 H761:P761">
    <cfRule type="cellIs" dxfId="11758" priority="11687" stopIfTrue="1" operator="equal">
      <formula>"Pass"</formula>
    </cfRule>
    <cfRule type="cellIs" dxfId="11757" priority="11688" stopIfTrue="1" operator="equal">
      <formula>"Fail"</formula>
    </cfRule>
  </conditionalFormatting>
  <conditionalFormatting sqref="E761 H761:P761">
    <cfRule type="cellIs" dxfId="11756" priority="11685" stopIfTrue="1" operator="equal">
      <formula>"Pass"</formula>
    </cfRule>
    <cfRule type="cellIs" dxfId="11755" priority="11686" stopIfTrue="1" operator="equal">
      <formula>"Fail"</formula>
    </cfRule>
  </conditionalFormatting>
  <conditionalFormatting sqref="E761 H761:P761">
    <cfRule type="cellIs" dxfId="11754" priority="11683" stopIfTrue="1" operator="equal">
      <formula>"Pass"</formula>
    </cfRule>
    <cfRule type="cellIs" dxfId="11753" priority="11684" stopIfTrue="1" operator="equal">
      <formula>"Fail"</formula>
    </cfRule>
  </conditionalFormatting>
  <conditionalFormatting sqref="E761 H761:P761">
    <cfRule type="cellIs" dxfId="11752" priority="11681" stopIfTrue="1" operator="equal">
      <formula>"Pass"</formula>
    </cfRule>
    <cfRule type="cellIs" dxfId="11751" priority="11682" stopIfTrue="1" operator="equal">
      <formula>"Fail"</formula>
    </cfRule>
  </conditionalFormatting>
  <conditionalFormatting sqref="E761 H761:P761">
    <cfRule type="cellIs" dxfId="11750" priority="11679" stopIfTrue="1" operator="equal">
      <formula>"Pass"</formula>
    </cfRule>
    <cfRule type="cellIs" dxfId="11749" priority="11680" stopIfTrue="1" operator="equal">
      <formula>"Fail"</formula>
    </cfRule>
  </conditionalFormatting>
  <conditionalFormatting sqref="E761 H761:P761">
    <cfRule type="cellIs" dxfId="11748" priority="11677" stopIfTrue="1" operator="equal">
      <formula>"Pass"</formula>
    </cfRule>
    <cfRule type="cellIs" dxfId="11747" priority="11678" stopIfTrue="1" operator="equal">
      <formula>"Fail"</formula>
    </cfRule>
  </conditionalFormatting>
  <conditionalFormatting sqref="E761 H761:P761">
    <cfRule type="cellIs" dxfId="11746" priority="11675" stopIfTrue="1" operator="equal">
      <formula>"Pass"</formula>
    </cfRule>
    <cfRule type="cellIs" dxfId="11745" priority="11676" stopIfTrue="1" operator="equal">
      <formula>"Fail"</formula>
    </cfRule>
  </conditionalFormatting>
  <conditionalFormatting sqref="H761:P761">
    <cfRule type="cellIs" dxfId="11744" priority="11673" stopIfTrue="1" operator="equal">
      <formula>"Pass"</formula>
    </cfRule>
    <cfRule type="cellIs" dxfId="11743" priority="11674" stopIfTrue="1" operator="equal">
      <formula>"Fail"</formula>
    </cfRule>
  </conditionalFormatting>
  <conditionalFormatting sqref="H761:P761">
    <cfRule type="cellIs" dxfId="11742" priority="11671" stopIfTrue="1" operator="equal">
      <formula>"Pass"</formula>
    </cfRule>
    <cfRule type="cellIs" dxfId="11741" priority="11672" stopIfTrue="1" operator="equal">
      <formula>"Fail"</formula>
    </cfRule>
  </conditionalFormatting>
  <conditionalFormatting sqref="H761:P761">
    <cfRule type="cellIs" dxfId="11740" priority="11669" stopIfTrue="1" operator="equal">
      <formula>"Pass"</formula>
    </cfRule>
    <cfRule type="cellIs" dxfId="11739" priority="11670" stopIfTrue="1" operator="equal">
      <formula>"Fail"</formula>
    </cfRule>
  </conditionalFormatting>
  <conditionalFormatting sqref="I761:P761">
    <cfRule type="cellIs" dxfId="11738" priority="11667" stopIfTrue="1" operator="equal">
      <formula>"Pass"</formula>
    </cfRule>
    <cfRule type="cellIs" dxfId="11737" priority="11668" stopIfTrue="1" operator="equal">
      <formula>"Fail"</formula>
    </cfRule>
  </conditionalFormatting>
  <conditionalFormatting sqref="I761:P761">
    <cfRule type="cellIs" dxfId="11736" priority="11665" stopIfTrue="1" operator="equal">
      <formula>"Pass"</formula>
    </cfRule>
    <cfRule type="cellIs" dxfId="11735" priority="11666" stopIfTrue="1" operator="equal">
      <formula>"Fail"</formula>
    </cfRule>
  </conditionalFormatting>
  <conditionalFormatting sqref="I761:P761">
    <cfRule type="cellIs" dxfId="11734" priority="11663" stopIfTrue="1" operator="equal">
      <formula>"Pass"</formula>
    </cfRule>
    <cfRule type="cellIs" dxfId="11733" priority="11664" stopIfTrue="1" operator="equal">
      <formula>"Fail"</formula>
    </cfRule>
  </conditionalFormatting>
  <conditionalFormatting sqref="I761:P761">
    <cfRule type="cellIs" dxfId="11732" priority="11661" stopIfTrue="1" operator="equal">
      <formula>"Pass"</formula>
    </cfRule>
    <cfRule type="cellIs" dxfId="11731" priority="11662" stopIfTrue="1" operator="equal">
      <formula>"Fail"</formula>
    </cfRule>
  </conditionalFormatting>
  <conditionalFormatting sqref="H761:P761">
    <cfRule type="cellIs" dxfId="11730" priority="11659" stopIfTrue="1" operator="equal">
      <formula>"Pass"</formula>
    </cfRule>
    <cfRule type="cellIs" dxfId="11729" priority="11660" stopIfTrue="1" operator="equal">
      <formula>"Fail"</formula>
    </cfRule>
  </conditionalFormatting>
  <conditionalFormatting sqref="H761:P761">
    <cfRule type="cellIs" dxfId="11728" priority="11657" stopIfTrue="1" operator="equal">
      <formula>"Pass"</formula>
    </cfRule>
    <cfRule type="cellIs" dxfId="11727" priority="11658" stopIfTrue="1" operator="equal">
      <formula>"Fail"</formula>
    </cfRule>
  </conditionalFormatting>
  <conditionalFormatting sqref="I761:P761">
    <cfRule type="cellIs" dxfId="11726" priority="11655" stopIfTrue="1" operator="equal">
      <formula>"Pass"</formula>
    </cfRule>
    <cfRule type="cellIs" dxfId="11725" priority="11656" stopIfTrue="1" operator="equal">
      <formula>"Fail"</formula>
    </cfRule>
  </conditionalFormatting>
  <conditionalFormatting sqref="I761:P761">
    <cfRule type="cellIs" dxfId="11724" priority="11653" stopIfTrue="1" operator="equal">
      <formula>"Pass"</formula>
    </cfRule>
    <cfRule type="cellIs" dxfId="11723" priority="11654" stopIfTrue="1" operator="equal">
      <formula>"Fail"</formula>
    </cfRule>
  </conditionalFormatting>
  <conditionalFormatting sqref="I761:P761">
    <cfRule type="cellIs" dxfId="11722" priority="11651" stopIfTrue="1" operator="equal">
      <formula>"Pass"</formula>
    </cfRule>
    <cfRule type="cellIs" dxfId="11721" priority="11652" stopIfTrue="1" operator="equal">
      <formula>"Fail"</formula>
    </cfRule>
  </conditionalFormatting>
  <conditionalFormatting sqref="I761:P761">
    <cfRule type="cellIs" dxfId="11720" priority="11649" stopIfTrue="1" operator="equal">
      <formula>"Pass"</formula>
    </cfRule>
    <cfRule type="cellIs" dxfId="11719" priority="11650" stopIfTrue="1" operator="equal">
      <formula>"Fail"</formula>
    </cfRule>
  </conditionalFormatting>
  <conditionalFormatting sqref="H761:P761">
    <cfRule type="cellIs" dxfId="11718" priority="11647" stopIfTrue="1" operator="equal">
      <formula>"Pass"</formula>
    </cfRule>
    <cfRule type="cellIs" dxfId="11717" priority="11648" stopIfTrue="1" operator="equal">
      <formula>"Fail"</formula>
    </cfRule>
  </conditionalFormatting>
  <conditionalFormatting sqref="H761:P761">
    <cfRule type="cellIs" dxfId="11716" priority="11645" stopIfTrue="1" operator="equal">
      <formula>"Pass"</formula>
    </cfRule>
    <cfRule type="cellIs" dxfId="11715" priority="11646" stopIfTrue="1" operator="equal">
      <formula>"Fail"</formula>
    </cfRule>
  </conditionalFormatting>
  <conditionalFormatting sqref="I761:P761">
    <cfRule type="cellIs" dxfId="11714" priority="11643" stopIfTrue="1" operator="equal">
      <formula>"Pass"</formula>
    </cfRule>
    <cfRule type="cellIs" dxfId="11713" priority="11644" stopIfTrue="1" operator="equal">
      <formula>"Fail"</formula>
    </cfRule>
  </conditionalFormatting>
  <conditionalFormatting sqref="I761:P761">
    <cfRule type="cellIs" dxfId="11712" priority="11641" stopIfTrue="1" operator="equal">
      <formula>"Pass"</formula>
    </cfRule>
    <cfRule type="cellIs" dxfId="11711" priority="11642" stopIfTrue="1" operator="equal">
      <formula>"Fail"</formula>
    </cfRule>
  </conditionalFormatting>
  <conditionalFormatting sqref="I761:P761">
    <cfRule type="cellIs" dxfId="11710" priority="11639" stopIfTrue="1" operator="equal">
      <formula>"Pass"</formula>
    </cfRule>
    <cfRule type="cellIs" dxfId="11709" priority="11640" stopIfTrue="1" operator="equal">
      <formula>"Fail"</formula>
    </cfRule>
  </conditionalFormatting>
  <conditionalFormatting sqref="I761:P761">
    <cfRule type="cellIs" dxfId="11708" priority="11637" stopIfTrue="1" operator="equal">
      <formula>"Pass"</formula>
    </cfRule>
    <cfRule type="cellIs" dxfId="11707" priority="11638" stopIfTrue="1" operator="equal">
      <formula>"Fail"</formula>
    </cfRule>
  </conditionalFormatting>
  <conditionalFormatting sqref="H761:P761">
    <cfRule type="cellIs" dxfId="11706" priority="11635" stopIfTrue="1" operator="equal">
      <formula>"Pass"</formula>
    </cfRule>
    <cfRule type="cellIs" dxfId="11705" priority="11636" stopIfTrue="1" operator="equal">
      <formula>"Fail"</formula>
    </cfRule>
  </conditionalFormatting>
  <conditionalFormatting sqref="H761:P761">
    <cfRule type="cellIs" dxfId="11704" priority="11633" stopIfTrue="1" operator="equal">
      <formula>"Pass"</formula>
    </cfRule>
    <cfRule type="cellIs" dxfId="11703" priority="11634" stopIfTrue="1" operator="equal">
      <formula>"Fail"</formula>
    </cfRule>
  </conditionalFormatting>
  <conditionalFormatting sqref="I761:P761">
    <cfRule type="cellIs" dxfId="11702" priority="11631" stopIfTrue="1" operator="equal">
      <formula>"Pass"</formula>
    </cfRule>
    <cfRule type="cellIs" dxfId="11701" priority="11632" stopIfTrue="1" operator="equal">
      <formula>"Fail"</formula>
    </cfRule>
  </conditionalFormatting>
  <conditionalFormatting sqref="I761:P761">
    <cfRule type="cellIs" dxfId="11700" priority="11629" stopIfTrue="1" operator="equal">
      <formula>"Pass"</formula>
    </cfRule>
    <cfRule type="cellIs" dxfId="11699" priority="11630" stopIfTrue="1" operator="equal">
      <formula>"Fail"</formula>
    </cfRule>
  </conditionalFormatting>
  <conditionalFormatting sqref="I761:P761">
    <cfRule type="cellIs" dxfId="11698" priority="11627" stopIfTrue="1" operator="equal">
      <formula>"Pass"</formula>
    </cfRule>
    <cfRule type="cellIs" dxfId="11697" priority="11628" stopIfTrue="1" operator="equal">
      <formula>"Fail"</formula>
    </cfRule>
  </conditionalFormatting>
  <conditionalFormatting sqref="I761:P761">
    <cfRule type="cellIs" dxfId="11696" priority="11625" stopIfTrue="1" operator="equal">
      <formula>"Pass"</formula>
    </cfRule>
    <cfRule type="cellIs" dxfId="11695" priority="11626" stopIfTrue="1" operator="equal">
      <formula>"Fail"</formula>
    </cfRule>
  </conditionalFormatting>
  <conditionalFormatting sqref="H761:P761">
    <cfRule type="cellIs" dxfId="11694" priority="11623" stopIfTrue="1" operator="equal">
      <formula>"Pass"</formula>
    </cfRule>
    <cfRule type="cellIs" dxfId="11693" priority="11624" stopIfTrue="1" operator="equal">
      <formula>"Fail"</formula>
    </cfRule>
  </conditionalFormatting>
  <conditionalFormatting sqref="H761:P761">
    <cfRule type="cellIs" dxfId="11692" priority="11621" stopIfTrue="1" operator="equal">
      <formula>"Pass"</formula>
    </cfRule>
    <cfRule type="cellIs" dxfId="11691" priority="11622" stopIfTrue="1" operator="equal">
      <formula>"Fail"</formula>
    </cfRule>
  </conditionalFormatting>
  <conditionalFormatting sqref="I761:P761">
    <cfRule type="cellIs" dxfId="11690" priority="11619" stopIfTrue="1" operator="equal">
      <formula>"Pass"</formula>
    </cfRule>
    <cfRule type="cellIs" dxfId="11689" priority="11620" stopIfTrue="1" operator="equal">
      <formula>"Fail"</formula>
    </cfRule>
  </conditionalFormatting>
  <conditionalFormatting sqref="I761:P761">
    <cfRule type="cellIs" dxfId="11688" priority="11617" stopIfTrue="1" operator="equal">
      <formula>"Pass"</formula>
    </cfRule>
    <cfRule type="cellIs" dxfId="11687" priority="11618" stopIfTrue="1" operator="equal">
      <formula>"Fail"</formula>
    </cfRule>
  </conditionalFormatting>
  <conditionalFormatting sqref="I761:P761">
    <cfRule type="cellIs" dxfId="11686" priority="11615" stopIfTrue="1" operator="equal">
      <formula>"Pass"</formula>
    </cfRule>
    <cfRule type="cellIs" dxfId="11685" priority="11616" stopIfTrue="1" operator="equal">
      <formula>"Fail"</formula>
    </cfRule>
  </conditionalFormatting>
  <conditionalFormatting sqref="I761:P761">
    <cfRule type="cellIs" dxfId="11684" priority="11613" stopIfTrue="1" operator="equal">
      <formula>"Pass"</formula>
    </cfRule>
    <cfRule type="cellIs" dxfId="11683" priority="11614" stopIfTrue="1" operator="equal">
      <formula>"Fail"</formula>
    </cfRule>
  </conditionalFormatting>
  <conditionalFormatting sqref="H761:P761">
    <cfRule type="cellIs" dxfId="11682" priority="11611" stopIfTrue="1" operator="equal">
      <formula>"Pass"</formula>
    </cfRule>
    <cfRule type="cellIs" dxfId="11681" priority="11612" stopIfTrue="1" operator="equal">
      <formula>"Fail"</formula>
    </cfRule>
  </conditionalFormatting>
  <conditionalFormatting sqref="H761:P761">
    <cfRule type="cellIs" dxfId="11680" priority="11609" stopIfTrue="1" operator="equal">
      <formula>"Pass"</formula>
    </cfRule>
    <cfRule type="cellIs" dxfId="11679" priority="11610" stopIfTrue="1" operator="equal">
      <formula>"Fail"</formula>
    </cfRule>
  </conditionalFormatting>
  <conditionalFormatting sqref="I761:P761">
    <cfRule type="cellIs" dxfId="11678" priority="11607" stopIfTrue="1" operator="equal">
      <formula>"Pass"</formula>
    </cfRule>
    <cfRule type="cellIs" dxfId="11677" priority="11608" stopIfTrue="1" operator="equal">
      <formula>"Fail"</formula>
    </cfRule>
  </conditionalFormatting>
  <conditionalFormatting sqref="I761:P761">
    <cfRule type="cellIs" dxfId="11676" priority="11605" stopIfTrue="1" operator="equal">
      <formula>"Pass"</formula>
    </cfRule>
    <cfRule type="cellIs" dxfId="11675" priority="11606" stopIfTrue="1" operator="equal">
      <formula>"Fail"</formula>
    </cfRule>
  </conditionalFormatting>
  <conditionalFormatting sqref="I761:P761">
    <cfRule type="cellIs" dxfId="11674" priority="11603" stopIfTrue="1" operator="equal">
      <formula>"Pass"</formula>
    </cfRule>
    <cfRule type="cellIs" dxfId="11673" priority="11604" stopIfTrue="1" operator="equal">
      <formula>"Fail"</formula>
    </cfRule>
  </conditionalFormatting>
  <conditionalFormatting sqref="I761:P761">
    <cfRule type="cellIs" dxfId="11672" priority="11601" stopIfTrue="1" operator="equal">
      <formula>"Pass"</formula>
    </cfRule>
    <cfRule type="cellIs" dxfId="11671" priority="11602" stopIfTrue="1" operator="equal">
      <formula>"Fail"</formula>
    </cfRule>
  </conditionalFormatting>
  <conditionalFormatting sqref="H761:P761">
    <cfRule type="cellIs" dxfId="11670" priority="11599" stopIfTrue="1" operator="equal">
      <formula>"Pass"</formula>
    </cfRule>
    <cfRule type="cellIs" dxfId="11669" priority="11600" stopIfTrue="1" operator="equal">
      <formula>"Fail"</formula>
    </cfRule>
  </conditionalFormatting>
  <conditionalFormatting sqref="H761:P761">
    <cfRule type="cellIs" dxfId="11668" priority="11597" stopIfTrue="1" operator="equal">
      <formula>"Pass"</formula>
    </cfRule>
    <cfRule type="cellIs" dxfId="11667" priority="11598" stopIfTrue="1" operator="equal">
      <formula>"Fail"</formula>
    </cfRule>
  </conditionalFormatting>
  <conditionalFormatting sqref="I761:P761">
    <cfRule type="cellIs" dxfId="11666" priority="11595" stopIfTrue="1" operator="equal">
      <formula>"Pass"</formula>
    </cfRule>
    <cfRule type="cellIs" dxfId="11665" priority="11596" stopIfTrue="1" operator="equal">
      <formula>"Fail"</formula>
    </cfRule>
  </conditionalFormatting>
  <conditionalFormatting sqref="I761:P761">
    <cfRule type="cellIs" dxfId="11664" priority="11593" stopIfTrue="1" operator="equal">
      <formula>"Pass"</formula>
    </cfRule>
    <cfRule type="cellIs" dxfId="11663" priority="11594" stopIfTrue="1" operator="equal">
      <formula>"Fail"</formula>
    </cfRule>
  </conditionalFormatting>
  <conditionalFormatting sqref="I761:P761">
    <cfRule type="cellIs" dxfId="11662" priority="11591" stopIfTrue="1" operator="equal">
      <formula>"Pass"</formula>
    </cfRule>
    <cfRule type="cellIs" dxfId="11661" priority="11592" stopIfTrue="1" operator="equal">
      <formula>"Fail"</formula>
    </cfRule>
  </conditionalFormatting>
  <conditionalFormatting sqref="I761:P761">
    <cfRule type="cellIs" dxfId="11660" priority="11589" stopIfTrue="1" operator="equal">
      <formula>"Pass"</formula>
    </cfRule>
    <cfRule type="cellIs" dxfId="11659" priority="11590" stopIfTrue="1" operator="equal">
      <formula>"Fail"</formula>
    </cfRule>
  </conditionalFormatting>
  <conditionalFormatting sqref="H761:P761">
    <cfRule type="cellIs" dxfId="11658" priority="11587" stopIfTrue="1" operator="equal">
      <formula>"Pass"</formula>
    </cfRule>
    <cfRule type="cellIs" dxfId="11657" priority="11588" stopIfTrue="1" operator="equal">
      <formula>"Fail"</formula>
    </cfRule>
  </conditionalFormatting>
  <conditionalFormatting sqref="H761:P761">
    <cfRule type="cellIs" dxfId="11656" priority="11585" stopIfTrue="1" operator="equal">
      <formula>"Pass"</formula>
    </cfRule>
    <cfRule type="cellIs" dxfId="11655" priority="11586" stopIfTrue="1" operator="equal">
      <formula>"Fail"</formula>
    </cfRule>
  </conditionalFormatting>
  <conditionalFormatting sqref="I761:P761">
    <cfRule type="cellIs" dxfId="11654" priority="11583" stopIfTrue="1" operator="equal">
      <formula>"Pass"</formula>
    </cfRule>
    <cfRule type="cellIs" dxfId="11653" priority="11584" stopIfTrue="1" operator="equal">
      <formula>"Fail"</formula>
    </cfRule>
  </conditionalFormatting>
  <conditionalFormatting sqref="I761:P761">
    <cfRule type="cellIs" dxfId="11652" priority="11581" stopIfTrue="1" operator="equal">
      <formula>"Pass"</formula>
    </cfRule>
    <cfRule type="cellIs" dxfId="11651" priority="11582" stopIfTrue="1" operator="equal">
      <formula>"Fail"</formula>
    </cfRule>
  </conditionalFormatting>
  <conditionalFormatting sqref="I761:P761">
    <cfRule type="cellIs" dxfId="11650" priority="11579" stopIfTrue="1" operator="equal">
      <formula>"Pass"</formula>
    </cfRule>
    <cfRule type="cellIs" dxfId="11649" priority="11580" stopIfTrue="1" operator="equal">
      <formula>"Fail"</formula>
    </cfRule>
  </conditionalFormatting>
  <conditionalFormatting sqref="I761:P761">
    <cfRule type="cellIs" dxfId="11648" priority="11577" stopIfTrue="1" operator="equal">
      <formula>"Pass"</formula>
    </cfRule>
    <cfRule type="cellIs" dxfId="11647" priority="11578" stopIfTrue="1" operator="equal">
      <formula>"Fail"</formula>
    </cfRule>
  </conditionalFormatting>
  <conditionalFormatting sqref="H761:O761">
    <cfRule type="cellIs" dxfId="11646" priority="11575" stopIfTrue="1" operator="equal">
      <formula>"Pass"</formula>
    </cfRule>
    <cfRule type="cellIs" dxfId="11645" priority="11576" stopIfTrue="1" operator="equal">
      <formula>"Fail"</formula>
    </cfRule>
  </conditionalFormatting>
  <conditionalFormatting sqref="H761:O761">
    <cfRule type="cellIs" dxfId="11644" priority="11573" stopIfTrue="1" operator="equal">
      <formula>"Pass"</formula>
    </cfRule>
    <cfRule type="cellIs" dxfId="11643" priority="11574" stopIfTrue="1" operator="equal">
      <formula>"Fail"</formula>
    </cfRule>
  </conditionalFormatting>
  <conditionalFormatting sqref="I761:P761">
    <cfRule type="cellIs" dxfId="11642" priority="11571" stopIfTrue="1" operator="equal">
      <formula>"Pass"</formula>
    </cfRule>
    <cfRule type="cellIs" dxfId="11641" priority="11572" stopIfTrue="1" operator="equal">
      <formula>"Fail"</formula>
    </cfRule>
  </conditionalFormatting>
  <conditionalFormatting sqref="I761:P761">
    <cfRule type="cellIs" dxfId="11640" priority="11569" stopIfTrue="1" operator="equal">
      <formula>"Pass"</formula>
    </cfRule>
    <cfRule type="cellIs" dxfId="11639" priority="11570" stopIfTrue="1" operator="equal">
      <formula>"Fail"</formula>
    </cfRule>
  </conditionalFormatting>
  <conditionalFormatting sqref="I761:P761">
    <cfRule type="cellIs" dxfId="11638" priority="11567" stopIfTrue="1" operator="equal">
      <formula>"Pass"</formula>
    </cfRule>
    <cfRule type="cellIs" dxfId="11637" priority="11568" stopIfTrue="1" operator="equal">
      <formula>"Fail"</formula>
    </cfRule>
  </conditionalFormatting>
  <conditionalFormatting sqref="I761:P761">
    <cfRule type="cellIs" dxfId="11636" priority="11565" stopIfTrue="1" operator="equal">
      <formula>"Pass"</formula>
    </cfRule>
    <cfRule type="cellIs" dxfId="11635" priority="11566" stopIfTrue="1" operator="equal">
      <formula>"Fail"</formula>
    </cfRule>
  </conditionalFormatting>
  <conditionalFormatting sqref="H761:O761">
    <cfRule type="cellIs" dxfId="11634" priority="11563" stopIfTrue="1" operator="equal">
      <formula>"Pass"</formula>
    </cfRule>
    <cfRule type="cellIs" dxfId="11633" priority="11564" stopIfTrue="1" operator="equal">
      <formula>"Fail"</formula>
    </cfRule>
  </conditionalFormatting>
  <conditionalFormatting sqref="H761:O761">
    <cfRule type="cellIs" dxfId="11632" priority="11561" stopIfTrue="1" operator="equal">
      <formula>"Pass"</formula>
    </cfRule>
    <cfRule type="cellIs" dxfId="11631" priority="11562" stopIfTrue="1" operator="equal">
      <formula>"Fail"</formula>
    </cfRule>
  </conditionalFormatting>
  <conditionalFormatting sqref="I761:P761">
    <cfRule type="cellIs" dxfId="11630" priority="11559" stopIfTrue="1" operator="equal">
      <formula>"Pass"</formula>
    </cfRule>
    <cfRule type="cellIs" dxfId="11629" priority="11560" stopIfTrue="1" operator="equal">
      <formula>"Fail"</formula>
    </cfRule>
  </conditionalFormatting>
  <conditionalFormatting sqref="I761:P761">
    <cfRule type="cellIs" dxfId="11628" priority="11557" stopIfTrue="1" operator="equal">
      <formula>"Pass"</formula>
    </cfRule>
    <cfRule type="cellIs" dxfId="11627" priority="11558" stopIfTrue="1" operator="equal">
      <formula>"Fail"</formula>
    </cfRule>
  </conditionalFormatting>
  <conditionalFormatting sqref="I761:P761">
    <cfRule type="cellIs" dxfId="11626" priority="11555" stopIfTrue="1" operator="equal">
      <formula>"Pass"</formula>
    </cfRule>
    <cfRule type="cellIs" dxfId="11625" priority="11556" stopIfTrue="1" operator="equal">
      <formula>"Fail"</formula>
    </cfRule>
  </conditionalFormatting>
  <conditionalFormatting sqref="I761:P761">
    <cfRule type="cellIs" dxfId="11624" priority="11553" stopIfTrue="1" operator="equal">
      <formula>"Pass"</formula>
    </cfRule>
    <cfRule type="cellIs" dxfId="11623" priority="11554" stopIfTrue="1" operator="equal">
      <formula>"Fail"</formula>
    </cfRule>
  </conditionalFormatting>
  <conditionalFormatting sqref="H761:P761">
    <cfRule type="cellIs" dxfId="11622" priority="11551" stopIfTrue="1" operator="equal">
      <formula>"Pass"</formula>
    </cfRule>
    <cfRule type="cellIs" dxfId="11621" priority="11552" stopIfTrue="1" operator="equal">
      <formula>"Fail"</formula>
    </cfRule>
  </conditionalFormatting>
  <conditionalFormatting sqref="H761:P761">
    <cfRule type="cellIs" dxfId="11620" priority="11549" stopIfTrue="1" operator="equal">
      <formula>"Pass"</formula>
    </cfRule>
    <cfRule type="cellIs" dxfId="11619" priority="11550" stopIfTrue="1" operator="equal">
      <formula>"Fail"</formula>
    </cfRule>
  </conditionalFormatting>
  <conditionalFormatting sqref="I761:P761">
    <cfRule type="cellIs" dxfId="11618" priority="11547" stopIfTrue="1" operator="equal">
      <formula>"Pass"</formula>
    </cfRule>
    <cfRule type="cellIs" dxfId="11617" priority="11548" stopIfTrue="1" operator="equal">
      <formula>"Fail"</formula>
    </cfRule>
  </conditionalFormatting>
  <conditionalFormatting sqref="I761:P761">
    <cfRule type="cellIs" dxfId="11616" priority="11545" stopIfTrue="1" operator="equal">
      <formula>"Pass"</formula>
    </cfRule>
    <cfRule type="cellIs" dxfId="11615" priority="11546" stopIfTrue="1" operator="equal">
      <formula>"Fail"</formula>
    </cfRule>
  </conditionalFormatting>
  <conditionalFormatting sqref="I761:P761">
    <cfRule type="cellIs" dxfId="11614" priority="11543" stopIfTrue="1" operator="equal">
      <formula>"Pass"</formula>
    </cfRule>
    <cfRule type="cellIs" dxfId="11613" priority="11544" stopIfTrue="1" operator="equal">
      <formula>"Fail"</formula>
    </cfRule>
  </conditionalFormatting>
  <conditionalFormatting sqref="I761:P761">
    <cfRule type="cellIs" dxfId="11612" priority="11541" stopIfTrue="1" operator="equal">
      <formula>"Pass"</formula>
    </cfRule>
    <cfRule type="cellIs" dxfId="11611" priority="11542" stopIfTrue="1" operator="equal">
      <formula>"Fail"</formula>
    </cfRule>
  </conditionalFormatting>
  <conditionalFormatting sqref="H761:P761">
    <cfRule type="cellIs" dxfId="11610" priority="11539" stopIfTrue="1" operator="equal">
      <formula>"Pass"</formula>
    </cfRule>
    <cfRule type="cellIs" dxfId="11609" priority="11540" stopIfTrue="1" operator="equal">
      <formula>"Fail"</formula>
    </cfRule>
  </conditionalFormatting>
  <conditionalFormatting sqref="H761:P761">
    <cfRule type="cellIs" dxfId="11608" priority="11537" stopIfTrue="1" operator="equal">
      <formula>"Pass"</formula>
    </cfRule>
    <cfRule type="cellIs" dxfId="11607" priority="11538" stopIfTrue="1" operator="equal">
      <formula>"Fail"</formula>
    </cfRule>
  </conditionalFormatting>
  <conditionalFormatting sqref="I761:P761">
    <cfRule type="cellIs" dxfId="11606" priority="11535" stopIfTrue="1" operator="equal">
      <formula>"Pass"</formula>
    </cfRule>
    <cfRule type="cellIs" dxfId="11605" priority="11536" stopIfTrue="1" operator="equal">
      <formula>"Fail"</formula>
    </cfRule>
  </conditionalFormatting>
  <conditionalFormatting sqref="I761:P761">
    <cfRule type="cellIs" dxfId="11604" priority="11533" stopIfTrue="1" operator="equal">
      <formula>"Pass"</formula>
    </cfRule>
    <cfRule type="cellIs" dxfId="11603" priority="11534" stopIfTrue="1" operator="equal">
      <formula>"Fail"</formula>
    </cfRule>
  </conditionalFormatting>
  <conditionalFormatting sqref="I761:P761">
    <cfRule type="cellIs" dxfId="11602" priority="11531" stopIfTrue="1" operator="equal">
      <formula>"Pass"</formula>
    </cfRule>
    <cfRule type="cellIs" dxfId="11601" priority="11532" stopIfTrue="1" operator="equal">
      <formula>"Fail"</formula>
    </cfRule>
  </conditionalFormatting>
  <conditionalFormatting sqref="I761:P761">
    <cfRule type="cellIs" dxfId="11600" priority="11529" stopIfTrue="1" operator="equal">
      <formula>"Pass"</formula>
    </cfRule>
    <cfRule type="cellIs" dxfId="11599" priority="11530" stopIfTrue="1" operator="equal">
      <formula>"Fail"</formula>
    </cfRule>
  </conditionalFormatting>
  <conditionalFormatting sqref="H761:P761">
    <cfRule type="cellIs" dxfId="11598" priority="11527" stopIfTrue="1" operator="equal">
      <formula>"Pass"</formula>
    </cfRule>
    <cfRule type="cellIs" dxfId="11597" priority="11528" stopIfTrue="1" operator="equal">
      <formula>"Fail"</formula>
    </cfRule>
  </conditionalFormatting>
  <conditionalFormatting sqref="H761:P761">
    <cfRule type="cellIs" dxfId="11596" priority="11525" stopIfTrue="1" operator="equal">
      <formula>"Pass"</formula>
    </cfRule>
    <cfRule type="cellIs" dxfId="11595" priority="11526" stopIfTrue="1" operator="equal">
      <formula>"Fail"</formula>
    </cfRule>
  </conditionalFormatting>
  <conditionalFormatting sqref="I761:P761">
    <cfRule type="cellIs" dxfId="11594" priority="11523" stopIfTrue="1" operator="equal">
      <formula>"Pass"</formula>
    </cfRule>
    <cfRule type="cellIs" dxfId="11593" priority="11524" stopIfTrue="1" operator="equal">
      <formula>"Fail"</formula>
    </cfRule>
  </conditionalFormatting>
  <conditionalFormatting sqref="I761:P761">
    <cfRule type="cellIs" dxfId="11592" priority="11521" stopIfTrue="1" operator="equal">
      <formula>"Pass"</formula>
    </cfRule>
    <cfRule type="cellIs" dxfId="11591" priority="11522" stopIfTrue="1" operator="equal">
      <formula>"Fail"</formula>
    </cfRule>
  </conditionalFormatting>
  <conditionalFormatting sqref="I761:P761">
    <cfRule type="cellIs" dxfId="11590" priority="11519" stopIfTrue="1" operator="equal">
      <formula>"Pass"</formula>
    </cfRule>
    <cfRule type="cellIs" dxfId="11589" priority="11520" stopIfTrue="1" operator="equal">
      <formula>"Fail"</formula>
    </cfRule>
  </conditionalFormatting>
  <conditionalFormatting sqref="I761:P761">
    <cfRule type="cellIs" dxfId="11588" priority="11517" stopIfTrue="1" operator="equal">
      <formula>"Pass"</formula>
    </cfRule>
    <cfRule type="cellIs" dxfId="11587" priority="11518" stopIfTrue="1" operator="equal">
      <formula>"Fail"</formula>
    </cfRule>
  </conditionalFormatting>
  <conditionalFormatting sqref="H761:P761">
    <cfRule type="cellIs" dxfId="11586" priority="11515" stopIfTrue="1" operator="equal">
      <formula>"Pass"</formula>
    </cfRule>
    <cfRule type="cellIs" dxfId="11585" priority="11516" stopIfTrue="1" operator="equal">
      <formula>"Fail"</formula>
    </cfRule>
  </conditionalFormatting>
  <conditionalFormatting sqref="H761:P761">
    <cfRule type="cellIs" dxfId="11584" priority="11513" stopIfTrue="1" operator="equal">
      <formula>"Pass"</formula>
    </cfRule>
    <cfRule type="cellIs" dxfId="11583" priority="11514" stopIfTrue="1" operator="equal">
      <formula>"Fail"</formula>
    </cfRule>
  </conditionalFormatting>
  <conditionalFormatting sqref="I761:P761">
    <cfRule type="cellIs" dxfId="11582" priority="11511" stopIfTrue="1" operator="equal">
      <formula>"Pass"</formula>
    </cfRule>
    <cfRule type="cellIs" dxfId="11581" priority="11512" stopIfTrue="1" operator="equal">
      <formula>"Fail"</formula>
    </cfRule>
  </conditionalFormatting>
  <conditionalFormatting sqref="I761:P761">
    <cfRule type="cellIs" dxfId="11580" priority="11509" stopIfTrue="1" operator="equal">
      <formula>"Pass"</formula>
    </cfRule>
    <cfRule type="cellIs" dxfId="11579" priority="11510" stopIfTrue="1" operator="equal">
      <formula>"Fail"</formula>
    </cfRule>
  </conditionalFormatting>
  <conditionalFormatting sqref="I761:P761">
    <cfRule type="cellIs" dxfId="11578" priority="11507" stopIfTrue="1" operator="equal">
      <formula>"Pass"</formula>
    </cfRule>
    <cfRule type="cellIs" dxfId="11577" priority="11508" stopIfTrue="1" operator="equal">
      <formula>"Fail"</formula>
    </cfRule>
  </conditionalFormatting>
  <conditionalFormatting sqref="I761:P761">
    <cfRule type="cellIs" dxfId="11576" priority="11505" stopIfTrue="1" operator="equal">
      <formula>"Pass"</formula>
    </cfRule>
    <cfRule type="cellIs" dxfId="11575" priority="11506" stopIfTrue="1" operator="equal">
      <formula>"Fail"</formula>
    </cfRule>
  </conditionalFormatting>
  <conditionalFormatting sqref="H761:P761">
    <cfRule type="cellIs" dxfId="11574" priority="11503" stopIfTrue="1" operator="equal">
      <formula>"Pass"</formula>
    </cfRule>
    <cfRule type="cellIs" dxfId="11573" priority="11504" stopIfTrue="1" operator="equal">
      <formula>"Fail"</formula>
    </cfRule>
  </conditionalFormatting>
  <conditionalFormatting sqref="H761:P761">
    <cfRule type="cellIs" dxfId="11572" priority="11501" stopIfTrue="1" operator="equal">
      <formula>"Pass"</formula>
    </cfRule>
    <cfRule type="cellIs" dxfId="11571" priority="11502" stopIfTrue="1" operator="equal">
      <formula>"Fail"</formula>
    </cfRule>
  </conditionalFormatting>
  <conditionalFormatting sqref="I761:P761">
    <cfRule type="cellIs" dxfId="11570" priority="11499" stopIfTrue="1" operator="equal">
      <formula>"Pass"</formula>
    </cfRule>
    <cfRule type="cellIs" dxfId="11569" priority="11500" stopIfTrue="1" operator="equal">
      <formula>"Fail"</formula>
    </cfRule>
  </conditionalFormatting>
  <conditionalFormatting sqref="I761:P761">
    <cfRule type="cellIs" dxfId="11568" priority="11497" stopIfTrue="1" operator="equal">
      <formula>"Pass"</formula>
    </cfRule>
    <cfRule type="cellIs" dxfId="11567" priority="11498" stopIfTrue="1" operator="equal">
      <formula>"Fail"</formula>
    </cfRule>
  </conditionalFormatting>
  <conditionalFormatting sqref="I761:P761">
    <cfRule type="cellIs" dxfId="11566" priority="11495" stopIfTrue="1" operator="equal">
      <formula>"Pass"</formula>
    </cfRule>
    <cfRule type="cellIs" dxfId="11565" priority="11496" stopIfTrue="1" operator="equal">
      <formula>"Fail"</formula>
    </cfRule>
  </conditionalFormatting>
  <conditionalFormatting sqref="I761:P761">
    <cfRule type="cellIs" dxfId="11564" priority="11493" stopIfTrue="1" operator="equal">
      <formula>"Pass"</formula>
    </cfRule>
    <cfRule type="cellIs" dxfId="11563" priority="11494" stopIfTrue="1" operator="equal">
      <formula>"Fail"</formula>
    </cfRule>
  </conditionalFormatting>
  <conditionalFormatting sqref="H761:P761">
    <cfRule type="cellIs" dxfId="11562" priority="11491" stopIfTrue="1" operator="equal">
      <formula>"Pass"</formula>
    </cfRule>
    <cfRule type="cellIs" dxfId="11561" priority="11492" stopIfTrue="1" operator="equal">
      <formula>"Fail"</formula>
    </cfRule>
  </conditionalFormatting>
  <conditionalFormatting sqref="H761:P761">
    <cfRule type="cellIs" dxfId="11560" priority="11489" stopIfTrue="1" operator="equal">
      <formula>"Pass"</formula>
    </cfRule>
    <cfRule type="cellIs" dxfId="11559" priority="11490" stopIfTrue="1" operator="equal">
      <formula>"Fail"</formula>
    </cfRule>
  </conditionalFormatting>
  <conditionalFormatting sqref="I761:P761">
    <cfRule type="cellIs" dxfId="11558" priority="11487" stopIfTrue="1" operator="equal">
      <formula>"Pass"</formula>
    </cfRule>
    <cfRule type="cellIs" dxfId="11557" priority="11488" stopIfTrue="1" operator="equal">
      <formula>"Fail"</formula>
    </cfRule>
  </conditionalFormatting>
  <conditionalFormatting sqref="I761:P761">
    <cfRule type="cellIs" dxfId="11556" priority="11485" stopIfTrue="1" operator="equal">
      <formula>"Pass"</formula>
    </cfRule>
    <cfRule type="cellIs" dxfId="11555" priority="11486" stopIfTrue="1" operator="equal">
      <formula>"Fail"</formula>
    </cfRule>
  </conditionalFormatting>
  <conditionalFormatting sqref="I761:P761">
    <cfRule type="cellIs" dxfId="11554" priority="11483" stopIfTrue="1" operator="equal">
      <formula>"Pass"</formula>
    </cfRule>
    <cfRule type="cellIs" dxfId="11553" priority="11484" stopIfTrue="1" operator="equal">
      <formula>"Fail"</formula>
    </cfRule>
  </conditionalFormatting>
  <conditionalFormatting sqref="I761:P761">
    <cfRule type="cellIs" dxfId="11552" priority="11481" stopIfTrue="1" operator="equal">
      <formula>"Pass"</formula>
    </cfRule>
    <cfRule type="cellIs" dxfId="11551" priority="11482" stopIfTrue="1" operator="equal">
      <formula>"Fail"</formula>
    </cfRule>
  </conditionalFormatting>
  <conditionalFormatting sqref="H761:P761">
    <cfRule type="cellIs" dxfId="11550" priority="11479" stopIfTrue="1" operator="equal">
      <formula>"Pass"</formula>
    </cfRule>
    <cfRule type="cellIs" dxfId="11549" priority="11480" stopIfTrue="1" operator="equal">
      <formula>"Fail"</formula>
    </cfRule>
  </conditionalFormatting>
  <conditionalFormatting sqref="H761:P761">
    <cfRule type="cellIs" dxfId="11548" priority="11477" stopIfTrue="1" operator="equal">
      <formula>"Pass"</formula>
    </cfRule>
    <cfRule type="cellIs" dxfId="11547" priority="11478" stopIfTrue="1" operator="equal">
      <formula>"Fail"</formula>
    </cfRule>
  </conditionalFormatting>
  <conditionalFormatting sqref="I761:P761">
    <cfRule type="cellIs" dxfId="11546" priority="11475" stopIfTrue="1" operator="equal">
      <formula>"Pass"</formula>
    </cfRule>
    <cfRule type="cellIs" dxfId="11545" priority="11476" stopIfTrue="1" operator="equal">
      <formula>"Fail"</formula>
    </cfRule>
  </conditionalFormatting>
  <conditionalFormatting sqref="I761:P761">
    <cfRule type="cellIs" dxfId="11544" priority="11473" stopIfTrue="1" operator="equal">
      <formula>"Pass"</formula>
    </cfRule>
    <cfRule type="cellIs" dxfId="11543" priority="11474" stopIfTrue="1" operator="equal">
      <formula>"Fail"</formula>
    </cfRule>
  </conditionalFormatting>
  <conditionalFormatting sqref="I761:P761">
    <cfRule type="cellIs" dxfId="11542" priority="11471" stopIfTrue="1" operator="equal">
      <formula>"Pass"</formula>
    </cfRule>
    <cfRule type="cellIs" dxfId="11541" priority="11472" stopIfTrue="1" operator="equal">
      <formula>"Fail"</formula>
    </cfRule>
  </conditionalFormatting>
  <conditionalFormatting sqref="I761:P761">
    <cfRule type="cellIs" dxfId="11540" priority="11469" stopIfTrue="1" operator="equal">
      <formula>"Pass"</formula>
    </cfRule>
    <cfRule type="cellIs" dxfId="11539" priority="11470" stopIfTrue="1" operator="equal">
      <formula>"Fail"</formula>
    </cfRule>
  </conditionalFormatting>
  <conditionalFormatting sqref="H761:P761">
    <cfRule type="cellIs" dxfId="11538" priority="11467" stopIfTrue="1" operator="equal">
      <formula>"Pass"</formula>
    </cfRule>
    <cfRule type="cellIs" dxfId="11537" priority="11468" stopIfTrue="1" operator="equal">
      <formula>"Fail"</formula>
    </cfRule>
  </conditionalFormatting>
  <conditionalFormatting sqref="H761:P761">
    <cfRule type="cellIs" dxfId="11536" priority="11465" stopIfTrue="1" operator="equal">
      <formula>"Pass"</formula>
    </cfRule>
    <cfRule type="cellIs" dxfId="11535" priority="11466" stopIfTrue="1" operator="equal">
      <formula>"Fail"</formula>
    </cfRule>
  </conditionalFormatting>
  <conditionalFormatting sqref="I761:P761">
    <cfRule type="cellIs" dxfId="11534" priority="11463" stopIfTrue="1" operator="equal">
      <formula>"Pass"</formula>
    </cfRule>
    <cfRule type="cellIs" dxfId="11533" priority="11464" stopIfTrue="1" operator="equal">
      <formula>"Fail"</formula>
    </cfRule>
  </conditionalFormatting>
  <conditionalFormatting sqref="I761:P761">
    <cfRule type="cellIs" dxfId="11532" priority="11461" stopIfTrue="1" operator="equal">
      <formula>"Pass"</formula>
    </cfRule>
    <cfRule type="cellIs" dxfId="11531" priority="11462" stopIfTrue="1" operator="equal">
      <formula>"Fail"</formula>
    </cfRule>
  </conditionalFormatting>
  <conditionalFormatting sqref="I761:P761">
    <cfRule type="cellIs" dxfId="11530" priority="11459" stopIfTrue="1" operator="equal">
      <formula>"Pass"</formula>
    </cfRule>
    <cfRule type="cellIs" dxfId="11529" priority="11460" stopIfTrue="1" operator="equal">
      <formula>"Fail"</formula>
    </cfRule>
  </conditionalFormatting>
  <conditionalFormatting sqref="I761:P761">
    <cfRule type="cellIs" dxfId="11528" priority="11457" stopIfTrue="1" operator="equal">
      <formula>"Pass"</formula>
    </cfRule>
    <cfRule type="cellIs" dxfId="11527" priority="11458" stopIfTrue="1" operator="equal">
      <formula>"Fail"</formula>
    </cfRule>
  </conditionalFormatting>
  <conditionalFormatting sqref="H761:P761">
    <cfRule type="cellIs" dxfId="11526" priority="11455" stopIfTrue="1" operator="equal">
      <formula>"Pass"</formula>
    </cfRule>
    <cfRule type="cellIs" dxfId="11525" priority="11456" stopIfTrue="1" operator="equal">
      <formula>"Fail"</formula>
    </cfRule>
  </conditionalFormatting>
  <conditionalFormatting sqref="H761:P761">
    <cfRule type="cellIs" dxfId="11524" priority="11453" stopIfTrue="1" operator="equal">
      <formula>"Pass"</formula>
    </cfRule>
    <cfRule type="cellIs" dxfId="11523" priority="11454" stopIfTrue="1" operator="equal">
      <formula>"Fail"</formula>
    </cfRule>
  </conditionalFormatting>
  <conditionalFormatting sqref="I761:P761">
    <cfRule type="cellIs" dxfId="11522" priority="11451" stopIfTrue="1" operator="equal">
      <formula>"Pass"</formula>
    </cfRule>
    <cfRule type="cellIs" dxfId="11521" priority="11452" stopIfTrue="1" operator="equal">
      <formula>"Fail"</formula>
    </cfRule>
  </conditionalFormatting>
  <conditionalFormatting sqref="I761:P761">
    <cfRule type="cellIs" dxfId="11520" priority="11449" stopIfTrue="1" operator="equal">
      <formula>"Pass"</formula>
    </cfRule>
    <cfRule type="cellIs" dxfId="11519" priority="11450" stopIfTrue="1" operator="equal">
      <formula>"Fail"</formula>
    </cfRule>
  </conditionalFormatting>
  <conditionalFormatting sqref="I761:P761">
    <cfRule type="cellIs" dxfId="11518" priority="11447" stopIfTrue="1" operator="equal">
      <formula>"Pass"</formula>
    </cfRule>
    <cfRule type="cellIs" dxfId="11517" priority="11448" stopIfTrue="1" operator="equal">
      <formula>"Fail"</formula>
    </cfRule>
  </conditionalFormatting>
  <conditionalFormatting sqref="I761:P761">
    <cfRule type="cellIs" dxfId="11516" priority="11445" stopIfTrue="1" operator="equal">
      <formula>"Pass"</formula>
    </cfRule>
    <cfRule type="cellIs" dxfId="11515" priority="11446" stopIfTrue="1" operator="equal">
      <formula>"Fail"</formula>
    </cfRule>
  </conditionalFormatting>
  <conditionalFormatting sqref="H761:P761">
    <cfRule type="cellIs" dxfId="11514" priority="11443" stopIfTrue="1" operator="equal">
      <formula>"Pass"</formula>
    </cfRule>
    <cfRule type="cellIs" dxfId="11513" priority="11444" stopIfTrue="1" operator="equal">
      <formula>"Fail"</formula>
    </cfRule>
  </conditionalFormatting>
  <conditionalFormatting sqref="H761:P761">
    <cfRule type="cellIs" dxfId="11512" priority="11441" stopIfTrue="1" operator="equal">
      <formula>"Pass"</formula>
    </cfRule>
    <cfRule type="cellIs" dxfId="11511" priority="11442" stopIfTrue="1" operator="equal">
      <formula>"Fail"</formula>
    </cfRule>
  </conditionalFormatting>
  <conditionalFormatting sqref="I761:P761">
    <cfRule type="cellIs" dxfId="11510" priority="11439" stopIfTrue="1" operator="equal">
      <formula>"Pass"</formula>
    </cfRule>
    <cfRule type="cellIs" dxfId="11509" priority="11440" stopIfTrue="1" operator="equal">
      <formula>"Fail"</formula>
    </cfRule>
  </conditionalFormatting>
  <conditionalFormatting sqref="I761:P761">
    <cfRule type="cellIs" dxfId="11508" priority="11437" stopIfTrue="1" operator="equal">
      <formula>"Pass"</formula>
    </cfRule>
    <cfRule type="cellIs" dxfId="11507" priority="11438" stopIfTrue="1" operator="equal">
      <formula>"Fail"</formula>
    </cfRule>
  </conditionalFormatting>
  <conditionalFormatting sqref="I761:P761">
    <cfRule type="cellIs" dxfId="11506" priority="11435" stopIfTrue="1" operator="equal">
      <formula>"Pass"</formula>
    </cfRule>
    <cfRule type="cellIs" dxfId="11505" priority="11436" stopIfTrue="1" operator="equal">
      <formula>"Fail"</formula>
    </cfRule>
  </conditionalFormatting>
  <conditionalFormatting sqref="I761:P761">
    <cfRule type="cellIs" dxfId="11504" priority="11433" stopIfTrue="1" operator="equal">
      <formula>"Pass"</formula>
    </cfRule>
    <cfRule type="cellIs" dxfId="11503" priority="11434" stopIfTrue="1" operator="equal">
      <formula>"Fail"</formula>
    </cfRule>
  </conditionalFormatting>
  <conditionalFormatting sqref="H761:P761">
    <cfRule type="cellIs" dxfId="11502" priority="11431" stopIfTrue="1" operator="equal">
      <formula>"Pass"</formula>
    </cfRule>
    <cfRule type="cellIs" dxfId="11501" priority="11432" stopIfTrue="1" operator="equal">
      <formula>"Fail"</formula>
    </cfRule>
  </conditionalFormatting>
  <conditionalFormatting sqref="H761:P761">
    <cfRule type="cellIs" dxfId="11500" priority="11429" stopIfTrue="1" operator="equal">
      <formula>"Pass"</formula>
    </cfRule>
    <cfRule type="cellIs" dxfId="11499" priority="11430" stopIfTrue="1" operator="equal">
      <formula>"Fail"</formula>
    </cfRule>
  </conditionalFormatting>
  <conditionalFormatting sqref="I761:P761">
    <cfRule type="cellIs" dxfId="11498" priority="11427" stopIfTrue="1" operator="equal">
      <formula>"Pass"</formula>
    </cfRule>
    <cfRule type="cellIs" dxfId="11497" priority="11428" stopIfTrue="1" operator="equal">
      <formula>"Fail"</formula>
    </cfRule>
  </conditionalFormatting>
  <conditionalFormatting sqref="I761:P761">
    <cfRule type="cellIs" dxfId="11496" priority="11425" stopIfTrue="1" operator="equal">
      <formula>"Pass"</formula>
    </cfRule>
    <cfRule type="cellIs" dxfId="11495" priority="11426" stopIfTrue="1" operator="equal">
      <formula>"Fail"</formula>
    </cfRule>
  </conditionalFormatting>
  <conditionalFormatting sqref="I761:P761">
    <cfRule type="cellIs" dxfId="11494" priority="11423" stopIfTrue="1" operator="equal">
      <formula>"Pass"</formula>
    </cfRule>
    <cfRule type="cellIs" dxfId="11493" priority="11424" stopIfTrue="1" operator="equal">
      <formula>"Fail"</formula>
    </cfRule>
  </conditionalFormatting>
  <conditionalFormatting sqref="I761:P761">
    <cfRule type="cellIs" dxfId="11492" priority="11421" stopIfTrue="1" operator="equal">
      <formula>"Pass"</formula>
    </cfRule>
    <cfRule type="cellIs" dxfId="11491" priority="11422" stopIfTrue="1" operator="equal">
      <formula>"Fail"</formula>
    </cfRule>
  </conditionalFormatting>
  <conditionalFormatting sqref="H761:P761">
    <cfRule type="cellIs" dxfId="11490" priority="11419" stopIfTrue="1" operator="equal">
      <formula>"Pass"</formula>
    </cfRule>
    <cfRule type="cellIs" dxfId="11489" priority="11420" stopIfTrue="1" operator="equal">
      <formula>"Fail"</formula>
    </cfRule>
  </conditionalFormatting>
  <conditionalFormatting sqref="H761:P761">
    <cfRule type="cellIs" dxfId="11488" priority="11417" stopIfTrue="1" operator="equal">
      <formula>"Pass"</formula>
    </cfRule>
    <cfRule type="cellIs" dxfId="11487" priority="11418" stopIfTrue="1" operator="equal">
      <formula>"Fail"</formula>
    </cfRule>
  </conditionalFormatting>
  <conditionalFormatting sqref="I761:P761">
    <cfRule type="cellIs" dxfId="11486" priority="11415" stopIfTrue="1" operator="equal">
      <formula>"Pass"</formula>
    </cfRule>
    <cfRule type="cellIs" dxfId="11485" priority="11416" stopIfTrue="1" operator="equal">
      <formula>"Fail"</formula>
    </cfRule>
  </conditionalFormatting>
  <conditionalFormatting sqref="I761:P761">
    <cfRule type="cellIs" dxfId="11484" priority="11413" stopIfTrue="1" operator="equal">
      <formula>"Pass"</formula>
    </cfRule>
    <cfRule type="cellIs" dxfId="11483" priority="11414" stopIfTrue="1" operator="equal">
      <formula>"Fail"</formula>
    </cfRule>
  </conditionalFormatting>
  <conditionalFormatting sqref="I761:P761">
    <cfRule type="cellIs" dxfId="11482" priority="11411" stopIfTrue="1" operator="equal">
      <formula>"Pass"</formula>
    </cfRule>
    <cfRule type="cellIs" dxfId="11481" priority="11412" stopIfTrue="1" operator="equal">
      <formula>"Fail"</formula>
    </cfRule>
  </conditionalFormatting>
  <conditionalFormatting sqref="I761:P761">
    <cfRule type="cellIs" dxfId="11480" priority="11409" stopIfTrue="1" operator="equal">
      <formula>"Pass"</formula>
    </cfRule>
    <cfRule type="cellIs" dxfId="11479" priority="11410" stopIfTrue="1" operator="equal">
      <formula>"Fail"</formula>
    </cfRule>
  </conditionalFormatting>
  <conditionalFormatting sqref="E761">
    <cfRule type="cellIs" dxfId="11478" priority="11407" stopIfTrue="1" operator="equal">
      <formula>"Pass"</formula>
    </cfRule>
    <cfRule type="cellIs" dxfId="11477" priority="11408" stopIfTrue="1" operator="equal">
      <formula>"Fail"</formula>
    </cfRule>
  </conditionalFormatting>
  <conditionalFormatting sqref="E761">
    <cfRule type="cellIs" dxfId="11476" priority="11405" stopIfTrue="1" operator="equal">
      <formula>"Pass"</formula>
    </cfRule>
    <cfRule type="cellIs" dxfId="11475" priority="11406" stopIfTrue="1" operator="equal">
      <formula>"Fail"</formula>
    </cfRule>
  </conditionalFormatting>
  <conditionalFormatting sqref="E761">
    <cfRule type="cellIs" dxfId="11474" priority="11403" stopIfTrue="1" operator="equal">
      <formula>"Pass"</formula>
    </cfRule>
    <cfRule type="cellIs" dxfId="11473" priority="11404" stopIfTrue="1" operator="equal">
      <formula>"Fail"</formula>
    </cfRule>
  </conditionalFormatting>
  <conditionalFormatting sqref="E761">
    <cfRule type="cellIs" dxfId="11472" priority="11401" stopIfTrue="1" operator="equal">
      <formula>"Pass"</formula>
    </cfRule>
    <cfRule type="cellIs" dxfId="11471" priority="11402" stopIfTrue="1" operator="equal">
      <formula>"Fail"</formula>
    </cfRule>
  </conditionalFormatting>
  <conditionalFormatting sqref="E761">
    <cfRule type="cellIs" dxfId="11470" priority="11399" stopIfTrue="1" operator="equal">
      <formula>"Pass"</formula>
    </cfRule>
    <cfRule type="cellIs" dxfId="11469" priority="11400" stopIfTrue="1" operator="equal">
      <formula>"Fail"</formula>
    </cfRule>
  </conditionalFormatting>
  <conditionalFormatting sqref="E761">
    <cfRule type="cellIs" dxfId="11468" priority="11397" stopIfTrue="1" operator="equal">
      <formula>"Pass"</formula>
    </cfRule>
    <cfRule type="cellIs" dxfId="11467" priority="11398" stopIfTrue="1" operator="equal">
      <formula>"Fail"</formula>
    </cfRule>
  </conditionalFormatting>
  <conditionalFormatting sqref="H761:P761">
    <cfRule type="cellIs" dxfId="11466" priority="11395" stopIfTrue="1" operator="equal">
      <formula>"Pass"</formula>
    </cfRule>
    <cfRule type="cellIs" dxfId="11465" priority="11396" stopIfTrue="1" operator="equal">
      <formula>"Fail"</formula>
    </cfRule>
  </conditionalFormatting>
  <conditionalFormatting sqref="H761:P761">
    <cfRule type="cellIs" dxfId="11464" priority="11393" stopIfTrue="1" operator="equal">
      <formula>"Pass"</formula>
    </cfRule>
    <cfRule type="cellIs" dxfId="11463" priority="11394" stopIfTrue="1" operator="equal">
      <formula>"Fail"</formula>
    </cfRule>
  </conditionalFormatting>
  <conditionalFormatting sqref="I761:P761">
    <cfRule type="cellIs" dxfId="11462" priority="11391" stopIfTrue="1" operator="equal">
      <formula>"Pass"</formula>
    </cfRule>
    <cfRule type="cellIs" dxfId="11461" priority="11392" stopIfTrue="1" operator="equal">
      <formula>"Fail"</formula>
    </cfRule>
  </conditionalFormatting>
  <conditionalFormatting sqref="I761:P761">
    <cfRule type="cellIs" dxfId="11460" priority="11389" stopIfTrue="1" operator="equal">
      <formula>"Pass"</formula>
    </cfRule>
    <cfRule type="cellIs" dxfId="11459" priority="11390" stopIfTrue="1" operator="equal">
      <formula>"Fail"</formula>
    </cfRule>
  </conditionalFormatting>
  <conditionalFormatting sqref="I761:P761">
    <cfRule type="cellIs" dxfId="11458" priority="11387" stopIfTrue="1" operator="equal">
      <formula>"Pass"</formula>
    </cfRule>
    <cfRule type="cellIs" dxfId="11457" priority="11388" stopIfTrue="1" operator="equal">
      <formula>"Fail"</formula>
    </cfRule>
  </conditionalFormatting>
  <conditionalFormatting sqref="I761:P761">
    <cfRule type="cellIs" dxfId="11456" priority="11385" stopIfTrue="1" operator="equal">
      <formula>"Pass"</formula>
    </cfRule>
    <cfRule type="cellIs" dxfId="11455" priority="11386" stopIfTrue="1" operator="equal">
      <formula>"Fail"</formula>
    </cfRule>
  </conditionalFormatting>
  <conditionalFormatting sqref="H761:P761">
    <cfRule type="cellIs" dxfId="11454" priority="11383" stopIfTrue="1" operator="equal">
      <formula>"Pass"</formula>
    </cfRule>
    <cfRule type="cellIs" dxfId="11453" priority="11384" stopIfTrue="1" operator="equal">
      <formula>"Fail"</formula>
    </cfRule>
  </conditionalFormatting>
  <conditionalFormatting sqref="H761:P761">
    <cfRule type="cellIs" dxfId="11452" priority="11381" stopIfTrue="1" operator="equal">
      <formula>"Pass"</formula>
    </cfRule>
    <cfRule type="cellIs" dxfId="11451" priority="11382" stopIfTrue="1" operator="equal">
      <formula>"Fail"</formula>
    </cfRule>
  </conditionalFormatting>
  <conditionalFormatting sqref="I761:P761">
    <cfRule type="cellIs" dxfId="11450" priority="11379" stopIfTrue="1" operator="equal">
      <formula>"Pass"</formula>
    </cfRule>
    <cfRule type="cellIs" dxfId="11449" priority="11380" stopIfTrue="1" operator="equal">
      <formula>"Fail"</formula>
    </cfRule>
  </conditionalFormatting>
  <conditionalFormatting sqref="I761:P761">
    <cfRule type="cellIs" dxfId="11448" priority="11377" stopIfTrue="1" operator="equal">
      <formula>"Pass"</formula>
    </cfRule>
    <cfRule type="cellIs" dxfId="11447" priority="11378" stopIfTrue="1" operator="equal">
      <formula>"Fail"</formula>
    </cfRule>
  </conditionalFormatting>
  <conditionalFormatting sqref="I761:P761">
    <cfRule type="cellIs" dxfId="11446" priority="11375" stopIfTrue="1" operator="equal">
      <formula>"Pass"</formula>
    </cfRule>
    <cfRule type="cellIs" dxfId="11445" priority="11376" stopIfTrue="1" operator="equal">
      <formula>"Fail"</formula>
    </cfRule>
  </conditionalFormatting>
  <conditionalFormatting sqref="I761:P761">
    <cfRule type="cellIs" dxfId="11444" priority="11373" stopIfTrue="1" operator="equal">
      <formula>"Pass"</formula>
    </cfRule>
    <cfRule type="cellIs" dxfId="11443" priority="11374" stopIfTrue="1" operator="equal">
      <formula>"Fail"</formula>
    </cfRule>
  </conditionalFormatting>
  <conditionalFormatting sqref="H761:P761">
    <cfRule type="cellIs" dxfId="11442" priority="11371" stopIfTrue="1" operator="equal">
      <formula>"Pass"</formula>
    </cfRule>
    <cfRule type="cellIs" dxfId="11441" priority="11372" stopIfTrue="1" operator="equal">
      <formula>"Fail"</formula>
    </cfRule>
  </conditionalFormatting>
  <conditionalFormatting sqref="H761:P761">
    <cfRule type="cellIs" dxfId="11440" priority="11369" stopIfTrue="1" operator="equal">
      <formula>"Pass"</formula>
    </cfRule>
    <cfRule type="cellIs" dxfId="11439" priority="11370" stopIfTrue="1" operator="equal">
      <formula>"Fail"</formula>
    </cfRule>
  </conditionalFormatting>
  <conditionalFormatting sqref="I761:P761">
    <cfRule type="cellIs" dxfId="11438" priority="11367" stopIfTrue="1" operator="equal">
      <formula>"Pass"</formula>
    </cfRule>
    <cfRule type="cellIs" dxfId="11437" priority="11368" stopIfTrue="1" operator="equal">
      <formula>"Fail"</formula>
    </cfRule>
  </conditionalFormatting>
  <conditionalFormatting sqref="I761:P761">
    <cfRule type="cellIs" dxfId="11436" priority="11365" stopIfTrue="1" operator="equal">
      <formula>"Pass"</formula>
    </cfRule>
    <cfRule type="cellIs" dxfId="11435" priority="11366" stopIfTrue="1" operator="equal">
      <formula>"Fail"</formula>
    </cfRule>
  </conditionalFormatting>
  <conditionalFormatting sqref="I761:P761">
    <cfRule type="cellIs" dxfId="11434" priority="11363" stopIfTrue="1" operator="equal">
      <formula>"Pass"</formula>
    </cfRule>
    <cfRule type="cellIs" dxfId="11433" priority="11364" stopIfTrue="1" operator="equal">
      <formula>"Fail"</formula>
    </cfRule>
  </conditionalFormatting>
  <conditionalFormatting sqref="I761:P761">
    <cfRule type="cellIs" dxfId="11432" priority="11361" stopIfTrue="1" operator="equal">
      <formula>"Pass"</formula>
    </cfRule>
    <cfRule type="cellIs" dxfId="11431" priority="11362" stopIfTrue="1" operator="equal">
      <formula>"Fail"</formula>
    </cfRule>
  </conditionalFormatting>
  <conditionalFormatting sqref="H761:P761">
    <cfRule type="cellIs" dxfId="11430" priority="11359" stopIfTrue="1" operator="equal">
      <formula>"Pass"</formula>
    </cfRule>
    <cfRule type="cellIs" dxfId="11429" priority="11360" stopIfTrue="1" operator="equal">
      <formula>"Fail"</formula>
    </cfRule>
  </conditionalFormatting>
  <conditionalFormatting sqref="H761:P761">
    <cfRule type="cellIs" dxfId="11428" priority="11357" stopIfTrue="1" operator="equal">
      <formula>"Pass"</formula>
    </cfRule>
    <cfRule type="cellIs" dxfId="11427" priority="11358" stopIfTrue="1" operator="equal">
      <formula>"Fail"</formula>
    </cfRule>
  </conditionalFormatting>
  <conditionalFormatting sqref="I761:P761">
    <cfRule type="cellIs" dxfId="11426" priority="11355" stopIfTrue="1" operator="equal">
      <formula>"Pass"</formula>
    </cfRule>
    <cfRule type="cellIs" dxfId="11425" priority="11356" stopIfTrue="1" operator="equal">
      <formula>"Fail"</formula>
    </cfRule>
  </conditionalFormatting>
  <conditionalFormatting sqref="I761:P761">
    <cfRule type="cellIs" dxfId="11424" priority="11353" stopIfTrue="1" operator="equal">
      <formula>"Pass"</formula>
    </cfRule>
    <cfRule type="cellIs" dxfId="11423" priority="11354" stopIfTrue="1" operator="equal">
      <formula>"Fail"</formula>
    </cfRule>
  </conditionalFormatting>
  <conditionalFormatting sqref="I761:P761">
    <cfRule type="cellIs" dxfId="11422" priority="11351" stopIfTrue="1" operator="equal">
      <formula>"Pass"</formula>
    </cfRule>
    <cfRule type="cellIs" dxfId="11421" priority="11352" stopIfTrue="1" operator="equal">
      <formula>"Fail"</formula>
    </cfRule>
  </conditionalFormatting>
  <conditionalFormatting sqref="I761:P761">
    <cfRule type="cellIs" dxfId="11420" priority="11349" stopIfTrue="1" operator="equal">
      <formula>"Pass"</formula>
    </cfRule>
    <cfRule type="cellIs" dxfId="11419" priority="11350" stopIfTrue="1" operator="equal">
      <formula>"Fail"</formula>
    </cfRule>
  </conditionalFormatting>
  <conditionalFormatting sqref="H761:P761">
    <cfRule type="cellIs" dxfId="11418" priority="11347" stopIfTrue="1" operator="equal">
      <formula>"Pass"</formula>
    </cfRule>
    <cfRule type="cellIs" dxfId="11417" priority="11348" stopIfTrue="1" operator="equal">
      <formula>"Fail"</formula>
    </cfRule>
  </conditionalFormatting>
  <conditionalFormatting sqref="H761:P761">
    <cfRule type="cellIs" dxfId="11416" priority="11345" stopIfTrue="1" operator="equal">
      <formula>"Pass"</formula>
    </cfRule>
    <cfRule type="cellIs" dxfId="11415" priority="11346" stopIfTrue="1" operator="equal">
      <formula>"Fail"</formula>
    </cfRule>
  </conditionalFormatting>
  <conditionalFormatting sqref="I761:P761">
    <cfRule type="cellIs" dxfId="11414" priority="11343" stopIfTrue="1" operator="equal">
      <formula>"Pass"</formula>
    </cfRule>
    <cfRule type="cellIs" dxfId="11413" priority="11344" stopIfTrue="1" operator="equal">
      <formula>"Fail"</formula>
    </cfRule>
  </conditionalFormatting>
  <conditionalFormatting sqref="I761:P761">
    <cfRule type="cellIs" dxfId="11412" priority="11341" stopIfTrue="1" operator="equal">
      <formula>"Pass"</formula>
    </cfRule>
    <cfRule type="cellIs" dxfId="11411" priority="11342" stopIfTrue="1" operator="equal">
      <formula>"Fail"</formula>
    </cfRule>
  </conditionalFormatting>
  <conditionalFormatting sqref="I761:P761">
    <cfRule type="cellIs" dxfId="11410" priority="11339" stopIfTrue="1" operator="equal">
      <formula>"Pass"</formula>
    </cfRule>
    <cfRule type="cellIs" dxfId="11409" priority="11340" stopIfTrue="1" operator="equal">
      <formula>"Fail"</formula>
    </cfRule>
  </conditionalFormatting>
  <conditionalFormatting sqref="I761:P761">
    <cfRule type="cellIs" dxfId="11408" priority="11337" stopIfTrue="1" operator="equal">
      <formula>"Pass"</formula>
    </cfRule>
    <cfRule type="cellIs" dxfId="11407" priority="11338" stopIfTrue="1" operator="equal">
      <formula>"Fail"</formula>
    </cfRule>
  </conditionalFormatting>
  <conditionalFormatting sqref="H761:P761">
    <cfRule type="cellIs" dxfId="11406" priority="11335" stopIfTrue="1" operator="equal">
      <formula>"Pass"</formula>
    </cfRule>
    <cfRule type="cellIs" dxfId="11405" priority="11336" stopIfTrue="1" operator="equal">
      <formula>"Fail"</formula>
    </cfRule>
  </conditionalFormatting>
  <conditionalFormatting sqref="H761:P761">
    <cfRule type="cellIs" dxfId="11404" priority="11333" stopIfTrue="1" operator="equal">
      <formula>"Pass"</formula>
    </cfRule>
    <cfRule type="cellIs" dxfId="11403" priority="11334" stopIfTrue="1" operator="equal">
      <formula>"Fail"</formula>
    </cfRule>
  </conditionalFormatting>
  <conditionalFormatting sqref="I761:P761">
    <cfRule type="cellIs" dxfId="11402" priority="11331" stopIfTrue="1" operator="equal">
      <formula>"Pass"</formula>
    </cfRule>
    <cfRule type="cellIs" dxfId="11401" priority="11332" stopIfTrue="1" operator="equal">
      <formula>"Fail"</formula>
    </cfRule>
  </conditionalFormatting>
  <conditionalFormatting sqref="I761:P761">
    <cfRule type="cellIs" dxfId="11400" priority="11329" stopIfTrue="1" operator="equal">
      <formula>"Pass"</formula>
    </cfRule>
    <cfRule type="cellIs" dxfId="11399" priority="11330" stopIfTrue="1" operator="equal">
      <formula>"Fail"</formula>
    </cfRule>
  </conditionalFormatting>
  <conditionalFormatting sqref="I761:P761">
    <cfRule type="cellIs" dxfId="11398" priority="11327" stopIfTrue="1" operator="equal">
      <formula>"Pass"</formula>
    </cfRule>
    <cfRule type="cellIs" dxfId="11397" priority="11328" stopIfTrue="1" operator="equal">
      <formula>"Fail"</formula>
    </cfRule>
  </conditionalFormatting>
  <conditionalFormatting sqref="I761:P761">
    <cfRule type="cellIs" dxfId="11396" priority="11325" stopIfTrue="1" operator="equal">
      <formula>"Pass"</formula>
    </cfRule>
    <cfRule type="cellIs" dxfId="11395" priority="11326" stopIfTrue="1" operator="equal">
      <formula>"Fail"</formula>
    </cfRule>
  </conditionalFormatting>
  <conditionalFormatting sqref="H761:P761">
    <cfRule type="cellIs" dxfId="11394" priority="11323" stopIfTrue="1" operator="equal">
      <formula>"Pass"</formula>
    </cfRule>
    <cfRule type="cellIs" dxfId="11393" priority="11324" stopIfTrue="1" operator="equal">
      <formula>"Fail"</formula>
    </cfRule>
  </conditionalFormatting>
  <conditionalFormatting sqref="H761:P761">
    <cfRule type="cellIs" dxfId="11392" priority="11321" stopIfTrue="1" operator="equal">
      <formula>"Pass"</formula>
    </cfRule>
    <cfRule type="cellIs" dxfId="11391" priority="11322" stopIfTrue="1" operator="equal">
      <formula>"Fail"</formula>
    </cfRule>
  </conditionalFormatting>
  <conditionalFormatting sqref="I761:P761">
    <cfRule type="cellIs" dxfId="11390" priority="11319" stopIfTrue="1" operator="equal">
      <formula>"Pass"</formula>
    </cfRule>
    <cfRule type="cellIs" dxfId="11389" priority="11320" stopIfTrue="1" operator="equal">
      <formula>"Fail"</formula>
    </cfRule>
  </conditionalFormatting>
  <conditionalFormatting sqref="I761:P761">
    <cfRule type="cellIs" dxfId="11388" priority="11317" stopIfTrue="1" operator="equal">
      <formula>"Pass"</formula>
    </cfRule>
    <cfRule type="cellIs" dxfId="11387" priority="11318" stopIfTrue="1" operator="equal">
      <formula>"Fail"</formula>
    </cfRule>
  </conditionalFormatting>
  <conditionalFormatting sqref="I761:P761">
    <cfRule type="cellIs" dxfId="11386" priority="11315" stopIfTrue="1" operator="equal">
      <formula>"Pass"</formula>
    </cfRule>
    <cfRule type="cellIs" dxfId="11385" priority="11316" stopIfTrue="1" operator="equal">
      <formula>"Fail"</formula>
    </cfRule>
  </conditionalFormatting>
  <conditionalFormatting sqref="I761:P761">
    <cfRule type="cellIs" dxfId="11384" priority="11313" stopIfTrue="1" operator="equal">
      <formula>"Pass"</formula>
    </cfRule>
    <cfRule type="cellIs" dxfId="11383" priority="11314" stopIfTrue="1" operator="equal">
      <formula>"Fail"</formula>
    </cfRule>
  </conditionalFormatting>
  <conditionalFormatting sqref="H761:P761">
    <cfRule type="cellIs" dxfId="11382" priority="11311" stopIfTrue="1" operator="equal">
      <formula>"Pass"</formula>
    </cfRule>
    <cfRule type="cellIs" dxfId="11381" priority="11312" stopIfTrue="1" operator="equal">
      <formula>"Fail"</formula>
    </cfRule>
  </conditionalFormatting>
  <conditionalFormatting sqref="H761:P761">
    <cfRule type="cellIs" dxfId="11380" priority="11309" stopIfTrue="1" operator="equal">
      <formula>"Pass"</formula>
    </cfRule>
    <cfRule type="cellIs" dxfId="11379" priority="11310" stopIfTrue="1" operator="equal">
      <formula>"Fail"</formula>
    </cfRule>
  </conditionalFormatting>
  <conditionalFormatting sqref="I761:P761">
    <cfRule type="cellIs" dxfId="11378" priority="11307" stopIfTrue="1" operator="equal">
      <formula>"Pass"</formula>
    </cfRule>
    <cfRule type="cellIs" dxfId="11377" priority="11308" stopIfTrue="1" operator="equal">
      <formula>"Fail"</formula>
    </cfRule>
  </conditionalFormatting>
  <conditionalFormatting sqref="I761:P761">
    <cfRule type="cellIs" dxfId="11376" priority="11305" stopIfTrue="1" operator="equal">
      <formula>"Pass"</formula>
    </cfRule>
    <cfRule type="cellIs" dxfId="11375" priority="11306" stopIfTrue="1" operator="equal">
      <formula>"Fail"</formula>
    </cfRule>
  </conditionalFormatting>
  <conditionalFormatting sqref="I761:P761">
    <cfRule type="cellIs" dxfId="11374" priority="11303" stopIfTrue="1" operator="equal">
      <formula>"Pass"</formula>
    </cfRule>
    <cfRule type="cellIs" dxfId="11373" priority="11304" stopIfTrue="1" operator="equal">
      <formula>"Fail"</formula>
    </cfRule>
  </conditionalFormatting>
  <conditionalFormatting sqref="I761:P761">
    <cfRule type="cellIs" dxfId="11372" priority="11301" stopIfTrue="1" operator="equal">
      <formula>"Pass"</formula>
    </cfRule>
    <cfRule type="cellIs" dxfId="11371" priority="11302" stopIfTrue="1" operator="equal">
      <formula>"Fail"</formula>
    </cfRule>
  </conditionalFormatting>
  <conditionalFormatting sqref="H761:O761">
    <cfRule type="cellIs" dxfId="11370" priority="11299" stopIfTrue="1" operator="equal">
      <formula>"Pass"</formula>
    </cfRule>
    <cfRule type="cellIs" dxfId="11369" priority="11300" stopIfTrue="1" operator="equal">
      <formula>"Fail"</formula>
    </cfRule>
  </conditionalFormatting>
  <conditionalFormatting sqref="H761:O761">
    <cfRule type="cellIs" dxfId="11368" priority="11297" stopIfTrue="1" operator="equal">
      <formula>"Pass"</formula>
    </cfRule>
    <cfRule type="cellIs" dxfId="11367" priority="11298" stopIfTrue="1" operator="equal">
      <formula>"Fail"</formula>
    </cfRule>
  </conditionalFormatting>
  <conditionalFormatting sqref="I761:P761">
    <cfRule type="cellIs" dxfId="11366" priority="11295" stopIfTrue="1" operator="equal">
      <formula>"Pass"</formula>
    </cfRule>
    <cfRule type="cellIs" dxfId="11365" priority="11296" stopIfTrue="1" operator="equal">
      <formula>"Fail"</formula>
    </cfRule>
  </conditionalFormatting>
  <conditionalFormatting sqref="I761:P761">
    <cfRule type="cellIs" dxfId="11364" priority="11293" stopIfTrue="1" operator="equal">
      <formula>"Pass"</formula>
    </cfRule>
    <cfRule type="cellIs" dxfId="11363" priority="11294" stopIfTrue="1" operator="equal">
      <formula>"Fail"</formula>
    </cfRule>
  </conditionalFormatting>
  <conditionalFormatting sqref="I761:P761">
    <cfRule type="cellIs" dxfId="11362" priority="11291" stopIfTrue="1" operator="equal">
      <formula>"Pass"</formula>
    </cfRule>
    <cfRule type="cellIs" dxfId="11361" priority="11292" stopIfTrue="1" operator="equal">
      <formula>"Fail"</formula>
    </cfRule>
  </conditionalFormatting>
  <conditionalFormatting sqref="I761:P761">
    <cfRule type="cellIs" dxfId="11360" priority="11289" stopIfTrue="1" operator="equal">
      <formula>"Pass"</formula>
    </cfRule>
    <cfRule type="cellIs" dxfId="11359" priority="11290" stopIfTrue="1" operator="equal">
      <formula>"Fail"</formula>
    </cfRule>
  </conditionalFormatting>
  <conditionalFormatting sqref="H761:O761">
    <cfRule type="cellIs" dxfId="11358" priority="11287" stopIfTrue="1" operator="equal">
      <formula>"Pass"</formula>
    </cfRule>
    <cfRule type="cellIs" dxfId="11357" priority="11288" stopIfTrue="1" operator="equal">
      <formula>"Fail"</formula>
    </cfRule>
  </conditionalFormatting>
  <conditionalFormatting sqref="H761:O761">
    <cfRule type="cellIs" dxfId="11356" priority="11285" stopIfTrue="1" operator="equal">
      <formula>"Pass"</formula>
    </cfRule>
    <cfRule type="cellIs" dxfId="11355" priority="11286" stopIfTrue="1" operator="equal">
      <formula>"Fail"</formula>
    </cfRule>
  </conditionalFormatting>
  <conditionalFormatting sqref="I761:P761">
    <cfRule type="cellIs" dxfId="11354" priority="11283" stopIfTrue="1" operator="equal">
      <formula>"Pass"</formula>
    </cfRule>
    <cfRule type="cellIs" dxfId="11353" priority="11284" stopIfTrue="1" operator="equal">
      <formula>"Fail"</formula>
    </cfRule>
  </conditionalFormatting>
  <conditionalFormatting sqref="I761:P761">
    <cfRule type="cellIs" dxfId="11352" priority="11281" stopIfTrue="1" operator="equal">
      <formula>"Pass"</formula>
    </cfRule>
    <cfRule type="cellIs" dxfId="11351" priority="11282" stopIfTrue="1" operator="equal">
      <formula>"Fail"</formula>
    </cfRule>
  </conditionalFormatting>
  <conditionalFormatting sqref="I761:P761">
    <cfRule type="cellIs" dxfId="11350" priority="11279" stopIfTrue="1" operator="equal">
      <formula>"Pass"</formula>
    </cfRule>
    <cfRule type="cellIs" dxfId="11349" priority="11280" stopIfTrue="1" operator="equal">
      <formula>"Fail"</formula>
    </cfRule>
  </conditionalFormatting>
  <conditionalFormatting sqref="I761:P761">
    <cfRule type="cellIs" dxfId="11348" priority="11277" stopIfTrue="1" operator="equal">
      <formula>"Pass"</formula>
    </cfRule>
    <cfRule type="cellIs" dxfId="11347" priority="11278" stopIfTrue="1" operator="equal">
      <formula>"Fail"</formula>
    </cfRule>
  </conditionalFormatting>
  <conditionalFormatting sqref="H761:P761">
    <cfRule type="cellIs" dxfId="11346" priority="11275" stopIfTrue="1" operator="equal">
      <formula>"Pass"</formula>
    </cfRule>
    <cfRule type="cellIs" dxfId="11345" priority="11276" stopIfTrue="1" operator="equal">
      <formula>"Fail"</formula>
    </cfRule>
  </conditionalFormatting>
  <conditionalFormatting sqref="H761:P761">
    <cfRule type="cellIs" dxfId="11344" priority="11273" stopIfTrue="1" operator="equal">
      <formula>"Pass"</formula>
    </cfRule>
    <cfRule type="cellIs" dxfId="11343" priority="11274" stopIfTrue="1" operator="equal">
      <formula>"Fail"</formula>
    </cfRule>
  </conditionalFormatting>
  <conditionalFormatting sqref="I761:P761">
    <cfRule type="cellIs" dxfId="11342" priority="11271" stopIfTrue="1" operator="equal">
      <formula>"Pass"</formula>
    </cfRule>
    <cfRule type="cellIs" dxfId="11341" priority="11272" stopIfTrue="1" operator="equal">
      <formula>"Fail"</formula>
    </cfRule>
  </conditionalFormatting>
  <conditionalFormatting sqref="I761:P761">
    <cfRule type="cellIs" dxfId="11340" priority="11269" stopIfTrue="1" operator="equal">
      <formula>"Pass"</formula>
    </cfRule>
    <cfRule type="cellIs" dxfId="11339" priority="11270" stopIfTrue="1" operator="equal">
      <formula>"Fail"</formula>
    </cfRule>
  </conditionalFormatting>
  <conditionalFormatting sqref="I761:P761">
    <cfRule type="cellIs" dxfId="11338" priority="11267" stopIfTrue="1" operator="equal">
      <formula>"Pass"</formula>
    </cfRule>
    <cfRule type="cellIs" dxfId="11337" priority="11268" stopIfTrue="1" operator="equal">
      <formula>"Fail"</formula>
    </cfRule>
  </conditionalFormatting>
  <conditionalFormatting sqref="I761:P761">
    <cfRule type="cellIs" dxfId="11336" priority="11265" stopIfTrue="1" operator="equal">
      <formula>"Pass"</formula>
    </cfRule>
    <cfRule type="cellIs" dxfId="11335" priority="11266" stopIfTrue="1" operator="equal">
      <formula>"Fail"</formula>
    </cfRule>
  </conditionalFormatting>
  <conditionalFormatting sqref="H761:P761">
    <cfRule type="cellIs" dxfId="11334" priority="11263" stopIfTrue="1" operator="equal">
      <formula>"Pass"</formula>
    </cfRule>
    <cfRule type="cellIs" dxfId="11333" priority="11264" stopIfTrue="1" operator="equal">
      <formula>"Fail"</formula>
    </cfRule>
  </conditionalFormatting>
  <conditionalFormatting sqref="H761:P761">
    <cfRule type="cellIs" dxfId="11332" priority="11261" stopIfTrue="1" operator="equal">
      <formula>"Pass"</formula>
    </cfRule>
    <cfRule type="cellIs" dxfId="11331" priority="11262" stopIfTrue="1" operator="equal">
      <formula>"Fail"</formula>
    </cfRule>
  </conditionalFormatting>
  <conditionalFormatting sqref="I761:P761">
    <cfRule type="cellIs" dxfId="11330" priority="11259" stopIfTrue="1" operator="equal">
      <formula>"Pass"</formula>
    </cfRule>
    <cfRule type="cellIs" dxfId="11329" priority="11260" stopIfTrue="1" operator="equal">
      <formula>"Fail"</formula>
    </cfRule>
  </conditionalFormatting>
  <conditionalFormatting sqref="I761:P761">
    <cfRule type="cellIs" dxfId="11328" priority="11257" stopIfTrue="1" operator="equal">
      <formula>"Pass"</formula>
    </cfRule>
    <cfRule type="cellIs" dxfId="11327" priority="11258" stopIfTrue="1" operator="equal">
      <formula>"Fail"</formula>
    </cfRule>
  </conditionalFormatting>
  <conditionalFormatting sqref="I761:P761">
    <cfRule type="cellIs" dxfId="11326" priority="11255" stopIfTrue="1" operator="equal">
      <formula>"Pass"</formula>
    </cfRule>
    <cfRule type="cellIs" dxfId="11325" priority="11256" stopIfTrue="1" operator="equal">
      <formula>"Fail"</formula>
    </cfRule>
  </conditionalFormatting>
  <conditionalFormatting sqref="I761:P761">
    <cfRule type="cellIs" dxfId="11324" priority="11253" stopIfTrue="1" operator="equal">
      <formula>"Pass"</formula>
    </cfRule>
    <cfRule type="cellIs" dxfId="11323" priority="11254" stopIfTrue="1" operator="equal">
      <formula>"Fail"</formula>
    </cfRule>
  </conditionalFormatting>
  <conditionalFormatting sqref="H761:P761">
    <cfRule type="cellIs" dxfId="11322" priority="11251" stopIfTrue="1" operator="equal">
      <formula>"Pass"</formula>
    </cfRule>
    <cfRule type="cellIs" dxfId="11321" priority="11252" stopIfTrue="1" operator="equal">
      <formula>"Fail"</formula>
    </cfRule>
  </conditionalFormatting>
  <conditionalFormatting sqref="H761:P761">
    <cfRule type="cellIs" dxfId="11320" priority="11249" stopIfTrue="1" operator="equal">
      <formula>"Pass"</formula>
    </cfRule>
    <cfRule type="cellIs" dxfId="11319" priority="11250" stopIfTrue="1" operator="equal">
      <formula>"Fail"</formula>
    </cfRule>
  </conditionalFormatting>
  <conditionalFormatting sqref="I761:P761">
    <cfRule type="cellIs" dxfId="11318" priority="11247" stopIfTrue="1" operator="equal">
      <formula>"Pass"</formula>
    </cfRule>
    <cfRule type="cellIs" dxfId="11317" priority="11248" stopIfTrue="1" operator="equal">
      <formula>"Fail"</formula>
    </cfRule>
  </conditionalFormatting>
  <conditionalFormatting sqref="I761:P761">
    <cfRule type="cellIs" dxfId="11316" priority="11245" stopIfTrue="1" operator="equal">
      <formula>"Pass"</formula>
    </cfRule>
    <cfRule type="cellIs" dxfId="11315" priority="11246" stopIfTrue="1" operator="equal">
      <formula>"Fail"</formula>
    </cfRule>
  </conditionalFormatting>
  <conditionalFormatting sqref="I761:P761">
    <cfRule type="cellIs" dxfId="11314" priority="11243" stopIfTrue="1" operator="equal">
      <formula>"Pass"</formula>
    </cfRule>
    <cfRule type="cellIs" dxfId="11313" priority="11244" stopIfTrue="1" operator="equal">
      <formula>"Fail"</formula>
    </cfRule>
  </conditionalFormatting>
  <conditionalFormatting sqref="I761:P761">
    <cfRule type="cellIs" dxfId="11312" priority="11241" stopIfTrue="1" operator="equal">
      <formula>"Pass"</formula>
    </cfRule>
    <cfRule type="cellIs" dxfId="11311" priority="11242" stopIfTrue="1" operator="equal">
      <formula>"Fail"</formula>
    </cfRule>
  </conditionalFormatting>
  <conditionalFormatting sqref="H761:P761">
    <cfRule type="cellIs" dxfId="11310" priority="11239" stopIfTrue="1" operator="equal">
      <formula>"Pass"</formula>
    </cfRule>
    <cfRule type="cellIs" dxfId="11309" priority="11240" stopIfTrue="1" operator="equal">
      <formula>"Fail"</formula>
    </cfRule>
  </conditionalFormatting>
  <conditionalFormatting sqref="H761:P761">
    <cfRule type="cellIs" dxfId="11308" priority="11237" stopIfTrue="1" operator="equal">
      <formula>"Pass"</formula>
    </cfRule>
    <cfRule type="cellIs" dxfId="11307" priority="11238" stopIfTrue="1" operator="equal">
      <formula>"Fail"</formula>
    </cfRule>
  </conditionalFormatting>
  <conditionalFormatting sqref="I761:P761">
    <cfRule type="cellIs" dxfId="11306" priority="11235" stopIfTrue="1" operator="equal">
      <formula>"Pass"</formula>
    </cfRule>
    <cfRule type="cellIs" dxfId="11305" priority="11236" stopIfTrue="1" operator="equal">
      <formula>"Fail"</formula>
    </cfRule>
  </conditionalFormatting>
  <conditionalFormatting sqref="I761:P761">
    <cfRule type="cellIs" dxfId="11304" priority="11233" stopIfTrue="1" operator="equal">
      <formula>"Pass"</formula>
    </cfRule>
    <cfRule type="cellIs" dxfId="11303" priority="11234" stopIfTrue="1" operator="equal">
      <formula>"Fail"</formula>
    </cfRule>
  </conditionalFormatting>
  <conditionalFormatting sqref="I761:P761">
    <cfRule type="cellIs" dxfId="11302" priority="11231" stopIfTrue="1" operator="equal">
      <formula>"Pass"</formula>
    </cfRule>
    <cfRule type="cellIs" dxfId="11301" priority="11232" stopIfTrue="1" operator="equal">
      <formula>"Fail"</formula>
    </cfRule>
  </conditionalFormatting>
  <conditionalFormatting sqref="I761:P761">
    <cfRule type="cellIs" dxfId="11300" priority="11229" stopIfTrue="1" operator="equal">
      <formula>"Pass"</formula>
    </cfRule>
    <cfRule type="cellIs" dxfId="11299" priority="11230" stopIfTrue="1" operator="equal">
      <formula>"Fail"</formula>
    </cfRule>
  </conditionalFormatting>
  <conditionalFormatting sqref="E761 H761:P761">
    <cfRule type="cellIs" dxfId="11298" priority="11227" stopIfTrue="1" operator="equal">
      <formula>"Pass"</formula>
    </cfRule>
    <cfRule type="cellIs" dxfId="11297" priority="11228" stopIfTrue="1" operator="equal">
      <formula>"Fail"</formula>
    </cfRule>
  </conditionalFormatting>
  <conditionalFormatting sqref="H761:O761">
    <cfRule type="cellIs" dxfId="11296" priority="11225" stopIfTrue="1" operator="equal">
      <formula>"Pass"</formula>
    </cfRule>
    <cfRule type="cellIs" dxfId="11295" priority="11226" stopIfTrue="1" operator="equal">
      <formula>"Fail"</formula>
    </cfRule>
  </conditionalFormatting>
  <conditionalFormatting sqref="H761:O761">
    <cfRule type="cellIs" dxfId="11294" priority="11223" stopIfTrue="1" operator="equal">
      <formula>"Pass"</formula>
    </cfRule>
    <cfRule type="cellIs" dxfId="11293" priority="11224" stopIfTrue="1" operator="equal">
      <formula>"Fail"</formula>
    </cfRule>
  </conditionalFormatting>
  <conditionalFormatting sqref="I761:P761">
    <cfRule type="cellIs" dxfId="11292" priority="11221" stopIfTrue="1" operator="equal">
      <formula>"Pass"</formula>
    </cfRule>
    <cfRule type="cellIs" dxfId="11291" priority="11222" stopIfTrue="1" operator="equal">
      <formula>"Fail"</formula>
    </cfRule>
  </conditionalFormatting>
  <conditionalFormatting sqref="I761:P761">
    <cfRule type="cellIs" dxfId="11290" priority="11219" stopIfTrue="1" operator="equal">
      <formula>"Pass"</formula>
    </cfRule>
    <cfRule type="cellIs" dxfId="11289" priority="11220" stopIfTrue="1" operator="equal">
      <formula>"Fail"</formula>
    </cfRule>
  </conditionalFormatting>
  <conditionalFormatting sqref="I761:P761">
    <cfRule type="cellIs" dxfId="11288" priority="11217" stopIfTrue="1" operator="equal">
      <formula>"Pass"</formula>
    </cfRule>
    <cfRule type="cellIs" dxfId="11287" priority="11218" stopIfTrue="1" operator="equal">
      <formula>"Fail"</formula>
    </cfRule>
  </conditionalFormatting>
  <conditionalFormatting sqref="I761:P761">
    <cfRule type="cellIs" dxfId="11286" priority="11215" stopIfTrue="1" operator="equal">
      <formula>"Pass"</formula>
    </cfRule>
    <cfRule type="cellIs" dxfId="11285" priority="11216" stopIfTrue="1" operator="equal">
      <formula>"Fail"</formula>
    </cfRule>
  </conditionalFormatting>
  <conditionalFormatting sqref="H761:O761">
    <cfRule type="cellIs" dxfId="11284" priority="11213" stopIfTrue="1" operator="equal">
      <formula>"Pass"</formula>
    </cfRule>
    <cfRule type="cellIs" dxfId="11283" priority="11214" stopIfTrue="1" operator="equal">
      <formula>"Fail"</formula>
    </cfRule>
  </conditionalFormatting>
  <conditionalFormatting sqref="H761:O761">
    <cfRule type="cellIs" dxfId="11282" priority="11211" stopIfTrue="1" operator="equal">
      <formula>"Pass"</formula>
    </cfRule>
    <cfRule type="cellIs" dxfId="11281" priority="11212" stopIfTrue="1" operator="equal">
      <formula>"Fail"</formula>
    </cfRule>
  </conditionalFormatting>
  <conditionalFormatting sqref="I761:P761">
    <cfRule type="cellIs" dxfId="11280" priority="11209" stopIfTrue="1" operator="equal">
      <formula>"Pass"</formula>
    </cfRule>
    <cfRule type="cellIs" dxfId="11279" priority="11210" stopIfTrue="1" operator="equal">
      <formula>"Fail"</formula>
    </cfRule>
  </conditionalFormatting>
  <conditionalFormatting sqref="I761:P761">
    <cfRule type="cellIs" dxfId="11278" priority="11207" stopIfTrue="1" operator="equal">
      <formula>"Pass"</formula>
    </cfRule>
    <cfRule type="cellIs" dxfId="11277" priority="11208" stopIfTrue="1" operator="equal">
      <formula>"Fail"</formula>
    </cfRule>
  </conditionalFormatting>
  <conditionalFormatting sqref="I761:P761">
    <cfRule type="cellIs" dxfId="11276" priority="11205" stopIfTrue="1" operator="equal">
      <formula>"Pass"</formula>
    </cfRule>
    <cfRule type="cellIs" dxfId="11275" priority="11206" stopIfTrue="1" operator="equal">
      <formula>"Fail"</formula>
    </cfRule>
  </conditionalFormatting>
  <conditionalFormatting sqref="I761:P761">
    <cfRule type="cellIs" dxfId="11274" priority="11203" stopIfTrue="1" operator="equal">
      <formula>"Pass"</formula>
    </cfRule>
    <cfRule type="cellIs" dxfId="11273" priority="11204" stopIfTrue="1" operator="equal">
      <formula>"Fail"</formula>
    </cfRule>
  </conditionalFormatting>
  <conditionalFormatting sqref="H761:O761">
    <cfRule type="cellIs" dxfId="11272" priority="11201" stopIfTrue="1" operator="equal">
      <formula>"Pass"</formula>
    </cfRule>
    <cfRule type="cellIs" dxfId="11271" priority="11202" stopIfTrue="1" operator="equal">
      <formula>"Fail"</formula>
    </cfRule>
  </conditionalFormatting>
  <conditionalFormatting sqref="H761:O761">
    <cfRule type="cellIs" dxfId="11270" priority="11199" stopIfTrue="1" operator="equal">
      <formula>"Pass"</formula>
    </cfRule>
    <cfRule type="cellIs" dxfId="11269" priority="11200" stopIfTrue="1" operator="equal">
      <formula>"Fail"</formula>
    </cfRule>
  </conditionalFormatting>
  <conditionalFormatting sqref="I761:P761">
    <cfRule type="cellIs" dxfId="11268" priority="11197" stopIfTrue="1" operator="equal">
      <formula>"Pass"</formula>
    </cfRule>
    <cfRule type="cellIs" dxfId="11267" priority="11198" stopIfTrue="1" operator="equal">
      <formula>"Fail"</formula>
    </cfRule>
  </conditionalFormatting>
  <conditionalFormatting sqref="I761:P761">
    <cfRule type="cellIs" dxfId="11266" priority="11195" stopIfTrue="1" operator="equal">
      <formula>"Pass"</formula>
    </cfRule>
    <cfRule type="cellIs" dxfId="11265" priority="11196" stopIfTrue="1" operator="equal">
      <formula>"Fail"</formula>
    </cfRule>
  </conditionalFormatting>
  <conditionalFormatting sqref="I761:P761">
    <cfRule type="cellIs" dxfId="11264" priority="11193" stopIfTrue="1" operator="equal">
      <formula>"Pass"</formula>
    </cfRule>
    <cfRule type="cellIs" dxfId="11263" priority="11194" stopIfTrue="1" operator="equal">
      <formula>"Fail"</formula>
    </cfRule>
  </conditionalFormatting>
  <conditionalFormatting sqref="I761:P761">
    <cfRule type="cellIs" dxfId="11262" priority="11191" stopIfTrue="1" operator="equal">
      <formula>"Pass"</formula>
    </cfRule>
    <cfRule type="cellIs" dxfId="11261" priority="11192" stopIfTrue="1" operator="equal">
      <formula>"Fail"</formula>
    </cfRule>
  </conditionalFormatting>
  <conditionalFormatting sqref="H761:O761">
    <cfRule type="cellIs" dxfId="11260" priority="11189" stopIfTrue="1" operator="equal">
      <formula>"Pass"</formula>
    </cfRule>
    <cfRule type="cellIs" dxfId="11259" priority="11190" stopIfTrue="1" operator="equal">
      <formula>"Fail"</formula>
    </cfRule>
  </conditionalFormatting>
  <conditionalFormatting sqref="H761:O761">
    <cfRule type="cellIs" dxfId="11258" priority="11187" stopIfTrue="1" operator="equal">
      <formula>"Pass"</formula>
    </cfRule>
    <cfRule type="cellIs" dxfId="11257" priority="11188" stopIfTrue="1" operator="equal">
      <formula>"Fail"</formula>
    </cfRule>
  </conditionalFormatting>
  <conditionalFormatting sqref="I761:P761">
    <cfRule type="cellIs" dxfId="11256" priority="11185" stopIfTrue="1" operator="equal">
      <formula>"Pass"</formula>
    </cfRule>
    <cfRule type="cellIs" dxfId="11255" priority="11186" stopIfTrue="1" operator="equal">
      <formula>"Fail"</formula>
    </cfRule>
  </conditionalFormatting>
  <conditionalFormatting sqref="I761:P761">
    <cfRule type="cellIs" dxfId="11254" priority="11183" stopIfTrue="1" operator="equal">
      <formula>"Pass"</formula>
    </cfRule>
    <cfRule type="cellIs" dxfId="11253" priority="11184" stopIfTrue="1" operator="equal">
      <formula>"Fail"</formula>
    </cfRule>
  </conditionalFormatting>
  <conditionalFormatting sqref="I761:P761">
    <cfRule type="cellIs" dxfId="11252" priority="11181" stopIfTrue="1" operator="equal">
      <formula>"Pass"</formula>
    </cfRule>
    <cfRule type="cellIs" dxfId="11251" priority="11182" stopIfTrue="1" operator="equal">
      <formula>"Fail"</formula>
    </cfRule>
  </conditionalFormatting>
  <conditionalFormatting sqref="I761:P761">
    <cfRule type="cellIs" dxfId="11250" priority="11179" stopIfTrue="1" operator="equal">
      <formula>"Pass"</formula>
    </cfRule>
    <cfRule type="cellIs" dxfId="11249" priority="11180" stopIfTrue="1" operator="equal">
      <formula>"Fail"</formula>
    </cfRule>
  </conditionalFormatting>
  <conditionalFormatting sqref="H761:O761">
    <cfRule type="cellIs" dxfId="11248" priority="11177" stopIfTrue="1" operator="equal">
      <formula>"Pass"</formula>
    </cfRule>
    <cfRule type="cellIs" dxfId="11247" priority="11178" stopIfTrue="1" operator="equal">
      <formula>"Fail"</formula>
    </cfRule>
  </conditionalFormatting>
  <conditionalFormatting sqref="H761:O761">
    <cfRule type="cellIs" dxfId="11246" priority="11175" stopIfTrue="1" operator="equal">
      <formula>"Pass"</formula>
    </cfRule>
    <cfRule type="cellIs" dxfId="11245" priority="11176" stopIfTrue="1" operator="equal">
      <formula>"Fail"</formula>
    </cfRule>
  </conditionalFormatting>
  <conditionalFormatting sqref="I761:P761">
    <cfRule type="cellIs" dxfId="11244" priority="11173" stopIfTrue="1" operator="equal">
      <formula>"Pass"</formula>
    </cfRule>
    <cfRule type="cellIs" dxfId="11243" priority="11174" stopIfTrue="1" operator="equal">
      <formula>"Fail"</formula>
    </cfRule>
  </conditionalFormatting>
  <conditionalFormatting sqref="I761:P761">
    <cfRule type="cellIs" dxfId="11242" priority="11171" stopIfTrue="1" operator="equal">
      <formula>"Pass"</formula>
    </cfRule>
    <cfRule type="cellIs" dxfId="11241" priority="11172" stopIfTrue="1" operator="equal">
      <formula>"Fail"</formula>
    </cfRule>
  </conditionalFormatting>
  <conditionalFormatting sqref="I761:P761">
    <cfRule type="cellIs" dxfId="11240" priority="11169" stopIfTrue="1" operator="equal">
      <formula>"Pass"</formula>
    </cfRule>
    <cfRule type="cellIs" dxfId="11239" priority="11170" stopIfTrue="1" operator="equal">
      <formula>"Fail"</formula>
    </cfRule>
  </conditionalFormatting>
  <conditionalFormatting sqref="I761:P761">
    <cfRule type="cellIs" dxfId="11238" priority="11167" stopIfTrue="1" operator="equal">
      <formula>"Pass"</formula>
    </cfRule>
    <cfRule type="cellIs" dxfId="11237" priority="11168" stopIfTrue="1" operator="equal">
      <formula>"Fail"</formula>
    </cfRule>
  </conditionalFormatting>
  <conditionalFormatting sqref="H761:O761">
    <cfRule type="cellIs" dxfId="11236" priority="11165" stopIfTrue="1" operator="equal">
      <formula>"Pass"</formula>
    </cfRule>
    <cfRule type="cellIs" dxfId="11235" priority="11166" stopIfTrue="1" operator="equal">
      <formula>"Fail"</formula>
    </cfRule>
  </conditionalFormatting>
  <conditionalFormatting sqref="H761:O761">
    <cfRule type="cellIs" dxfId="11234" priority="11163" stopIfTrue="1" operator="equal">
      <formula>"Pass"</formula>
    </cfRule>
    <cfRule type="cellIs" dxfId="11233" priority="11164" stopIfTrue="1" operator="equal">
      <formula>"Fail"</formula>
    </cfRule>
  </conditionalFormatting>
  <conditionalFormatting sqref="I761:P761">
    <cfRule type="cellIs" dxfId="11232" priority="11161" stopIfTrue="1" operator="equal">
      <formula>"Pass"</formula>
    </cfRule>
    <cfRule type="cellIs" dxfId="11231" priority="11162" stopIfTrue="1" operator="equal">
      <formula>"Fail"</formula>
    </cfRule>
  </conditionalFormatting>
  <conditionalFormatting sqref="I761:P761">
    <cfRule type="cellIs" dxfId="11230" priority="11159" stopIfTrue="1" operator="equal">
      <formula>"Pass"</formula>
    </cfRule>
    <cfRule type="cellIs" dxfId="11229" priority="11160" stopIfTrue="1" operator="equal">
      <formula>"Fail"</formula>
    </cfRule>
  </conditionalFormatting>
  <conditionalFormatting sqref="I761:P761">
    <cfRule type="cellIs" dxfId="11228" priority="11157" stopIfTrue="1" operator="equal">
      <formula>"Pass"</formula>
    </cfRule>
    <cfRule type="cellIs" dxfId="11227" priority="11158" stopIfTrue="1" operator="equal">
      <formula>"Fail"</formula>
    </cfRule>
  </conditionalFormatting>
  <conditionalFormatting sqref="I761:P761">
    <cfRule type="cellIs" dxfId="11226" priority="11155" stopIfTrue="1" operator="equal">
      <formula>"Pass"</formula>
    </cfRule>
    <cfRule type="cellIs" dxfId="11225" priority="11156" stopIfTrue="1" operator="equal">
      <formula>"Fail"</formula>
    </cfRule>
  </conditionalFormatting>
  <conditionalFormatting sqref="H761:O761">
    <cfRule type="cellIs" dxfId="11224" priority="11153" stopIfTrue="1" operator="equal">
      <formula>"Pass"</formula>
    </cfRule>
    <cfRule type="cellIs" dxfId="11223" priority="11154" stopIfTrue="1" operator="equal">
      <formula>"Fail"</formula>
    </cfRule>
  </conditionalFormatting>
  <conditionalFormatting sqref="H761:O761">
    <cfRule type="cellIs" dxfId="11222" priority="11151" stopIfTrue="1" operator="equal">
      <formula>"Pass"</formula>
    </cfRule>
    <cfRule type="cellIs" dxfId="11221" priority="11152" stopIfTrue="1" operator="equal">
      <formula>"Fail"</formula>
    </cfRule>
  </conditionalFormatting>
  <conditionalFormatting sqref="I761:P761">
    <cfRule type="cellIs" dxfId="11220" priority="11149" stopIfTrue="1" operator="equal">
      <formula>"Pass"</formula>
    </cfRule>
    <cfRule type="cellIs" dxfId="11219" priority="11150" stopIfTrue="1" operator="equal">
      <formula>"Fail"</formula>
    </cfRule>
  </conditionalFormatting>
  <conditionalFormatting sqref="I761:P761">
    <cfRule type="cellIs" dxfId="11218" priority="11147" stopIfTrue="1" operator="equal">
      <formula>"Pass"</formula>
    </cfRule>
    <cfRule type="cellIs" dxfId="11217" priority="11148" stopIfTrue="1" operator="equal">
      <formula>"Fail"</formula>
    </cfRule>
  </conditionalFormatting>
  <conditionalFormatting sqref="I761:P761">
    <cfRule type="cellIs" dxfId="11216" priority="11145" stopIfTrue="1" operator="equal">
      <formula>"Pass"</formula>
    </cfRule>
    <cfRule type="cellIs" dxfId="11215" priority="11146" stopIfTrue="1" operator="equal">
      <formula>"Fail"</formula>
    </cfRule>
  </conditionalFormatting>
  <conditionalFormatting sqref="I761:P761">
    <cfRule type="cellIs" dxfId="11214" priority="11143" stopIfTrue="1" operator="equal">
      <formula>"Pass"</formula>
    </cfRule>
    <cfRule type="cellIs" dxfId="11213" priority="11144" stopIfTrue="1" operator="equal">
      <formula>"Fail"</formula>
    </cfRule>
  </conditionalFormatting>
  <conditionalFormatting sqref="H761:O761">
    <cfRule type="cellIs" dxfId="11212" priority="11141" stopIfTrue="1" operator="equal">
      <formula>"Pass"</formula>
    </cfRule>
    <cfRule type="cellIs" dxfId="11211" priority="11142" stopIfTrue="1" operator="equal">
      <formula>"Fail"</formula>
    </cfRule>
  </conditionalFormatting>
  <conditionalFormatting sqref="H761:O761">
    <cfRule type="cellIs" dxfId="11210" priority="11139" stopIfTrue="1" operator="equal">
      <formula>"Pass"</formula>
    </cfRule>
    <cfRule type="cellIs" dxfId="11209" priority="11140" stopIfTrue="1" operator="equal">
      <formula>"Fail"</formula>
    </cfRule>
  </conditionalFormatting>
  <conditionalFormatting sqref="I761:P761">
    <cfRule type="cellIs" dxfId="11208" priority="11137" stopIfTrue="1" operator="equal">
      <formula>"Pass"</formula>
    </cfRule>
    <cfRule type="cellIs" dxfId="11207" priority="11138" stopIfTrue="1" operator="equal">
      <formula>"Fail"</formula>
    </cfRule>
  </conditionalFormatting>
  <conditionalFormatting sqref="I761:P761">
    <cfRule type="cellIs" dxfId="11206" priority="11135" stopIfTrue="1" operator="equal">
      <formula>"Pass"</formula>
    </cfRule>
    <cfRule type="cellIs" dxfId="11205" priority="11136" stopIfTrue="1" operator="equal">
      <formula>"Fail"</formula>
    </cfRule>
  </conditionalFormatting>
  <conditionalFormatting sqref="I761:P761">
    <cfRule type="cellIs" dxfId="11204" priority="11133" stopIfTrue="1" operator="equal">
      <formula>"Pass"</formula>
    </cfRule>
    <cfRule type="cellIs" dxfId="11203" priority="11134" stopIfTrue="1" operator="equal">
      <formula>"Fail"</formula>
    </cfRule>
  </conditionalFormatting>
  <conditionalFormatting sqref="I761:P761">
    <cfRule type="cellIs" dxfId="11202" priority="11131" stopIfTrue="1" operator="equal">
      <formula>"Pass"</formula>
    </cfRule>
    <cfRule type="cellIs" dxfId="11201" priority="11132" stopIfTrue="1" operator="equal">
      <formula>"Fail"</formula>
    </cfRule>
  </conditionalFormatting>
  <conditionalFormatting sqref="H761:O761">
    <cfRule type="cellIs" dxfId="11200" priority="11129" stopIfTrue="1" operator="equal">
      <formula>"Pass"</formula>
    </cfRule>
    <cfRule type="cellIs" dxfId="11199" priority="11130" stopIfTrue="1" operator="equal">
      <formula>"Fail"</formula>
    </cfRule>
  </conditionalFormatting>
  <conditionalFormatting sqref="H761:O761">
    <cfRule type="cellIs" dxfId="11198" priority="11127" stopIfTrue="1" operator="equal">
      <formula>"Pass"</formula>
    </cfRule>
    <cfRule type="cellIs" dxfId="11197" priority="11128" stopIfTrue="1" operator="equal">
      <formula>"Fail"</formula>
    </cfRule>
  </conditionalFormatting>
  <conditionalFormatting sqref="I761:P761">
    <cfRule type="cellIs" dxfId="11196" priority="11125" stopIfTrue="1" operator="equal">
      <formula>"Pass"</formula>
    </cfRule>
    <cfRule type="cellIs" dxfId="11195" priority="11126" stopIfTrue="1" operator="equal">
      <formula>"Fail"</formula>
    </cfRule>
  </conditionalFormatting>
  <conditionalFormatting sqref="I761:P761">
    <cfRule type="cellIs" dxfId="11194" priority="11123" stopIfTrue="1" operator="equal">
      <formula>"Pass"</formula>
    </cfRule>
    <cfRule type="cellIs" dxfId="11193" priority="11124" stopIfTrue="1" operator="equal">
      <formula>"Fail"</formula>
    </cfRule>
  </conditionalFormatting>
  <conditionalFormatting sqref="I761:P761">
    <cfRule type="cellIs" dxfId="11192" priority="11121" stopIfTrue="1" operator="equal">
      <formula>"Pass"</formula>
    </cfRule>
    <cfRule type="cellIs" dxfId="11191" priority="11122" stopIfTrue="1" operator="equal">
      <formula>"Fail"</formula>
    </cfRule>
  </conditionalFormatting>
  <conditionalFormatting sqref="I761:P761">
    <cfRule type="cellIs" dxfId="11190" priority="11119" stopIfTrue="1" operator="equal">
      <formula>"Pass"</formula>
    </cfRule>
    <cfRule type="cellIs" dxfId="11189" priority="11120" stopIfTrue="1" operator="equal">
      <formula>"Fail"</formula>
    </cfRule>
  </conditionalFormatting>
  <conditionalFormatting sqref="H761:O761">
    <cfRule type="cellIs" dxfId="11188" priority="11117" stopIfTrue="1" operator="equal">
      <formula>"Pass"</formula>
    </cfRule>
    <cfRule type="cellIs" dxfId="11187" priority="11118" stopIfTrue="1" operator="equal">
      <formula>"Fail"</formula>
    </cfRule>
  </conditionalFormatting>
  <conditionalFormatting sqref="H761:O761">
    <cfRule type="cellIs" dxfId="11186" priority="11115" stopIfTrue="1" operator="equal">
      <formula>"Pass"</formula>
    </cfRule>
    <cfRule type="cellIs" dxfId="11185" priority="11116" stopIfTrue="1" operator="equal">
      <formula>"Fail"</formula>
    </cfRule>
  </conditionalFormatting>
  <conditionalFormatting sqref="I761:P761">
    <cfRule type="cellIs" dxfId="11184" priority="11113" stopIfTrue="1" operator="equal">
      <formula>"Pass"</formula>
    </cfRule>
    <cfRule type="cellIs" dxfId="11183" priority="11114" stopIfTrue="1" operator="equal">
      <formula>"Fail"</formula>
    </cfRule>
  </conditionalFormatting>
  <conditionalFormatting sqref="I761:P761">
    <cfRule type="cellIs" dxfId="11182" priority="11111" stopIfTrue="1" operator="equal">
      <formula>"Pass"</formula>
    </cfRule>
    <cfRule type="cellIs" dxfId="11181" priority="11112" stopIfTrue="1" operator="equal">
      <formula>"Fail"</formula>
    </cfRule>
  </conditionalFormatting>
  <conditionalFormatting sqref="I761:P761">
    <cfRule type="cellIs" dxfId="11180" priority="11109" stopIfTrue="1" operator="equal">
      <formula>"Pass"</formula>
    </cfRule>
    <cfRule type="cellIs" dxfId="11179" priority="11110" stopIfTrue="1" operator="equal">
      <formula>"Fail"</formula>
    </cfRule>
  </conditionalFormatting>
  <conditionalFormatting sqref="I761:P761">
    <cfRule type="cellIs" dxfId="11178" priority="11107" stopIfTrue="1" operator="equal">
      <formula>"Pass"</formula>
    </cfRule>
    <cfRule type="cellIs" dxfId="11177" priority="11108" stopIfTrue="1" operator="equal">
      <formula>"Fail"</formula>
    </cfRule>
  </conditionalFormatting>
  <conditionalFormatting sqref="H761:O761">
    <cfRule type="cellIs" dxfId="11176" priority="11105" stopIfTrue="1" operator="equal">
      <formula>"Pass"</formula>
    </cfRule>
    <cfRule type="cellIs" dxfId="11175" priority="11106" stopIfTrue="1" operator="equal">
      <formula>"Fail"</formula>
    </cfRule>
  </conditionalFormatting>
  <conditionalFormatting sqref="H761:O761">
    <cfRule type="cellIs" dxfId="11174" priority="11103" stopIfTrue="1" operator="equal">
      <formula>"Pass"</formula>
    </cfRule>
    <cfRule type="cellIs" dxfId="11173" priority="11104" stopIfTrue="1" operator="equal">
      <formula>"Fail"</formula>
    </cfRule>
  </conditionalFormatting>
  <conditionalFormatting sqref="I761:P761">
    <cfRule type="cellIs" dxfId="11172" priority="11101" stopIfTrue="1" operator="equal">
      <formula>"Pass"</formula>
    </cfRule>
    <cfRule type="cellIs" dxfId="11171" priority="11102" stopIfTrue="1" operator="equal">
      <formula>"Fail"</formula>
    </cfRule>
  </conditionalFormatting>
  <conditionalFormatting sqref="I761:P761">
    <cfRule type="cellIs" dxfId="11170" priority="11099" stopIfTrue="1" operator="equal">
      <formula>"Pass"</formula>
    </cfRule>
    <cfRule type="cellIs" dxfId="11169" priority="11100" stopIfTrue="1" operator="equal">
      <formula>"Fail"</formula>
    </cfRule>
  </conditionalFormatting>
  <conditionalFormatting sqref="I761:P761">
    <cfRule type="cellIs" dxfId="11168" priority="11097" stopIfTrue="1" operator="equal">
      <formula>"Pass"</formula>
    </cfRule>
    <cfRule type="cellIs" dxfId="11167" priority="11098" stopIfTrue="1" operator="equal">
      <formula>"Fail"</formula>
    </cfRule>
  </conditionalFormatting>
  <conditionalFormatting sqref="I761:P761">
    <cfRule type="cellIs" dxfId="11166" priority="11095" stopIfTrue="1" operator="equal">
      <formula>"Pass"</formula>
    </cfRule>
    <cfRule type="cellIs" dxfId="11165" priority="11096" stopIfTrue="1" operator="equal">
      <formula>"Fail"</formula>
    </cfRule>
  </conditionalFormatting>
  <conditionalFormatting sqref="H761:O761">
    <cfRule type="cellIs" dxfId="11164" priority="11093" stopIfTrue="1" operator="equal">
      <formula>"Pass"</formula>
    </cfRule>
    <cfRule type="cellIs" dxfId="11163" priority="11094" stopIfTrue="1" operator="equal">
      <formula>"Fail"</formula>
    </cfRule>
  </conditionalFormatting>
  <conditionalFormatting sqref="H761:O761">
    <cfRule type="cellIs" dxfId="11162" priority="11091" stopIfTrue="1" operator="equal">
      <formula>"Pass"</formula>
    </cfRule>
    <cfRule type="cellIs" dxfId="11161" priority="11092" stopIfTrue="1" operator="equal">
      <formula>"Fail"</formula>
    </cfRule>
  </conditionalFormatting>
  <conditionalFormatting sqref="I761:P761">
    <cfRule type="cellIs" dxfId="11160" priority="11089" stopIfTrue="1" operator="equal">
      <formula>"Pass"</formula>
    </cfRule>
    <cfRule type="cellIs" dxfId="11159" priority="11090" stopIfTrue="1" operator="equal">
      <formula>"Fail"</formula>
    </cfRule>
  </conditionalFormatting>
  <conditionalFormatting sqref="I761:P761">
    <cfRule type="cellIs" dxfId="11158" priority="11087" stopIfTrue="1" operator="equal">
      <formula>"Pass"</formula>
    </cfRule>
    <cfRule type="cellIs" dxfId="11157" priority="11088" stopIfTrue="1" operator="equal">
      <formula>"Fail"</formula>
    </cfRule>
  </conditionalFormatting>
  <conditionalFormatting sqref="I761:P761">
    <cfRule type="cellIs" dxfId="11156" priority="11085" stopIfTrue="1" operator="equal">
      <formula>"Pass"</formula>
    </cfRule>
    <cfRule type="cellIs" dxfId="11155" priority="11086" stopIfTrue="1" operator="equal">
      <formula>"Fail"</formula>
    </cfRule>
  </conditionalFormatting>
  <conditionalFormatting sqref="I761:P761">
    <cfRule type="cellIs" dxfId="11154" priority="11083" stopIfTrue="1" operator="equal">
      <formula>"Pass"</formula>
    </cfRule>
    <cfRule type="cellIs" dxfId="11153" priority="11084" stopIfTrue="1" operator="equal">
      <formula>"Fail"</formula>
    </cfRule>
  </conditionalFormatting>
  <conditionalFormatting sqref="H761:O761">
    <cfRule type="cellIs" dxfId="11152" priority="11081" stopIfTrue="1" operator="equal">
      <formula>"Pass"</formula>
    </cfRule>
    <cfRule type="cellIs" dxfId="11151" priority="11082" stopIfTrue="1" operator="equal">
      <formula>"Fail"</formula>
    </cfRule>
  </conditionalFormatting>
  <conditionalFormatting sqref="H761:O761">
    <cfRule type="cellIs" dxfId="11150" priority="11079" stopIfTrue="1" operator="equal">
      <formula>"Pass"</formula>
    </cfRule>
    <cfRule type="cellIs" dxfId="11149" priority="11080" stopIfTrue="1" operator="equal">
      <formula>"Fail"</formula>
    </cfRule>
  </conditionalFormatting>
  <conditionalFormatting sqref="I761:P761">
    <cfRule type="cellIs" dxfId="11148" priority="11077" stopIfTrue="1" operator="equal">
      <formula>"Pass"</formula>
    </cfRule>
    <cfRule type="cellIs" dxfId="11147" priority="11078" stopIfTrue="1" operator="equal">
      <formula>"Fail"</formula>
    </cfRule>
  </conditionalFormatting>
  <conditionalFormatting sqref="I761:P761">
    <cfRule type="cellIs" dxfId="11146" priority="11075" stopIfTrue="1" operator="equal">
      <formula>"Pass"</formula>
    </cfRule>
    <cfRule type="cellIs" dxfId="11145" priority="11076" stopIfTrue="1" operator="equal">
      <formula>"Fail"</formula>
    </cfRule>
  </conditionalFormatting>
  <conditionalFormatting sqref="I761:P761">
    <cfRule type="cellIs" dxfId="11144" priority="11073" stopIfTrue="1" operator="equal">
      <formula>"Pass"</formula>
    </cfRule>
    <cfRule type="cellIs" dxfId="11143" priority="11074" stopIfTrue="1" operator="equal">
      <formula>"Fail"</formula>
    </cfRule>
  </conditionalFormatting>
  <conditionalFormatting sqref="I761:P761">
    <cfRule type="cellIs" dxfId="11142" priority="11071" stopIfTrue="1" operator="equal">
      <formula>"Pass"</formula>
    </cfRule>
    <cfRule type="cellIs" dxfId="11141" priority="11072" stopIfTrue="1" operator="equal">
      <formula>"Fail"</formula>
    </cfRule>
  </conditionalFormatting>
  <conditionalFormatting sqref="H761:O761">
    <cfRule type="cellIs" dxfId="11140" priority="11069" stopIfTrue="1" operator="equal">
      <formula>"Pass"</formula>
    </cfRule>
    <cfRule type="cellIs" dxfId="11139" priority="11070" stopIfTrue="1" operator="equal">
      <formula>"Fail"</formula>
    </cfRule>
  </conditionalFormatting>
  <conditionalFormatting sqref="H761:O761">
    <cfRule type="cellIs" dxfId="11138" priority="11067" stopIfTrue="1" operator="equal">
      <formula>"Pass"</formula>
    </cfRule>
    <cfRule type="cellIs" dxfId="11137" priority="11068" stopIfTrue="1" operator="equal">
      <formula>"Fail"</formula>
    </cfRule>
  </conditionalFormatting>
  <conditionalFormatting sqref="I761:P761">
    <cfRule type="cellIs" dxfId="11136" priority="11065" stopIfTrue="1" operator="equal">
      <formula>"Pass"</formula>
    </cfRule>
    <cfRule type="cellIs" dxfId="11135" priority="11066" stopIfTrue="1" operator="equal">
      <formula>"Fail"</formula>
    </cfRule>
  </conditionalFormatting>
  <conditionalFormatting sqref="I761:P761">
    <cfRule type="cellIs" dxfId="11134" priority="11063" stopIfTrue="1" operator="equal">
      <formula>"Pass"</formula>
    </cfRule>
    <cfRule type="cellIs" dxfId="11133" priority="11064" stopIfTrue="1" operator="equal">
      <formula>"Fail"</formula>
    </cfRule>
  </conditionalFormatting>
  <conditionalFormatting sqref="I761:P761">
    <cfRule type="cellIs" dxfId="11132" priority="11061" stopIfTrue="1" operator="equal">
      <formula>"Pass"</formula>
    </cfRule>
    <cfRule type="cellIs" dxfId="11131" priority="11062" stopIfTrue="1" operator="equal">
      <formula>"Fail"</formula>
    </cfRule>
  </conditionalFormatting>
  <conditionalFormatting sqref="I761:P761">
    <cfRule type="cellIs" dxfId="11130" priority="11059" stopIfTrue="1" operator="equal">
      <formula>"Pass"</formula>
    </cfRule>
    <cfRule type="cellIs" dxfId="11129" priority="11060" stopIfTrue="1" operator="equal">
      <formula>"Fail"</formula>
    </cfRule>
  </conditionalFormatting>
  <conditionalFormatting sqref="H761:O761">
    <cfRule type="cellIs" dxfId="11128" priority="11057" stopIfTrue="1" operator="equal">
      <formula>"Pass"</formula>
    </cfRule>
    <cfRule type="cellIs" dxfId="11127" priority="11058" stopIfTrue="1" operator="equal">
      <formula>"Fail"</formula>
    </cfRule>
  </conditionalFormatting>
  <conditionalFormatting sqref="H761:O761">
    <cfRule type="cellIs" dxfId="11126" priority="11055" stopIfTrue="1" operator="equal">
      <formula>"Pass"</formula>
    </cfRule>
    <cfRule type="cellIs" dxfId="11125" priority="11056" stopIfTrue="1" operator="equal">
      <formula>"Fail"</formula>
    </cfRule>
  </conditionalFormatting>
  <conditionalFormatting sqref="I761:P761">
    <cfRule type="cellIs" dxfId="11124" priority="11053" stopIfTrue="1" operator="equal">
      <formula>"Pass"</formula>
    </cfRule>
    <cfRule type="cellIs" dxfId="11123" priority="11054" stopIfTrue="1" operator="equal">
      <formula>"Fail"</formula>
    </cfRule>
  </conditionalFormatting>
  <conditionalFormatting sqref="I761:P761">
    <cfRule type="cellIs" dxfId="11122" priority="11051" stopIfTrue="1" operator="equal">
      <formula>"Pass"</formula>
    </cfRule>
    <cfRule type="cellIs" dxfId="11121" priority="11052" stopIfTrue="1" operator="equal">
      <formula>"Fail"</formula>
    </cfRule>
  </conditionalFormatting>
  <conditionalFormatting sqref="I761:P761">
    <cfRule type="cellIs" dxfId="11120" priority="11049" stopIfTrue="1" operator="equal">
      <formula>"Pass"</formula>
    </cfRule>
    <cfRule type="cellIs" dxfId="11119" priority="11050" stopIfTrue="1" operator="equal">
      <formula>"Fail"</formula>
    </cfRule>
  </conditionalFormatting>
  <conditionalFormatting sqref="I761:P761">
    <cfRule type="cellIs" dxfId="11118" priority="11047" stopIfTrue="1" operator="equal">
      <formula>"Pass"</formula>
    </cfRule>
    <cfRule type="cellIs" dxfId="11117" priority="11048" stopIfTrue="1" operator="equal">
      <formula>"Fail"</formula>
    </cfRule>
  </conditionalFormatting>
  <conditionalFormatting sqref="H761:O761">
    <cfRule type="cellIs" dxfId="11116" priority="11045" stopIfTrue="1" operator="equal">
      <formula>"Pass"</formula>
    </cfRule>
    <cfRule type="cellIs" dxfId="11115" priority="11046" stopIfTrue="1" operator="equal">
      <formula>"Fail"</formula>
    </cfRule>
  </conditionalFormatting>
  <conditionalFormatting sqref="H761:O761">
    <cfRule type="cellIs" dxfId="11114" priority="11043" stopIfTrue="1" operator="equal">
      <formula>"Pass"</formula>
    </cfRule>
    <cfRule type="cellIs" dxfId="11113" priority="11044" stopIfTrue="1" operator="equal">
      <formula>"Fail"</formula>
    </cfRule>
  </conditionalFormatting>
  <conditionalFormatting sqref="I761:P761">
    <cfRule type="cellIs" dxfId="11112" priority="11041" stopIfTrue="1" operator="equal">
      <formula>"Pass"</formula>
    </cfRule>
    <cfRule type="cellIs" dxfId="11111" priority="11042" stopIfTrue="1" operator="equal">
      <formula>"Fail"</formula>
    </cfRule>
  </conditionalFormatting>
  <conditionalFormatting sqref="I761:P761">
    <cfRule type="cellIs" dxfId="11110" priority="11039" stopIfTrue="1" operator="equal">
      <formula>"Pass"</formula>
    </cfRule>
    <cfRule type="cellIs" dxfId="11109" priority="11040" stopIfTrue="1" operator="equal">
      <formula>"Fail"</formula>
    </cfRule>
  </conditionalFormatting>
  <conditionalFormatting sqref="I761:P761">
    <cfRule type="cellIs" dxfId="11108" priority="11037" stopIfTrue="1" operator="equal">
      <formula>"Pass"</formula>
    </cfRule>
    <cfRule type="cellIs" dxfId="11107" priority="11038" stopIfTrue="1" operator="equal">
      <formula>"Fail"</formula>
    </cfRule>
  </conditionalFormatting>
  <conditionalFormatting sqref="I761:P761">
    <cfRule type="cellIs" dxfId="11106" priority="11035" stopIfTrue="1" operator="equal">
      <formula>"Pass"</formula>
    </cfRule>
    <cfRule type="cellIs" dxfId="11105" priority="11036" stopIfTrue="1" operator="equal">
      <formula>"Fail"</formula>
    </cfRule>
  </conditionalFormatting>
  <conditionalFormatting sqref="H761:O761">
    <cfRule type="cellIs" dxfId="11104" priority="11033" stopIfTrue="1" operator="equal">
      <formula>"Pass"</formula>
    </cfRule>
    <cfRule type="cellIs" dxfId="11103" priority="11034" stopIfTrue="1" operator="equal">
      <formula>"Fail"</formula>
    </cfRule>
  </conditionalFormatting>
  <conditionalFormatting sqref="H761:O761">
    <cfRule type="cellIs" dxfId="11102" priority="11031" stopIfTrue="1" operator="equal">
      <formula>"Pass"</formula>
    </cfRule>
    <cfRule type="cellIs" dxfId="11101" priority="11032" stopIfTrue="1" operator="equal">
      <formula>"Fail"</formula>
    </cfRule>
  </conditionalFormatting>
  <conditionalFormatting sqref="I761:P761">
    <cfRule type="cellIs" dxfId="11100" priority="11029" stopIfTrue="1" operator="equal">
      <formula>"Pass"</formula>
    </cfRule>
    <cfRule type="cellIs" dxfId="11099" priority="11030" stopIfTrue="1" operator="equal">
      <formula>"Fail"</formula>
    </cfRule>
  </conditionalFormatting>
  <conditionalFormatting sqref="I761:P761">
    <cfRule type="cellIs" dxfId="11098" priority="11027" stopIfTrue="1" operator="equal">
      <formula>"Pass"</formula>
    </cfRule>
    <cfRule type="cellIs" dxfId="11097" priority="11028" stopIfTrue="1" operator="equal">
      <formula>"Fail"</formula>
    </cfRule>
  </conditionalFormatting>
  <conditionalFormatting sqref="I761:P761">
    <cfRule type="cellIs" dxfId="11096" priority="11025" stopIfTrue="1" operator="equal">
      <formula>"Pass"</formula>
    </cfRule>
    <cfRule type="cellIs" dxfId="11095" priority="11026" stopIfTrue="1" operator="equal">
      <formula>"Fail"</formula>
    </cfRule>
  </conditionalFormatting>
  <conditionalFormatting sqref="I761:P761">
    <cfRule type="cellIs" dxfId="11094" priority="11023" stopIfTrue="1" operator="equal">
      <formula>"Pass"</formula>
    </cfRule>
    <cfRule type="cellIs" dxfId="11093" priority="11024" stopIfTrue="1" operator="equal">
      <formula>"Fail"</formula>
    </cfRule>
  </conditionalFormatting>
  <conditionalFormatting sqref="H761:O761">
    <cfRule type="cellIs" dxfId="11092" priority="11021" stopIfTrue="1" operator="equal">
      <formula>"Pass"</formula>
    </cfRule>
    <cfRule type="cellIs" dxfId="11091" priority="11022" stopIfTrue="1" operator="equal">
      <formula>"Fail"</formula>
    </cfRule>
  </conditionalFormatting>
  <conditionalFormatting sqref="H761:O761">
    <cfRule type="cellIs" dxfId="11090" priority="11019" stopIfTrue="1" operator="equal">
      <formula>"Pass"</formula>
    </cfRule>
    <cfRule type="cellIs" dxfId="11089" priority="11020" stopIfTrue="1" operator="equal">
      <formula>"Fail"</formula>
    </cfRule>
  </conditionalFormatting>
  <conditionalFormatting sqref="I761:P761">
    <cfRule type="cellIs" dxfId="11088" priority="11017" stopIfTrue="1" operator="equal">
      <formula>"Pass"</formula>
    </cfRule>
    <cfRule type="cellIs" dxfId="11087" priority="11018" stopIfTrue="1" operator="equal">
      <formula>"Fail"</formula>
    </cfRule>
  </conditionalFormatting>
  <conditionalFormatting sqref="I761:P761">
    <cfRule type="cellIs" dxfId="11086" priority="11015" stopIfTrue="1" operator="equal">
      <formula>"Pass"</formula>
    </cfRule>
    <cfRule type="cellIs" dxfId="11085" priority="11016" stopIfTrue="1" operator="equal">
      <formula>"Fail"</formula>
    </cfRule>
  </conditionalFormatting>
  <conditionalFormatting sqref="I761:P761">
    <cfRule type="cellIs" dxfId="11084" priority="11013" stopIfTrue="1" operator="equal">
      <formula>"Pass"</formula>
    </cfRule>
    <cfRule type="cellIs" dxfId="11083" priority="11014" stopIfTrue="1" operator="equal">
      <formula>"Fail"</formula>
    </cfRule>
  </conditionalFormatting>
  <conditionalFormatting sqref="I761:P761">
    <cfRule type="cellIs" dxfId="11082" priority="11011" stopIfTrue="1" operator="equal">
      <formula>"Pass"</formula>
    </cfRule>
    <cfRule type="cellIs" dxfId="11081" priority="11012" stopIfTrue="1" operator="equal">
      <formula>"Fail"</formula>
    </cfRule>
  </conditionalFormatting>
  <conditionalFormatting sqref="H761:O761">
    <cfRule type="cellIs" dxfId="11080" priority="11009" stopIfTrue="1" operator="equal">
      <formula>"Pass"</formula>
    </cfRule>
    <cfRule type="cellIs" dxfId="11079" priority="11010" stopIfTrue="1" operator="equal">
      <formula>"Fail"</formula>
    </cfRule>
  </conditionalFormatting>
  <conditionalFormatting sqref="H761:O761">
    <cfRule type="cellIs" dxfId="11078" priority="11007" stopIfTrue="1" operator="equal">
      <formula>"Pass"</formula>
    </cfRule>
    <cfRule type="cellIs" dxfId="11077" priority="11008" stopIfTrue="1" operator="equal">
      <formula>"Fail"</formula>
    </cfRule>
  </conditionalFormatting>
  <conditionalFormatting sqref="I761:P761">
    <cfRule type="cellIs" dxfId="11076" priority="11005" stopIfTrue="1" operator="equal">
      <formula>"Pass"</formula>
    </cfRule>
    <cfRule type="cellIs" dxfId="11075" priority="11006" stopIfTrue="1" operator="equal">
      <formula>"Fail"</formula>
    </cfRule>
  </conditionalFormatting>
  <conditionalFormatting sqref="I761:P761">
    <cfRule type="cellIs" dxfId="11074" priority="11003" stopIfTrue="1" operator="equal">
      <formula>"Pass"</formula>
    </cfRule>
    <cfRule type="cellIs" dxfId="11073" priority="11004" stopIfTrue="1" operator="equal">
      <formula>"Fail"</formula>
    </cfRule>
  </conditionalFormatting>
  <conditionalFormatting sqref="I761:P761">
    <cfRule type="cellIs" dxfId="11072" priority="11001" stopIfTrue="1" operator="equal">
      <formula>"Pass"</formula>
    </cfRule>
    <cfRule type="cellIs" dxfId="11071" priority="11002" stopIfTrue="1" operator="equal">
      <formula>"Fail"</formula>
    </cfRule>
  </conditionalFormatting>
  <conditionalFormatting sqref="I761:P761">
    <cfRule type="cellIs" dxfId="11070" priority="10999" stopIfTrue="1" operator="equal">
      <formula>"Pass"</formula>
    </cfRule>
    <cfRule type="cellIs" dxfId="11069" priority="11000" stopIfTrue="1" operator="equal">
      <formula>"Fail"</formula>
    </cfRule>
  </conditionalFormatting>
  <conditionalFormatting sqref="H761:O761">
    <cfRule type="cellIs" dxfId="11068" priority="10997" stopIfTrue="1" operator="equal">
      <formula>"Pass"</formula>
    </cfRule>
    <cfRule type="cellIs" dxfId="11067" priority="10998" stopIfTrue="1" operator="equal">
      <formula>"Fail"</formula>
    </cfRule>
  </conditionalFormatting>
  <conditionalFormatting sqref="H761:O761">
    <cfRule type="cellIs" dxfId="11066" priority="10995" stopIfTrue="1" operator="equal">
      <formula>"Pass"</formula>
    </cfRule>
    <cfRule type="cellIs" dxfId="11065" priority="10996" stopIfTrue="1" operator="equal">
      <formula>"Fail"</formula>
    </cfRule>
  </conditionalFormatting>
  <conditionalFormatting sqref="I761:P761">
    <cfRule type="cellIs" dxfId="11064" priority="10993" stopIfTrue="1" operator="equal">
      <formula>"Pass"</formula>
    </cfRule>
    <cfRule type="cellIs" dxfId="11063" priority="10994" stopIfTrue="1" operator="equal">
      <formula>"Fail"</formula>
    </cfRule>
  </conditionalFormatting>
  <conditionalFormatting sqref="I761:P761">
    <cfRule type="cellIs" dxfId="11062" priority="10991" stopIfTrue="1" operator="equal">
      <formula>"Pass"</formula>
    </cfRule>
    <cfRule type="cellIs" dxfId="11061" priority="10992" stopIfTrue="1" operator="equal">
      <formula>"Fail"</formula>
    </cfRule>
  </conditionalFormatting>
  <conditionalFormatting sqref="I761:P761">
    <cfRule type="cellIs" dxfId="11060" priority="10989" stopIfTrue="1" operator="equal">
      <formula>"Pass"</formula>
    </cfRule>
    <cfRule type="cellIs" dxfId="11059" priority="10990" stopIfTrue="1" operator="equal">
      <formula>"Fail"</formula>
    </cfRule>
  </conditionalFormatting>
  <conditionalFormatting sqref="I761:P761">
    <cfRule type="cellIs" dxfId="11058" priority="10987" stopIfTrue="1" operator="equal">
      <formula>"Pass"</formula>
    </cfRule>
    <cfRule type="cellIs" dxfId="11057" priority="10988" stopIfTrue="1" operator="equal">
      <formula>"Fail"</formula>
    </cfRule>
  </conditionalFormatting>
  <conditionalFormatting sqref="D761:E761">
    <cfRule type="cellIs" dxfId="11056" priority="10985" stopIfTrue="1" operator="equal">
      <formula>"Pass"</formula>
    </cfRule>
    <cfRule type="cellIs" dxfId="11055" priority="10986" stopIfTrue="1" operator="equal">
      <formula>"Fail"</formula>
    </cfRule>
  </conditionalFormatting>
  <conditionalFormatting sqref="D761:E761">
    <cfRule type="cellIs" dxfId="11054" priority="10983" stopIfTrue="1" operator="equal">
      <formula>"Pass"</formula>
    </cfRule>
    <cfRule type="cellIs" dxfId="11053" priority="10984" stopIfTrue="1" operator="equal">
      <formula>"Fail"</formula>
    </cfRule>
  </conditionalFormatting>
  <conditionalFormatting sqref="G761:H761">
    <cfRule type="cellIs" dxfId="11052" priority="10981" stopIfTrue="1" operator="equal">
      <formula>"Pass"</formula>
    </cfRule>
    <cfRule type="cellIs" dxfId="11051" priority="10982" stopIfTrue="1" operator="equal">
      <formula>"Fail"</formula>
    </cfRule>
  </conditionalFormatting>
  <conditionalFormatting sqref="G761:H761">
    <cfRule type="cellIs" dxfId="11050" priority="10979" stopIfTrue="1" operator="equal">
      <formula>"Pass"</formula>
    </cfRule>
    <cfRule type="cellIs" dxfId="11049" priority="10980" stopIfTrue="1" operator="equal">
      <formula>"Fail"</formula>
    </cfRule>
  </conditionalFormatting>
  <conditionalFormatting sqref="G761:H761">
    <cfRule type="cellIs" dxfId="11048" priority="10977" stopIfTrue="1" operator="equal">
      <formula>"Pass"</formula>
    </cfRule>
    <cfRule type="cellIs" dxfId="11047" priority="10978" stopIfTrue="1" operator="equal">
      <formula>"Fail"</formula>
    </cfRule>
  </conditionalFormatting>
  <conditionalFormatting sqref="G761:H761">
    <cfRule type="cellIs" dxfId="11046" priority="10975" stopIfTrue="1" operator="equal">
      <formula>"Pass"</formula>
    </cfRule>
    <cfRule type="cellIs" dxfId="11045" priority="10976" stopIfTrue="1" operator="equal">
      <formula>"Fail"</formula>
    </cfRule>
  </conditionalFormatting>
  <conditionalFormatting sqref="H761:O761">
    <cfRule type="cellIs" dxfId="11044" priority="10973" stopIfTrue="1" operator="equal">
      <formula>"Pass"</formula>
    </cfRule>
    <cfRule type="cellIs" dxfId="11043" priority="10974" stopIfTrue="1" operator="equal">
      <formula>"Fail"</formula>
    </cfRule>
  </conditionalFormatting>
  <conditionalFormatting sqref="H761:O761">
    <cfRule type="cellIs" dxfId="11042" priority="10971" stopIfTrue="1" operator="equal">
      <formula>"Pass"</formula>
    </cfRule>
    <cfRule type="cellIs" dxfId="11041" priority="10972" stopIfTrue="1" operator="equal">
      <formula>"Fail"</formula>
    </cfRule>
  </conditionalFormatting>
  <conditionalFormatting sqref="I761:P761">
    <cfRule type="cellIs" dxfId="11040" priority="10969" stopIfTrue="1" operator="equal">
      <formula>"Pass"</formula>
    </cfRule>
    <cfRule type="cellIs" dxfId="11039" priority="10970" stopIfTrue="1" operator="equal">
      <formula>"Fail"</formula>
    </cfRule>
  </conditionalFormatting>
  <conditionalFormatting sqref="I761:P761">
    <cfRule type="cellIs" dxfId="11038" priority="10967" stopIfTrue="1" operator="equal">
      <formula>"Pass"</formula>
    </cfRule>
    <cfRule type="cellIs" dxfId="11037" priority="10968" stopIfTrue="1" operator="equal">
      <formula>"Fail"</formula>
    </cfRule>
  </conditionalFormatting>
  <conditionalFormatting sqref="I761:P761">
    <cfRule type="cellIs" dxfId="11036" priority="10965" stopIfTrue="1" operator="equal">
      <formula>"Pass"</formula>
    </cfRule>
    <cfRule type="cellIs" dxfId="11035" priority="10966" stopIfTrue="1" operator="equal">
      <formula>"Fail"</formula>
    </cfRule>
  </conditionalFormatting>
  <conditionalFormatting sqref="I761:P761">
    <cfRule type="cellIs" dxfId="11034" priority="10963" stopIfTrue="1" operator="equal">
      <formula>"Pass"</formula>
    </cfRule>
    <cfRule type="cellIs" dxfId="11033" priority="10964" stopIfTrue="1" operator="equal">
      <formula>"Fail"</formula>
    </cfRule>
  </conditionalFormatting>
  <conditionalFormatting sqref="H761:O761">
    <cfRule type="cellIs" dxfId="11032" priority="10961" stopIfTrue="1" operator="equal">
      <formula>"Pass"</formula>
    </cfRule>
    <cfRule type="cellIs" dxfId="11031" priority="10962" stopIfTrue="1" operator="equal">
      <formula>"Fail"</formula>
    </cfRule>
  </conditionalFormatting>
  <conditionalFormatting sqref="H761:O761">
    <cfRule type="cellIs" dxfId="11030" priority="10959" stopIfTrue="1" operator="equal">
      <formula>"Pass"</formula>
    </cfRule>
    <cfRule type="cellIs" dxfId="11029" priority="10960" stopIfTrue="1" operator="equal">
      <formula>"Fail"</formula>
    </cfRule>
  </conditionalFormatting>
  <conditionalFormatting sqref="I761:P761">
    <cfRule type="cellIs" dxfId="11028" priority="10957" stopIfTrue="1" operator="equal">
      <formula>"Pass"</formula>
    </cfRule>
    <cfRule type="cellIs" dxfId="11027" priority="10958" stopIfTrue="1" operator="equal">
      <formula>"Fail"</formula>
    </cfRule>
  </conditionalFormatting>
  <conditionalFormatting sqref="I761:P761">
    <cfRule type="cellIs" dxfId="11026" priority="10955" stopIfTrue="1" operator="equal">
      <formula>"Pass"</formula>
    </cfRule>
    <cfRule type="cellIs" dxfId="11025" priority="10956" stopIfTrue="1" operator="equal">
      <formula>"Fail"</formula>
    </cfRule>
  </conditionalFormatting>
  <conditionalFormatting sqref="I761:P761">
    <cfRule type="cellIs" dxfId="11024" priority="10953" stopIfTrue="1" operator="equal">
      <formula>"Pass"</formula>
    </cfRule>
    <cfRule type="cellIs" dxfId="11023" priority="10954" stopIfTrue="1" operator="equal">
      <formula>"Fail"</formula>
    </cfRule>
  </conditionalFormatting>
  <conditionalFormatting sqref="I761:P761">
    <cfRule type="cellIs" dxfId="11022" priority="10951" stopIfTrue="1" operator="equal">
      <formula>"Pass"</formula>
    </cfRule>
    <cfRule type="cellIs" dxfId="11021" priority="10952" stopIfTrue="1" operator="equal">
      <formula>"Fail"</formula>
    </cfRule>
  </conditionalFormatting>
  <conditionalFormatting sqref="H761:O761">
    <cfRule type="cellIs" dxfId="11020" priority="10949" stopIfTrue="1" operator="equal">
      <formula>"Pass"</formula>
    </cfRule>
    <cfRule type="cellIs" dxfId="11019" priority="10950" stopIfTrue="1" operator="equal">
      <formula>"Fail"</formula>
    </cfRule>
  </conditionalFormatting>
  <conditionalFormatting sqref="H761:O761">
    <cfRule type="cellIs" dxfId="11018" priority="10947" stopIfTrue="1" operator="equal">
      <formula>"Pass"</formula>
    </cfRule>
    <cfRule type="cellIs" dxfId="11017" priority="10948" stopIfTrue="1" operator="equal">
      <formula>"Fail"</formula>
    </cfRule>
  </conditionalFormatting>
  <conditionalFormatting sqref="I761:P761">
    <cfRule type="cellIs" dxfId="11016" priority="10945" stopIfTrue="1" operator="equal">
      <formula>"Pass"</formula>
    </cfRule>
    <cfRule type="cellIs" dxfId="11015" priority="10946" stopIfTrue="1" operator="equal">
      <formula>"Fail"</formula>
    </cfRule>
  </conditionalFormatting>
  <conditionalFormatting sqref="I761:P761">
    <cfRule type="cellIs" dxfId="11014" priority="10943" stopIfTrue="1" operator="equal">
      <formula>"Pass"</formula>
    </cfRule>
    <cfRule type="cellIs" dxfId="11013" priority="10944" stopIfTrue="1" operator="equal">
      <formula>"Fail"</formula>
    </cfRule>
  </conditionalFormatting>
  <conditionalFormatting sqref="I761:P761">
    <cfRule type="cellIs" dxfId="11012" priority="10941" stopIfTrue="1" operator="equal">
      <formula>"Pass"</formula>
    </cfRule>
    <cfRule type="cellIs" dxfId="11011" priority="10942" stopIfTrue="1" operator="equal">
      <formula>"Fail"</formula>
    </cfRule>
  </conditionalFormatting>
  <conditionalFormatting sqref="I761:P761">
    <cfRule type="cellIs" dxfId="11010" priority="10939" stopIfTrue="1" operator="equal">
      <formula>"Pass"</formula>
    </cfRule>
    <cfRule type="cellIs" dxfId="11009" priority="10940" stopIfTrue="1" operator="equal">
      <formula>"Fail"</formula>
    </cfRule>
  </conditionalFormatting>
  <conditionalFormatting sqref="H761:O761">
    <cfRule type="cellIs" dxfId="11008" priority="10937" stopIfTrue="1" operator="equal">
      <formula>"Pass"</formula>
    </cfRule>
    <cfRule type="cellIs" dxfId="11007" priority="10938" stopIfTrue="1" operator="equal">
      <formula>"Fail"</formula>
    </cfRule>
  </conditionalFormatting>
  <conditionalFormatting sqref="H761:O761">
    <cfRule type="cellIs" dxfId="11006" priority="10935" stopIfTrue="1" operator="equal">
      <formula>"Pass"</formula>
    </cfRule>
    <cfRule type="cellIs" dxfId="11005" priority="10936" stopIfTrue="1" operator="equal">
      <formula>"Fail"</formula>
    </cfRule>
  </conditionalFormatting>
  <conditionalFormatting sqref="I761:P761">
    <cfRule type="cellIs" dxfId="11004" priority="10933" stopIfTrue="1" operator="equal">
      <formula>"Pass"</formula>
    </cfRule>
    <cfRule type="cellIs" dxfId="11003" priority="10934" stopIfTrue="1" operator="equal">
      <formula>"Fail"</formula>
    </cfRule>
  </conditionalFormatting>
  <conditionalFormatting sqref="I761:P761">
    <cfRule type="cellIs" dxfId="11002" priority="10931" stopIfTrue="1" operator="equal">
      <formula>"Pass"</formula>
    </cfRule>
    <cfRule type="cellIs" dxfId="11001" priority="10932" stopIfTrue="1" operator="equal">
      <formula>"Fail"</formula>
    </cfRule>
  </conditionalFormatting>
  <conditionalFormatting sqref="I761:P761">
    <cfRule type="cellIs" dxfId="11000" priority="10929" stopIfTrue="1" operator="equal">
      <formula>"Pass"</formula>
    </cfRule>
    <cfRule type="cellIs" dxfId="10999" priority="10930" stopIfTrue="1" operator="equal">
      <formula>"Fail"</formula>
    </cfRule>
  </conditionalFormatting>
  <conditionalFormatting sqref="I761:P761">
    <cfRule type="cellIs" dxfId="10998" priority="10927" stopIfTrue="1" operator="equal">
      <formula>"Pass"</formula>
    </cfRule>
    <cfRule type="cellIs" dxfId="10997" priority="10928" stopIfTrue="1" operator="equal">
      <formula>"Fail"</formula>
    </cfRule>
  </conditionalFormatting>
  <conditionalFormatting sqref="H761:O761">
    <cfRule type="cellIs" dxfId="10996" priority="10925" stopIfTrue="1" operator="equal">
      <formula>"Pass"</formula>
    </cfRule>
    <cfRule type="cellIs" dxfId="10995" priority="10926" stopIfTrue="1" operator="equal">
      <formula>"Fail"</formula>
    </cfRule>
  </conditionalFormatting>
  <conditionalFormatting sqref="H761:O761">
    <cfRule type="cellIs" dxfId="10994" priority="10923" stopIfTrue="1" operator="equal">
      <formula>"Pass"</formula>
    </cfRule>
    <cfRule type="cellIs" dxfId="10993" priority="10924" stopIfTrue="1" operator="equal">
      <formula>"Fail"</formula>
    </cfRule>
  </conditionalFormatting>
  <conditionalFormatting sqref="I761:P761">
    <cfRule type="cellIs" dxfId="10992" priority="10921" stopIfTrue="1" operator="equal">
      <formula>"Pass"</formula>
    </cfRule>
    <cfRule type="cellIs" dxfId="10991" priority="10922" stopIfTrue="1" operator="equal">
      <formula>"Fail"</formula>
    </cfRule>
  </conditionalFormatting>
  <conditionalFormatting sqref="I761:P761">
    <cfRule type="cellIs" dxfId="10990" priority="10919" stopIfTrue="1" operator="equal">
      <formula>"Pass"</formula>
    </cfRule>
    <cfRule type="cellIs" dxfId="10989" priority="10920" stopIfTrue="1" operator="equal">
      <formula>"Fail"</formula>
    </cfRule>
  </conditionalFormatting>
  <conditionalFormatting sqref="I761:P761">
    <cfRule type="cellIs" dxfId="10988" priority="10917" stopIfTrue="1" operator="equal">
      <formula>"Pass"</formula>
    </cfRule>
    <cfRule type="cellIs" dxfId="10987" priority="10918" stopIfTrue="1" operator="equal">
      <formula>"Fail"</formula>
    </cfRule>
  </conditionalFormatting>
  <conditionalFormatting sqref="I761:P761">
    <cfRule type="cellIs" dxfId="10986" priority="10915" stopIfTrue="1" operator="equal">
      <formula>"Pass"</formula>
    </cfRule>
    <cfRule type="cellIs" dxfId="10985" priority="10916" stopIfTrue="1" operator="equal">
      <formula>"Fail"</formula>
    </cfRule>
  </conditionalFormatting>
  <conditionalFormatting sqref="H761:O761">
    <cfRule type="cellIs" dxfId="10984" priority="10913" stopIfTrue="1" operator="equal">
      <formula>"Pass"</formula>
    </cfRule>
    <cfRule type="cellIs" dxfId="10983" priority="10914" stopIfTrue="1" operator="equal">
      <formula>"Fail"</formula>
    </cfRule>
  </conditionalFormatting>
  <conditionalFormatting sqref="H761:O761">
    <cfRule type="cellIs" dxfId="10982" priority="10911" stopIfTrue="1" operator="equal">
      <formula>"Pass"</formula>
    </cfRule>
    <cfRule type="cellIs" dxfId="10981" priority="10912" stopIfTrue="1" operator="equal">
      <formula>"Fail"</formula>
    </cfRule>
  </conditionalFormatting>
  <conditionalFormatting sqref="I761:P761">
    <cfRule type="cellIs" dxfId="10980" priority="10909" stopIfTrue="1" operator="equal">
      <formula>"Pass"</formula>
    </cfRule>
    <cfRule type="cellIs" dxfId="10979" priority="10910" stopIfTrue="1" operator="equal">
      <formula>"Fail"</formula>
    </cfRule>
  </conditionalFormatting>
  <conditionalFormatting sqref="I761:P761">
    <cfRule type="cellIs" dxfId="10978" priority="10907" stopIfTrue="1" operator="equal">
      <formula>"Pass"</formula>
    </cfRule>
    <cfRule type="cellIs" dxfId="10977" priority="10908" stopIfTrue="1" operator="equal">
      <formula>"Fail"</formula>
    </cfRule>
  </conditionalFormatting>
  <conditionalFormatting sqref="I761:P761">
    <cfRule type="cellIs" dxfId="10976" priority="10905" stopIfTrue="1" operator="equal">
      <formula>"Pass"</formula>
    </cfRule>
    <cfRule type="cellIs" dxfId="10975" priority="10906" stopIfTrue="1" operator="equal">
      <formula>"Fail"</formula>
    </cfRule>
  </conditionalFormatting>
  <conditionalFormatting sqref="I761:P761">
    <cfRule type="cellIs" dxfId="10974" priority="10903" stopIfTrue="1" operator="equal">
      <formula>"Pass"</formula>
    </cfRule>
    <cfRule type="cellIs" dxfId="10973" priority="10904" stopIfTrue="1" operator="equal">
      <formula>"Fail"</formula>
    </cfRule>
  </conditionalFormatting>
  <conditionalFormatting sqref="H761:O761">
    <cfRule type="cellIs" dxfId="10972" priority="10901" stopIfTrue="1" operator="equal">
      <formula>"Pass"</formula>
    </cfRule>
    <cfRule type="cellIs" dxfId="10971" priority="10902" stopIfTrue="1" operator="equal">
      <formula>"Fail"</formula>
    </cfRule>
  </conditionalFormatting>
  <conditionalFormatting sqref="H761:O761">
    <cfRule type="cellIs" dxfId="10970" priority="10899" stopIfTrue="1" operator="equal">
      <formula>"Pass"</formula>
    </cfRule>
    <cfRule type="cellIs" dxfId="10969" priority="10900" stopIfTrue="1" operator="equal">
      <formula>"Fail"</formula>
    </cfRule>
  </conditionalFormatting>
  <conditionalFormatting sqref="I761:P761">
    <cfRule type="cellIs" dxfId="10968" priority="10897" stopIfTrue="1" operator="equal">
      <formula>"Pass"</formula>
    </cfRule>
    <cfRule type="cellIs" dxfId="10967" priority="10898" stopIfTrue="1" operator="equal">
      <formula>"Fail"</formula>
    </cfRule>
  </conditionalFormatting>
  <conditionalFormatting sqref="I761:P761">
    <cfRule type="cellIs" dxfId="10966" priority="10895" stopIfTrue="1" operator="equal">
      <formula>"Pass"</formula>
    </cfRule>
    <cfRule type="cellIs" dxfId="10965" priority="10896" stopIfTrue="1" operator="equal">
      <formula>"Fail"</formula>
    </cfRule>
  </conditionalFormatting>
  <conditionalFormatting sqref="I761:P761">
    <cfRule type="cellIs" dxfId="10964" priority="10893" stopIfTrue="1" operator="equal">
      <formula>"Pass"</formula>
    </cfRule>
    <cfRule type="cellIs" dxfId="10963" priority="10894" stopIfTrue="1" operator="equal">
      <formula>"Fail"</formula>
    </cfRule>
  </conditionalFormatting>
  <conditionalFormatting sqref="I761:P761">
    <cfRule type="cellIs" dxfId="10962" priority="10891" stopIfTrue="1" operator="equal">
      <formula>"Pass"</formula>
    </cfRule>
    <cfRule type="cellIs" dxfId="10961" priority="10892" stopIfTrue="1" operator="equal">
      <formula>"Fail"</formula>
    </cfRule>
  </conditionalFormatting>
  <conditionalFormatting sqref="H761:O761">
    <cfRule type="cellIs" dxfId="10960" priority="10889" stopIfTrue="1" operator="equal">
      <formula>"Pass"</formula>
    </cfRule>
    <cfRule type="cellIs" dxfId="10959" priority="10890" stopIfTrue="1" operator="equal">
      <formula>"Fail"</formula>
    </cfRule>
  </conditionalFormatting>
  <conditionalFormatting sqref="H761:O761">
    <cfRule type="cellIs" dxfId="10958" priority="10887" stopIfTrue="1" operator="equal">
      <formula>"Pass"</formula>
    </cfRule>
    <cfRule type="cellIs" dxfId="10957" priority="10888" stopIfTrue="1" operator="equal">
      <formula>"Fail"</formula>
    </cfRule>
  </conditionalFormatting>
  <conditionalFormatting sqref="I761:P761">
    <cfRule type="cellIs" dxfId="10956" priority="10885" stopIfTrue="1" operator="equal">
      <formula>"Pass"</formula>
    </cfRule>
    <cfRule type="cellIs" dxfId="10955" priority="10886" stopIfTrue="1" operator="equal">
      <formula>"Fail"</formula>
    </cfRule>
  </conditionalFormatting>
  <conditionalFormatting sqref="I761:P761">
    <cfRule type="cellIs" dxfId="10954" priority="10883" stopIfTrue="1" operator="equal">
      <formula>"Pass"</formula>
    </cfRule>
    <cfRule type="cellIs" dxfId="10953" priority="10884" stopIfTrue="1" operator="equal">
      <formula>"Fail"</formula>
    </cfRule>
  </conditionalFormatting>
  <conditionalFormatting sqref="I761:P761">
    <cfRule type="cellIs" dxfId="10952" priority="10881" stopIfTrue="1" operator="equal">
      <formula>"Pass"</formula>
    </cfRule>
    <cfRule type="cellIs" dxfId="10951" priority="10882" stopIfTrue="1" operator="equal">
      <formula>"Fail"</formula>
    </cfRule>
  </conditionalFormatting>
  <conditionalFormatting sqref="I761:P761">
    <cfRule type="cellIs" dxfId="10950" priority="10879" stopIfTrue="1" operator="equal">
      <formula>"Pass"</formula>
    </cfRule>
    <cfRule type="cellIs" dxfId="10949" priority="10880" stopIfTrue="1" operator="equal">
      <formula>"Fail"</formula>
    </cfRule>
  </conditionalFormatting>
  <conditionalFormatting sqref="H761:O761">
    <cfRule type="cellIs" dxfId="10948" priority="10877" stopIfTrue="1" operator="equal">
      <formula>"Pass"</formula>
    </cfRule>
    <cfRule type="cellIs" dxfId="10947" priority="10878" stopIfTrue="1" operator="equal">
      <formula>"Fail"</formula>
    </cfRule>
  </conditionalFormatting>
  <conditionalFormatting sqref="H761:O761">
    <cfRule type="cellIs" dxfId="10946" priority="10875" stopIfTrue="1" operator="equal">
      <formula>"Pass"</formula>
    </cfRule>
    <cfRule type="cellIs" dxfId="10945" priority="10876" stopIfTrue="1" operator="equal">
      <formula>"Fail"</formula>
    </cfRule>
  </conditionalFormatting>
  <conditionalFormatting sqref="I761:P761">
    <cfRule type="cellIs" dxfId="10944" priority="10873" stopIfTrue="1" operator="equal">
      <formula>"Pass"</formula>
    </cfRule>
    <cfRule type="cellIs" dxfId="10943" priority="10874" stopIfTrue="1" operator="equal">
      <formula>"Fail"</formula>
    </cfRule>
  </conditionalFormatting>
  <conditionalFormatting sqref="I761:P761">
    <cfRule type="cellIs" dxfId="10942" priority="10871" stopIfTrue="1" operator="equal">
      <formula>"Pass"</formula>
    </cfRule>
    <cfRule type="cellIs" dxfId="10941" priority="10872" stopIfTrue="1" operator="equal">
      <formula>"Fail"</formula>
    </cfRule>
  </conditionalFormatting>
  <conditionalFormatting sqref="I761:P761">
    <cfRule type="cellIs" dxfId="10940" priority="10869" stopIfTrue="1" operator="equal">
      <formula>"Pass"</formula>
    </cfRule>
    <cfRule type="cellIs" dxfId="10939" priority="10870" stopIfTrue="1" operator="equal">
      <formula>"Fail"</formula>
    </cfRule>
  </conditionalFormatting>
  <conditionalFormatting sqref="I761:P761">
    <cfRule type="cellIs" dxfId="10938" priority="10867" stopIfTrue="1" operator="equal">
      <formula>"Pass"</formula>
    </cfRule>
    <cfRule type="cellIs" dxfId="10937" priority="10868" stopIfTrue="1" operator="equal">
      <formula>"Fail"</formula>
    </cfRule>
  </conditionalFormatting>
  <conditionalFormatting sqref="H761:O761">
    <cfRule type="cellIs" dxfId="10936" priority="10865" stopIfTrue="1" operator="equal">
      <formula>"Pass"</formula>
    </cfRule>
    <cfRule type="cellIs" dxfId="10935" priority="10866" stopIfTrue="1" operator="equal">
      <formula>"Fail"</formula>
    </cfRule>
  </conditionalFormatting>
  <conditionalFormatting sqref="H761:O761">
    <cfRule type="cellIs" dxfId="10934" priority="10863" stopIfTrue="1" operator="equal">
      <formula>"Pass"</formula>
    </cfRule>
    <cfRule type="cellIs" dxfId="10933" priority="10864" stopIfTrue="1" operator="equal">
      <formula>"Fail"</formula>
    </cfRule>
  </conditionalFormatting>
  <conditionalFormatting sqref="I761:P761">
    <cfRule type="cellIs" dxfId="10932" priority="10861" stopIfTrue="1" operator="equal">
      <formula>"Pass"</formula>
    </cfRule>
    <cfRule type="cellIs" dxfId="10931" priority="10862" stopIfTrue="1" operator="equal">
      <formula>"Fail"</formula>
    </cfRule>
  </conditionalFormatting>
  <conditionalFormatting sqref="I761:P761">
    <cfRule type="cellIs" dxfId="10930" priority="10859" stopIfTrue="1" operator="equal">
      <formula>"Pass"</formula>
    </cfRule>
    <cfRule type="cellIs" dxfId="10929" priority="10860" stopIfTrue="1" operator="equal">
      <formula>"Fail"</formula>
    </cfRule>
  </conditionalFormatting>
  <conditionalFormatting sqref="I761:P761">
    <cfRule type="cellIs" dxfId="10928" priority="10857" stopIfTrue="1" operator="equal">
      <formula>"Pass"</formula>
    </cfRule>
    <cfRule type="cellIs" dxfId="10927" priority="10858" stopIfTrue="1" operator="equal">
      <formula>"Fail"</formula>
    </cfRule>
  </conditionalFormatting>
  <conditionalFormatting sqref="I761:P761">
    <cfRule type="cellIs" dxfId="10926" priority="10855" stopIfTrue="1" operator="equal">
      <formula>"Pass"</formula>
    </cfRule>
    <cfRule type="cellIs" dxfId="10925" priority="10856" stopIfTrue="1" operator="equal">
      <formula>"Fail"</formula>
    </cfRule>
  </conditionalFormatting>
  <conditionalFormatting sqref="H761:O761">
    <cfRule type="cellIs" dxfId="10924" priority="10853" stopIfTrue="1" operator="equal">
      <formula>"Pass"</formula>
    </cfRule>
    <cfRule type="cellIs" dxfId="10923" priority="10854" stopIfTrue="1" operator="equal">
      <formula>"Fail"</formula>
    </cfRule>
  </conditionalFormatting>
  <conditionalFormatting sqref="H761:O761">
    <cfRule type="cellIs" dxfId="10922" priority="10851" stopIfTrue="1" operator="equal">
      <formula>"Pass"</formula>
    </cfRule>
    <cfRule type="cellIs" dxfId="10921" priority="10852" stopIfTrue="1" operator="equal">
      <formula>"Fail"</formula>
    </cfRule>
  </conditionalFormatting>
  <conditionalFormatting sqref="I761:P761">
    <cfRule type="cellIs" dxfId="10920" priority="10849" stopIfTrue="1" operator="equal">
      <formula>"Pass"</formula>
    </cfRule>
    <cfRule type="cellIs" dxfId="10919" priority="10850" stopIfTrue="1" operator="equal">
      <formula>"Fail"</formula>
    </cfRule>
  </conditionalFormatting>
  <conditionalFormatting sqref="I761:P761">
    <cfRule type="cellIs" dxfId="10918" priority="10847" stopIfTrue="1" operator="equal">
      <formula>"Pass"</formula>
    </cfRule>
    <cfRule type="cellIs" dxfId="10917" priority="10848" stopIfTrue="1" operator="equal">
      <formula>"Fail"</formula>
    </cfRule>
  </conditionalFormatting>
  <conditionalFormatting sqref="I761:P761">
    <cfRule type="cellIs" dxfId="10916" priority="10845" stopIfTrue="1" operator="equal">
      <formula>"Pass"</formula>
    </cfRule>
    <cfRule type="cellIs" dxfId="10915" priority="10846" stopIfTrue="1" operator="equal">
      <formula>"Fail"</formula>
    </cfRule>
  </conditionalFormatting>
  <conditionalFormatting sqref="I761:P761">
    <cfRule type="cellIs" dxfId="10914" priority="10843" stopIfTrue="1" operator="equal">
      <formula>"Pass"</formula>
    </cfRule>
    <cfRule type="cellIs" dxfId="10913" priority="10844" stopIfTrue="1" operator="equal">
      <formula>"Fail"</formula>
    </cfRule>
  </conditionalFormatting>
  <conditionalFormatting sqref="H761:O761">
    <cfRule type="cellIs" dxfId="10912" priority="10841" stopIfTrue="1" operator="equal">
      <formula>"Pass"</formula>
    </cfRule>
    <cfRule type="cellIs" dxfId="10911" priority="10842" stopIfTrue="1" operator="equal">
      <formula>"Fail"</formula>
    </cfRule>
  </conditionalFormatting>
  <conditionalFormatting sqref="H761:O761">
    <cfRule type="cellIs" dxfId="10910" priority="10839" stopIfTrue="1" operator="equal">
      <formula>"Pass"</formula>
    </cfRule>
    <cfRule type="cellIs" dxfId="10909" priority="10840" stopIfTrue="1" operator="equal">
      <formula>"Fail"</formula>
    </cfRule>
  </conditionalFormatting>
  <conditionalFormatting sqref="I761:P761">
    <cfRule type="cellIs" dxfId="10908" priority="10837" stopIfTrue="1" operator="equal">
      <formula>"Pass"</formula>
    </cfRule>
    <cfRule type="cellIs" dxfId="10907" priority="10838" stopIfTrue="1" operator="equal">
      <formula>"Fail"</formula>
    </cfRule>
  </conditionalFormatting>
  <conditionalFormatting sqref="I761:P761">
    <cfRule type="cellIs" dxfId="10906" priority="10835" stopIfTrue="1" operator="equal">
      <formula>"Pass"</formula>
    </cfRule>
    <cfRule type="cellIs" dxfId="10905" priority="10836" stopIfTrue="1" operator="equal">
      <formula>"Fail"</formula>
    </cfRule>
  </conditionalFormatting>
  <conditionalFormatting sqref="I761:P761">
    <cfRule type="cellIs" dxfId="10904" priority="10833" stopIfTrue="1" operator="equal">
      <formula>"Pass"</formula>
    </cfRule>
    <cfRule type="cellIs" dxfId="10903" priority="10834" stopIfTrue="1" operator="equal">
      <formula>"Fail"</formula>
    </cfRule>
  </conditionalFormatting>
  <conditionalFormatting sqref="I761:P761">
    <cfRule type="cellIs" dxfId="10902" priority="10831" stopIfTrue="1" operator="equal">
      <formula>"Pass"</formula>
    </cfRule>
    <cfRule type="cellIs" dxfId="10901" priority="10832" stopIfTrue="1" operator="equal">
      <formula>"Fail"</formula>
    </cfRule>
  </conditionalFormatting>
  <conditionalFormatting sqref="D761:E761 G761:P761">
    <cfRule type="cellIs" dxfId="10900" priority="10829" stopIfTrue="1" operator="equal">
      <formula>"Pass"</formula>
    </cfRule>
    <cfRule type="cellIs" dxfId="10899" priority="10830" stopIfTrue="1" operator="equal">
      <formula>"Fail"</formula>
    </cfRule>
  </conditionalFormatting>
  <conditionalFormatting sqref="E761 H761:P761">
    <cfRule type="cellIs" dxfId="10898" priority="10827" stopIfTrue="1" operator="equal">
      <formula>"Pass"</formula>
    </cfRule>
    <cfRule type="cellIs" dxfId="10897" priority="10828" stopIfTrue="1" operator="equal">
      <formula>"Fail"</formula>
    </cfRule>
  </conditionalFormatting>
  <conditionalFormatting sqref="E761 H761:P761">
    <cfRule type="cellIs" dxfId="10896" priority="10825" stopIfTrue="1" operator="equal">
      <formula>"Pass"</formula>
    </cfRule>
    <cfRule type="cellIs" dxfId="10895" priority="10826" stopIfTrue="1" operator="equal">
      <formula>"Fail"</formula>
    </cfRule>
  </conditionalFormatting>
  <conditionalFormatting sqref="E761 H761:P761">
    <cfRule type="cellIs" dxfId="10894" priority="10823" stopIfTrue="1" operator="equal">
      <formula>"Pass"</formula>
    </cfRule>
    <cfRule type="cellIs" dxfId="10893" priority="10824" stopIfTrue="1" operator="equal">
      <formula>"Fail"</formula>
    </cfRule>
  </conditionalFormatting>
  <conditionalFormatting sqref="E761 H761:P761">
    <cfRule type="cellIs" dxfId="10892" priority="10821" stopIfTrue="1" operator="equal">
      <formula>"Pass"</formula>
    </cfRule>
    <cfRule type="cellIs" dxfId="10891" priority="10822" stopIfTrue="1" operator="equal">
      <formula>"Fail"</formula>
    </cfRule>
  </conditionalFormatting>
  <conditionalFormatting sqref="E761 H761:P761">
    <cfRule type="cellIs" dxfId="10890" priority="10819" stopIfTrue="1" operator="equal">
      <formula>"Pass"</formula>
    </cfRule>
    <cfRule type="cellIs" dxfId="10889" priority="10820" stopIfTrue="1" operator="equal">
      <formula>"Fail"</formula>
    </cfRule>
  </conditionalFormatting>
  <conditionalFormatting sqref="E761 H761:P761">
    <cfRule type="cellIs" dxfId="10888" priority="10817" stopIfTrue="1" operator="equal">
      <formula>"Pass"</formula>
    </cfRule>
    <cfRule type="cellIs" dxfId="10887" priority="10818" stopIfTrue="1" operator="equal">
      <formula>"Fail"</formula>
    </cfRule>
  </conditionalFormatting>
  <conditionalFormatting sqref="E761 H761:P761">
    <cfRule type="cellIs" dxfId="10886" priority="10815" stopIfTrue="1" operator="equal">
      <formula>"Pass"</formula>
    </cfRule>
    <cfRule type="cellIs" dxfId="10885" priority="10816" stopIfTrue="1" operator="equal">
      <formula>"Fail"</formula>
    </cfRule>
  </conditionalFormatting>
  <conditionalFormatting sqref="E761 H761:P761">
    <cfRule type="cellIs" dxfId="10884" priority="10813" stopIfTrue="1" operator="equal">
      <formula>"Pass"</formula>
    </cfRule>
    <cfRule type="cellIs" dxfId="10883" priority="10814" stopIfTrue="1" operator="equal">
      <formula>"Fail"</formula>
    </cfRule>
  </conditionalFormatting>
  <conditionalFormatting sqref="E761 H761:P761">
    <cfRule type="cellIs" dxfId="10882" priority="10811" stopIfTrue="1" operator="equal">
      <formula>"Pass"</formula>
    </cfRule>
    <cfRule type="cellIs" dxfId="10881" priority="10812" stopIfTrue="1" operator="equal">
      <formula>"Fail"</formula>
    </cfRule>
  </conditionalFormatting>
  <conditionalFormatting sqref="E761 H761:P761">
    <cfRule type="cellIs" dxfId="10880" priority="10809" stopIfTrue="1" operator="equal">
      <formula>"Pass"</formula>
    </cfRule>
    <cfRule type="cellIs" dxfId="10879" priority="10810" stopIfTrue="1" operator="equal">
      <formula>"Fail"</formula>
    </cfRule>
  </conditionalFormatting>
  <conditionalFormatting sqref="E761 H761:P761">
    <cfRule type="cellIs" dxfId="10878" priority="10807" stopIfTrue="1" operator="equal">
      <formula>"Pass"</formula>
    </cfRule>
    <cfRule type="cellIs" dxfId="10877" priority="10808" stopIfTrue="1" operator="equal">
      <formula>"Fail"</formula>
    </cfRule>
  </conditionalFormatting>
  <conditionalFormatting sqref="E761 H761:P761">
    <cfRule type="cellIs" dxfId="10876" priority="10805" stopIfTrue="1" operator="equal">
      <formula>"Pass"</formula>
    </cfRule>
    <cfRule type="cellIs" dxfId="10875" priority="10806" stopIfTrue="1" operator="equal">
      <formula>"Fail"</formula>
    </cfRule>
  </conditionalFormatting>
  <conditionalFormatting sqref="E761 H761:P761">
    <cfRule type="cellIs" dxfId="10874" priority="10803" stopIfTrue="1" operator="equal">
      <formula>"Pass"</formula>
    </cfRule>
    <cfRule type="cellIs" dxfId="10873" priority="10804" stopIfTrue="1" operator="equal">
      <formula>"Fail"</formula>
    </cfRule>
  </conditionalFormatting>
  <conditionalFormatting sqref="E761 H761:P761">
    <cfRule type="cellIs" dxfId="10872" priority="10801" stopIfTrue="1" operator="equal">
      <formula>"Pass"</formula>
    </cfRule>
    <cfRule type="cellIs" dxfId="10871" priority="10802" stopIfTrue="1" operator="equal">
      <formula>"Fail"</formula>
    </cfRule>
  </conditionalFormatting>
  <conditionalFormatting sqref="E761 H761:P761">
    <cfRule type="cellIs" dxfId="10870" priority="10799" stopIfTrue="1" operator="equal">
      <formula>"Pass"</formula>
    </cfRule>
    <cfRule type="cellIs" dxfId="10869" priority="10800" stopIfTrue="1" operator="equal">
      <formula>"Fail"</formula>
    </cfRule>
  </conditionalFormatting>
  <conditionalFormatting sqref="E761 H761:P761">
    <cfRule type="cellIs" dxfId="10868" priority="10797" stopIfTrue="1" operator="equal">
      <formula>"Pass"</formula>
    </cfRule>
    <cfRule type="cellIs" dxfId="10867" priority="10798" stopIfTrue="1" operator="equal">
      <formula>"Fail"</formula>
    </cfRule>
  </conditionalFormatting>
  <conditionalFormatting sqref="E761 H761:P761">
    <cfRule type="cellIs" dxfId="10866" priority="10795" stopIfTrue="1" operator="equal">
      <formula>"Pass"</formula>
    </cfRule>
    <cfRule type="cellIs" dxfId="10865" priority="10796" stopIfTrue="1" operator="equal">
      <formula>"Fail"</formula>
    </cfRule>
  </conditionalFormatting>
  <conditionalFormatting sqref="E761 H761:P761">
    <cfRule type="cellIs" dxfId="10864" priority="10793" stopIfTrue="1" operator="equal">
      <formula>"Pass"</formula>
    </cfRule>
    <cfRule type="cellIs" dxfId="10863" priority="10794" stopIfTrue="1" operator="equal">
      <formula>"Fail"</formula>
    </cfRule>
  </conditionalFormatting>
  <conditionalFormatting sqref="E761 H761:P761">
    <cfRule type="cellIs" dxfId="10862" priority="10791" stopIfTrue="1" operator="equal">
      <formula>"Pass"</formula>
    </cfRule>
    <cfRule type="cellIs" dxfId="10861" priority="10792" stopIfTrue="1" operator="equal">
      <formula>"Fail"</formula>
    </cfRule>
  </conditionalFormatting>
  <conditionalFormatting sqref="H761:P761">
    <cfRule type="cellIs" dxfId="10860" priority="10789" stopIfTrue="1" operator="equal">
      <formula>"Pass"</formula>
    </cfRule>
    <cfRule type="cellIs" dxfId="10859" priority="10790" stopIfTrue="1" operator="equal">
      <formula>"Fail"</formula>
    </cfRule>
  </conditionalFormatting>
  <conditionalFormatting sqref="H761:P761">
    <cfRule type="cellIs" dxfId="10858" priority="10787" stopIfTrue="1" operator="equal">
      <formula>"Pass"</formula>
    </cfRule>
    <cfRule type="cellIs" dxfId="10857" priority="10788" stopIfTrue="1" operator="equal">
      <formula>"Fail"</formula>
    </cfRule>
  </conditionalFormatting>
  <conditionalFormatting sqref="H761:P761">
    <cfRule type="cellIs" dxfId="10856" priority="10785" stopIfTrue="1" operator="equal">
      <formula>"Pass"</formula>
    </cfRule>
    <cfRule type="cellIs" dxfId="10855" priority="10786" stopIfTrue="1" operator="equal">
      <formula>"Fail"</formula>
    </cfRule>
  </conditionalFormatting>
  <conditionalFormatting sqref="I761:P761">
    <cfRule type="cellIs" dxfId="10854" priority="10783" stopIfTrue="1" operator="equal">
      <formula>"Pass"</formula>
    </cfRule>
    <cfRule type="cellIs" dxfId="10853" priority="10784" stopIfTrue="1" operator="equal">
      <formula>"Fail"</formula>
    </cfRule>
  </conditionalFormatting>
  <conditionalFormatting sqref="I761:P761">
    <cfRule type="cellIs" dxfId="10852" priority="10781" stopIfTrue="1" operator="equal">
      <formula>"Pass"</formula>
    </cfRule>
    <cfRule type="cellIs" dxfId="10851" priority="10782" stopIfTrue="1" operator="equal">
      <formula>"Fail"</formula>
    </cfRule>
  </conditionalFormatting>
  <conditionalFormatting sqref="I761:P761">
    <cfRule type="cellIs" dxfId="10850" priority="10779" stopIfTrue="1" operator="equal">
      <formula>"Pass"</formula>
    </cfRule>
    <cfRule type="cellIs" dxfId="10849" priority="10780" stopIfTrue="1" operator="equal">
      <formula>"Fail"</formula>
    </cfRule>
  </conditionalFormatting>
  <conditionalFormatting sqref="I761:P761">
    <cfRule type="cellIs" dxfId="10848" priority="10777" stopIfTrue="1" operator="equal">
      <formula>"Pass"</formula>
    </cfRule>
    <cfRule type="cellIs" dxfId="10847" priority="10778" stopIfTrue="1" operator="equal">
      <formula>"Fail"</formula>
    </cfRule>
  </conditionalFormatting>
  <conditionalFormatting sqref="H761:P761">
    <cfRule type="cellIs" dxfId="10846" priority="10775" stopIfTrue="1" operator="equal">
      <formula>"Pass"</formula>
    </cfRule>
    <cfRule type="cellIs" dxfId="10845" priority="10776" stopIfTrue="1" operator="equal">
      <formula>"Fail"</formula>
    </cfRule>
  </conditionalFormatting>
  <conditionalFormatting sqref="H761:P761">
    <cfRule type="cellIs" dxfId="10844" priority="10773" stopIfTrue="1" operator="equal">
      <formula>"Pass"</formula>
    </cfRule>
    <cfRule type="cellIs" dxfId="10843" priority="10774" stopIfTrue="1" operator="equal">
      <formula>"Fail"</formula>
    </cfRule>
  </conditionalFormatting>
  <conditionalFormatting sqref="I761:P761">
    <cfRule type="cellIs" dxfId="10842" priority="10771" stopIfTrue="1" operator="equal">
      <formula>"Pass"</formula>
    </cfRule>
    <cfRule type="cellIs" dxfId="10841" priority="10772" stopIfTrue="1" operator="equal">
      <formula>"Fail"</formula>
    </cfRule>
  </conditionalFormatting>
  <conditionalFormatting sqref="I761:P761">
    <cfRule type="cellIs" dxfId="10840" priority="10769" stopIfTrue="1" operator="equal">
      <formula>"Pass"</formula>
    </cfRule>
    <cfRule type="cellIs" dxfId="10839" priority="10770" stopIfTrue="1" operator="equal">
      <formula>"Fail"</formula>
    </cfRule>
  </conditionalFormatting>
  <conditionalFormatting sqref="I761:P761">
    <cfRule type="cellIs" dxfId="10838" priority="10767" stopIfTrue="1" operator="equal">
      <formula>"Pass"</formula>
    </cfRule>
    <cfRule type="cellIs" dxfId="10837" priority="10768" stopIfTrue="1" operator="equal">
      <formula>"Fail"</formula>
    </cfRule>
  </conditionalFormatting>
  <conditionalFormatting sqref="I761:P761">
    <cfRule type="cellIs" dxfId="10836" priority="10765" stopIfTrue="1" operator="equal">
      <formula>"Pass"</formula>
    </cfRule>
    <cfRule type="cellIs" dxfId="10835" priority="10766" stopIfTrue="1" operator="equal">
      <formula>"Fail"</formula>
    </cfRule>
  </conditionalFormatting>
  <conditionalFormatting sqref="H761:P761">
    <cfRule type="cellIs" dxfId="10834" priority="10763" stopIfTrue="1" operator="equal">
      <formula>"Pass"</formula>
    </cfRule>
    <cfRule type="cellIs" dxfId="10833" priority="10764" stopIfTrue="1" operator="equal">
      <formula>"Fail"</formula>
    </cfRule>
  </conditionalFormatting>
  <conditionalFormatting sqref="H761:P761">
    <cfRule type="cellIs" dxfId="10832" priority="10761" stopIfTrue="1" operator="equal">
      <formula>"Pass"</formula>
    </cfRule>
    <cfRule type="cellIs" dxfId="10831" priority="10762" stopIfTrue="1" operator="equal">
      <formula>"Fail"</formula>
    </cfRule>
  </conditionalFormatting>
  <conditionalFormatting sqref="I761:P761">
    <cfRule type="cellIs" dxfId="10830" priority="10759" stopIfTrue="1" operator="equal">
      <formula>"Pass"</formula>
    </cfRule>
    <cfRule type="cellIs" dxfId="10829" priority="10760" stopIfTrue="1" operator="equal">
      <formula>"Fail"</formula>
    </cfRule>
  </conditionalFormatting>
  <conditionalFormatting sqref="I761:P761">
    <cfRule type="cellIs" dxfId="10828" priority="10757" stopIfTrue="1" operator="equal">
      <formula>"Pass"</formula>
    </cfRule>
    <cfRule type="cellIs" dxfId="10827" priority="10758" stopIfTrue="1" operator="equal">
      <formula>"Fail"</formula>
    </cfRule>
  </conditionalFormatting>
  <conditionalFormatting sqref="I761:P761">
    <cfRule type="cellIs" dxfId="10826" priority="10755" stopIfTrue="1" operator="equal">
      <formula>"Pass"</formula>
    </cfRule>
    <cfRule type="cellIs" dxfId="10825" priority="10756" stopIfTrue="1" operator="equal">
      <formula>"Fail"</formula>
    </cfRule>
  </conditionalFormatting>
  <conditionalFormatting sqref="I761:P761">
    <cfRule type="cellIs" dxfId="10824" priority="10753" stopIfTrue="1" operator="equal">
      <formula>"Pass"</formula>
    </cfRule>
    <cfRule type="cellIs" dxfId="10823" priority="10754" stopIfTrue="1" operator="equal">
      <formula>"Fail"</formula>
    </cfRule>
  </conditionalFormatting>
  <conditionalFormatting sqref="H761:P761">
    <cfRule type="cellIs" dxfId="10822" priority="10751" stopIfTrue="1" operator="equal">
      <formula>"Pass"</formula>
    </cfRule>
    <cfRule type="cellIs" dxfId="10821" priority="10752" stopIfTrue="1" operator="equal">
      <formula>"Fail"</formula>
    </cfRule>
  </conditionalFormatting>
  <conditionalFormatting sqref="H761:P761">
    <cfRule type="cellIs" dxfId="10820" priority="10749" stopIfTrue="1" operator="equal">
      <formula>"Pass"</formula>
    </cfRule>
    <cfRule type="cellIs" dxfId="10819" priority="10750" stopIfTrue="1" operator="equal">
      <formula>"Fail"</formula>
    </cfRule>
  </conditionalFormatting>
  <conditionalFormatting sqref="I761:P761">
    <cfRule type="cellIs" dxfId="10818" priority="10747" stopIfTrue="1" operator="equal">
      <formula>"Pass"</formula>
    </cfRule>
    <cfRule type="cellIs" dxfId="10817" priority="10748" stopIfTrue="1" operator="equal">
      <formula>"Fail"</formula>
    </cfRule>
  </conditionalFormatting>
  <conditionalFormatting sqref="I761:P761">
    <cfRule type="cellIs" dxfId="10816" priority="10745" stopIfTrue="1" operator="equal">
      <formula>"Pass"</formula>
    </cfRule>
    <cfRule type="cellIs" dxfId="10815" priority="10746" stopIfTrue="1" operator="equal">
      <formula>"Fail"</formula>
    </cfRule>
  </conditionalFormatting>
  <conditionalFormatting sqref="I761:P761">
    <cfRule type="cellIs" dxfId="10814" priority="10743" stopIfTrue="1" operator="equal">
      <formula>"Pass"</formula>
    </cfRule>
    <cfRule type="cellIs" dxfId="10813" priority="10744" stopIfTrue="1" operator="equal">
      <formula>"Fail"</formula>
    </cfRule>
  </conditionalFormatting>
  <conditionalFormatting sqref="I761:P761">
    <cfRule type="cellIs" dxfId="10812" priority="10741" stopIfTrue="1" operator="equal">
      <formula>"Pass"</formula>
    </cfRule>
    <cfRule type="cellIs" dxfId="10811" priority="10742" stopIfTrue="1" operator="equal">
      <formula>"Fail"</formula>
    </cfRule>
  </conditionalFormatting>
  <conditionalFormatting sqref="H761:P761">
    <cfRule type="cellIs" dxfId="10810" priority="10739" stopIfTrue="1" operator="equal">
      <formula>"Pass"</formula>
    </cfRule>
    <cfRule type="cellIs" dxfId="10809" priority="10740" stopIfTrue="1" operator="equal">
      <formula>"Fail"</formula>
    </cfRule>
  </conditionalFormatting>
  <conditionalFormatting sqref="H761:P761">
    <cfRule type="cellIs" dxfId="10808" priority="10737" stopIfTrue="1" operator="equal">
      <formula>"Pass"</formula>
    </cfRule>
    <cfRule type="cellIs" dxfId="10807" priority="10738" stopIfTrue="1" operator="equal">
      <formula>"Fail"</formula>
    </cfRule>
  </conditionalFormatting>
  <conditionalFormatting sqref="I761:P761">
    <cfRule type="cellIs" dxfId="10806" priority="10735" stopIfTrue="1" operator="equal">
      <formula>"Pass"</formula>
    </cfRule>
    <cfRule type="cellIs" dxfId="10805" priority="10736" stopIfTrue="1" operator="equal">
      <formula>"Fail"</formula>
    </cfRule>
  </conditionalFormatting>
  <conditionalFormatting sqref="I761:P761">
    <cfRule type="cellIs" dxfId="10804" priority="10733" stopIfTrue="1" operator="equal">
      <formula>"Pass"</formula>
    </cfRule>
    <cfRule type="cellIs" dxfId="10803" priority="10734" stopIfTrue="1" operator="equal">
      <formula>"Fail"</formula>
    </cfRule>
  </conditionalFormatting>
  <conditionalFormatting sqref="I761:P761">
    <cfRule type="cellIs" dxfId="10802" priority="10731" stopIfTrue="1" operator="equal">
      <formula>"Pass"</formula>
    </cfRule>
    <cfRule type="cellIs" dxfId="10801" priority="10732" stopIfTrue="1" operator="equal">
      <formula>"Fail"</formula>
    </cfRule>
  </conditionalFormatting>
  <conditionalFormatting sqref="I761:P761">
    <cfRule type="cellIs" dxfId="10800" priority="10729" stopIfTrue="1" operator="equal">
      <formula>"Pass"</formula>
    </cfRule>
    <cfRule type="cellIs" dxfId="10799" priority="10730" stopIfTrue="1" operator="equal">
      <formula>"Fail"</formula>
    </cfRule>
  </conditionalFormatting>
  <conditionalFormatting sqref="H761:P761">
    <cfRule type="cellIs" dxfId="10798" priority="10727" stopIfTrue="1" operator="equal">
      <formula>"Pass"</formula>
    </cfRule>
    <cfRule type="cellIs" dxfId="10797" priority="10728" stopIfTrue="1" operator="equal">
      <formula>"Fail"</formula>
    </cfRule>
  </conditionalFormatting>
  <conditionalFormatting sqref="H761:P761">
    <cfRule type="cellIs" dxfId="10796" priority="10725" stopIfTrue="1" operator="equal">
      <formula>"Pass"</formula>
    </cfRule>
    <cfRule type="cellIs" dxfId="10795" priority="10726" stopIfTrue="1" operator="equal">
      <formula>"Fail"</formula>
    </cfRule>
  </conditionalFormatting>
  <conditionalFormatting sqref="I761:P761">
    <cfRule type="cellIs" dxfId="10794" priority="10723" stopIfTrue="1" operator="equal">
      <formula>"Pass"</formula>
    </cfRule>
    <cfRule type="cellIs" dxfId="10793" priority="10724" stopIfTrue="1" operator="equal">
      <formula>"Fail"</formula>
    </cfRule>
  </conditionalFormatting>
  <conditionalFormatting sqref="I761:P761">
    <cfRule type="cellIs" dxfId="10792" priority="10721" stopIfTrue="1" operator="equal">
      <formula>"Pass"</formula>
    </cfRule>
    <cfRule type="cellIs" dxfId="10791" priority="10722" stopIfTrue="1" operator="equal">
      <formula>"Fail"</formula>
    </cfRule>
  </conditionalFormatting>
  <conditionalFormatting sqref="I761:P761">
    <cfRule type="cellIs" dxfId="10790" priority="10719" stopIfTrue="1" operator="equal">
      <formula>"Pass"</formula>
    </cfRule>
    <cfRule type="cellIs" dxfId="10789" priority="10720" stopIfTrue="1" operator="equal">
      <formula>"Fail"</formula>
    </cfRule>
  </conditionalFormatting>
  <conditionalFormatting sqref="I761:P761">
    <cfRule type="cellIs" dxfId="10788" priority="10717" stopIfTrue="1" operator="equal">
      <formula>"Pass"</formula>
    </cfRule>
    <cfRule type="cellIs" dxfId="10787" priority="10718" stopIfTrue="1" operator="equal">
      <formula>"Fail"</formula>
    </cfRule>
  </conditionalFormatting>
  <conditionalFormatting sqref="H761:P761">
    <cfRule type="cellIs" dxfId="10786" priority="10715" stopIfTrue="1" operator="equal">
      <formula>"Pass"</formula>
    </cfRule>
    <cfRule type="cellIs" dxfId="10785" priority="10716" stopIfTrue="1" operator="equal">
      <formula>"Fail"</formula>
    </cfRule>
  </conditionalFormatting>
  <conditionalFormatting sqref="H761:P761">
    <cfRule type="cellIs" dxfId="10784" priority="10713" stopIfTrue="1" operator="equal">
      <formula>"Pass"</formula>
    </cfRule>
    <cfRule type="cellIs" dxfId="10783" priority="10714" stopIfTrue="1" operator="equal">
      <formula>"Fail"</formula>
    </cfRule>
  </conditionalFormatting>
  <conditionalFormatting sqref="I761:P761">
    <cfRule type="cellIs" dxfId="10782" priority="10711" stopIfTrue="1" operator="equal">
      <formula>"Pass"</formula>
    </cfRule>
    <cfRule type="cellIs" dxfId="10781" priority="10712" stopIfTrue="1" operator="equal">
      <formula>"Fail"</formula>
    </cfRule>
  </conditionalFormatting>
  <conditionalFormatting sqref="I761:P761">
    <cfRule type="cellIs" dxfId="10780" priority="10709" stopIfTrue="1" operator="equal">
      <formula>"Pass"</formula>
    </cfRule>
    <cfRule type="cellIs" dxfId="10779" priority="10710" stopIfTrue="1" operator="equal">
      <formula>"Fail"</formula>
    </cfRule>
  </conditionalFormatting>
  <conditionalFormatting sqref="I761:P761">
    <cfRule type="cellIs" dxfId="10778" priority="10707" stopIfTrue="1" operator="equal">
      <formula>"Pass"</formula>
    </cfRule>
    <cfRule type="cellIs" dxfId="10777" priority="10708" stopIfTrue="1" operator="equal">
      <formula>"Fail"</formula>
    </cfRule>
  </conditionalFormatting>
  <conditionalFormatting sqref="I761:P761">
    <cfRule type="cellIs" dxfId="10776" priority="10705" stopIfTrue="1" operator="equal">
      <formula>"Pass"</formula>
    </cfRule>
    <cfRule type="cellIs" dxfId="10775" priority="10706" stopIfTrue="1" operator="equal">
      <formula>"Fail"</formula>
    </cfRule>
  </conditionalFormatting>
  <conditionalFormatting sqref="H761:P761">
    <cfRule type="cellIs" dxfId="10774" priority="10703" stopIfTrue="1" operator="equal">
      <formula>"Pass"</formula>
    </cfRule>
    <cfRule type="cellIs" dxfId="10773" priority="10704" stopIfTrue="1" operator="equal">
      <formula>"Fail"</formula>
    </cfRule>
  </conditionalFormatting>
  <conditionalFormatting sqref="H761:P761">
    <cfRule type="cellIs" dxfId="10772" priority="10701" stopIfTrue="1" operator="equal">
      <formula>"Pass"</formula>
    </cfRule>
    <cfRule type="cellIs" dxfId="10771" priority="10702" stopIfTrue="1" operator="equal">
      <formula>"Fail"</formula>
    </cfRule>
  </conditionalFormatting>
  <conditionalFormatting sqref="I761:P761">
    <cfRule type="cellIs" dxfId="10770" priority="10699" stopIfTrue="1" operator="equal">
      <formula>"Pass"</formula>
    </cfRule>
    <cfRule type="cellIs" dxfId="10769" priority="10700" stopIfTrue="1" operator="equal">
      <formula>"Fail"</formula>
    </cfRule>
  </conditionalFormatting>
  <conditionalFormatting sqref="I761:P761">
    <cfRule type="cellIs" dxfId="10768" priority="10697" stopIfTrue="1" operator="equal">
      <formula>"Pass"</formula>
    </cfRule>
    <cfRule type="cellIs" dxfId="10767" priority="10698" stopIfTrue="1" operator="equal">
      <formula>"Fail"</formula>
    </cfRule>
  </conditionalFormatting>
  <conditionalFormatting sqref="I761:P761">
    <cfRule type="cellIs" dxfId="10766" priority="10695" stopIfTrue="1" operator="equal">
      <formula>"Pass"</formula>
    </cfRule>
    <cfRule type="cellIs" dxfId="10765" priority="10696" stopIfTrue="1" operator="equal">
      <formula>"Fail"</formula>
    </cfRule>
  </conditionalFormatting>
  <conditionalFormatting sqref="I761:P761">
    <cfRule type="cellIs" dxfId="10764" priority="10693" stopIfTrue="1" operator="equal">
      <formula>"Pass"</formula>
    </cfRule>
    <cfRule type="cellIs" dxfId="10763" priority="10694" stopIfTrue="1" operator="equal">
      <formula>"Fail"</formula>
    </cfRule>
  </conditionalFormatting>
  <conditionalFormatting sqref="H761:O761">
    <cfRule type="cellIs" dxfId="10762" priority="10691" stopIfTrue="1" operator="equal">
      <formula>"Pass"</formula>
    </cfRule>
    <cfRule type="cellIs" dxfId="10761" priority="10692" stopIfTrue="1" operator="equal">
      <formula>"Fail"</formula>
    </cfRule>
  </conditionalFormatting>
  <conditionalFormatting sqref="H761:O761">
    <cfRule type="cellIs" dxfId="10760" priority="10689" stopIfTrue="1" operator="equal">
      <formula>"Pass"</formula>
    </cfRule>
    <cfRule type="cellIs" dxfId="10759" priority="10690" stopIfTrue="1" operator="equal">
      <formula>"Fail"</formula>
    </cfRule>
  </conditionalFormatting>
  <conditionalFormatting sqref="I761:P761">
    <cfRule type="cellIs" dxfId="10758" priority="10687" stopIfTrue="1" operator="equal">
      <formula>"Pass"</formula>
    </cfRule>
    <cfRule type="cellIs" dxfId="10757" priority="10688" stopIfTrue="1" operator="equal">
      <formula>"Fail"</formula>
    </cfRule>
  </conditionalFormatting>
  <conditionalFormatting sqref="I761:P761">
    <cfRule type="cellIs" dxfId="10756" priority="10685" stopIfTrue="1" operator="equal">
      <formula>"Pass"</formula>
    </cfRule>
    <cfRule type="cellIs" dxfId="10755" priority="10686" stopIfTrue="1" operator="equal">
      <formula>"Fail"</formula>
    </cfRule>
  </conditionalFormatting>
  <conditionalFormatting sqref="I761:P761">
    <cfRule type="cellIs" dxfId="10754" priority="10683" stopIfTrue="1" operator="equal">
      <formula>"Pass"</formula>
    </cfRule>
    <cfRule type="cellIs" dxfId="10753" priority="10684" stopIfTrue="1" operator="equal">
      <formula>"Fail"</formula>
    </cfRule>
  </conditionalFormatting>
  <conditionalFormatting sqref="I761:P761">
    <cfRule type="cellIs" dxfId="10752" priority="10681" stopIfTrue="1" operator="equal">
      <formula>"Pass"</formula>
    </cfRule>
    <cfRule type="cellIs" dxfId="10751" priority="10682" stopIfTrue="1" operator="equal">
      <formula>"Fail"</formula>
    </cfRule>
  </conditionalFormatting>
  <conditionalFormatting sqref="H761:O761">
    <cfRule type="cellIs" dxfId="10750" priority="10679" stopIfTrue="1" operator="equal">
      <formula>"Pass"</formula>
    </cfRule>
    <cfRule type="cellIs" dxfId="10749" priority="10680" stopIfTrue="1" operator="equal">
      <formula>"Fail"</formula>
    </cfRule>
  </conditionalFormatting>
  <conditionalFormatting sqref="H761:O761">
    <cfRule type="cellIs" dxfId="10748" priority="10677" stopIfTrue="1" operator="equal">
      <formula>"Pass"</formula>
    </cfRule>
    <cfRule type="cellIs" dxfId="10747" priority="10678" stopIfTrue="1" operator="equal">
      <formula>"Fail"</formula>
    </cfRule>
  </conditionalFormatting>
  <conditionalFormatting sqref="I761:P761">
    <cfRule type="cellIs" dxfId="10746" priority="10675" stopIfTrue="1" operator="equal">
      <formula>"Pass"</formula>
    </cfRule>
    <cfRule type="cellIs" dxfId="10745" priority="10676" stopIfTrue="1" operator="equal">
      <formula>"Fail"</formula>
    </cfRule>
  </conditionalFormatting>
  <conditionalFormatting sqref="I761:P761">
    <cfRule type="cellIs" dxfId="10744" priority="10673" stopIfTrue="1" operator="equal">
      <formula>"Pass"</formula>
    </cfRule>
    <cfRule type="cellIs" dxfId="10743" priority="10674" stopIfTrue="1" operator="equal">
      <formula>"Fail"</formula>
    </cfRule>
  </conditionalFormatting>
  <conditionalFormatting sqref="I761:P761">
    <cfRule type="cellIs" dxfId="10742" priority="10671" stopIfTrue="1" operator="equal">
      <formula>"Pass"</formula>
    </cfRule>
    <cfRule type="cellIs" dxfId="10741" priority="10672" stopIfTrue="1" operator="equal">
      <formula>"Fail"</formula>
    </cfRule>
  </conditionalFormatting>
  <conditionalFormatting sqref="I761:P761">
    <cfRule type="cellIs" dxfId="10740" priority="10669" stopIfTrue="1" operator="equal">
      <formula>"Pass"</formula>
    </cfRule>
    <cfRule type="cellIs" dxfId="10739" priority="10670" stopIfTrue="1" operator="equal">
      <formula>"Fail"</formula>
    </cfRule>
  </conditionalFormatting>
  <conditionalFormatting sqref="H761:P761">
    <cfRule type="cellIs" dxfId="10738" priority="10667" stopIfTrue="1" operator="equal">
      <formula>"Pass"</formula>
    </cfRule>
    <cfRule type="cellIs" dxfId="10737" priority="10668" stopIfTrue="1" operator="equal">
      <formula>"Fail"</formula>
    </cfRule>
  </conditionalFormatting>
  <conditionalFormatting sqref="H761:P761">
    <cfRule type="cellIs" dxfId="10736" priority="10665" stopIfTrue="1" operator="equal">
      <formula>"Pass"</formula>
    </cfRule>
    <cfRule type="cellIs" dxfId="10735" priority="10666" stopIfTrue="1" operator="equal">
      <formula>"Fail"</formula>
    </cfRule>
  </conditionalFormatting>
  <conditionalFormatting sqref="I761:P761">
    <cfRule type="cellIs" dxfId="10734" priority="10663" stopIfTrue="1" operator="equal">
      <formula>"Pass"</formula>
    </cfRule>
    <cfRule type="cellIs" dxfId="10733" priority="10664" stopIfTrue="1" operator="equal">
      <formula>"Fail"</formula>
    </cfRule>
  </conditionalFormatting>
  <conditionalFormatting sqref="I761:P761">
    <cfRule type="cellIs" dxfId="10732" priority="10661" stopIfTrue="1" operator="equal">
      <formula>"Pass"</formula>
    </cfRule>
    <cfRule type="cellIs" dxfId="10731" priority="10662" stopIfTrue="1" operator="equal">
      <formula>"Fail"</formula>
    </cfRule>
  </conditionalFormatting>
  <conditionalFormatting sqref="I761:P761">
    <cfRule type="cellIs" dxfId="10730" priority="10659" stopIfTrue="1" operator="equal">
      <formula>"Pass"</formula>
    </cfRule>
    <cfRule type="cellIs" dxfId="10729" priority="10660" stopIfTrue="1" operator="equal">
      <formula>"Fail"</formula>
    </cfRule>
  </conditionalFormatting>
  <conditionalFormatting sqref="I761:P761">
    <cfRule type="cellIs" dxfId="10728" priority="10657" stopIfTrue="1" operator="equal">
      <formula>"Pass"</formula>
    </cfRule>
    <cfRule type="cellIs" dxfId="10727" priority="10658" stopIfTrue="1" operator="equal">
      <formula>"Fail"</formula>
    </cfRule>
  </conditionalFormatting>
  <conditionalFormatting sqref="H761:P761">
    <cfRule type="cellIs" dxfId="10726" priority="10655" stopIfTrue="1" operator="equal">
      <formula>"Pass"</formula>
    </cfRule>
    <cfRule type="cellIs" dxfId="10725" priority="10656" stopIfTrue="1" operator="equal">
      <formula>"Fail"</formula>
    </cfRule>
  </conditionalFormatting>
  <conditionalFormatting sqref="H761:P761">
    <cfRule type="cellIs" dxfId="10724" priority="10653" stopIfTrue="1" operator="equal">
      <formula>"Pass"</formula>
    </cfRule>
    <cfRule type="cellIs" dxfId="10723" priority="10654" stopIfTrue="1" operator="equal">
      <formula>"Fail"</formula>
    </cfRule>
  </conditionalFormatting>
  <conditionalFormatting sqref="I761:P761">
    <cfRule type="cellIs" dxfId="10722" priority="10651" stopIfTrue="1" operator="equal">
      <formula>"Pass"</formula>
    </cfRule>
    <cfRule type="cellIs" dxfId="10721" priority="10652" stopIfTrue="1" operator="equal">
      <formula>"Fail"</formula>
    </cfRule>
  </conditionalFormatting>
  <conditionalFormatting sqref="I761:P761">
    <cfRule type="cellIs" dxfId="10720" priority="10649" stopIfTrue="1" operator="equal">
      <formula>"Pass"</formula>
    </cfRule>
    <cfRule type="cellIs" dxfId="10719" priority="10650" stopIfTrue="1" operator="equal">
      <formula>"Fail"</formula>
    </cfRule>
  </conditionalFormatting>
  <conditionalFormatting sqref="I761:P761">
    <cfRule type="cellIs" dxfId="10718" priority="10647" stopIfTrue="1" operator="equal">
      <formula>"Pass"</formula>
    </cfRule>
    <cfRule type="cellIs" dxfId="10717" priority="10648" stopIfTrue="1" operator="equal">
      <formula>"Fail"</formula>
    </cfRule>
  </conditionalFormatting>
  <conditionalFormatting sqref="I761:P761">
    <cfRule type="cellIs" dxfId="10716" priority="10645" stopIfTrue="1" operator="equal">
      <formula>"Pass"</formula>
    </cfRule>
    <cfRule type="cellIs" dxfId="10715" priority="10646" stopIfTrue="1" operator="equal">
      <formula>"Fail"</formula>
    </cfRule>
  </conditionalFormatting>
  <conditionalFormatting sqref="H761:P761">
    <cfRule type="cellIs" dxfId="10714" priority="10643" stopIfTrue="1" operator="equal">
      <formula>"Pass"</formula>
    </cfRule>
    <cfRule type="cellIs" dxfId="10713" priority="10644" stopIfTrue="1" operator="equal">
      <formula>"Fail"</formula>
    </cfRule>
  </conditionalFormatting>
  <conditionalFormatting sqref="H761:P761">
    <cfRule type="cellIs" dxfId="10712" priority="10641" stopIfTrue="1" operator="equal">
      <formula>"Pass"</formula>
    </cfRule>
    <cfRule type="cellIs" dxfId="10711" priority="10642" stopIfTrue="1" operator="equal">
      <formula>"Fail"</formula>
    </cfRule>
  </conditionalFormatting>
  <conditionalFormatting sqref="I761:P761">
    <cfRule type="cellIs" dxfId="10710" priority="10639" stopIfTrue="1" operator="equal">
      <formula>"Pass"</formula>
    </cfRule>
    <cfRule type="cellIs" dxfId="10709" priority="10640" stopIfTrue="1" operator="equal">
      <formula>"Fail"</formula>
    </cfRule>
  </conditionalFormatting>
  <conditionalFormatting sqref="I761:P761">
    <cfRule type="cellIs" dxfId="10708" priority="10637" stopIfTrue="1" operator="equal">
      <formula>"Pass"</formula>
    </cfRule>
    <cfRule type="cellIs" dxfId="10707" priority="10638" stopIfTrue="1" operator="equal">
      <formula>"Fail"</formula>
    </cfRule>
  </conditionalFormatting>
  <conditionalFormatting sqref="I761:P761">
    <cfRule type="cellIs" dxfId="10706" priority="10635" stopIfTrue="1" operator="equal">
      <formula>"Pass"</formula>
    </cfRule>
    <cfRule type="cellIs" dxfId="10705" priority="10636" stopIfTrue="1" operator="equal">
      <formula>"Fail"</formula>
    </cfRule>
  </conditionalFormatting>
  <conditionalFormatting sqref="I761:P761">
    <cfRule type="cellIs" dxfId="10704" priority="10633" stopIfTrue="1" operator="equal">
      <formula>"Pass"</formula>
    </cfRule>
    <cfRule type="cellIs" dxfId="10703" priority="10634" stopIfTrue="1" operator="equal">
      <formula>"Fail"</formula>
    </cfRule>
  </conditionalFormatting>
  <conditionalFormatting sqref="H761:P761">
    <cfRule type="cellIs" dxfId="10702" priority="10631" stopIfTrue="1" operator="equal">
      <formula>"Pass"</formula>
    </cfRule>
    <cfRule type="cellIs" dxfId="10701" priority="10632" stopIfTrue="1" operator="equal">
      <formula>"Fail"</formula>
    </cfRule>
  </conditionalFormatting>
  <conditionalFormatting sqref="H761:P761">
    <cfRule type="cellIs" dxfId="10700" priority="10629" stopIfTrue="1" operator="equal">
      <formula>"Pass"</formula>
    </cfRule>
    <cfRule type="cellIs" dxfId="10699" priority="10630" stopIfTrue="1" operator="equal">
      <formula>"Fail"</formula>
    </cfRule>
  </conditionalFormatting>
  <conditionalFormatting sqref="I761:P761">
    <cfRule type="cellIs" dxfId="10698" priority="10627" stopIfTrue="1" operator="equal">
      <formula>"Pass"</formula>
    </cfRule>
    <cfRule type="cellIs" dxfId="10697" priority="10628" stopIfTrue="1" operator="equal">
      <formula>"Fail"</formula>
    </cfRule>
  </conditionalFormatting>
  <conditionalFormatting sqref="I761:P761">
    <cfRule type="cellIs" dxfId="10696" priority="10625" stopIfTrue="1" operator="equal">
      <formula>"Pass"</formula>
    </cfRule>
    <cfRule type="cellIs" dxfId="10695" priority="10626" stopIfTrue="1" operator="equal">
      <formula>"Fail"</formula>
    </cfRule>
  </conditionalFormatting>
  <conditionalFormatting sqref="I761:P761">
    <cfRule type="cellIs" dxfId="10694" priority="10623" stopIfTrue="1" operator="equal">
      <formula>"Pass"</formula>
    </cfRule>
    <cfRule type="cellIs" dxfId="10693" priority="10624" stopIfTrue="1" operator="equal">
      <formula>"Fail"</formula>
    </cfRule>
  </conditionalFormatting>
  <conditionalFormatting sqref="I761:P761">
    <cfRule type="cellIs" dxfId="10692" priority="10621" stopIfTrue="1" operator="equal">
      <formula>"Pass"</formula>
    </cfRule>
    <cfRule type="cellIs" dxfId="10691" priority="10622" stopIfTrue="1" operator="equal">
      <formula>"Fail"</formula>
    </cfRule>
  </conditionalFormatting>
  <conditionalFormatting sqref="H761:P761">
    <cfRule type="cellIs" dxfId="10690" priority="10619" stopIfTrue="1" operator="equal">
      <formula>"Pass"</formula>
    </cfRule>
    <cfRule type="cellIs" dxfId="10689" priority="10620" stopIfTrue="1" operator="equal">
      <formula>"Fail"</formula>
    </cfRule>
  </conditionalFormatting>
  <conditionalFormatting sqref="H761:P761">
    <cfRule type="cellIs" dxfId="10688" priority="10617" stopIfTrue="1" operator="equal">
      <formula>"Pass"</formula>
    </cfRule>
    <cfRule type="cellIs" dxfId="10687" priority="10618" stopIfTrue="1" operator="equal">
      <formula>"Fail"</formula>
    </cfRule>
  </conditionalFormatting>
  <conditionalFormatting sqref="I761:P761">
    <cfRule type="cellIs" dxfId="10686" priority="10615" stopIfTrue="1" operator="equal">
      <formula>"Pass"</formula>
    </cfRule>
    <cfRule type="cellIs" dxfId="10685" priority="10616" stopIfTrue="1" operator="equal">
      <formula>"Fail"</formula>
    </cfRule>
  </conditionalFormatting>
  <conditionalFormatting sqref="I761:P761">
    <cfRule type="cellIs" dxfId="10684" priority="10613" stopIfTrue="1" operator="equal">
      <formula>"Pass"</formula>
    </cfRule>
    <cfRule type="cellIs" dxfId="10683" priority="10614" stopIfTrue="1" operator="equal">
      <formula>"Fail"</formula>
    </cfRule>
  </conditionalFormatting>
  <conditionalFormatting sqref="I761:P761">
    <cfRule type="cellIs" dxfId="10682" priority="10611" stopIfTrue="1" operator="equal">
      <formula>"Pass"</formula>
    </cfRule>
    <cfRule type="cellIs" dxfId="10681" priority="10612" stopIfTrue="1" operator="equal">
      <formula>"Fail"</formula>
    </cfRule>
  </conditionalFormatting>
  <conditionalFormatting sqref="I761:P761">
    <cfRule type="cellIs" dxfId="10680" priority="10609" stopIfTrue="1" operator="equal">
      <formula>"Pass"</formula>
    </cfRule>
    <cfRule type="cellIs" dxfId="10679" priority="10610" stopIfTrue="1" operator="equal">
      <formula>"Fail"</formula>
    </cfRule>
  </conditionalFormatting>
  <conditionalFormatting sqref="H761:P761">
    <cfRule type="cellIs" dxfId="10678" priority="10607" stopIfTrue="1" operator="equal">
      <formula>"Pass"</formula>
    </cfRule>
    <cfRule type="cellIs" dxfId="10677" priority="10608" stopIfTrue="1" operator="equal">
      <formula>"Fail"</formula>
    </cfRule>
  </conditionalFormatting>
  <conditionalFormatting sqref="H761:P761">
    <cfRule type="cellIs" dxfId="10676" priority="10605" stopIfTrue="1" operator="equal">
      <formula>"Pass"</formula>
    </cfRule>
    <cfRule type="cellIs" dxfId="10675" priority="10606" stopIfTrue="1" operator="equal">
      <formula>"Fail"</formula>
    </cfRule>
  </conditionalFormatting>
  <conditionalFormatting sqref="I761:P761">
    <cfRule type="cellIs" dxfId="10674" priority="10603" stopIfTrue="1" operator="equal">
      <formula>"Pass"</formula>
    </cfRule>
    <cfRule type="cellIs" dxfId="10673" priority="10604" stopIfTrue="1" operator="equal">
      <formula>"Fail"</formula>
    </cfRule>
  </conditionalFormatting>
  <conditionalFormatting sqref="I761:P761">
    <cfRule type="cellIs" dxfId="10672" priority="10601" stopIfTrue="1" operator="equal">
      <formula>"Pass"</formula>
    </cfRule>
    <cfRule type="cellIs" dxfId="10671" priority="10602" stopIfTrue="1" operator="equal">
      <formula>"Fail"</formula>
    </cfRule>
  </conditionalFormatting>
  <conditionalFormatting sqref="I761:P761">
    <cfRule type="cellIs" dxfId="10670" priority="10599" stopIfTrue="1" operator="equal">
      <formula>"Pass"</formula>
    </cfRule>
    <cfRule type="cellIs" dxfId="10669" priority="10600" stopIfTrue="1" operator="equal">
      <formula>"Fail"</formula>
    </cfRule>
  </conditionalFormatting>
  <conditionalFormatting sqref="I761:P761">
    <cfRule type="cellIs" dxfId="10668" priority="10597" stopIfTrue="1" operator="equal">
      <formula>"Pass"</formula>
    </cfRule>
    <cfRule type="cellIs" dxfId="10667" priority="10598" stopIfTrue="1" operator="equal">
      <formula>"Fail"</formula>
    </cfRule>
  </conditionalFormatting>
  <conditionalFormatting sqref="H761:P761">
    <cfRule type="cellIs" dxfId="10666" priority="10595" stopIfTrue="1" operator="equal">
      <formula>"Pass"</formula>
    </cfRule>
    <cfRule type="cellIs" dxfId="10665" priority="10596" stopIfTrue="1" operator="equal">
      <formula>"Fail"</formula>
    </cfRule>
  </conditionalFormatting>
  <conditionalFormatting sqref="H761:P761">
    <cfRule type="cellIs" dxfId="10664" priority="10593" stopIfTrue="1" operator="equal">
      <formula>"Pass"</formula>
    </cfRule>
    <cfRule type="cellIs" dxfId="10663" priority="10594" stopIfTrue="1" operator="equal">
      <formula>"Fail"</formula>
    </cfRule>
  </conditionalFormatting>
  <conditionalFormatting sqref="I761:P761">
    <cfRule type="cellIs" dxfId="10662" priority="10591" stopIfTrue="1" operator="equal">
      <formula>"Pass"</formula>
    </cfRule>
    <cfRule type="cellIs" dxfId="10661" priority="10592" stopIfTrue="1" operator="equal">
      <formula>"Fail"</formula>
    </cfRule>
  </conditionalFormatting>
  <conditionalFormatting sqref="I761:P761">
    <cfRule type="cellIs" dxfId="10660" priority="10589" stopIfTrue="1" operator="equal">
      <formula>"Pass"</formula>
    </cfRule>
    <cfRule type="cellIs" dxfId="10659" priority="10590" stopIfTrue="1" operator="equal">
      <formula>"Fail"</formula>
    </cfRule>
  </conditionalFormatting>
  <conditionalFormatting sqref="I761:P761">
    <cfRule type="cellIs" dxfId="10658" priority="10587" stopIfTrue="1" operator="equal">
      <formula>"Pass"</formula>
    </cfRule>
    <cfRule type="cellIs" dxfId="10657" priority="10588" stopIfTrue="1" operator="equal">
      <formula>"Fail"</formula>
    </cfRule>
  </conditionalFormatting>
  <conditionalFormatting sqref="I761:P761">
    <cfRule type="cellIs" dxfId="10656" priority="10585" stopIfTrue="1" operator="equal">
      <formula>"Pass"</formula>
    </cfRule>
    <cfRule type="cellIs" dxfId="10655" priority="10586" stopIfTrue="1" operator="equal">
      <formula>"Fail"</formula>
    </cfRule>
  </conditionalFormatting>
  <conditionalFormatting sqref="H761:P761">
    <cfRule type="cellIs" dxfId="10654" priority="10583" stopIfTrue="1" operator="equal">
      <formula>"Pass"</formula>
    </cfRule>
    <cfRule type="cellIs" dxfId="10653" priority="10584" stopIfTrue="1" operator="equal">
      <formula>"Fail"</formula>
    </cfRule>
  </conditionalFormatting>
  <conditionalFormatting sqref="H761:P761">
    <cfRule type="cellIs" dxfId="10652" priority="10581" stopIfTrue="1" operator="equal">
      <formula>"Pass"</formula>
    </cfRule>
    <cfRule type="cellIs" dxfId="10651" priority="10582" stopIfTrue="1" operator="equal">
      <formula>"Fail"</formula>
    </cfRule>
  </conditionalFormatting>
  <conditionalFormatting sqref="I761:P761">
    <cfRule type="cellIs" dxfId="10650" priority="10579" stopIfTrue="1" operator="equal">
      <formula>"Pass"</formula>
    </cfRule>
    <cfRule type="cellIs" dxfId="10649" priority="10580" stopIfTrue="1" operator="equal">
      <formula>"Fail"</formula>
    </cfRule>
  </conditionalFormatting>
  <conditionalFormatting sqref="I761:P761">
    <cfRule type="cellIs" dxfId="10648" priority="10577" stopIfTrue="1" operator="equal">
      <formula>"Pass"</formula>
    </cfRule>
    <cfRule type="cellIs" dxfId="10647" priority="10578" stopIfTrue="1" operator="equal">
      <formula>"Fail"</formula>
    </cfRule>
  </conditionalFormatting>
  <conditionalFormatting sqref="I761:P761">
    <cfRule type="cellIs" dxfId="10646" priority="10575" stopIfTrue="1" operator="equal">
      <formula>"Pass"</formula>
    </cfRule>
    <cfRule type="cellIs" dxfId="10645" priority="10576" stopIfTrue="1" operator="equal">
      <formula>"Fail"</formula>
    </cfRule>
  </conditionalFormatting>
  <conditionalFormatting sqref="I761:P761">
    <cfRule type="cellIs" dxfId="10644" priority="10573" stopIfTrue="1" operator="equal">
      <formula>"Pass"</formula>
    </cfRule>
    <cfRule type="cellIs" dxfId="10643" priority="10574" stopIfTrue="1" operator="equal">
      <formula>"Fail"</formula>
    </cfRule>
  </conditionalFormatting>
  <conditionalFormatting sqref="H761:P761">
    <cfRule type="cellIs" dxfId="10642" priority="10571" stopIfTrue="1" operator="equal">
      <formula>"Pass"</formula>
    </cfRule>
    <cfRule type="cellIs" dxfId="10641" priority="10572" stopIfTrue="1" operator="equal">
      <formula>"Fail"</formula>
    </cfRule>
  </conditionalFormatting>
  <conditionalFormatting sqref="H761:P761">
    <cfRule type="cellIs" dxfId="10640" priority="10569" stopIfTrue="1" operator="equal">
      <formula>"Pass"</formula>
    </cfRule>
    <cfRule type="cellIs" dxfId="10639" priority="10570" stopIfTrue="1" operator="equal">
      <formula>"Fail"</formula>
    </cfRule>
  </conditionalFormatting>
  <conditionalFormatting sqref="I761:P761">
    <cfRule type="cellIs" dxfId="10638" priority="10567" stopIfTrue="1" operator="equal">
      <formula>"Pass"</formula>
    </cfRule>
    <cfRule type="cellIs" dxfId="10637" priority="10568" stopIfTrue="1" operator="equal">
      <formula>"Fail"</formula>
    </cfRule>
  </conditionalFormatting>
  <conditionalFormatting sqref="I761:P761">
    <cfRule type="cellIs" dxfId="10636" priority="10565" stopIfTrue="1" operator="equal">
      <formula>"Pass"</formula>
    </cfRule>
    <cfRule type="cellIs" dxfId="10635" priority="10566" stopIfTrue="1" operator="equal">
      <formula>"Fail"</formula>
    </cfRule>
  </conditionalFormatting>
  <conditionalFormatting sqref="I761:P761">
    <cfRule type="cellIs" dxfId="10634" priority="10563" stopIfTrue="1" operator="equal">
      <formula>"Pass"</formula>
    </cfRule>
    <cfRule type="cellIs" dxfId="10633" priority="10564" stopIfTrue="1" operator="equal">
      <formula>"Fail"</formula>
    </cfRule>
  </conditionalFormatting>
  <conditionalFormatting sqref="I761:P761">
    <cfRule type="cellIs" dxfId="10632" priority="10561" stopIfTrue="1" operator="equal">
      <formula>"Pass"</formula>
    </cfRule>
    <cfRule type="cellIs" dxfId="10631" priority="10562" stopIfTrue="1" operator="equal">
      <formula>"Fail"</formula>
    </cfRule>
  </conditionalFormatting>
  <conditionalFormatting sqref="H761:P761">
    <cfRule type="cellIs" dxfId="10630" priority="10559" stopIfTrue="1" operator="equal">
      <formula>"Pass"</formula>
    </cfRule>
    <cfRule type="cellIs" dxfId="10629" priority="10560" stopIfTrue="1" operator="equal">
      <formula>"Fail"</formula>
    </cfRule>
  </conditionalFormatting>
  <conditionalFormatting sqref="H761:P761">
    <cfRule type="cellIs" dxfId="10628" priority="10557" stopIfTrue="1" operator="equal">
      <formula>"Pass"</formula>
    </cfRule>
    <cfRule type="cellIs" dxfId="10627" priority="10558" stopIfTrue="1" operator="equal">
      <formula>"Fail"</formula>
    </cfRule>
  </conditionalFormatting>
  <conditionalFormatting sqref="I761:P761">
    <cfRule type="cellIs" dxfId="10626" priority="10555" stopIfTrue="1" operator="equal">
      <formula>"Pass"</formula>
    </cfRule>
    <cfRule type="cellIs" dxfId="10625" priority="10556" stopIfTrue="1" operator="equal">
      <formula>"Fail"</formula>
    </cfRule>
  </conditionalFormatting>
  <conditionalFormatting sqref="I761:P761">
    <cfRule type="cellIs" dxfId="10624" priority="10553" stopIfTrue="1" operator="equal">
      <formula>"Pass"</formula>
    </cfRule>
    <cfRule type="cellIs" dxfId="10623" priority="10554" stopIfTrue="1" operator="equal">
      <formula>"Fail"</formula>
    </cfRule>
  </conditionalFormatting>
  <conditionalFormatting sqref="I761:P761">
    <cfRule type="cellIs" dxfId="10622" priority="10551" stopIfTrue="1" operator="equal">
      <formula>"Pass"</formula>
    </cfRule>
    <cfRule type="cellIs" dxfId="10621" priority="10552" stopIfTrue="1" operator="equal">
      <formula>"Fail"</formula>
    </cfRule>
  </conditionalFormatting>
  <conditionalFormatting sqref="I761:P761">
    <cfRule type="cellIs" dxfId="10620" priority="10549" stopIfTrue="1" operator="equal">
      <formula>"Pass"</formula>
    </cfRule>
    <cfRule type="cellIs" dxfId="10619" priority="10550" stopIfTrue="1" operator="equal">
      <formula>"Fail"</formula>
    </cfRule>
  </conditionalFormatting>
  <conditionalFormatting sqref="H761:P761">
    <cfRule type="cellIs" dxfId="10618" priority="10547" stopIfTrue="1" operator="equal">
      <formula>"Pass"</formula>
    </cfRule>
    <cfRule type="cellIs" dxfId="10617" priority="10548" stopIfTrue="1" operator="equal">
      <formula>"Fail"</formula>
    </cfRule>
  </conditionalFormatting>
  <conditionalFormatting sqref="H761:P761">
    <cfRule type="cellIs" dxfId="10616" priority="10545" stopIfTrue="1" operator="equal">
      <formula>"Pass"</formula>
    </cfRule>
    <cfRule type="cellIs" dxfId="10615" priority="10546" stopIfTrue="1" operator="equal">
      <formula>"Fail"</formula>
    </cfRule>
  </conditionalFormatting>
  <conditionalFormatting sqref="I761:P761">
    <cfRule type="cellIs" dxfId="10614" priority="10543" stopIfTrue="1" operator="equal">
      <formula>"Pass"</formula>
    </cfRule>
    <cfRule type="cellIs" dxfId="10613" priority="10544" stopIfTrue="1" operator="equal">
      <formula>"Fail"</formula>
    </cfRule>
  </conditionalFormatting>
  <conditionalFormatting sqref="I761:P761">
    <cfRule type="cellIs" dxfId="10612" priority="10541" stopIfTrue="1" operator="equal">
      <formula>"Pass"</formula>
    </cfRule>
    <cfRule type="cellIs" dxfId="10611" priority="10542" stopIfTrue="1" operator="equal">
      <formula>"Fail"</formula>
    </cfRule>
  </conditionalFormatting>
  <conditionalFormatting sqref="I761:P761">
    <cfRule type="cellIs" dxfId="10610" priority="10539" stopIfTrue="1" operator="equal">
      <formula>"Pass"</formula>
    </cfRule>
    <cfRule type="cellIs" dxfId="10609" priority="10540" stopIfTrue="1" operator="equal">
      <formula>"Fail"</formula>
    </cfRule>
  </conditionalFormatting>
  <conditionalFormatting sqref="I761:P761">
    <cfRule type="cellIs" dxfId="10608" priority="10537" stopIfTrue="1" operator="equal">
      <formula>"Pass"</formula>
    </cfRule>
    <cfRule type="cellIs" dxfId="10607" priority="10538" stopIfTrue="1" operator="equal">
      <formula>"Fail"</formula>
    </cfRule>
  </conditionalFormatting>
  <conditionalFormatting sqref="H761:P761">
    <cfRule type="cellIs" dxfId="10606" priority="10535" stopIfTrue="1" operator="equal">
      <formula>"Pass"</formula>
    </cfRule>
    <cfRule type="cellIs" dxfId="10605" priority="10536" stopIfTrue="1" operator="equal">
      <formula>"Fail"</formula>
    </cfRule>
  </conditionalFormatting>
  <conditionalFormatting sqref="H761:P761">
    <cfRule type="cellIs" dxfId="10604" priority="10533" stopIfTrue="1" operator="equal">
      <formula>"Pass"</formula>
    </cfRule>
    <cfRule type="cellIs" dxfId="10603" priority="10534" stopIfTrue="1" operator="equal">
      <formula>"Fail"</formula>
    </cfRule>
  </conditionalFormatting>
  <conditionalFormatting sqref="I761:P761">
    <cfRule type="cellIs" dxfId="10602" priority="10531" stopIfTrue="1" operator="equal">
      <formula>"Pass"</formula>
    </cfRule>
    <cfRule type="cellIs" dxfId="10601" priority="10532" stopIfTrue="1" operator="equal">
      <formula>"Fail"</formula>
    </cfRule>
  </conditionalFormatting>
  <conditionalFormatting sqref="I761:P761">
    <cfRule type="cellIs" dxfId="10600" priority="10529" stopIfTrue="1" operator="equal">
      <formula>"Pass"</formula>
    </cfRule>
    <cfRule type="cellIs" dxfId="10599" priority="10530" stopIfTrue="1" operator="equal">
      <formula>"Fail"</formula>
    </cfRule>
  </conditionalFormatting>
  <conditionalFormatting sqref="I761:P761">
    <cfRule type="cellIs" dxfId="10598" priority="10527" stopIfTrue="1" operator="equal">
      <formula>"Pass"</formula>
    </cfRule>
    <cfRule type="cellIs" dxfId="10597" priority="10528" stopIfTrue="1" operator="equal">
      <formula>"Fail"</formula>
    </cfRule>
  </conditionalFormatting>
  <conditionalFormatting sqref="I761:P761">
    <cfRule type="cellIs" dxfId="10596" priority="10525" stopIfTrue="1" operator="equal">
      <formula>"Pass"</formula>
    </cfRule>
    <cfRule type="cellIs" dxfId="10595" priority="10526" stopIfTrue="1" operator="equal">
      <formula>"Fail"</formula>
    </cfRule>
  </conditionalFormatting>
  <conditionalFormatting sqref="E761">
    <cfRule type="cellIs" dxfId="10594" priority="10523" stopIfTrue="1" operator="equal">
      <formula>"Pass"</formula>
    </cfRule>
    <cfRule type="cellIs" dxfId="10593" priority="10524" stopIfTrue="1" operator="equal">
      <formula>"Fail"</formula>
    </cfRule>
  </conditionalFormatting>
  <conditionalFormatting sqref="E761">
    <cfRule type="cellIs" dxfId="10592" priority="10521" stopIfTrue="1" operator="equal">
      <formula>"Pass"</formula>
    </cfRule>
    <cfRule type="cellIs" dxfId="10591" priority="10522" stopIfTrue="1" operator="equal">
      <formula>"Fail"</formula>
    </cfRule>
  </conditionalFormatting>
  <conditionalFormatting sqref="E761">
    <cfRule type="cellIs" dxfId="10590" priority="10519" stopIfTrue="1" operator="equal">
      <formula>"Pass"</formula>
    </cfRule>
    <cfRule type="cellIs" dxfId="10589" priority="10520" stopIfTrue="1" operator="equal">
      <formula>"Fail"</formula>
    </cfRule>
  </conditionalFormatting>
  <conditionalFormatting sqref="E761">
    <cfRule type="cellIs" dxfId="10588" priority="10517" stopIfTrue="1" operator="equal">
      <formula>"Pass"</formula>
    </cfRule>
    <cfRule type="cellIs" dxfId="10587" priority="10518" stopIfTrue="1" operator="equal">
      <formula>"Fail"</formula>
    </cfRule>
  </conditionalFormatting>
  <conditionalFormatting sqref="E761">
    <cfRule type="cellIs" dxfId="10586" priority="10515" stopIfTrue="1" operator="equal">
      <formula>"Pass"</formula>
    </cfRule>
    <cfRule type="cellIs" dxfId="10585" priority="10516" stopIfTrue="1" operator="equal">
      <formula>"Fail"</formula>
    </cfRule>
  </conditionalFormatting>
  <conditionalFormatting sqref="E761">
    <cfRule type="cellIs" dxfId="10584" priority="10513" stopIfTrue="1" operator="equal">
      <formula>"Pass"</formula>
    </cfRule>
    <cfRule type="cellIs" dxfId="10583" priority="10514" stopIfTrue="1" operator="equal">
      <formula>"Fail"</formula>
    </cfRule>
  </conditionalFormatting>
  <conditionalFormatting sqref="H761:P761">
    <cfRule type="cellIs" dxfId="10582" priority="10511" stopIfTrue="1" operator="equal">
      <formula>"Pass"</formula>
    </cfRule>
    <cfRule type="cellIs" dxfId="10581" priority="10512" stopIfTrue="1" operator="equal">
      <formula>"Fail"</formula>
    </cfRule>
  </conditionalFormatting>
  <conditionalFormatting sqref="H761:P761">
    <cfRule type="cellIs" dxfId="10580" priority="10509" stopIfTrue="1" operator="equal">
      <formula>"Pass"</formula>
    </cfRule>
    <cfRule type="cellIs" dxfId="10579" priority="10510" stopIfTrue="1" operator="equal">
      <formula>"Fail"</formula>
    </cfRule>
  </conditionalFormatting>
  <conditionalFormatting sqref="I761:P761">
    <cfRule type="cellIs" dxfId="10578" priority="10507" stopIfTrue="1" operator="equal">
      <formula>"Pass"</formula>
    </cfRule>
    <cfRule type="cellIs" dxfId="10577" priority="10508" stopIfTrue="1" operator="equal">
      <formula>"Fail"</formula>
    </cfRule>
  </conditionalFormatting>
  <conditionalFormatting sqref="I761:P761">
    <cfRule type="cellIs" dxfId="10576" priority="10505" stopIfTrue="1" operator="equal">
      <formula>"Pass"</formula>
    </cfRule>
    <cfRule type="cellIs" dxfId="10575" priority="10506" stopIfTrue="1" operator="equal">
      <formula>"Fail"</formula>
    </cfRule>
  </conditionalFormatting>
  <conditionalFormatting sqref="I761:P761">
    <cfRule type="cellIs" dxfId="10574" priority="10503" stopIfTrue="1" operator="equal">
      <formula>"Pass"</formula>
    </cfRule>
    <cfRule type="cellIs" dxfId="10573" priority="10504" stopIfTrue="1" operator="equal">
      <formula>"Fail"</formula>
    </cfRule>
  </conditionalFormatting>
  <conditionalFormatting sqref="I761:P761">
    <cfRule type="cellIs" dxfId="10572" priority="10501" stopIfTrue="1" operator="equal">
      <formula>"Pass"</formula>
    </cfRule>
    <cfRule type="cellIs" dxfId="10571" priority="10502" stopIfTrue="1" operator="equal">
      <formula>"Fail"</formula>
    </cfRule>
  </conditionalFormatting>
  <conditionalFormatting sqref="H761:P761">
    <cfRule type="cellIs" dxfId="10570" priority="10499" stopIfTrue="1" operator="equal">
      <formula>"Pass"</formula>
    </cfRule>
    <cfRule type="cellIs" dxfId="10569" priority="10500" stopIfTrue="1" operator="equal">
      <formula>"Fail"</formula>
    </cfRule>
  </conditionalFormatting>
  <conditionalFormatting sqref="H761:P761">
    <cfRule type="cellIs" dxfId="10568" priority="10497" stopIfTrue="1" operator="equal">
      <formula>"Pass"</formula>
    </cfRule>
    <cfRule type="cellIs" dxfId="10567" priority="10498" stopIfTrue="1" operator="equal">
      <formula>"Fail"</formula>
    </cfRule>
  </conditionalFormatting>
  <conditionalFormatting sqref="I761:P761">
    <cfRule type="cellIs" dxfId="10566" priority="10495" stopIfTrue="1" operator="equal">
      <formula>"Pass"</formula>
    </cfRule>
    <cfRule type="cellIs" dxfId="10565" priority="10496" stopIfTrue="1" operator="equal">
      <formula>"Fail"</formula>
    </cfRule>
  </conditionalFormatting>
  <conditionalFormatting sqref="I761:P761">
    <cfRule type="cellIs" dxfId="10564" priority="10493" stopIfTrue="1" operator="equal">
      <formula>"Pass"</formula>
    </cfRule>
    <cfRule type="cellIs" dxfId="10563" priority="10494" stopIfTrue="1" operator="equal">
      <formula>"Fail"</formula>
    </cfRule>
  </conditionalFormatting>
  <conditionalFormatting sqref="I761:P761">
    <cfRule type="cellIs" dxfId="10562" priority="10491" stopIfTrue="1" operator="equal">
      <formula>"Pass"</formula>
    </cfRule>
    <cfRule type="cellIs" dxfId="10561" priority="10492" stopIfTrue="1" operator="equal">
      <formula>"Fail"</formula>
    </cfRule>
  </conditionalFormatting>
  <conditionalFormatting sqref="I761:P761">
    <cfRule type="cellIs" dxfId="10560" priority="10489" stopIfTrue="1" operator="equal">
      <formula>"Pass"</formula>
    </cfRule>
    <cfRule type="cellIs" dxfId="10559" priority="10490" stopIfTrue="1" operator="equal">
      <formula>"Fail"</formula>
    </cfRule>
  </conditionalFormatting>
  <conditionalFormatting sqref="H761:P761">
    <cfRule type="cellIs" dxfId="10558" priority="10487" stopIfTrue="1" operator="equal">
      <formula>"Pass"</formula>
    </cfRule>
    <cfRule type="cellIs" dxfId="10557" priority="10488" stopIfTrue="1" operator="equal">
      <formula>"Fail"</formula>
    </cfRule>
  </conditionalFormatting>
  <conditionalFormatting sqref="H761:P761">
    <cfRule type="cellIs" dxfId="10556" priority="10485" stopIfTrue="1" operator="equal">
      <formula>"Pass"</formula>
    </cfRule>
    <cfRule type="cellIs" dxfId="10555" priority="10486" stopIfTrue="1" operator="equal">
      <formula>"Fail"</formula>
    </cfRule>
  </conditionalFormatting>
  <conditionalFormatting sqref="I761:P761">
    <cfRule type="cellIs" dxfId="10554" priority="10483" stopIfTrue="1" operator="equal">
      <formula>"Pass"</formula>
    </cfRule>
    <cfRule type="cellIs" dxfId="10553" priority="10484" stopIfTrue="1" operator="equal">
      <formula>"Fail"</formula>
    </cfRule>
  </conditionalFormatting>
  <conditionalFormatting sqref="I761:P761">
    <cfRule type="cellIs" dxfId="10552" priority="10481" stopIfTrue="1" operator="equal">
      <formula>"Pass"</formula>
    </cfRule>
    <cfRule type="cellIs" dxfId="10551" priority="10482" stopIfTrue="1" operator="equal">
      <formula>"Fail"</formula>
    </cfRule>
  </conditionalFormatting>
  <conditionalFormatting sqref="I761:P761">
    <cfRule type="cellIs" dxfId="10550" priority="10479" stopIfTrue="1" operator="equal">
      <formula>"Pass"</formula>
    </cfRule>
    <cfRule type="cellIs" dxfId="10549" priority="10480" stopIfTrue="1" operator="equal">
      <formula>"Fail"</formula>
    </cfRule>
  </conditionalFormatting>
  <conditionalFormatting sqref="I761:P761">
    <cfRule type="cellIs" dxfId="10548" priority="10477" stopIfTrue="1" operator="equal">
      <formula>"Pass"</formula>
    </cfRule>
    <cfRule type="cellIs" dxfId="10547" priority="10478" stopIfTrue="1" operator="equal">
      <formula>"Fail"</formula>
    </cfRule>
  </conditionalFormatting>
  <conditionalFormatting sqref="H761:P761">
    <cfRule type="cellIs" dxfId="10546" priority="10475" stopIfTrue="1" operator="equal">
      <formula>"Pass"</formula>
    </cfRule>
    <cfRule type="cellIs" dxfId="10545" priority="10476" stopIfTrue="1" operator="equal">
      <formula>"Fail"</formula>
    </cfRule>
  </conditionalFormatting>
  <conditionalFormatting sqref="H761:P761">
    <cfRule type="cellIs" dxfId="10544" priority="10473" stopIfTrue="1" operator="equal">
      <formula>"Pass"</formula>
    </cfRule>
    <cfRule type="cellIs" dxfId="10543" priority="10474" stopIfTrue="1" operator="equal">
      <formula>"Fail"</formula>
    </cfRule>
  </conditionalFormatting>
  <conditionalFormatting sqref="I761:P761">
    <cfRule type="cellIs" dxfId="10542" priority="10471" stopIfTrue="1" operator="equal">
      <formula>"Pass"</formula>
    </cfRule>
    <cfRule type="cellIs" dxfId="10541" priority="10472" stopIfTrue="1" operator="equal">
      <formula>"Fail"</formula>
    </cfRule>
  </conditionalFormatting>
  <conditionalFormatting sqref="I761:P761">
    <cfRule type="cellIs" dxfId="10540" priority="10469" stopIfTrue="1" operator="equal">
      <formula>"Pass"</formula>
    </cfRule>
    <cfRule type="cellIs" dxfId="10539" priority="10470" stopIfTrue="1" operator="equal">
      <formula>"Fail"</formula>
    </cfRule>
  </conditionalFormatting>
  <conditionalFormatting sqref="I761:P761">
    <cfRule type="cellIs" dxfId="10538" priority="10467" stopIfTrue="1" operator="equal">
      <formula>"Pass"</formula>
    </cfRule>
    <cfRule type="cellIs" dxfId="10537" priority="10468" stopIfTrue="1" operator="equal">
      <formula>"Fail"</formula>
    </cfRule>
  </conditionalFormatting>
  <conditionalFormatting sqref="I761:P761">
    <cfRule type="cellIs" dxfId="10536" priority="10465" stopIfTrue="1" operator="equal">
      <formula>"Pass"</formula>
    </cfRule>
    <cfRule type="cellIs" dxfId="10535" priority="10466" stopIfTrue="1" operator="equal">
      <formula>"Fail"</formula>
    </cfRule>
  </conditionalFormatting>
  <conditionalFormatting sqref="H761:P761">
    <cfRule type="cellIs" dxfId="10534" priority="10463" stopIfTrue="1" operator="equal">
      <formula>"Pass"</formula>
    </cfRule>
    <cfRule type="cellIs" dxfId="10533" priority="10464" stopIfTrue="1" operator="equal">
      <formula>"Fail"</formula>
    </cfRule>
  </conditionalFormatting>
  <conditionalFormatting sqref="H761:P761">
    <cfRule type="cellIs" dxfId="10532" priority="10461" stopIfTrue="1" operator="equal">
      <formula>"Pass"</formula>
    </cfRule>
    <cfRule type="cellIs" dxfId="10531" priority="10462" stopIfTrue="1" operator="equal">
      <formula>"Fail"</formula>
    </cfRule>
  </conditionalFormatting>
  <conditionalFormatting sqref="I761:P761">
    <cfRule type="cellIs" dxfId="10530" priority="10459" stopIfTrue="1" operator="equal">
      <formula>"Pass"</formula>
    </cfRule>
    <cfRule type="cellIs" dxfId="10529" priority="10460" stopIfTrue="1" operator="equal">
      <formula>"Fail"</formula>
    </cfRule>
  </conditionalFormatting>
  <conditionalFormatting sqref="I761:P761">
    <cfRule type="cellIs" dxfId="10528" priority="10457" stopIfTrue="1" operator="equal">
      <formula>"Pass"</formula>
    </cfRule>
    <cfRule type="cellIs" dxfId="10527" priority="10458" stopIfTrue="1" operator="equal">
      <formula>"Fail"</formula>
    </cfRule>
  </conditionalFormatting>
  <conditionalFormatting sqref="I761:P761">
    <cfRule type="cellIs" dxfId="10526" priority="10455" stopIfTrue="1" operator="equal">
      <formula>"Pass"</formula>
    </cfRule>
    <cfRule type="cellIs" dxfId="10525" priority="10456" stopIfTrue="1" operator="equal">
      <formula>"Fail"</formula>
    </cfRule>
  </conditionalFormatting>
  <conditionalFormatting sqref="I761:P761">
    <cfRule type="cellIs" dxfId="10524" priority="10453" stopIfTrue="1" operator="equal">
      <formula>"Pass"</formula>
    </cfRule>
    <cfRule type="cellIs" dxfId="10523" priority="10454" stopIfTrue="1" operator="equal">
      <formula>"Fail"</formula>
    </cfRule>
  </conditionalFormatting>
  <conditionalFormatting sqref="H761:P761">
    <cfRule type="cellIs" dxfId="10522" priority="10451" stopIfTrue="1" operator="equal">
      <formula>"Pass"</formula>
    </cfRule>
    <cfRule type="cellIs" dxfId="10521" priority="10452" stopIfTrue="1" operator="equal">
      <formula>"Fail"</formula>
    </cfRule>
  </conditionalFormatting>
  <conditionalFormatting sqref="H761:P761">
    <cfRule type="cellIs" dxfId="10520" priority="10449" stopIfTrue="1" operator="equal">
      <formula>"Pass"</formula>
    </cfRule>
    <cfRule type="cellIs" dxfId="10519" priority="10450" stopIfTrue="1" operator="equal">
      <formula>"Fail"</formula>
    </cfRule>
  </conditionalFormatting>
  <conditionalFormatting sqref="I761:P761">
    <cfRule type="cellIs" dxfId="10518" priority="10447" stopIfTrue="1" operator="equal">
      <formula>"Pass"</formula>
    </cfRule>
    <cfRule type="cellIs" dxfId="10517" priority="10448" stopIfTrue="1" operator="equal">
      <formula>"Fail"</formula>
    </cfRule>
  </conditionalFormatting>
  <conditionalFormatting sqref="I761:P761">
    <cfRule type="cellIs" dxfId="10516" priority="10445" stopIfTrue="1" operator="equal">
      <formula>"Pass"</formula>
    </cfRule>
    <cfRule type="cellIs" dxfId="10515" priority="10446" stopIfTrue="1" operator="equal">
      <formula>"Fail"</formula>
    </cfRule>
  </conditionalFormatting>
  <conditionalFormatting sqref="I761:P761">
    <cfRule type="cellIs" dxfId="10514" priority="10443" stopIfTrue="1" operator="equal">
      <formula>"Pass"</formula>
    </cfRule>
    <cfRule type="cellIs" dxfId="10513" priority="10444" stopIfTrue="1" operator="equal">
      <formula>"Fail"</formula>
    </cfRule>
  </conditionalFormatting>
  <conditionalFormatting sqref="I761:P761">
    <cfRule type="cellIs" dxfId="10512" priority="10441" stopIfTrue="1" operator="equal">
      <formula>"Pass"</formula>
    </cfRule>
    <cfRule type="cellIs" dxfId="10511" priority="10442" stopIfTrue="1" operator="equal">
      <formula>"Fail"</formula>
    </cfRule>
  </conditionalFormatting>
  <conditionalFormatting sqref="H761:P761">
    <cfRule type="cellIs" dxfId="10510" priority="10439" stopIfTrue="1" operator="equal">
      <formula>"Pass"</formula>
    </cfRule>
    <cfRule type="cellIs" dxfId="10509" priority="10440" stopIfTrue="1" operator="equal">
      <formula>"Fail"</formula>
    </cfRule>
  </conditionalFormatting>
  <conditionalFormatting sqref="H761:P761">
    <cfRule type="cellIs" dxfId="10508" priority="10437" stopIfTrue="1" operator="equal">
      <formula>"Pass"</formula>
    </cfRule>
    <cfRule type="cellIs" dxfId="10507" priority="10438" stopIfTrue="1" operator="equal">
      <formula>"Fail"</formula>
    </cfRule>
  </conditionalFormatting>
  <conditionalFormatting sqref="I761:P761">
    <cfRule type="cellIs" dxfId="10506" priority="10435" stopIfTrue="1" operator="equal">
      <formula>"Pass"</formula>
    </cfRule>
    <cfRule type="cellIs" dxfId="10505" priority="10436" stopIfTrue="1" operator="equal">
      <formula>"Fail"</formula>
    </cfRule>
  </conditionalFormatting>
  <conditionalFormatting sqref="I761:P761">
    <cfRule type="cellIs" dxfId="10504" priority="10433" stopIfTrue="1" operator="equal">
      <formula>"Pass"</formula>
    </cfRule>
    <cfRule type="cellIs" dxfId="10503" priority="10434" stopIfTrue="1" operator="equal">
      <formula>"Fail"</formula>
    </cfRule>
  </conditionalFormatting>
  <conditionalFormatting sqref="I761:P761">
    <cfRule type="cellIs" dxfId="10502" priority="10431" stopIfTrue="1" operator="equal">
      <formula>"Pass"</formula>
    </cfRule>
    <cfRule type="cellIs" dxfId="10501" priority="10432" stopIfTrue="1" operator="equal">
      <formula>"Fail"</formula>
    </cfRule>
  </conditionalFormatting>
  <conditionalFormatting sqref="I761:P761">
    <cfRule type="cellIs" dxfId="10500" priority="10429" stopIfTrue="1" operator="equal">
      <formula>"Pass"</formula>
    </cfRule>
    <cfRule type="cellIs" dxfId="10499" priority="10430" stopIfTrue="1" operator="equal">
      <formula>"Fail"</formula>
    </cfRule>
  </conditionalFormatting>
  <conditionalFormatting sqref="H761:P761">
    <cfRule type="cellIs" dxfId="10498" priority="10427" stopIfTrue="1" operator="equal">
      <formula>"Pass"</formula>
    </cfRule>
    <cfRule type="cellIs" dxfId="10497" priority="10428" stopIfTrue="1" operator="equal">
      <formula>"Fail"</formula>
    </cfRule>
  </conditionalFormatting>
  <conditionalFormatting sqref="H761:P761">
    <cfRule type="cellIs" dxfId="10496" priority="10425" stopIfTrue="1" operator="equal">
      <formula>"Pass"</formula>
    </cfRule>
    <cfRule type="cellIs" dxfId="10495" priority="10426" stopIfTrue="1" operator="equal">
      <formula>"Fail"</formula>
    </cfRule>
  </conditionalFormatting>
  <conditionalFormatting sqref="I761:P761">
    <cfRule type="cellIs" dxfId="10494" priority="10423" stopIfTrue="1" operator="equal">
      <formula>"Pass"</formula>
    </cfRule>
    <cfRule type="cellIs" dxfId="10493" priority="10424" stopIfTrue="1" operator="equal">
      <formula>"Fail"</formula>
    </cfRule>
  </conditionalFormatting>
  <conditionalFormatting sqref="I761:P761">
    <cfRule type="cellIs" dxfId="10492" priority="10421" stopIfTrue="1" operator="equal">
      <formula>"Pass"</formula>
    </cfRule>
    <cfRule type="cellIs" dxfId="10491" priority="10422" stopIfTrue="1" operator="equal">
      <formula>"Fail"</formula>
    </cfRule>
  </conditionalFormatting>
  <conditionalFormatting sqref="I761:P761">
    <cfRule type="cellIs" dxfId="10490" priority="10419" stopIfTrue="1" operator="equal">
      <formula>"Pass"</formula>
    </cfRule>
    <cfRule type="cellIs" dxfId="10489" priority="10420" stopIfTrue="1" operator="equal">
      <formula>"Fail"</formula>
    </cfRule>
  </conditionalFormatting>
  <conditionalFormatting sqref="I761:P761">
    <cfRule type="cellIs" dxfId="10488" priority="10417" stopIfTrue="1" operator="equal">
      <formula>"Pass"</formula>
    </cfRule>
    <cfRule type="cellIs" dxfId="10487" priority="10418" stopIfTrue="1" operator="equal">
      <formula>"Fail"</formula>
    </cfRule>
  </conditionalFormatting>
  <conditionalFormatting sqref="H761:O761">
    <cfRule type="cellIs" dxfId="10486" priority="10415" stopIfTrue="1" operator="equal">
      <formula>"Pass"</formula>
    </cfRule>
    <cfRule type="cellIs" dxfId="10485" priority="10416" stopIfTrue="1" operator="equal">
      <formula>"Fail"</formula>
    </cfRule>
  </conditionalFormatting>
  <conditionalFormatting sqref="H761:O761">
    <cfRule type="cellIs" dxfId="10484" priority="10413" stopIfTrue="1" operator="equal">
      <formula>"Pass"</formula>
    </cfRule>
    <cfRule type="cellIs" dxfId="10483" priority="10414" stopIfTrue="1" operator="equal">
      <formula>"Fail"</formula>
    </cfRule>
  </conditionalFormatting>
  <conditionalFormatting sqref="I761:P761">
    <cfRule type="cellIs" dxfId="10482" priority="10411" stopIfTrue="1" operator="equal">
      <formula>"Pass"</formula>
    </cfRule>
    <cfRule type="cellIs" dxfId="10481" priority="10412" stopIfTrue="1" operator="equal">
      <formula>"Fail"</formula>
    </cfRule>
  </conditionalFormatting>
  <conditionalFormatting sqref="I761:P761">
    <cfRule type="cellIs" dxfId="10480" priority="10409" stopIfTrue="1" operator="equal">
      <formula>"Pass"</formula>
    </cfRule>
    <cfRule type="cellIs" dxfId="10479" priority="10410" stopIfTrue="1" operator="equal">
      <formula>"Fail"</formula>
    </cfRule>
  </conditionalFormatting>
  <conditionalFormatting sqref="I761:P761">
    <cfRule type="cellIs" dxfId="10478" priority="10407" stopIfTrue="1" operator="equal">
      <formula>"Pass"</formula>
    </cfRule>
    <cfRule type="cellIs" dxfId="10477" priority="10408" stopIfTrue="1" operator="equal">
      <formula>"Fail"</formula>
    </cfRule>
  </conditionalFormatting>
  <conditionalFormatting sqref="I761:P761">
    <cfRule type="cellIs" dxfId="10476" priority="10405" stopIfTrue="1" operator="equal">
      <formula>"Pass"</formula>
    </cfRule>
    <cfRule type="cellIs" dxfId="10475" priority="10406" stopIfTrue="1" operator="equal">
      <formula>"Fail"</formula>
    </cfRule>
  </conditionalFormatting>
  <conditionalFormatting sqref="H761:O761">
    <cfRule type="cellIs" dxfId="10474" priority="10403" stopIfTrue="1" operator="equal">
      <formula>"Pass"</formula>
    </cfRule>
    <cfRule type="cellIs" dxfId="10473" priority="10404" stopIfTrue="1" operator="equal">
      <formula>"Fail"</formula>
    </cfRule>
  </conditionalFormatting>
  <conditionalFormatting sqref="H761:O761">
    <cfRule type="cellIs" dxfId="10472" priority="10401" stopIfTrue="1" operator="equal">
      <formula>"Pass"</formula>
    </cfRule>
    <cfRule type="cellIs" dxfId="10471" priority="10402" stopIfTrue="1" operator="equal">
      <formula>"Fail"</formula>
    </cfRule>
  </conditionalFormatting>
  <conditionalFormatting sqref="I761:P761">
    <cfRule type="cellIs" dxfId="10470" priority="10399" stopIfTrue="1" operator="equal">
      <formula>"Pass"</formula>
    </cfRule>
    <cfRule type="cellIs" dxfId="10469" priority="10400" stopIfTrue="1" operator="equal">
      <formula>"Fail"</formula>
    </cfRule>
  </conditionalFormatting>
  <conditionalFormatting sqref="I761:P761">
    <cfRule type="cellIs" dxfId="10468" priority="10397" stopIfTrue="1" operator="equal">
      <formula>"Pass"</formula>
    </cfRule>
    <cfRule type="cellIs" dxfId="10467" priority="10398" stopIfTrue="1" operator="equal">
      <formula>"Fail"</formula>
    </cfRule>
  </conditionalFormatting>
  <conditionalFormatting sqref="I761:P761">
    <cfRule type="cellIs" dxfId="10466" priority="10395" stopIfTrue="1" operator="equal">
      <formula>"Pass"</formula>
    </cfRule>
    <cfRule type="cellIs" dxfId="10465" priority="10396" stopIfTrue="1" operator="equal">
      <formula>"Fail"</formula>
    </cfRule>
  </conditionalFormatting>
  <conditionalFormatting sqref="I761:P761">
    <cfRule type="cellIs" dxfId="10464" priority="10393" stopIfTrue="1" operator="equal">
      <formula>"Pass"</formula>
    </cfRule>
    <cfRule type="cellIs" dxfId="10463" priority="10394" stopIfTrue="1" operator="equal">
      <formula>"Fail"</formula>
    </cfRule>
  </conditionalFormatting>
  <conditionalFormatting sqref="H761:P761">
    <cfRule type="cellIs" dxfId="10462" priority="10391" stopIfTrue="1" operator="equal">
      <formula>"Pass"</formula>
    </cfRule>
    <cfRule type="cellIs" dxfId="10461" priority="10392" stopIfTrue="1" operator="equal">
      <formula>"Fail"</formula>
    </cfRule>
  </conditionalFormatting>
  <conditionalFormatting sqref="H761:P761">
    <cfRule type="cellIs" dxfId="10460" priority="10389" stopIfTrue="1" operator="equal">
      <formula>"Pass"</formula>
    </cfRule>
    <cfRule type="cellIs" dxfId="10459" priority="10390" stopIfTrue="1" operator="equal">
      <formula>"Fail"</formula>
    </cfRule>
  </conditionalFormatting>
  <conditionalFormatting sqref="I761:P761">
    <cfRule type="cellIs" dxfId="10458" priority="10387" stopIfTrue="1" operator="equal">
      <formula>"Pass"</formula>
    </cfRule>
    <cfRule type="cellIs" dxfId="10457" priority="10388" stopIfTrue="1" operator="equal">
      <formula>"Fail"</formula>
    </cfRule>
  </conditionalFormatting>
  <conditionalFormatting sqref="I761:P761">
    <cfRule type="cellIs" dxfId="10456" priority="10385" stopIfTrue="1" operator="equal">
      <formula>"Pass"</formula>
    </cfRule>
    <cfRule type="cellIs" dxfId="10455" priority="10386" stopIfTrue="1" operator="equal">
      <formula>"Fail"</formula>
    </cfRule>
  </conditionalFormatting>
  <conditionalFormatting sqref="I761:P761">
    <cfRule type="cellIs" dxfId="10454" priority="10383" stopIfTrue="1" operator="equal">
      <formula>"Pass"</formula>
    </cfRule>
    <cfRule type="cellIs" dxfId="10453" priority="10384" stopIfTrue="1" operator="equal">
      <formula>"Fail"</formula>
    </cfRule>
  </conditionalFormatting>
  <conditionalFormatting sqref="I761:P761">
    <cfRule type="cellIs" dxfId="10452" priority="10381" stopIfTrue="1" operator="equal">
      <formula>"Pass"</formula>
    </cfRule>
    <cfRule type="cellIs" dxfId="10451" priority="10382" stopIfTrue="1" operator="equal">
      <formula>"Fail"</formula>
    </cfRule>
  </conditionalFormatting>
  <conditionalFormatting sqref="H761:P761">
    <cfRule type="cellIs" dxfId="10450" priority="10379" stopIfTrue="1" operator="equal">
      <formula>"Pass"</formula>
    </cfRule>
    <cfRule type="cellIs" dxfId="10449" priority="10380" stopIfTrue="1" operator="equal">
      <formula>"Fail"</formula>
    </cfRule>
  </conditionalFormatting>
  <conditionalFormatting sqref="H761:P761">
    <cfRule type="cellIs" dxfId="10448" priority="10377" stopIfTrue="1" operator="equal">
      <formula>"Pass"</formula>
    </cfRule>
    <cfRule type="cellIs" dxfId="10447" priority="10378" stopIfTrue="1" operator="equal">
      <formula>"Fail"</formula>
    </cfRule>
  </conditionalFormatting>
  <conditionalFormatting sqref="I761:P761">
    <cfRule type="cellIs" dxfId="10446" priority="10375" stopIfTrue="1" operator="equal">
      <formula>"Pass"</formula>
    </cfRule>
    <cfRule type="cellIs" dxfId="10445" priority="10376" stopIfTrue="1" operator="equal">
      <formula>"Fail"</formula>
    </cfRule>
  </conditionalFormatting>
  <conditionalFormatting sqref="I761:P761">
    <cfRule type="cellIs" dxfId="10444" priority="10373" stopIfTrue="1" operator="equal">
      <formula>"Pass"</formula>
    </cfRule>
    <cfRule type="cellIs" dxfId="10443" priority="10374" stopIfTrue="1" operator="equal">
      <formula>"Fail"</formula>
    </cfRule>
  </conditionalFormatting>
  <conditionalFormatting sqref="I761:P761">
    <cfRule type="cellIs" dxfId="10442" priority="10371" stopIfTrue="1" operator="equal">
      <formula>"Pass"</formula>
    </cfRule>
    <cfRule type="cellIs" dxfId="10441" priority="10372" stopIfTrue="1" operator="equal">
      <formula>"Fail"</formula>
    </cfRule>
  </conditionalFormatting>
  <conditionalFormatting sqref="I761:P761">
    <cfRule type="cellIs" dxfId="10440" priority="10369" stopIfTrue="1" operator="equal">
      <formula>"Pass"</formula>
    </cfRule>
    <cfRule type="cellIs" dxfId="10439" priority="10370" stopIfTrue="1" operator="equal">
      <formula>"Fail"</formula>
    </cfRule>
  </conditionalFormatting>
  <conditionalFormatting sqref="H761:P761">
    <cfRule type="cellIs" dxfId="10438" priority="10367" stopIfTrue="1" operator="equal">
      <formula>"Pass"</formula>
    </cfRule>
    <cfRule type="cellIs" dxfId="10437" priority="10368" stopIfTrue="1" operator="equal">
      <formula>"Fail"</formula>
    </cfRule>
  </conditionalFormatting>
  <conditionalFormatting sqref="H761:P761">
    <cfRule type="cellIs" dxfId="10436" priority="10365" stopIfTrue="1" operator="equal">
      <formula>"Pass"</formula>
    </cfRule>
    <cfRule type="cellIs" dxfId="10435" priority="10366" stopIfTrue="1" operator="equal">
      <formula>"Fail"</formula>
    </cfRule>
  </conditionalFormatting>
  <conditionalFormatting sqref="I761:P761">
    <cfRule type="cellIs" dxfId="10434" priority="10363" stopIfTrue="1" operator="equal">
      <formula>"Pass"</formula>
    </cfRule>
    <cfRule type="cellIs" dxfId="10433" priority="10364" stopIfTrue="1" operator="equal">
      <formula>"Fail"</formula>
    </cfRule>
  </conditionalFormatting>
  <conditionalFormatting sqref="I761:P761">
    <cfRule type="cellIs" dxfId="10432" priority="10361" stopIfTrue="1" operator="equal">
      <formula>"Pass"</formula>
    </cfRule>
    <cfRule type="cellIs" dxfId="10431" priority="10362" stopIfTrue="1" operator="equal">
      <formula>"Fail"</formula>
    </cfRule>
  </conditionalFormatting>
  <conditionalFormatting sqref="I761:P761">
    <cfRule type="cellIs" dxfId="10430" priority="10359" stopIfTrue="1" operator="equal">
      <formula>"Pass"</formula>
    </cfRule>
    <cfRule type="cellIs" dxfId="10429" priority="10360" stopIfTrue="1" operator="equal">
      <formula>"Fail"</formula>
    </cfRule>
  </conditionalFormatting>
  <conditionalFormatting sqref="I761:P761">
    <cfRule type="cellIs" dxfId="10428" priority="10357" stopIfTrue="1" operator="equal">
      <formula>"Pass"</formula>
    </cfRule>
    <cfRule type="cellIs" dxfId="10427" priority="10358" stopIfTrue="1" operator="equal">
      <formula>"Fail"</formula>
    </cfRule>
  </conditionalFormatting>
  <conditionalFormatting sqref="H761:P761">
    <cfRule type="cellIs" dxfId="10426" priority="10355" stopIfTrue="1" operator="equal">
      <formula>"Pass"</formula>
    </cfRule>
    <cfRule type="cellIs" dxfId="10425" priority="10356" stopIfTrue="1" operator="equal">
      <formula>"Fail"</formula>
    </cfRule>
  </conditionalFormatting>
  <conditionalFormatting sqref="H761:P761">
    <cfRule type="cellIs" dxfId="10424" priority="10353" stopIfTrue="1" operator="equal">
      <formula>"Pass"</formula>
    </cfRule>
    <cfRule type="cellIs" dxfId="10423" priority="10354" stopIfTrue="1" operator="equal">
      <formula>"Fail"</formula>
    </cfRule>
  </conditionalFormatting>
  <conditionalFormatting sqref="I761:P761">
    <cfRule type="cellIs" dxfId="10422" priority="10351" stopIfTrue="1" operator="equal">
      <formula>"Pass"</formula>
    </cfRule>
    <cfRule type="cellIs" dxfId="10421" priority="10352" stopIfTrue="1" operator="equal">
      <formula>"Fail"</formula>
    </cfRule>
  </conditionalFormatting>
  <conditionalFormatting sqref="I761:P761">
    <cfRule type="cellIs" dxfId="10420" priority="10349" stopIfTrue="1" operator="equal">
      <formula>"Pass"</formula>
    </cfRule>
    <cfRule type="cellIs" dxfId="10419" priority="10350" stopIfTrue="1" operator="equal">
      <formula>"Fail"</formula>
    </cfRule>
  </conditionalFormatting>
  <conditionalFormatting sqref="I761:P761">
    <cfRule type="cellIs" dxfId="10418" priority="10347" stopIfTrue="1" operator="equal">
      <formula>"Pass"</formula>
    </cfRule>
    <cfRule type="cellIs" dxfId="10417" priority="10348" stopIfTrue="1" operator="equal">
      <formula>"Fail"</formula>
    </cfRule>
  </conditionalFormatting>
  <conditionalFormatting sqref="I761:P761">
    <cfRule type="cellIs" dxfId="10416" priority="10345" stopIfTrue="1" operator="equal">
      <formula>"Pass"</formula>
    </cfRule>
    <cfRule type="cellIs" dxfId="10415" priority="10346" stopIfTrue="1" operator="equal">
      <formula>"Fail"</formula>
    </cfRule>
  </conditionalFormatting>
  <conditionalFormatting sqref="E761 H761:P761">
    <cfRule type="cellIs" dxfId="10414" priority="10343" stopIfTrue="1" operator="equal">
      <formula>"Pass"</formula>
    </cfRule>
    <cfRule type="cellIs" dxfId="10413" priority="10344" stopIfTrue="1" operator="equal">
      <formula>"Fail"</formula>
    </cfRule>
  </conditionalFormatting>
  <conditionalFormatting sqref="H761:O761">
    <cfRule type="cellIs" dxfId="10412" priority="10341" stopIfTrue="1" operator="equal">
      <formula>"Pass"</formula>
    </cfRule>
    <cfRule type="cellIs" dxfId="10411" priority="10342" stopIfTrue="1" operator="equal">
      <formula>"Fail"</formula>
    </cfRule>
  </conditionalFormatting>
  <conditionalFormatting sqref="H761:O761">
    <cfRule type="cellIs" dxfId="10410" priority="10339" stopIfTrue="1" operator="equal">
      <formula>"Pass"</formula>
    </cfRule>
    <cfRule type="cellIs" dxfId="10409" priority="10340" stopIfTrue="1" operator="equal">
      <formula>"Fail"</formula>
    </cfRule>
  </conditionalFormatting>
  <conditionalFormatting sqref="I761:P761">
    <cfRule type="cellIs" dxfId="10408" priority="10337" stopIfTrue="1" operator="equal">
      <formula>"Pass"</formula>
    </cfRule>
    <cfRule type="cellIs" dxfId="10407" priority="10338" stopIfTrue="1" operator="equal">
      <formula>"Fail"</formula>
    </cfRule>
  </conditionalFormatting>
  <conditionalFormatting sqref="I761:P761">
    <cfRule type="cellIs" dxfId="10406" priority="10335" stopIfTrue="1" operator="equal">
      <formula>"Pass"</formula>
    </cfRule>
    <cfRule type="cellIs" dxfId="10405" priority="10336" stopIfTrue="1" operator="equal">
      <formula>"Fail"</formula>
    </cfRule>
  </conditionalFormatting>
  <conditionalFormatting sqref="I761:P761">
    <cfRule type="cellIs" dxfId="10404" priority="10333" stopIfTrue="1" operator="equal">
      <formula>"Pass"</formula>
    </cfRule>
    <cfRule type="cellIs" dxfId="10403" priority="10334" stopIfTrue="1" operator="equal">
      <formula>"Fail"</formula>
    </cfRule>
  </conditionalFormatting>
  <conditionalFormatting sqref="I761:P761">
    <cfRule type="cellIs" dxfId="10402" priority="10331" stopIfTrue="1" operator="equal">
      <formula>"Pass"</formula>
    </cfRule>
    <cfRule type="cellIs" dxfId="10401" priority="10332" stopIfTrue="1" operator="equal">
      <formula>"Fail"</formula>
    </cfRule>
  </conditionalFormatting>
  <conditionalFormatting sqref="H761:O761">
    <cfRule type="cellIs" dxfId="10400" priority="10329" stopIfTrue="1" operator="equal">
      <formula>"Pass"</formula>
    </cfRule>
    <cfRule type="cellIs" dxfId="10399" priority="10330" stopIfTrue="1" operator="equal">
      <formula>"Fail"</formula>
    </cfRule>
  </conditionalFormatting>
  <conditionalFormatting sqref="H761:O761">
    <cfRule type="cellIs" dxfId="10398" priority="10327" stopIfTrue="1" operator="equal">
      <formula>"Pass"</formula>
    </cfRule>
    <cfRule type="cellIs" dxfId="10397" priority="10328" stopIfTrue="1" operator="equal">
      <formula>"Fail"</formula>
    </cfRule>
  </conditionalFormatting>
  <conditionalFormatting sqref="I761:P761">
    <cfRule type="cellIs" dxfId="10396" priority="10325" stopIfTrue="1" operator="equal">
      <formula>"Pass"</formula>
    </cfRule>
    <cfRule type="cellIs" dxfId="10395" priority="10326" stopIfTrue="1" operator="equal">
      <formula>"Fail"</formula>
    </cfRule>
  </conditionalFormatting>
  <conditionalFormatting sqref="I761:P761">
    <cfRule type="cellIs" dxfId="10394" priority="10323" stopIfTrue="1" operator="equal">
      <formula>"Pass"</formula>
    </cfRule>
    <cfRule type="cellIs" dxfId="10393" priority="10324" stopIfTrue="1" operator="equal">
      <formula>"Fail"</formula>
    </cfRule>
  </conditionalFormatting>
  <conditionalFormatting sqref="I761:P761">
    <cfRule type="cellIs" dxfId="10392" priority="10321" stopIfTrue="1" operator="equal">
      <formula>"Pass"</formula>
    </cfRule>
    <cfRule type="cellIs" dxfId="10391" priority="10322" stopIfTrue="1" operator="equal">
      <formula>"Fail"</formula>
    </cfRule>
  </conditionalFormatting>
  <conditionalFormatting sqref="I761:P761">
    <cfRule type="cellIs" dxfId="10390" priority="10319" stopIfTrue="1" operator="equal">
      <formula>"Pass"</formula>
    </cfRule>
    <cfRule type="cellIs" dxfId="10389" priority="10320" stopIfTrue="1" operator="equal">
      <formula>"Fail"</formula>
    </cfRule>
  </conditionalFormatting>
  <conditionalFormatting sqref="H761:O761">
    <cfRule type="cellIs" dxfId="10388" priority="10317" stopIfTrue="1" operator="equal">
      <formula>"Pass"</formula>
    </cfRule>
    <cfRule type="cellIs" dxfId="10387" priority="10318" stopIfTrue="1" operator="equal">
      <formula>"Fail"</formula>
    </cfRule>
  </conditionalFormatting>
  <conditionalFormatting sqref="H761:O761">
    <cfRule type="cellIs" dxfId="10386" priority="10315" stopIfTrue="1" operator="equal">
      <formula>"Pass"</formula>
    </cfRule>
    <cfRule type="cellIs" dxfId="10385" priority="10316" stopIfTrue="1" operator="equal">
      <formula>"Fail"</formula>
    </cfRule>
  </conditionalFormatting>
  <conditionalFormatting sqref="I761:P761">
    <cfRule type="cellIs" dxfId="10384" priority="10313" stopIfTrue="1" operator="equal">
      <formula>"Pass"</formula>
    </cfRule>
    <cfRule type="cellIs" dxfId="10383" priority="10314" stopIfTrue="1" operator="equal">
      <formula>"Fail"</formula>
    </cfRule>
  </conditionalFormatting>
  <conditionalFormatting sqref="I761:P761">
    <cfRule type="cellIs" dxfId="10382" priority="10311" stopIfTrue="1" operator="equal">
      <formula>"Pass"</formula>
    </cfRule>
    <cfRule type="cellIs" dxfId="10381" priority="10312" stopIfTrue="1" operator="equal">
      <formula>"Fail"</formula>
    </cfRule>
  </conditionalFormatting>
  <conditionalFormatting sqref="I761:P761">
    <cfRule type="cellIs" dxfId="10380" priority="10309" stopIfTrue="1" operator="equal">
      <formula>"Pass"</formula>
    </cfRule>
    <cfRule type="cellIs" dxfId="10379" priority="10310" stopIfTrue="1" operator="equal">
      <formula>"Fail"</formula>
    </cfRule>
  </conditionalFormatting>
  <conditionalFormatting sqref="I761:P761">
    <cfRule type="cellIs" dxfId="10378" priority="10307" stopIfTrue="1" operator="equal">
      <formula>"Pass"</formula>
    </cfRule>
    <cfRule type="cellIs" dxfId="10377" priority="10308" stopIfTrue="1" operator="equal">
      <formula>"Fail"</formula>
    </cfRule>
  </conditionalFormatting>
  <conditionalFormatting sqref="H761:O761">
    <cfRule type="cellIs" dxfId="10376" priority="10305" stopIfTrue="1" operator="equal">
      <formula>"Pass"</formula>
    </cfRule>
    <cfRule type="cellIs" dxfId="10375" priority="10306" stopIfTrue="1" operator="equal">
      <formula>"Fail"</formula>
    </cfRule>
  </conditionalFormatting>
  <conditionalFormatting sqref="H761:O761">
    <cfRule type="cellIs" dxfId="10374" priority="10303" stopIfTrue="1" operator="equal">
      <formula>"Pass"</formula>
    </cfRule>
    <cfRule type="cellIs" dxfId="10373" priority="10304" stopIfTrue="1" operator="equal">
      <formula>"Fail"</formula>
    </cfRule>
  </conditionalFormatting>
  <conditionalFormatting sqref="I761:P761">
    <cfRule type="cellIs" dxfId="10372" priority="10301" stopIfTrue="1" operator="equal">
      <formula>"Pass"</formula>
    </cfRule>
    <cfRule type="cellIs" dxfId="10371" priority="10302" stopIfTrue="1" operator="equal">
      <formula>"Fail"</formula>
    </cfRule>
  </conditionalFormatting>
  <conditionalFormatting sqref="I761:P761">
    <cfRule type="cellIs" dxfId="10370" priority="10299" stopIfTrue="1" operator="equal">
      <formula>"Pass"</formula>
    </cfRule>
    <cfRule type="cellIs" dxfId="10369" priority="10300" stopIfTrue="1" operator="equal">
      <formula>"Fail"</formula>
    </cfRule>
  </conditionalFormatting>
  <conditionalFormatting sqref="I761:P761">
    <cfRule type="cellIs" dxfId="10368" priority="10297" stopIfTrue="1" operator="equal">
      <formula>"Pass"</formula>
    </cfRule>
    <cfRule type="cellIs" dxfId="10367" priority="10298" stopIfTrue="1" operator="equal">
      <formula>"Fail"</formula>
    </cfRule>
  </conditionalFormatting>
  <conditionalFormatting sqref="I761:P761">
    <cfRule type="cellIs" dxfId="10366" priority="10295" stopIfTrue="1" operator="equal">
      <formula>"Pass"</formula>
    </cfRule>
    <cfRule type="cellIs" dxfId="10365" priority="10296" stopIfTrue="1" operator="equal">
      <formula>"Fail"</formula>
    </cfRule>
  </conditionalFormatting>
  <conditionalFormatting sqref="H761:O761">
    <cfRule type="cellIs" dxfId="10364" priority="10293" stopIfTrue="1" operator="equal">
      <formula>"Pass"</formula>
    </cfRule>
    <cfRule type="cellIs" dxfId="10363" priority="10294" stopIfTrue="1" operator="equal">
      <formula>"Fail"</formula>
    </cfRule>
  </conditionalFormatting>
  <conditionalFormatting sqref="H761:O761">
    <cfRule type="cellIs" dxfId="10362" priority="10291" stopIfTrue="1" operator="equal">
      <formula>"Pass"</formula>
    </cfRule>
    <cfRule type="cellIs" dxfId="10361" priority="10292" stopIfTrue="1" operator="equal">
      <formula>"Fail"</formula>
    </cfRule>
  </conditionalFormatting>
  <conditionalFormatting sqref="I761:P761">
    <cfRule type="cellIs" dxfId="10360" priority="10289" stopIfTrue="1" operator="equal">
      <formula>"Pass"</formula>
    </cfRule>
    <cfRule type="cellIs" dxfId="10359" priority="10290" stopIfTrue="1" operator="equal">
      <formula>"Fail"</formula>
    </cfRule>
  </conditionalFormatting>
  <conditionalFormatting sqref="I761:P761">
    <cfRule type="cellIs" dxfId="10358" priority="10287" stopIfTrue="1" operator="equal">
      <formula>"Pass"</formula>
    </cfRule>
    <cfRule type="cellIs" dxfId="10357" priority="10288" stopIfTrue="1" operator="equal">
      <formula>"Fail"</formula>
    </cfRule>
  </conditionalFormatting>
  <conditionalFormatting sqref="I761:P761">
    <cfRule type="cellIs" dxfId="10356" priority="10285" stopIfTrue="1" operator="equal">
      <formula>"Pass"</formula>
    </cfRule>
    <cfRule type="cellIs" dxfId="10355" priority="10286" stopIfTrue="1" operator="equal">
      <formula>"Fail"</formula>
    </cfRule>
  </conditionalFormatting>
  <conditionalFormatting sqref="I761:P761">
    <cfRule type="cellIs" dxfId="10354" priority="10283" stopIfTrue="1" operator="equal">
      <formula>"Pass"</formula>
    </cfRule>
    <cfRule type="cellIs" dxfId="10353" priority="10284" stopIfTrue="1" operator="equal">
      <formula>"Fail"</formula>
    </cfRule>
  </conditionalFormatting>
  <conditionalFormatting sqref="H761:O761">
    <cfRule type="cellIs" dxfId="10352" priority="10281" stopIfTrue="1" operator="equal">
      <formula>"Pass"</formula>
    </cfRule>
    <cfRule type="cellIs" dxfId="10351" priority="10282" stopIfTrue="1" operator="equal">
      <formula>"Fail"</formula>
    </cfRule>
  </conditionalFormatting>
  <conditionalFormatting sqref="H761:O761">
    <cfRule type="cellIs" dxfId="10350" priority="10279" stopIfTrue="1" operator="equal">
      <formula>"Pass"</formula>
    </cfRule>
    <cfRule type="cellIs" dxfId="10349" priority="10280" stopIfTrue="1" operator="equal">
      <formula>"Fail"</formula>
    </cfRule>
  </conditionalFormatting>
  <conditionalFormatting sqref="I761:P761">
    <cfRule type="cellIs" dxfId="10348" priority="10277" stopIfTrue="1" operator="equal">
      <formula>"Pass"</formula>
    </cfRule>
    <cfRule type="cellIs" dxfId="10347" priority="10278" stopIfTrue="1" operator="equal">
      <formula>"Fail"</formula>
    </cfRule>
  </conditionalFormatting>
  <conditionalFormatting sqref="I761:P761">
    <cfRule type="cellIs" dxfId="10346" priority="10275" stopIfTrue="1" operator="equal">
      <formula>"Pass"</formula>
    </cfRule>
    <cfRule type="cellIs" dxfId="10345" priority="10276" stopIfTrue="1" operator="equal">
      <formula>"Fail"</formula>
    </cfRule>
  </conditionalFormatting>
  <conditionalFormatting sqref="I761:P761">
    <cfRule type="cellIs" dxfId="10344" priority="10273" stopIfTrue="1" operator="equal">
      <formula>"Pass"</formula>
    </cfRule>
    <cfRule type="cellIs" dxfId="10343" priority="10274" stopIfTrue="1" operator="equal">
      <formula>"Fail"</formula>
    </cfRule>
  </conditionalFormatting>
  <conditionalFormatting sqref="I761:P761">
    <cfRule type="cellIs" dxfId="10342" priority="10271" stopIfTrue="1" operator="equal">
      <formula>"Pass"</formula>
    </cfRule>
    <cfRule type="cellIs" dxfId="10341" priority="10272" stopIfTrue="1" operator="equal">
      <formula>"Fail"</formula>
    </cfRule>
  </conditionalFormatting>
  <conditionalFormatting sqref="H761:O761">
    <cfRule type="cellIs" dxfId="10340" priority="10269" stopIfTrue="1" operator="equal">
      <formula>"Pass"</formula>
    </cfRule>
    <cfRule type="cellIs" dxfId="10339" priority="10270" stopIfTrue="1" operator="equal">
      <formula>"Fail"</formula>
    </cfRule>
  </conditionalFormatting>
  <conditionalFormatting sqref="H761:O761">
    <cfRule type="cellIs" dxfId="10338" priority="10267" stopIfTrue="1" operator="equal">
      <formula>"Pass"</formula>
    </cfRule>
    <cfRule type="cellIs" dxfId="10337" priority="10268" stopIfTrue="1" operator="equal">
      <formula>"Fail"</formula>
    </cfRule>
  </conditionalFormatting>
  <conditionalFormatting sqref="I761:P761">
    <cfRule type="cellIs" dxfId="10336" priority="10265" stopIfTrue="1" operator="equal">
      <formula>"Pass"</formula>
    </cfRule>
    <cfRule type="cellIs" dxfId="10335" priority="10266" stopIfTrue="1" operator="equal">
      <formula>"Fail"</formula>
    </cfRule>
  </conditionalFormatting>
  <conditionalFormatting sqref="I761:P761">
    <cfRule type="cellIs" dxfId="10334" priority="10263" stopIfTrue="1" operator="equal">
      <formula>"Pass"</formula>
    </cfRule>
    <cfRule type="cellIs" dxfId="10333" priority="10264" stopIfTrue="1" operator="equal">
      <formula>"Fail"</formula>
    </cfRule>
  </conditionalFormatting>
  <conditionalFormatting sqref="I761:P761">
    <cfRule type="cellIs" dxfId="10332" priority="10261" stopIfTrue="1" operator="equal">
      <formula>"Pass"</formula>
    </cfRule>
    <cfRule type="cellIs" dxfId="10331" priority="10262" stopIfTrue="1" operator="equal">
      <formula>"Fail"</formula>
    </cfRule>
  </conditionalFormatting>
  <conditionalFormatting sqref="I761:P761">
    <cfRule type="cellIs" dxfId="10330" priority="10259" stopIfTrue="1" operator="equal">
      <formula>"Pass"</formula>
    </cfRule>
    <cfRule type="cellIs" dxfId="10329" priority="10260" stopIfTrue="1" operator="equal">
      <formula>"Fail"</formula>
    </cfRule>
  </conditionalFormatting>
  <conditionalFormatting sqref="H761:O761">
    <cfRule type="cellIs" dxfId="10328" priority="10257" stopIfTrue="1" operator="equal">
      <formula>"Pass"</formula>
    </cfRule>
    <cfRule type="cellIs" dxfId="10327" priority="10258" stopIfTrue="1" operator="equal">
      <formula>"Fail"</formula>
    </cfRule>
  </conditionalFormatting>
  <conditionalFormatting sqref="H761:O761">
    <cfRule type="cellIs" dxfId="10326" priority="10255" stopIfTrue="1" operator="equal">
      <formula>"Pass"</formula>
    </cfRule>
    <cfRule type="cellIs" dxfId="10325" priority="10256" stopIfTrue="1" operator="equal">
      <formula>"Fail"</formula>
    </cfRule>
  </conditionalFormatting>
  <conditionalFormatting sqref="I761:P761">
    <cfRule type="cellIs" dxfId="10324" priority="10253" stopIfTrue="1" operator="equal">
      <formula>"Pass"</formula>
    </cfRule>
    <cfRule type="cellIs" dxfId="10323" priority="10254" stopIfTrue="1" operator="equal">
      <formula>"Fail"</formula>
    </cfRule>
  </conditionalFormatting>
  <conditionalFormatting sqref="I761:P761">
    <cfRule type="cellIs" dxfId="10322" priority="10251" stopIfTrue="1" operator="equal">
      <formula>"Pass"</formula>
    </cfRule>
    <cfRule type="cellIs" dxfId="10321" priority="10252" stopIfTrue="1" operator="equal">
      <formula>"Fail"</formula>
    </cfRule>
  </conditionalFormatting>
  <conditionalFormatting sqref="I761:P761">
    <cfRule type="cellIs" dxfId="10320" priority="10249" stopIfTrue="1" operator="equal">
      <formula>"Pass"</formula>
    </cfRule>
    <cfRule type="cellIs" dxfId="10319" priority="10250" stopIfTrue="1" operator="equal">
      <formula>"Fail"</formula>
    </cfRule>
  </conditionalFormatting>
  <conditionalFormatting sqref="I761:P761">
    <cfRule type="cellIs" dxfId="10318" priority="10247" stopIfTrue="1" operator="equal">
      <formula>"Pass"</formula>
    </cfRule>
    <cfRule type="cellIs" dxfId="10317" priority="10248" stopIfTrue="1" operator="equal">
      <formula>"Fail"</formula>
    </cfRule>
  </conditionalFormatting>
  <conditionalFormatting sqref="H761:O761">
    <cfRule type="cellIs" dxfId="10316" priority="10245" stopIfTrue="1" operator="equal">
      <formula>"Pass"</formula>
    </cfRule>
    <cfRule type="cellIs" dxfId="10315" priority="10246" stopIfTrue="1" operator="equal">
      <formula>"Fail"</formula>
    </cfRule>
  </conditionalFormatting>
  <conditionalFormatting sqref="H761:O761">
    <cfRule type="cellIs" dxfId="10314" priority="10243" stopIfTrue="1" operator="equal">
      <formula>"Pass"</formula>
    </cfRule>
    <cfRule type="cellIs" dxfId="10313" priority="10244" stopIfTrue="1" operator="equal">
      <formula>"Fail"</formula>
    </cfRule>
  </conditionalFormatting>
  <conditionalFormatting sqref="I761:P761">
    <cfRule type="cellIs" dxfId="10312" priority="10241" stopIfTrue="1" operator="equal">
      <formula>"Pass"</formula>
    </cfRule>
    <cfRule type="cellIs" dxfId="10311" priority="10242" stopIfTrue="1" operator="equal">
      <formula>"Fail"</formula>
    </cfRule>
  </conditionalFormatting>
  <conditionalFormatting sqref="I761:P761">
    <cfRule type="cellIs" dxfId="10310" priority="10239" stopIfTrue="1" operator="equal">
      <formula>"Pass"</formula>
    </cfRule>
    <cfRule type="cellIs" dxfId="10309" priority="10240" stopIfTrue="1" operator="equal">
      <formula>"Fail"</formula>
    </cfRule>
  </conditionalFormatting>
  <conditionalFormatting sqref="I761:P761">
    <cfRule type="cellIs" dxfId="10308" priority="10237" stopIfTrue="1" operator="equal">
      <formula>"Pass"</formula>
    </cfRule>
    <cfRule type="cellIs" dxfId="10307" priority="10238" stopIfTrue="1" operator="equal">
      <formula>"Fail"</formula>
    </cfRule>
  </conditionalFormatting>
  <conditionalFormatting sqref="I761:P761">
    <cfRule type="cellIs" dxfId="10306" priority="10235" stopIfTrue="1" operator="equal">
      <formula>"Pass"</formula>
    </cfRule>
    <cfRule type="cellIs" dxfId="10305" priority="10236" stopIfTrue="1" operator="equal">
      <formula>"Fail"</formula>
    </cfRule>
  </conditionalFormatting>
  <conditionalFormatting sqref="H761:O761">
    <cfRule type="cellIs" dxfId="10304" priority="10233" stopIfTrue="1" operator="equal">
      <formula>"Pass"</formula>
    </cfRule>
    <cfRule type="cellIs" dxfId="10303" priority="10234" stopIfTrue="1" operator="equal">
      <formula>"Fail"</formula>
    </cfRule>
  </conditionalFormatting>
  <conditionalFormatting sqref="H761:O761">
    <cfRule type="cellIs" dxfId="10302" priority="10231" stopIfTrue="1" operator="equal">
      <formula>"Pass"</formula>
    </cfRule>
    <cfRule type="cellIs" dxfId="10301" priority="10232" stopIfTrue="1" operator="equal">
      <formula>"Fail"</formula>
    </cfRule>
  </conditionalFormatting>
  <conditionalFormatting sqref="I761:P761">
    <cfRule type="cellIs" dxfId="10300" priority="10229" stopIfTrue="1" operator="equal">
      <formula>"Pass"</formula>
    </cfRule>
    <cfRule type="cellIs" dxfId="10299" priority="10230" stopIfTrue="1" operator="equal">
      <formula>"Fail"</formula>
    </cfRule>
  </conditionalFormatting>
  <conditionalFormatting sqref="I761:P761">
    <cfRule type="cellIs" dxfId="10298" priority="10227" stopIfTrue="1" operator="equal">
      <formula>"Pass"</formula>
    </cfRule>
    <cfRule type="cellIs" dxfId="10297" priority="10228" stopIfTrue="1" operator="equal">
      <formula>"Fail"</formula>
    </cfRule>
  </conditionalFormatting>
  <conditionalFormatting sqref="I761:P761">
    <cfRule type="cellIs" dxfId="10296" priority="10225" stopIfTrue="1" operator="equal">
      <formula>"Pass"</formula>
    </cfRule>
    <cfRule type="cellIs" dxfId="10295" priority="10226" stopIfTrue="1" operator="equal">
      <formula>"Fail"</formula>
    </cfRule>
  </conditionalFormatting>
  <conditionalFormatting sqref="I761:P761">
    <cfRule type="cellIs" dxfId="10294" priority="10223" stopIfTrue="1" operator="equal">
      <formula>"Pass"</formula>
    </cfRule>
    <cfRule type="cellIs" dxfId="10293" priority="10224" stopIfTrue="1" operator="equal">
      <formula>"Fail"</formula>
    </cfRule>
  </conditionalFormatting>
  <conditionalFormatting sqref="H761:O761">
    <cfRule type="cellIs" dxfId="10292" priority="10221" stopIfTrue="1" operator="equal">
      <formula>"Pass"</formula>
    </cfRule>
    <cfRule type="cellIs" dxfId="10291" priority="10222" stopIfTrue="1" operator="equal">
      <formula>"Fail"</formula>
    </cfRule>
  </conditionalFormatting>
  <conditionalFormatting sqref="H761:O761">
    <cfRule type="cellIs" dxfId="10290" priority="10219" stopIfTrue="1" operator="equal">
      <formula>"Pass"</formula>
    </cfRule>
    <cfRule type="cellIs" dxfId="10289" priority="10220" stopIfTrue="1" operator="equal">
      <formula>"Fail"</formula>
    </cfRule>
  </conditionalFormatting>
  <conditionalFormatting sqref="I761:P761">
    <cfRule type="cellIs" dxfId="10288" priority="10217" stopIfTrue="1" operator="equal">
      <formula>"Pass"</formula>
    </cfRule>
    <cfRule type="cellIs" dxfId="10287" priority="10218" stopIfTrue="1" operator="equal">
      <formula>"Fail"</formula>
    </cfRule>
  </conditionalFormatting>
  <conditionalFormatting sqref="I761:P761">
    <cfRule type="cellIs" dxfId="10286" priority="10215" stopIfTrue="1" operator="equal">
      <formula>"Pass"</formula>
    </cfRule>
    <cfRule type="cellIs" dxfId="10285" priority="10216" stopIfTrue="1" operator="equal">
      <formula>"Fail"</formula>
    </cfRule>
  </conditionalFormatting>
  <conditionalFormatting sqref="I761:P761">
    <cfRule type="cellIs" dxfId="10284" priority="10213" stopIfTrue="1" operator="equal">
      <formula>"Pass"</formula>
    </cfRule>
    <cfRule type="cellIs" dxfId="10283" priority="10214" stopIfTrue="1" operator="equal">
      <formula>"Fail"</formula>
    </cfRule>
  </conditionalFormatting>
  <conditionalFormatting sqref="I761:P761">
    <cfRule type="cellIs" dxfId="10282" priority="10211" stopIfTrue="1" operator="equal">
      <formula>"Pass"</formula>
    </cfRule>
    <cfRule type="cellIs" dxfId="10281" priority="10212" stopIfTrue="1" operator="equal">
      <formula>"Fail"</formula>
    </cfRule>
  </conditionalFormatting>
  <conditionalFormatting sqref="H761:O761">
    <cfRule type="cellIs" dxfId="10280" priority="10209" stopIfTrue="1" operator="equal">
      <formula>"Pass"</formula>
    </cfRule>
    <cfRule type="cellIs" dxfId="10279" priority="10210" stopIfTrue="1" operator="equal">
      <formula>"Fail"</formula>
    </cfRule>
  </conditionalFormatting>
  <conditionalFormatting sqref="H761:O761">
    <cfRule type="cellIs" dxfId="10278" priority="10207" stopIfTrue="1" operator="equal">
      <formula>"Pass"</formula>
    </cfRule>
    <cfRule type="cellIs" dxfId="10277" priority="10208" stopIfTrue="1" operator="equal">
      <formula>"Fail"</formula>
    </cfRule>
  </conditionalFormatting>
  <conditionalFormatting sqref="I761:P761">
    <cfRule type="cellIs" dxfId="10276" priority="10205" stopIfTrue="1" operator="equal">
      <formula>"Pass"</formula>
    </cfRule>
    <cfRule type="cellIs" dxfId="10275" priority="10206" stopIfTrue="1" operator="equal">
      <formula>"Fail"</formula>
    </cfRule>
  </conditionalFormatting>
  <conditionalFormatting sqref="I761:P761">
    <cfRule type="cellIs" dxfId="10274" priority="10203" stopIfTrue="1" operator="equal">
      <formula>"Pass"</formula>
    </cfRule>
    <cfRule type="cellIs" dxfId="10273" priority="10204" stopIfTrue="1" operator="equal">
      <formula>"Fail"</formula>
    </cfRule>
  </conditionalFormatting>
  <conditionalFormatting sqref="I761:P761">
    <cfRule type="cellIs" dxfId="10272" priority="10201" stopIfTrue="1" operator="equal">
      <formula>"Pass"</formula>
    </cfRule>
    <cfRule type="cellIs" dxfId="10271" priority="10202" stopIfTrue="1" operator="equal">
      <formula>"Fail"</formula>
    </cfRule>
  </conditionalFormatting>
  <conditionalFormatting sqref="I761:P761">
    <cfRule type="cellIs" dxfId="10270" priority="10199" stopIfTrue="1" operator="equal">
      <formula>"Pass"</formula>
    </cfRule>
    <cfRule type="cellIs" dxfId="10269" priority="10200" stopIfTrue="1" operator="equal">
      <formula>"Fail"</formula>
    </cfRule>
  </conditionalFormatting>
  <conditionalFormatting sqref="H761:O761">
    <cfRule type="cellIs" dxfId="10268" priority="10197" stopIfTrue="1" operator="equal">
      <formula>"Pass"</formula>
    </cfRule>
    <cfRule type="cellIs" dxfId="10267" priority="10198" stopIfTrue="1" operator="equal">
      <formula>"Fail"</formula>
    </cfRule>
  </conditionalFormatting>
  <conditionalFormatting sqref="H761:O761">
    <cfRule type="cellIs" dxfId="10266" priority="10195" stopIfTrue="1" operator="equal">
      <formula>"Pass"</formula>
    </cfRule>
    <cfRule type="cellIs" dxfId="10265" priority="10196" stopIfTrue="1" operator="equal">
      <formula>"Fail"</formula>
    </cfRule>
  </conditionalFormatting>
  <conditionalFormatting sqref="I761:P761">
    <cfRule type="cellIs" dxfId="10264" priority="10193" stopIfTrue="1" operator="equal">
      <formula>"Pass"</formula>
    </cfRule>
    <cfRule type="cellIs" dxfId="10263" priority="10194" stopIfTrue="1" operator="equal">
      <formula>"Fail"</formula>
    </cfRule>
  </conditionalFormatting>
  <conditionalFormatting sqref="I761:P761">
    <cfRule type="cellIs" dxfId="10262" priority="10191" stopIfTrue="1" operator="equal">
      <formula>"Pass"</formula>
    </cfRule>
    <cfRule type="cellIs" dxfId="10261" priority="10192" stopIfTrue="1" operator="equal">
      <formula>"Fail"</formula>
    </cfRule>
  </conditionalFormatting>
  <conditionalFormatting sqref="I761:P761">
    <cfRule type="cellIs" dxfId="10260" priority="10189" stopIfTrue="1" operator="equal">
      <formula>"Pass"</formula>
    </cfRule>
    <cfRule type="cellIs" dxfId="10259" priority="10190" stopIfTrue="1" operator="equal">
      <formula>"Fail"</formula>
    </cfRule>
  </conditionalFormatting>
  <conditionalFormatting sqref="I761:P761">
    <cfRule type="cellIs" dxfId="10258" priority="10187" stopIfTrue="1" operator="equal">
      <formula>"Pass"</formula>
    </cfRule>
    <cfRule type="cellIs" dxfId="10257" priority="10188" stopIfTrue="1" operator="equal">
      <formula>"Fail"</formula>
    </cfRule>
  </conditionalFormatting>
  <conditionalFormatting sqref="H761:O761">
    <cfRule type="cellIs" dxfId="10256" priority="10185" stopIfTrue="1" operator="equal">
      <formula>"Pass"</formula>
    </cfRule>
    <cfRule type="cellIs" dxfId="10255" priority="10186" stopIfTrue="1" operator="equal">
      <formula>"Fail"</formula>
    </cfRule>
  </conditionalFormatting>
  <conditionalFormatting sqref="H761:O761">
    <cfRule type="cellIs" dxfId="10254" priority="10183" stopIfTrue="1" operator="equal">
      <formula>"Pass"</formula>
    </cfRule>
    <cfRule type="cellIs" dxfId="10253" priority="10184" stopIfTrue="1" operator="equal">
      <formula>"Fail"</formula>
    </cfRule>
  </conditionalFormatting>
  <conditionalFormatting sqref="I761:P761">
    <cfRule type="cellIs" dxfId="10252" priority="10181" stopIfTrue="1" operator="equal">
      <formula>"Pass"</formula>
    </cfRule>
    <cfRule type="cellIs" dxfId="10251" priority="10182" stopIfTrue="1" operator="equal">
      <formula>"Fail"</formula>
    </cfRule>
  </conditionalFormatting>
  <conditionalFormatting sqref="I761:P761">
    <cfRule type="cellIs" dxfId="10250" priority="10179" stopIfTrue="1" operator="equal">
      <formula>"Pass"</formula>
    </cfRule>
    <cfRule type="cellIs" dxfId="10249" priority="10180" stopIfTrue="1" operator="equal">
      <formula>"Fail"</formula>
    </cfRule>
  </conditionalFormatting>
  <conditionalFormatting sqref="I761:P761">
    <cfRule type="cellIs" dxfId="10248" priority="10177" stopIfTrue="1" operator="equal">
      <formula>"Pass"</formula>
    </cfRule>
    <cfRule type="cellIs" dxfId="10247" priority="10178" stopIfTrue="1" operator="equal">
      <formula>"Fail"</formula>
    </cfRule>
  </conditionalFormatting>
  <conditionalFormatting sqref="I761:P761">
    <cfRule type="cellIs" dxfId="10246" priority="10175" stopIfTrue="1" operator="equal">
      <formula>"Pass"</formula>
    </cfRule>
    <cfRule type="cellIs" dxfId="10245" priority="10176" stopIfTrue="1" operator="equal">
      <formula>"Fail"</formula>
    </cfRule>
  </conditionalFormatting>
  <conditionalFormatting sqref="H761:O761">
    <cfRule type="cellIs" dxfId="10244" priority="10173" stopIfTrue="1" operator="equal">
      <formula>"Pass"</formula>
    </cfRule>
    <cfRule type="cellIs" dxfId="10243" priority="10174" stopIfTrue="1" operator="equal">
      <formula>"Fail"</formula>
    </cfRule>
  </conditionalFormatting>
  <conditionalFormatting sqref="H761:O761">
    <cfRule type="cellIs" dxfId="10242" priority="10171" stopIfTrue="1" operator="equal">
      <formula>"Pass"</formula>
    </cfRule>
    <cfRule type="cellIs" dxfId="10241" priority="10172" stopIfTrue="1" operator="equal">
      <formula>"Fail"</formula>
    </cfRule>
  </conditionalFormatting>
  <conditionalFormatting sqref="I761:P761">
    <cfRule type="cellIs" dxfId="10240" priority="10169" stopIfTrue="1" operator="equal">
      <formula>"Pass"</formula>
    </cfRule>
    <cfRule type="cellIs" dxfId="10239" priority="10170" stopIfTrue="1" operator="equal">
      <formula>"Fail"</formula>
    </cfRule>
  </conditionalFormatting>
  <conditionalFormatting sqref="I761:P761">
    <cfRule type="cellIs" dxfId="10238" priority="10167" stopIfTrue="1" operator="equal">
      <formula>"Pass"</formula>
    </cfRule>
    <cfRule type="cellIs" dxfId="10237" priority="10168" stopIfTrue="1" operator="equal">
      <formula>"Fail"</formula>
    </cfRule>
  </conditionalFormatting>
  <conditionalFormatting sqref="I761:P761">
    <cfRule type="cellIs" dxfId="10236" priority="10165" stopIfTrue="1" operator="equal">
      <formula>"Pass"</formula>
    </cfRule>
    <cfRule type="cellIs" dxfId="10235" priority="10166" stopIfTrue="1" operator="equal">
      <formula>"Fail"</formula>
    </cfRule>
  </conditionalFormatting>
  <conditionalFormatting sqref="I761:P761">
    <cfRule type="cellIs" dxfId="10234" priority="10163" stopIfTrue="1" operator="equal">
      <formula>"Pass"</formula>
    </cfRule>
    <cfRule type="cellIs" dxfId="10233" priority="10164" stopIfTrue="1" operator="equal">
      <formula>"Fail"</formula>
    </cfRule>
  </conditionalFormatting>
  <conditionalFormatting sqref="H761:O761">
    <cfRule type="cellIs" dxfId="10232" priority="10161" stopIfTrue="1" operator="equal">
      <formula>"Pass"</formula>
    </cfRule>
    <cfRule type="cellIs" dxfId="10231" priority="10162" stopIfTrue="1" operator="equal">
      <formula>"Fail"</formula>
    </cfRule>
  </conditionalFormatting>
  <conditionalFormatting sqref="H761:O761">
    <cfRule type="cellIs" dxfId="10230" priority="10159" stopIfTrue="1" operator="equal">
      <formula>"Pass"</formula>
    </cfRule>
    <cfRule type="cellIs" dxfId="10229" priority="10160" stopIfTrue="1" operator="equal">
      <formula>"Fail"</formula>
    </cfRule>
  </conditionalFormatting>
  <conditionalFormatting sqref="I761:P761">
    <cfRule type="cellIs" dxfId="10228" priority="10157" stopIfTrue="1" operator="equal">
      <formula>"Pass"</formula>
    </cfRule>
    <cfRule type="cellIs" dxfId="10227" priority="10158" stopIfTrue="1" operator="equal">
      <formula>"Fail"</formula>
    </cfRule>
  </conditionalFormatting>
  <conditionalFormatting sqref="I761:P761">
    <cfRule type="cellIs" dxfId="10226" priority="10155" stopIfTrue="1" operator="equal">
      <formula>"Pass"</formula>
    </cfRule>
    <cfRule type="cellIs" dxfId="10225" priority="10156" stopIfTrue="1" operator="equal">
      <formula>"Fail"</formula>
    </cfRule>
  </conditionalFormatting>
  <conditionalFormatting sqref="I761:P761">
    <cfRule type="cellIs" dxfId="10224" priority="10153" stopIfTrue="1" operator="equal">
      <formula>"Pass"</formula>
    </cfRule>
    <cfRule type="cellIs" dxfId="10223" priority="10154" stopIfTrue="1" operator="equal">
      <formula>"Fail"</formula>
    </cfRule>
  </conditionalFormatting>
  <conditionalFormatting sqref="I761:P761">
    <cfRule type="cellIs" dxfId="10222" priority="10151" stopIfTrue="1" operator="equal">
      <formula>"Pass"</formula>
    </cfRule>
    <cfRule type="cellIs" dxfId="10221" priority="10152" stopIfTrue="1" operator="equal">
      <formula>"Fail"</formula>
    </cfRule>
  </conditionalFormatting>
  <conditionalFormatting sqref="H761:O761">
    <cfRule type="cellIs" dxfId="10220" priority="10149" stopIfTrue="1" operator="equal">
      <formula>"Pass"</formula>
    </cfRule>
    <cfRule type="cellIs" dxfId="10219" priority="10150" stopIfTrue="1" operator="equal">
      <formula>"Fail"</formula>
    </cfRule>
  </conditionalFormatting>
  <conditionalFormatting sqref="H761:O761">
    <cfRule type="cellIs" dxfId="10218" priority="10147" stopIfTrue="1" operator="equal">
      <formula>"Pass"</formula>
    </cfRule>
    <cfRule type="cellIs" dxfId="10217" priority="10148" stopIfTrue="1" operator="equal">
      <formula>"Fail"</formula>
    </cfRule>
  </conditionalFormatting>
  <conditionalFormatting sqref="I761:P761">
    <cfRule type="cellIs" dxfId="10216" priority="10145" stopIfTrue="1" operator="equal">
      <formula>"Pass"</formula>
    </cfRule>
    <cfRule type="cellIs" dxfId="10215" priority="10146" stopIfTrue="1" operator="equal">
      <formula>"Fail"</formula>
    </cfRule>
  </conditionalFormatting>
  <conditionalFormatting sqref="I761:P761">
    <cfRule type="cellIs" dxfId="10214" priority="10143" stopIfTrue="1" operator="equal">
      <formula>"Pass"</formula>
    </cfRule>
    <cfRule type="cellIs" dxfId="10213" priority="10144" stopIfTrue="1" operator="equal">
      <formula>"Fail"</formula>
    </cfRule>
  </conditionalFormatting>
  <conditionalFormatting sqref="I761:P761">
    <cfRule type="cellIs" dxfId="10212" priority="10141" stopIfTrue="1" operator="equal">
      <formula>"Pass"</formula>
    </cfRule>
    <cfRule type="cellIs" dxfId="10211" priority="10142" stopIfTrue="1" operator="equal">
      <formula>"Fail"</formula>
    </cfRule>
  </conditionalFormatting>
  <conditionalFormatting sqref="I761:P761">
    <cfRule type="cellIs" dxfId="10210" priority="10139" stopIfTrue="1" operator="equal">
      <formula>"Pass"</formula>
    </cfRule>
    <cfRule type="cellIs" dxfId="10209" priority="10140" stopIfTrue="1" operator="equal">
      <formula>"Fail"</formula>
    </cfRule>
  </conditionalFormatting>
  <conditionalFormatting sqref="H761:O761">
    <cfRule type="cellIs" dxfId="10208" priority="10137" stopIfTrue="1" operator="equal">
      <formula>"Pass"</formula>
    </cfRule>
    <cfRule type="cellIs" dxfId="10207" priority="10138" stopIfTrue="1" operator="equal">
      <formula>"Fail"</formula>
    </cfRule>
  </conditionalFormatting>
  <conditionalFormatting sqref="H761:O761">
    <cfRule type="cellIs" dxfId="10206" priority="10135" stopIfTrue="1" operator="equal">
      <formula>"Pass"</formula>
    </cfRule>
    <cfRule type="cellIs" dxfId="10205" priority="10136" stopIfTrue="1" operator="equal">
      <formula>"Fail"</formula>
    </cfRule>
  </conditionalFormatting>
  <conditionalFormatting sqref="I761:P761">
    <cfRule type="cellIs" dxfId="10204" priority="10133" stopIfTrue="1" operator="equal">
      <formula>"Pass"</formula>
    </cfRule>
    <cfRule type="cellIs" dxfId="10203" priority="10134" stopIfTrue="1" operator="equal">
      <formula>"Fail"</formula>
    </cfRule>
  </conditionalFormatting>
  <conditionalFormatting sqref="I761:P761">
    <cfRule type="cellIs" dxfId="10202" priority="10131" stopIfTrue="1" operator="equal">
      <formula>"Pass"</formula>
    </cfRule>
    <cfRule type="cellIs" dxfId="10201" priority="10132" stopIfTrue="1" operator="equal">
      <formula>"Fail"</formula>
    </cfRule>
  </conditionalFormatting>
  <conditionalFormatting sqref="I761:P761">
    <cfRule type="cellIs" dxfId="10200" priority="10129" stopIfTrue="1" operator="equal">
      <formula>"Pass"</formula>
    </cfRule>
    <cfRule type="cellIs" dxfId="10199" priority="10130" stopIfTrue="1" operator="equal">
      <formula>"Fail"</formula>
    </cfRule>
  </conditionalFormatting>
  <conditionalFormatting sqref="I761:P761">
    <cfRule type="cellIs" dxfId="10198" priority="10127" stopIfTrue="1" operator="equal">
      <formula>"Pass"</formula>
    </cfRule>
    <cfRule type="cellIs" dxfId="10197" priority="10128" stopIfTrue="1" operator="equal">
      <formula>"Fail"</formula>
    </cfRule>
  </conditionalFormatting>
  <conditionalFormatting sqref="H761:O761">
    <cfRule type="cellIs" dxfId="10196" priority="10125" stopIfTrue="1" operator="equal">
      <formula>"Pass"</formula>
    </cfRule>
    <cfRule type="cellIs" dxfId="10195" priority="10126" stopIfTrue="1" operator="equal">
      <formula>"Fail"</formula>
    </cfRule>
  </conditionalFormatting>
  <conditionalFormatting sqref="H761:O761">
    <cfRule type="cellIs" dxfId="10194" priority="10123" stopIfTrue="1" operator="equal">
      <formula>"Pass"</formula>
    </cfRule>
    <cfRule type="cellIs" dxfId="10193" priority="10124" stopIfTrue="1" operator="equal">
      <formula>"Fail"</formula>
    </cfRule>
  </conditionalFormatting>
  <conditionalFormatting sqref="I761:P761">
    <cfRule type="cellIs" dxfId="10192" priority="10121" stopIfTrue="1" operator="equal">
      <formula>"Pass"</formula>
    </cfRule>
    <cfRule type="cellIs" dxfId="10191" priority="10122" stopIfTrue="1" operator="equal">
      <formula>"Fail"</formula>
    </cfRule>
  </conditionalFormatting>
  <conditionalFormatting sqref="I761:P761">
    <cfRule type="cellIs" dxfId="10190" priority="10119" stopIfTrue="1" operator="equal">
      <formula>"Pass"</formula>
    </cfRule>
    <cfRule type="cellIs" dxfId="10189" priority="10120" stopIfTrue="1" operator="equal">
      <formula>"Fail"</formula>
    </cfRule>
  </conditionalFormatting>
  <conditionalFormatting sqref="I761:P761">
    <cfRule type="cellIs" dxfId="10188" priority="10117" stopIfTrue="1" operator="equal">
      <formula>"Pass"</formula>
    </cfRule>
    <cfRule type="cellIs" dxfId="10187" priority="10118" stopIfTrue="1" operator="equal">
      <formula>"Fail"</formula>
    </cfRule>
  </conditionalFormatting>
  <conditionalFormatting sqref="I761:P761">
    <cfRule type="cellIs" dxfId="10186" priority="10115" stopIfTrue="1" operator="equal">
      <formula>"Pass"</formula>
    </cfRule>
    <cfRule type="cellIs" dxfId="10185" priority="10116" stopIfTrue="1" operator="equal">
      <formula>"Fail"</formula>
    </cfRule>
  </conditionalFormatting>
  <conditionalFormatting sqref="H761:O761">
    <cfRule type="cellIs" dxfId="10184" priority="10113" stopIfTrue="1" operator="equal">
      <formula>"Pass"</formula>
    </cfRule>
    <cfRule type="cellIs" dxfId="10183" priority="10114" stopIfTrue="1" operator="equal">
      <formula>"Fail"</formula>
    </cfRule>
  </conditionalFormatting>
  <conditionalFormatting sqref="H761:O761">
    <cfRule type="cellIs" dxfId="10182" priority="10111" stopIfTrue="1" operator="equal">
      <formula>"Pass"</formula>
    </cfRule>
    <cfRule type="cellIs" dxfId="10181" priority="10112" stopIfTrue="1" operator="equal">
      <formula>"Fail"</formula>
    </cfRule>
  </conditionalFormatting>
  <conditionalFormatting sqref="I761:P761">
    <cfRule type="cellIs" dxfId="10180" priority="10109" stopIfTrue="1" operator="equal">
      <formula>"Pass"</formula>
    </cfRule>
    <cfRule type="cellIs" dxfId="10179" priority="10110" stopIfTrue="1" operator="equal">
      <formula>"Fail"</formula>
    </cfRule>
  </conditionalFormatting>
  <conditionalFormatting sqref="I761:P761">
    <cfRule type="cellIs" dxfId="10178" priority="10107" stopIfTrue="1" operator="equal">
      <formula>"Pass"</formula>
    </cfRule>
    <cfRule type="cellIs" dxfId="10177" priority="10108" stopIfTrue="1" operator="equal">
      <formula>"Fail"</formula>
    </cfRule>
  </conditionalFormatting>
  <conditionalFormatting sqref="I761:P761">
    <cfRule type="cellIs" dxfId="10176" priority="10105" stopIfTrue="1" operator="equal">
      <formula>"Pass"</formula>
    </cfRule>
    <cfRule type="cellIs" dxfId="10175" priority="10106" stopIfTrue="1" operator="equal">
      <formula>"Fail"</formula>
    </cfRule>
  </conditionalFormatting>
  <conditionalFormatting sqref="I761:P761">
    <cfRule type="cellIs" dxfId="10174" priority="10103" stopIfTrue="1" operator="equal">
      <formula>"Pass"</formula>
    </cfRule>
    <cfRule type="cellIs" dxfId="10173" priority="10104" stopIfTrue="1" operator="equal">
      <formula>"Fail"</formula>
    </cfRule>
  </conditionalFormatting>
  <conditionalFormatting sqref="D761:E761">
    <cfRule type="cellIs" dxfId="10172" priority="10101" stopIfTrue="1" operator="equal">
      <formula>"Pass"</formula>
    </cfRule>
    <cfRule type="cellIs" dxfId="10171" priority="10102" stopIfTrue="1" operator="equal">
      <formula>"Fail"</formula>
    </cfRule>
  </conditionalFormatting>
  <conditionalFormatting sqref="D761:E761">
    <cfRule type="cellIs" dxfId="10170" priority="10099" stopIfTrue="1" operator="equal">
      <formula>"Pass"</formula>
    </cfRule>
    <cfRule type="cellIs" dxfId="10169" priority="10100" stopIfTrue="1" operator="equal">
      <formula>"Fail"</formula>
    </cfRule>
  </conditionalFormatting>
  <conditionalFormatting sqref="G761:H761">
    <cfRule type="cellIs" dxfId="10168" priority="10097" stopIfTrue="1" operator="equal">
      <formula>"Pass"</formula>
    </cfRule>
    <cfRule type="cellIs" dxfId="10167" priority="10098" stopIfTrue="1" operator="equal">
      <formula>"Fail"</formula>
    </cfRule>
  </conditionalFormatting>
  <conditionalFormatting sqref="G761:H761">
    <cfRule type="cellIs" dxfId="10166" priority="10095" stopIfTrue="1" operator="equal">
      <formula>"Pass"</formula>
    </cfRule>
    <cfRule type="cellIs" dxfId="10165" priority="10096" stopIfTrue="1" operator="equal">
      <formula>"Fail"</formula>
    </cfRule>
  </conditionalFormatting>
  <conditionalFormatting sqref="G761:H761">
    <cfRule type="cellIs" dxfId="10164" priority="10093" stopIfTrue="1" operator="equal">
      <formula>"Pass"</formula>
    </cfRule>
    <cfRule type="cellIs" dxfId="10163" priority="10094" stopIfTrue="1" operator="equal">
      <formula>"Fail"</formula>
    </cfRule>
  </conditionalFormatting>
  <conditionalFormatting sqref="G761:H761">
    <cfRule type="cellIs" dxfId="10162" priority="10091" stopIfTrue="1" operator="equal">
      <formula>"Pass"</formula>
    </cfRule>
    <cfRule type="cellIs" dxfId="10161" priority="10092" stopIfTrue="1" operator="equal">
      <formula>"Fail"</formula>
    </cfRule>
  </conditionalFormatting>
  <conditionalFormatting sqref="H761:O761">
    <cfRule type="cellIs" dxfId="10160" priority="10089" stopIfTrue="1" operator="equal">
      <formula>"Pass"</formula>
    </cfRule>
    <cfRule type="cellIs" dxfId="10159" priority="10090" stopIfTrue="1" operator="equal">
      <formula>"Fail"</formula>
    </cfRule>
  </conditionalFormatting>
  <conditionalFormatting sqref="H761:O761">
    <cfRule type="cellIs" dxfId="10158" priority="10087" stopIfTrue="1" operator="equal">
      <formula>"Pass"</formula>
    </cfRule>
    <cfRule type="cellIs" dxfId="10157" priority="10088" stopIfTrue="1" operator="equal">
      <formula>"Fail"</formula>
    </cfRule>
  </conditionalFormatting>
  <conditionalFormatting sqref="I761:P761">
    <cfRule type="cellIs" dxfId="10156" priority="10085" stopIfTrue="1" operator="equal">
      <formula>"Pass"</formula>
    </cfRule>
    <cfRule type="cellIs" dxfId="10155" priority="10086" stopIfTrue="1" operator="equal">
      <formula>"Fail"</formula>
    </cfRule>
  </conditionalFormatting>
  <conditionalFormatting sqref="I761:P761">
    <cfRule type="cellIs" dxfId="10154" priority="10083" stopIfTrue="1" operator="equal">
      <formula>"Pass"</formula>
    </cfRule>
    <cfRule type="cellIs" dxfId="10153" priority="10084" stopIfTrue="1" operator="equal">
      <formula>"Fail"</formula>
    </cfRule>
  </conditionalFormatting>
  <conditionalFormatting sqref="I761:P761">
    <cfRule type="cellIs" dxfId="10152" priority="10081" stopIfTrue="1" operator="equal">
      <formula>"Pass"</formula>
    </cfRule>
    <cfRule type="cellIs" dxfId="10151" priority="10082" stopIfTrue="1" operator="equal">
      <formula>"Fail"</formula>
    </cfRule>
  </conditionalFormatting>
  <conditionalFormatting sqref="I761:P761">
    <cfRule type="cellIs" dxfId="10150" priority="10079" stopIfTrue="1" operator="equal">
      <formula>"Pass"</formula>
    </cfRule>
    <cfRule type="cellIs" dxfId="10149" priority="10080" stopIfTrue="1" operator="equal">
      <formula>"Fail"</formula>
    </cfRule>
  </conditionalFormatting>
  <conditionalFormatting sqref="H761:O761">
    <cfRule type="cellIs" dxfId="10148" priority="10077" stopIfTrue="1" operator="equal">
      <formula>"Pass"</formula>
    </cfRule>
    <cfRule type="cellIs" dxfId="10147" priority="10078" stopIfTrue="1" operator="equal">
      <formula>"Fail"</formula>
    </cfRule>
  </conditionalFormatting>
  <conditionalFormatting sqref="H761:O761">
    <cfRule type="cellIs" dxfId="10146" priority="10075" stopIfTrue="1" operator="equal">
      <formula>"Pass"</formula>
    </cfRule>
    <cfRule type="cellIs" dxfId="10145" priority="10076" stopIfTrue="1" operator="equal">
      <formula>"Fail"</formula>
    </cfRule>
  </conditionalFormatting>
  <conditionalFormatting sqref="I761:P761">
    <cfRule type="cellIs" dxfId="10144" priority="10073" stopIfTrue="1" operator="equal">
      <formula>"Pass"</formula>
    </cfRule>
    <cfRule type="cellIs" dxfId="10143" priority="10074" stopIfTrue="1" operator="equal">
      <formula>"Fail"</formula>
    </cfRule>
  </conditionalFormatting>
  <conditionalFormatting sqref="I761:P761">
    <cfRule type="cellIs" dxfId="10142" priority="10071" stopIfTrue="1" operator="equal">
      <formula>"Pass"</formula>
    </cfRule>
    <cfRule type="cellIs" dxfId="10141" priority="10072" stopIfTrue="1" operator="equal">
      <formula>"Fail"</formula>
    </cfRule>
  </conditionalFormatting>
  <conditionalFormatting sqref="I761:P761">
    <cfRule type="cellIs" dxfId="10140" priority="10069" stopIfTrue="1" operator="equal">
      <formula>"Pass"</formula>
    </cfRule>
    <cfRule type="cellIs" dxfId="10139" priority="10070" stopIfTrue="1" operator="equal">
      <formula>"Fail"</formula>
    </cfRule>
  </conditionalFormatting>
  <conditionalFormatting sqref="I761:P761">
    <cfRule type="cellIs" dxfId="10138" priority="10067" stopIfTrue="1" operator="equal">
      <formula>"Pass"</formula>
    </cfRule>
    <cfRule type="cellIs" dxfId="10137" priority="10068" stopIfTrue="1" operator="equal">
      <formula>"Fail"</formula>
    </cfRule>
  </conditionalFormatting>
  <conditionalFormatting sqref="H761:O761">
    <cfRule type="cellIs" dxfId="10136" priority="10065" stopIfTrue="1" operator="equal">
      <formula>"Pass"</formula>
    </cfRule>
    <cfRule type="cellIs" dxfId="10135" priority="10066" stopIfTrue="1" operator="equal">
      <formula>"Fail"</formula>
    </cfRule>
  </conditionalFormatting>
  <conditionalFormatting sqref="H761:O761">
    <cfRule type="cellIs" dxfId="10134" priority="10063" stopIfTrue="1" operator="equal">
      <formula>"Pass"</formula>
    </cfRule>
    <cfRule type="cellIs" dxfId="10133" priority="10064" stopIfTrue="1" operator="equal">
      <formula>"Fail"</formula>
    </cfRule>
  </conditionalFormatting>
  <conditionalFormatting sqref="I761:P761">
    <cfRule type="cellIs" dxfId="10132" priority="10061" stopIfTrue="1" operator="equal">
      <formula>"Pass"</formula>
    </cfRule>
    <cfRule type="cellIs" dxfId="10131" priority="10062" stopIfTrue="1" operator="equal">
      <formula>"Fail"</formula>
    </cfRule>
  </conditionalFormatting>
  <conditionalFormatting sqref="I761:P761">
    <cfRule type="cellIs" dxfId="10130" priority="10059" stopIfTrue="1" operator="equal">
      <formula>"Pass"</formula>
    </cfRule>
    <cfRule type="cellIs" dxfId="10129" priority="10060" stopIfTrue="1" operator="equal">
      <formula>"Fail"</formula>
    </cfRule>
  </conditionalFormatting>
  <conditionalFormatting sqref="I761:P761">
    <cfRule type="cellIs" dxfId="10128" priority="10057" stopIfTrue="1" operator="equal">
      <formula>"Pass"</formula>
    </cfRule>
    <cfRule type="cellIs" dxfId="10127" priority="10058" stopIfTrue="1" operator="equal">
      <formula>"Fail"</formula>
    </cfRule>
  </conditionalFormatting>
  <conditionalFormatting sqref="I761:P761">
    <cfRule type="cellIs" dxfId="10126" priority="10055" stopIfTrue="1" operator="equal">
      <formula>"Pass"</formula>
    </cfRule>
    <cfRule type="cellIs" dxfId="10125" priority="10056" stopIfTrue="1" operator="equal">
      <formula>"Fail"</formula>
    </cfRule>
  </conditionalFormatting>
  <conditionalFormatting sqref="H761:O761">
    <cfRule type="cellIs" dxfId="10124" priority="10053" stopIfTrue="1" operator="equal">
      <formula>"Pass"</formula>
    </cfRule>
    <cfRule type="cellIs" dxfId="10123" priority="10054" stopIfTrue="1" operator="equal">
      <formula>"Fail"</formula>
    </cfRule>
  </conditionalFormatting>
  <conditionalFormatting sqref="H761:O761">
    <cfRule type="cellIs" dxfId="10122" priority="10051" stopIfTrue="1" operator="equal">
      <formula>"Pass"</formula>
    </cfRule>
    <cfRule type="cellIs" dxfId="10121" priority="10052" stopIfTrue="1" operator="equal">
      <formula>"Fail"</formula>
    </cfRule>
  </conditionalFormatting>
  <conditionalFormatting sqref="I761:P761">
    <cfRule type="cellIs" dxfId="10120" priority="10049" stopIfTrue="1" operator="equal">
      <formula>"Pass"</formula>
    </cfRule>
    <cfRule type="cellIs" dxfId="10119" priority="10050" stopIfTrue="1" operator="equal">
      <formula>"Fail"</formula>
    </cfRule>
  </conditionalFormatting>
  <conditionalFormatting sqref="I761:P761">
    <cfRule type="cellIs" dxfId="10118" priority="10047" stopIfTrue="1" operator="equal">
      <formula>"Pass"</formula>
    </cfRule>
    <cfRule type="cellIs" dxfId="10117" priority="10048" stopIfTrue="1" operator="equal">
      <formula>"Fail"</formula>
    </cfRule>
  </conditionalFormatting>
  <conditionalFormatting sqref="I761:P761">
    <cfRule type="cellIs" dxfId="10116" priority="10045" stopIfTrue="1" operator="equal">
      <formula>"Pass"</formula>
    </cfRule>
    <cfRule type="cellIs" dxfId="10115" priority="10046" stopIfTrue="1" operator="equal">
      <formula>"Fail"</formula>
    </cfRule>
  </conditionalFormatting>
  <conditionalFormatting sqref="I761:P761">
    <cfRule type="cellIs" dxfId="10114" priority="10043" stopIfTrue="1" operator="equal">
      <formula>"Pass"</formula>
    </cfRule>
    <cfRule type="cellIs" dxfId="10113" priority="10044" stopIfTrue="1" operator="equal">
      <formula>"Fail"</formula>
    </cfRule>
  </conditionalFormatting>
  <conditionalFormatting sqref="H761:O761">
    <cfRule type="cellIs" dxfId="10112" priority="10041" stopIfTrue="1" operator="equal">
      <formula>"Pass"</formula>
    </cfRule>
    <cfRule type="cellIs" dxfId="10111" priority="10042" stopIfTrue="1" operator="equal">
      <formula>"Fail"</formula>
    </cfRule>
  </conditionalFormatting>
  <conditionalFormatting sqref="H761:O761">
    <cfRule type="cellIs" dxfId="10110" priority="10039" stopIfTrue="1" operator="equal">
      <formula>"Pass"</formula>
    </cfRule>
    <cfRule type="cellIs" dxfId="10109" priority="10040" stopIfTrue="1" operator="equal">
      <formula>"Fail"</formula>
    </cfRule>
  </conditionalFormatting>
  <conditionalFormatting sqref="I761:P761">
    <cfRule type="cellIs" dxfId="10108" priority="10037" stopIfTrue="1" operator="equal">
      <formula>"Pass"</formula>
    </cfRule>
    <cfRule type="cellIs" dxfId="10107" priority="10038" stopIfTrue="1" operator="equal">
      <formula>"Fail"</formula>
    </cfRule>
  </conditionalFormatting>
  <conditionalFormatting sqref="I761:P761">
    <cfRule type="cellIs" dxfId="10106" priority="10035" stopIfTrue="1" operator="equal">
      <formula>"Pass"</formula>
    </cfRule>
    <cfRule type="cellIs" dxfId="10105" priority="10036" stopIfTrue="1" operator="equal">
      <formula>"Fail"</formula>
    </cfRule>
  </conditionalFormatting>
  <conditionalFormatting sqref="I761:P761">
    <cfRule type="cellIs" dxfId="10104" priority="10033" stopIfTrue="1" operator="equal">
      <formula>"Pass"</formula>
    </cfRule>
    <cfRule type="cellIs" dxfId="10103" priority="10034" stopIfTrue="1" operator="equal">
      <formula>"Fail"</formula>
    </cfRule>
  </conditionalFormatting>
  <conditionalFormatting sqref="I761:P761">
    <cfRule type="cellIs" dxfId="10102" priority="10031" stopIfTrue="1" operator="equal">
      <formula>"Pass"</formula>
    </cfRule>
    <cfRule type="cellIs" dxfId="10101" priority="10032" stopIfTrue="1" operator="equal">
      <formula>"Fail"</formula>
    </cfRule>
  </conditionalFormatting>
  <conditionalFormatting sqref="H761:O761">
    <cfRule type="cellIs" dxfId="10100" priority="10029" stopIfTrue="1" operator="equal">
      <formula>"Pass"</formula>
    </cfRule>
    <cfRule type="cellIs" dxfId="10099" priority="10030" stopIfTrue="1" operator="equal">
      <formula>"Fail"</formula>
    </cfRule>
  </conditionalFormatting>
  <conditionalFormatting sqref="H761:O761">
    <cfRule type="cellIs" dxfId="10098" priority="10027" stopIfTrue="1" operator="equal">
      <formula>"Pass"</formula>
    </cfRule>
    <cfRule type="cellIs" dxfId="10097" priority="10028" stopIfTrue="1" operator="equal">
      <formula>"Fail"</formula>
    </cfRule>
  </conditionalFormatting>
  <conditionalFormatting sqref="I761:P761">
    <cfRule type="cellIs" dxfId="10096" priority="10025" stopIfTrue="1" operator="equal">
      <formula>"Pass"</formula>
    </cfRule>
    <cfRule type="cellIs" dxfId="10095" priority="10026" stopIfTrue="1" operator="equal">
      <formula>"Fail"</formula>
    </cfRule>
  </conditionalFormatting>
  <conditionalFormatting sqref="I761:P761">
    <cfRule type="cellIs" dxfId="10094" priority="10023" stopIfTrue="1" operator="equal">
      <formula>"Pass"</formula>
    </cfRule>
    <cfRule type="cellIs" dxfId="10093" priority="10024" stopIfTrue="1" operator="equal">
      <formula>"Fail"</formula>
    </cfRule>
  </conditionalFormatting>
  <conditionalFormatting sqref="I761:P761">
    <cfRule type="cellIs" dxfId="10092" priority="10021" stopIfTrue="1" operator="equal">
      <formula>"Pass"</formula>
    </cfRule>
    <cfRule type="cellIs" dxfId="10091" priority="10022" stopIfTrue="1" operator="equal">
      <formula>"Fail"</formula>
    </cfRule>
  </conditionalFormatting>
  <conditionalFormatting sqref="I761:P761">
    <cfRule type="cellIs" dxfId="10090" priority="10019" stopIfTrue="1" operator="equal">
      <formula>"Pass"</formula>
    </cfRule>
    <cfRule type="cellIs" dxfId="10089" priority="10020" stopIfTrue="1" operator="equal">
      <formula>"Fail"</formula>
    </cfRule>
  </conditionalFormatting>
  <conditionalFormatting sqref="H761:O761">
    <cfRule type="cellIs" dxfId="10088" priority="10017" stopIfTrue="1" operator="equal">
      <formula>"Pass"</formula>
    </cfRule>
    <cfRule type="cellIs" dxfId="10087" priority="10018" stopIfTrue="1" operator="equal">
      <formula>"Fail"</formula>
    </cfRule>
  </conditionalFormatting>
  <conditionalFormatting sqref="H761:O761">
    <cfRule type="cellIs" dxfId="10086" priority="10015" stopIfTrue="1" operator="equal">
      <formula>"Pass"</formula>
    </cfRule>
    <cfRule type="cellIs" dxfId="10085" priority="10016" stopIfTrue="1" operator="equal">
      <formula>"Fail"</formula>
    </cfRule>
  </conditionalFormatting>
  <conditionalFormatting sqref="I761:P761">
    <cfRule type="cellIs" dxfId="10084" priority="10013" stopIfTrue="1" operator="equal">
      <formula>"Pass"</formula>
    </cfRule>
    <cfRule type="cellIs" dxfId="10083" priority="10014" stopIfTrue="1" operator="equal">
      <formula>"Fail"</formula>
    </cfRule>
  </conditionalFormatting>
  <conditionalFormatting sqref="I761:P761">
    <cfRule type="cellIs" dxfId="10082" priority="10011" stopIfTrue="1" operator="equal">
      <formula>"Pass"</formula>
    </cfRule>
    <cfRule type="cellIs" dxfId="10081" priority="10012" stopIfTrue="1" operator="equal">
      <formula>"Fail"</formula>
    </cfRule>
  </conditionalFormatting>
  <conditionalFormatting sqref="I761:P761">
    <cfRule type="cellIs" dxfId="10080" priority="10009" stopIfTrue="1" operator="equal">
      <formula>"Pass"</formula>
    </cfRule>
    <cfRule type="cellIs" dxfId="10079" priority="10010" stopIfTrue="1" operator="equal">
      <formula>"Fail"</formula>
    </cfRule>
  </conditionalFormatting>
  <conditionalFormatting sqref="I761:P761">
    <cfRule type="cellIs" dxfId="10078" priority="10007" stopIfTrue="1" operator="equal">
      <formula>"Pass"</formula>
    </cfRule>
    <cfRule type="cellIs" dxfId="10077" priority="10008" stopIfTrue="1" operator="equal">
      <formula>"Fail"</formula>
    </cfRule>
  </conditionalFormatting>
  <conditionalFormatting sqref="H761:O761">
    <cfRule type="cellIs" dxfId="10076" priority="10005" stopIfTrue="1" operator="equal">
      <formula>"Pass"</formula>
    </cfRule>
    <cfRule type="cellIs" dxfId="10075" priority="10006" stopIfTrue="1" operator="equal">
      <formula>"Fail"</formula>
    </cfRule>
  </conditionalFormatting>
  <conditionalFormatting sqref="H761:O761">
    <cfRule type="cellIs" dxfId="10074" priority="10003" stopIfTrue="1" operator="equal">
      <formula>"Pass"</formula>
    </cfRule>
    <cfRule type="cellIs" dxfId="10073" priority="10004" stopIfTrue="1" operator="equal">
      <formula>"Fail"</formula>
    </cfRule>
  </conditionalFormatting>
  <conditionalFormatting sqref="I761:P761">
    <cfRule type="cellIs" dxfId="10072" priority="10001" stopIfTrue="1" operator="equal">
      <formula>"Pass"</formula>
    </cfRule>
    <cfRule type="cellIs" dxfId="10071" priority="10002" stopIfTrue="1" operator="equal">
      <formula>"Fail"</formula>
    </cfRule>
  </conditionalFormatting>
  <conditionalFormatting sqref="I761:P761">
    <cfRule type="cellIs" dxfId="10070" priority="9999" stopIfTrue="1" operator="equal">
      <formula>"Pass"</formula>
    </cfRule>
    <cfRule type="cellIs" dxfId="10069" priority="10000" stopIfTrue="1" operator="equal">
      <formula>"Fail"</formula>
    </cfRule>
  </conditionalFormatting>
  <conditionalFormatting sqref="I761:P761">
    <cfRule type="cellIs" dxfId="10068" priority="9997" stopIfTrue="1" operator="equal">
      <formula>"Pass"</formula>
    </cfRule>
    <cfRule type="cellIs" dxfId="10067" priority="9998" stopIfTrue="1" operator="equal">
      <formula>"Fail"</formula>
    </cfRule>
  </conditionalFormatting>
  <conditionalFormatting sqref="I761:P761">
    <cfRule type="cellIs" dxfId="10066" priority="9995" stopIfTrue="1" operator="equal">
      <formula>"Pass"</formula>
    </cfRule>
    <cfRule type="cellIs" dxfId="10065" priority="9996" stopIfTrue="1" operator="equal">
      <formula>"Fail"</formula>
    </cfRule>
  </conditionalFormatting>
  <conditionalFormatting sqref="H761:O761">
    <cfRule type="cellIs" dxfId="10064" priority="9993" stopIfTrue="1" operator="equal">
      <formula>"Pass"</formula>
    </cfRule>
    <cfRule type="cellIs" dxfId="10063" priority="9994" stopIfTrue="1" operator="equal">
      <formula>"Fail"</formula>
    </cfRule>
  </conditionalFormatting>
  <conditionalFormatting sqref="H761:O761">
    <cfRule type="cellIs" dxfId="10062" priority="9991" stopIfTrue="1" operator="equal">
      <formula>"Pass"</formula>
    </cfRule>
    <cfRule type="cellIs" dxfId="10061" priority="9992" stopIfTrue="1" operator="equal">
      <formula>"Fail"</formula>
    </cfRule>
  </conditionalFormatting>
  <conditionalFormatting sqref="I761:P761">
    <cfRule type="cellIs" dxfId="10060" priority="9989" stopIfTrue="1" operator="equal">
      <formula>"Pass"</formula>
    </cfRule>
    <cfRule type="cellIs" dxfId="10059" priority="9990" stopIfTrue="1" operator="equal">
      <formula>"Fail"</formula>
    </cfRule>
  </conditionalFormatting>
  <conditionalFormatting sqref="I761:P761">
    <cfRule type="cellIs" dxfId="10058" priority="9987" stopIfTrue="1" operator="equal">
      <formula>"Pass"</formula>
    </cfRule>
    <cfRule type="cellIs" dxfId="10057" priority="9988" stopIfTrue="1" operator="equal">
      <formula>"Fail"</formula>
    </cfRule>
  </conditionalFormatting>
  <conditionalFormatting sqref="I761:P761">
    <cfRule type="cellIs" dxfId="10056" priority="9985" stopIfTrue="1" operator="equal">
      <formula>"Pass"</formula>
    </cfRule>
    <cfRule type="cellIs" dxfId="10055" priority="9986" stopIfTrue="1" operator="equal">
      <formula>"Fail"</formula>
    </cfRule>
  </conditionalFormatting>
  <conditionalFormatting sqref="I761:P761">
    <cfRule type="cellIs" dxfId="10054" priority="9983" stopIfTrue="1" operator="equal">
      <formula>"Pass"</formula>
    </cfRule>
    <cfRule type="cellIs" dxfId="10053" priority="9984" stopIfTrue="1" operator="equal">
      <formula>"Fail"</formula>
    </cfRule>
  </conditionalFormatting>
  <conditionalFormatting sqref="H761:O761">
    <cfRule type="cellIs" dxfId="10052" priority="9981" stopIfTrue="1" operator="equal">
      <formula>"Pass"</formula>
    </cfRule>
    <cfRule type="cellIs" dxfId="10051" priority="9982" stopIfTrue="1" operator="equal">
      <formula>"Fail"</formula>
    </cfRule>
  </conditionalFormatting>
  <conditionalFormatting sqref="H761:O761">
    <cfRule type="cellIs" dxfId="10050" priority="9979" stopIfTrue="1" operator="equal">
      <formula>"Pass"</formula>
    </cfRule>
    <cfRule type="cellIs" dxfId="10049" priority="9980" stopIfTrue="1" operator="equal">
      <formula>"Fail"</formula>
    </cfRule>
  </conditionalFormatting>
  <conditionalFormatting sqref="I761:P761">
    <cfRule type="cellIs" dxfId="10048" priority="9977" stopIfTrue="1" operator="equal">
      <formula>"Pass"</formula>
    </cfRule>
    <cfRule type="cellIs" dxfId="10047" priority="9978" stopIfTrue="1" operator="equal">
      <formula>"Fail"</formula>
    </cfRule>
  </conditionalFormatting>
  <conditionalFormatting sqref="I761:P761">
    <cfRule type="cellIs" dxfId="10046" priority="9975" stopIfTrue="1" operator="equal">
      <formula>"Pass"</formula>
    </cfRule>
    <cfRule type="cellIs" dxfId="10045" priority="9976" stopIfTrue="1" operator="equal">
      <formula>"Fail"</formula>
    </cfRule>
  </conditionalFormatting>
  <conditionalFormatting sqref="I761:P761">
    <cfRule type="cellIs" dxfId="10044" priority="9973" stopIfTrue="1" operator="equal">
      <formula>"Pass"</formula>
    </cfRule>
    <cfRule type="cellIs" dxfId="10043" priority="9974" stopIfTrue="1" operator="equal">
      <formula>"Fail"</formula>
    </cfRule>
  </conditionalFormatting>
  <conditionalFormatting sqref="I761:P761">
    <cfRule type="cellIs" dxfId="10042" priority="9971" stopIfTrue="1" operator="equal">
      <formula>"Pass"</formula>
    </cfRule>
    <cfRule type="cellIs" dxfId="10041" priority="9972" stopIfTrue="1" operator="equal">
      <formula>"Fail"</formula>
    </cfRule>
  </conditionalFormatting>
  <conditionalFormatting sqref="H761:O761">
    <cfRule type="cellIs" dxfId="10040" priority="9969" stopIfTrue="1" operator="equal">
      <formula>"Pass"</formula>
    </cfRule>
    <cfRule type="cellIs" dxfId="10039" priority="9970" stopIfTrue="1" operator="equal">
      <formula>"Fail"</formula>
    </cfRule>
  </conditionalFormatting>
  <conditionalFormatting sqref="H761:O761">
    <cfRule type="cellIs" dxfId="10038" priority="9967" stopIfTrue="1" operator="equal">
      <formula>"Pass"</formula>
    </cfRule>
    <cfRule type="cellIs" dxfId="10037" priority="9968" stopIfTrue="1" operator="equal">
      <formula>"Fail"</formula>
    </cfRule>
  </conditionalFormatting>
  <conditionalFormatting sqref="I761:P761">
    <cfRule type="cellIs" dxfId="10036" priority="9965" stopIfTrue="1" operator="equal">
      <formula>"Pass"</formula>
    </cfRule>
    <cfRule type="cellIs" dxfId="10035" priority="9966" stopIfTrue="1" operator="equal">
      <formula>"Fail"</formula>
    </cfRule>
  </conditionalFormatting>
  <conditionalFormatting sqref="I761:P761">
    <cfRule type="cellIs" dxfId="10034" priority="9963" stopIfTrue="1" operator="equal">
      <formula>"Pass"</formula>
    </cfRule>
    <cfRule type="cellIs" dxfId="10033" priority="9964" stopIfTrue="1" operator="equal">
      <formula>"Fail"</formula>
    </cfRule>
  </conditionalFormatting>
  <conditionalFormatting sqref="I761:P761">
    <cfRule type="cellIs" dxfId="10032" priority="9961" stopIfTrue="1" operator="equal">
      <formula>"Pass"</formula>
    </cfRule>
    <cfRule type="cellIs" dxfId="10031" priority="9962" stopIfTrue="1" operator="equal">
      <formula>"Fail"</formula>
    </cfRule>
  </conditionalFormatting>
  <conditionalFormatting sqref="I761:P761">
    <cfRule type="cellIs" dxfId="10030" priority="9959" stopIfTrue="1" operator="equal">
      <formula>"Pass"</formula>
    </cfRule>
    <cfRule type="cellIs" dxfId="10029" priority="9960" stopIfTrue="1" operator="equal">
      <formula>"Fail"</formula>
    </cfRule>
  </conditionalFormatting>
  <conditionalFormatting sqref="H761:O761">
    <cfRule type="cellIs" dxfId="10028" priority="9957" stopIfTrue="1" operator="equal">
      <formula>"Pass"</formula>
    </cfRule>
    <cfRule type="cellIs" dxfId="10027" priority="9958" stopIfTrue="1" operator="equal">
      <formula>"Fail"</formula>
    </cfRule>
  </conditionalFormatting>
  <conditionalFormatting sqref="H761:O761">
    <cfRule type="cellIs" dxfId="10026" priority="9955" stopIfTrue="1" operator="equal">
      <formula>"Pass"</formula>
    </cfRule>
    <cfRule type="cellIs" dxfId="10025" priority="9956" stopIfTrue="1" operator="equal">
      <formula>"Fail"</formula>
    </cfRule>
  </conditionalFormatting>
  <conditionalFormatting sqref="I761:P761">
    <cfRule type="cellIs" dxfId="10024" priority="9953" stopIfTrue="1" operator="equal">
      <formula>"Pass"</formula>
    </cfRule>
    <cfRule type="cellIs" dxfId="10023" priority="9954" stopIfTrue="1" operator="equal">
      <formula>"Fail"</formula>
    </cfRule>
  </conditionalFormatting>
  <conditionalFormatting sqref="I761:P761">
    <cfRule type="cellIs" dxfId="10022" priority="9951" stopIfTrue="1" operator="equal">
      <formula>"Pass"</formula>
    </cfRule>
    <cfRule type="cellIs" dxfId="10021" priority="9952" stopIfTrue="1" operator="equal">
      <formula>"Fail"</formula>
    </cfRule>
  </conditionalFormatting>
  <conditionalFormatting sqref="I761:P761">
    <cfRule type="cellIs" dxfId="10020" priority="9949" stopIfTrue="1" operator="equal">
      <formula>"Pass"</formula>
    </cfRule>
    <cfRule type="cellIs" dxfId="10019" priority="9950" stopIfTrue="1" operator="equal">
      <formula>"Fail"</formula>
    </cfRule>
  </conditionalFormatting>
  <conditionalFormatting sqref="I761:P761">
    <cfRule type="cellIs" dxfId="10018" priority="9947" stopIfTrue="1" operator="equal">
      <formula>"Pass"</formula>
    </cfRule>
    <cfRule type="cellIs" dxfId="10017" priority="9948" stopIfTrue="1" operator="equal">
      <formula>"Fail"</formula>
    </cfRule>
  </conditionalFormatting>
  <conditionalFormatting sqref="D761:E761 G761:P761">
    <cfRule type="cellIs" dxfId="10016" priority="9945" stopIfTrue="1" operator="equal">
      <formula>"Pass"</formula>
    </cfRule>
    <cfRule type="cellIs" dxfId="10015" priority="9946" stopIfTrue="1" operator="equal">
      <formula>"Fail"</formula>
    </cfRule>
  </conditionalFormatting>
  <conditionalFormatting sqref="E761 H761:P761">
    <cfRule type="cellIs" dxfId="10014" priority="9943" stopIfTrue="1" operator="equal">
      <formula>"Pass"</formula>
    </cfRule>
    <cfRule type="cellIs" dxfId="10013" priority="9944" stopIfTrue="1" operator="equal">
      <formula>"Fail"</formula>
    </cfRule>
  </conditionalFormatting>
  <conditionalFormatting sqref="E761 H761:P761">
    <cfRule type="cellIs" dxfId="10012" priority="9941" stopIfTrue="1" operator="equal">
      <formula>"Pass"</formula>
    </cfRule>
    <cfRule type="cellIs" dxfId="10011" priority="9942" stopIfTrue="1" operator="equal">
      <formula>"Fail"</formula>
    </cfRule>
  </conditionalFormatting>
  <conditionalFormatting sqref="E761 H761:P761">
    <cfRule type="cellIs" dxfId="10010" priority="9939" stopIfTrue="1" operator="equal">
      <formula>"Pass"</formula>
    </cfRule>
    <cfRule type="cellIs" dxfId="10009" priority="9940" stopIfTrue="1" operator="equal">
      <formula>"Fail"</formula>
    </cfRule>
  </conditionalFormatting>
  <conditionalFormatting sqref="E761 H761:P761">
    <cfRule type="cellIs" dxfId="10008" priority="9937" stopIfTrue="1" operator="equal">
      <formula>"Pass"</formula>
    </cfRule>
    <cfRule type="cellIs" dxfId="10007" priority="9938" stopIfTrue="1" operator="equal">
      <formula>"Fail"</formula>
    </cfRule>
  </conditionalFormatting>
  <conditionalFormatting sqref="E761 H761:P761">
    <cfRule type="cellIs" dxfId="10006" priority="9935" stopIfTrue="1" operator="equal">
      <formula>"Pass"</formula>
    </cfRule>
    <cfRule type="cellIs" dxfId="10005" priority="9936" stopIfTrue="1" operator="equal">
      <formula>"Fail"</formula>
    </cfRule>
  </conditionalFormatting>
  <conditionalFormatting sqref="E761 H761:P761">
    <cfRule type="cellIs" dxfId="10004" priority="9933" stopIfTrue="1" operator="equal">
      <formula>"Pass"</formula>
    </cfRule>
    <cfRule type="cellIs" dxfId="10003" priority="9934" stopIfTrue="1" operator="equal">
      <formula>"Fail"</formula>
    </cfRule>
  </conditionalFormatting>
  <conditionalFormatting sqref="E761 H761:P761">
    <cfRule type="cellIs" dxfId="10002" priority="9931" stopIfTrue="1" operator="equal">
      <formula>"Pass"</formula>
    </cfRule>
    <cfRule type="cellIs" dxfId="10001" priority="9932" stopIfTrue="1" operator="equal">
      <formula>"Fail"</formula>
    </cfRule>
  </conditionalFormatting>
  <conditionalFormatting sqref="E761 H761:P761">
    <cfRule type="cellIs" dxfId="10000" priority="9929" stopIfTrue="1" operator="equal">
      <formula>"Pass"</formula>
    </cfRule>
    <cfRule type="cellIs" dxfId="9999" priority="9930" stopIfTrue="1" operator="equal">
      <formula>"Fail"</formula>
    </cfRule>
  </conditionalFormatting>
  <conditionalFormatting sqref="E761 H761:P761">
    <cfRule type="cellIs" dxfId="9998" priority="9927" stopIfTrue="1" operator="equal">
      <formula>"Pass"</formula>
    </cfRule>
    <cfRule type="cellIs" dxfId="9997" priority="9928" stopIfTrue="1" operator="equal">
      <formula>"Fail"</formula>
    </cfRule>
  </conditionalFormatting>
  <conditionalFormatting sqref="E761 H761:P761">
    <cfRule type="cellIs" dxfId="9996" priority="9925" stopIfTrue="1" operator="equal">
      <formula>"Pass"</formula>
    </cfRule>
    <cfRule type="cellIs" dxfId="9995" priority="9926" stopIfTrue="1" operator="equal">
      <formula>"Fail"</formula>
    </cfRule>
  </conditionalFormatting>
  <conditionalFormatting sqref="E761 H761:P761">
    <cfRule type="cellIs" dxfId="9994" priority="9923" stopIfTrue="1" operator="equal">
      <formula>"Pass"</formula>
    </cfRule>
    <cfRule type="cellIs" dxfId="9993" priority="9924" stopIfTrue="1" operator="equal">
      <formula>"Fail"</formula>
    </cfRule>
  </conditionalFormatting>
  <conditionalFormatting sqref="E761 H761:P761">
    <cfRule type="cellIs" dxfId="9992" priority="9921" stopIfTrue="1" operator="equal">
      <formula>"Pass"</formula>
    </cfRule>
    <cfRule type="cellIs" dxfId="9991" priority="9922" stopIfTrue="1" operator="equal">
      <formula>"Fail"</formula>
    </cfRule>
  </conditionalFormatting>
  <conditionalFormatting sqref="E761 H761:P761">
    <cfRule type="cellIs" dxfId="9990" priority="9919" stopIfTrue="1" operator="equal">
      <formula>"Pass"</formula>
    </cfRule>
    <cfRule type="cellIs" dxfId="9989" priority="9920" stopIfTrue="1" operator="equal">
      <formula>"Fail"</formula>
    </cfRule>
  </conditionalFormatting>
  <conditionalFormatting sqref="E761 H761:P761">
    <cfRule type="cellIs" dxfId="9988" priority="9917" stopIfTrue="1" operator="equal">
      <formula>"Pass"</formula>
    </cfRule>
    <cfRule type="cellIs" dxfId="9987" priority="9918" stopIfTrue="1" operator="equal">
      <formula>"Fail"</formula>
    </cfRule>
  </conditionalFormatting>
  <conditionalFormatting sqref="E761 H761:P761">
    <cfRule type="cellIs" dxfId="9986" priority="9915" stopIfTrue="1" operator="equal">
      <formula>"Pass"</formula>
    </cfRule>
    <cfRule type="cellIs" dxfId="9985" priority="9916" stopIfTrue="1" operator="equal">
      <formula>"Fail"</formula>
    </cfRule>
  </conditionalFormatting>
  <conditionalFormatting sqref="E761 H761:P761">
    <cfRule type="cellIs" dxfId="9984" priority="9913" stopIfTrue="1" operator="equal">
      <formula>"Pass"</formula>
    </cfRule>
    <cfRule type="cellIs" dxfId="9983" priority="9914" stopIfTrue="1" operator="equal">
      <formula>"Fail"</formula>
    </cfRule>
  </conditionalFormatting>
  <conditionalFormatting sqref="E761 H761:P761">
    <cfRule type="cellIs" dxfId="9982" priority="9911" stopIfTrue="1" operator="equal">
      <formula>"Pass"</formula>
    </cfRule>
    <cfRule type="cellIs" dxfId="9981" priority="9912" stopIfTrue="1" operator="equal">
      <formula>"Fail"</formula>
    </cfRule>
  </conditionalFormatting>
  <conditionalFormatting sqref="E761 H761:P761">
    <cfRule type="cellIs" dxfId="9980" priority="9909" stopIfTrue="1" operator="equal">
      <formula>"Pass"</formula>
    </cfRule>
    <cfRule type="cellIs" dxfId="9979" priority="9910" stopIfTrue="1" operator="equal">
      <formula>"Fail"</formula>
    </cfRule>
  </conditionalFormatting>
  <conditionalFormatting sqref="E761 H761:P761">
    <cfRule type="cellIs" dxfId="9978" priority="9907" stopIfTrue="1" operator="equal">
      <formula>"Pass"</formula>
    </cfRule>
    <cfRule type="cellIs" dxfId="9977" priority="9908" stopIfTrue="1" operator="equal">
      <formula>"Fail"</formula>
    </cfRule>
  </conditionalFormatting>
  <conditionalFormatting sqref="H762:P762">
    <cfRule type="cellIs" dxfId="9976" priority="9905" stopIfTrue="1" operator="equal">
      <formula>"Pass"</formula>
    </cfRule>
    <cfRule type="cellIs" dxfId="9975" priority="9906" stopIfTrue="1" operator="equal">
      <formula>"Fail"</formula>
    </cfRule>
  </conditionalFormatting>
  <conditionalFormatting sqref="H762:O762">
    <cfRule type="cellIs" dxfId="9974" priority="9903" stopIfTrue="1" operator="equal">
      <formula>"Pass"</formula>
    </cfRule>
    <cfRule type="cellIs" dxfId="9973" priority="9904" stopIfTrue="1" operator="equal">
      <formula>"Fail"</formula>
    </cfRule>
  </conditionalFormatting>
  <conditionalFormatting sqref="H762:O762">
    <cfRule type="cellIs" dxfId="9972" priority="9901" stopIfTrue="1" operator="equal">
      <formula>"Pass"</formula>
    </cfRule>
    <cfRule type="cellIs" dxfId="9971" priority="9902" stopIfTrue="1" operator="equal">
      <formula>"Fail"</formula>
    </cfRule>
  </conditionalFormatting>
  <conditionalFormatting sqref="I762:P762">
    <cfRule type="cellIs" dxfId="9970" priority="9899" stopIfTrue="1" operator="equal">
      <formula>"Pass"</formula>
    </cfRule>
    <cfRule type="cellIs" dxfId="9969" priority="9900" stopIfTrue="1" operator="equal">
      <formula>"Fail"</formula>
    </cfRule>
  </conditionalFormatting>
  <conditionalFormatting sqref="I762:P762">
    <cfRule type="cellIs" dxfId="9968" priority="9897" stopIfTrue="1" operator="equal">
      <formula>"Pass"</formula>
    </cfRule>
    <cfRule type="cellIs" dxfId="9967" priority="9898" stopIfTrue="1" operator="equal">
      <formula>"Fail"</formula>
    </cfRule>
  </conditionalFormatting>
  <conditionalFormatting sqref="I762:P762">
    <cfRule type="cellIs" dxfId="9966" priority="9895" stopIfTrue="1" operator="equal">
      <formula>"Pass"</formula>
    </cfRule>
    <cfRule type="cellIs" dxfId="9965" priority="9896" stopIfTrue="1" operator="equal">
      <formula>"Fail"</formula>
    </cfRule>
  </conditionalFormatting>
  <conditionalFormatting sqref="I762:P762">
    <cfRule type="cellIs" dxfId="9964" priority="9893" stopIfTrue="1" operator="equal">
      <formula>"Pass"</formula>
    </cfRule>
    <cfRule type="cellIs" dxfId="9963" priority="9894" stopIfTrue="1" operator="equal">
      <formula>"Fail"</formula>
    </cfRule>
  </conditionalFormatting>
  <conditionalFormatting sqref="H762:O762">
    <cfRule type="cellIs" dxfId="9962" priority="9891" stopIfTrue="1" operator="equal">
      <formula>"Pass"</formula>
    </cfRule>
    <cfRule type="cellIs" dxfId="9961" priority="9892" stopIfTrue="1" operator="equal">
      <formula>"Fail"</formula>
    </cfRule>
  </conditionalFormatting>
  <conditionalFormatting sqref="H762:O762">
    <cfRule type="cellIs" dxfId="9960" priority="9889" stopIfTrue="1" operator="equal">
      <formula>"Pass"</formula>
    </cfRule>
    <cfRule type="cellIs" dxfId="9959" priority="9890" stopIfTrue="1" operator="equal">
      <formula>"Fail"</formula>
    </cfRule>
  </conditionalFormatting>
  <conditionalFormatting sqref="I762:P762">
    <cfRule type="cellIs" dxfId="9958" priority="9887" stopIfTrue="1" operator="equal">
      <formula>"Pass"</formula>
    </cfRule>
    <cfRule type="cellIs" dxfId="9957" priority="9888" stopIfTrue="1" operator="equal">
      <formula>"Fail"</formula>
    </cfRule>
  </conditionalFormatting>
  <conditionalFormatting sqref="I762:P762">
    <cfRule type="cellIs" dxfId="9956" priority="9885" stopIfTrue="1" operator="equal">
      <formula>"Pass"</formula>
    </cfRule>
    <cfRule type="cellIs" dxfId="9955" priority="9886" stopIfTrue="1" operator="equal">
      <formula>"Fail"</formula>
    </cfRule>
  </conditionalFormatting>
  <conditionalFormatting sqref="I762:P762">
    <cfRule type="cellIs" dxfId="9954" priority="9883" stopIfTrue="1" operator="equal">
      <formula>"Pass"</formula>
    </cfRule>
    <cfRule type="cellIs" dxfId="9953" priority="9884" stopIfTrue="1" operator="equal">
      <formula>"Fail"</formula>
    </cfRule>
  </conditionalFormatting>
  <conditionalFormatting sqref="I762:P762">
    <cfRule type="cellIs" dxfId="9952" priority="9881" stopIfTrue="1" operator="equal">
      <formula>"Pass"</formula>
    </cfRule>
    <cfRule type="cellIs" dxfId="9951" priority="9882" stopIfTrue="1" operator="equal">
      <formula>"Fail"</formula>
    </cfRule>
  </conditionalFormatting>
  <conditionalFormatting sqref="H762:O762">
    <cfRule type="cellIs" dxfId="9950" priority="9879" stopIfTrue="1" operator="equal">
      <formula>"Pass"</formula>
    </cfRule>
    <cfRule type="cellIs" dxfId="9949" priority="9880" stopIfTrue="1" operator="equal">
      <formula>"Fail"</formula>
    </cfRule>
  </conditionalFormatting>
  <conditionalFormatting sqref="H762:O762">
    <cfRule type="cellIs" dxfId="9948" priority="9877" stopIfTrue="1" operator="equal">
      <formula>"Pass"</formula>
    </cfRule>
    <cfRule type="cellIs" dxfId="9947" priority="9878" stopIfTrue="1" operator="equal">
      <formula>"Fail"</formula>
    </cfRule>
  </conditionalFormatting>
  <conditionalFormatting sqref="I762:P762">
    <cfRule type="cellIs" dxfId="9946" priority="9875" stopIfTrue="1" operator="equal">
      <formula>"Pass"</formula>
    </cfRule>
    <cfRule type="cellIs" dxfId="9945" priority="9876" stopIfTrue="1" operator="equal">
      <formula>"Fail"</formula>
    </cfRule>
  </conditionalFormatting>
  <conditionalFormatting sqref="I762:P762">
    <cfRule type="cellIs" dxfId="9944" priority="9873" stopIfTrue="1" operator="equal">
      <formula>"Pass"</formula>
    </cfRule>
    <cfRule type="cellIs" dxfId="9943" priority="9874" stopIfTrue="1" operator="equal">
      <formula>"Fail"</formula>
    </cfRule>
  </conditionalFormatting>
  <conditionalFormatting sqref="I762:P762">
    <cfRule type="cellIs" dxfId="9942" priority="9871" stopIfTrue="1" operator="equal">
      <formula>"Pass"</formula>
    </cfRule>
    <cfRule type="cellIs" dxfId="9941" priority="9872" stopIfTrue="1" operator="equal">
      <formula>"Fail"</formula>
    </cfRule>
  </conditionalFormatting>
  <conditionalFormatting sqref="I762:P762">
    <cfRule type="cellIs" dxfId="9940" priority="9869" stopIfTrue="1" operator="equal">
      <formula>"Pass"</formula>
    </cfRule>
    <cfRule type="cellIs" dxfId="9939" priority="9870" stopIfTrue="1" operator="equal">
      <formula>"Fail"</formula>
    </cfRule>
  </conditionalFormatting>
  <conditionalFormatting sqref="H762:O762">
    <cfRule type="cellIs" dxfId="9938" priority="9867" stopIfTrue="1" operator="equal">
      <formula>"Pass"</formula>
    </cfRule>
    <cfRule type="cellIs" dxfId="9937" priority="9868" stopIfTrue="1" operator="equal">
      <formula>"Fail"</formula>
    </cfRule>
  </conditionalFormatting>
  <conditionalFormatting sqref="H762:O762">
    <cfRule type="cellIs" dxfId="9936" priority="9865" stopIfTrue="1" operator="equal">
      <formula>"Pass"</formula>
    </cfRule>
    <cfRule type="cellIs" dxfId="9935" priority="9866" stopIfTrue="1" operator="equal">
      <formula>"Fail"</formula>
    </cfRule>
  </conditionalFormatting>
  <conditionalFormatting sqref="I762:P762">
    <cfRule type="cellIs" dxfId="9934" priority="9863" stopIfTrue="1" operator="equal">
      <formula>"Pass"</formula>
    </cfRule>
    <cfRule type="cellIs" dxfId="9933" priority="9864" stopIfTrue="1" operator="equal">
      <formula>"Fail"</formula>
    </cfRule>
  </conditionalFormatting>
  <conditionalFormatting sqref="I762:P762">
    <cfRule type="cellIs" dxfId="9932" priority="9861" stopIfTrue="1" operator="equal">
      <formula>"Pass"</formula>
    </cfRule>
    <cfRule type="cellIs" dxfId="9931" priority="9862" stopIfTrue="1" operator="equal">
      <formula>"Fail"</formula>
    </cfRule>
  </conditionalFormatting>
  <conditionalFormatting sqref="I762:P762">
    <cfRule type="cellIs" dxfId="9930" priority="9859" stopIfTrue="1" operator="equal">
      <formula>"Pass"</formula>
    </cfRule>
    <cfRule type="cellIs" dxfId="9929" priority="9860" stopIfTrue="1" operator="equal">
      <formula>"Fail"</formula>
    </cfRule>
  </conditionalFormatting>
  <conditionalFormatting sqref="I762:P762">
    <cfRule type="cellIs" dxfId="9928" priority="9857" stopIfTrue="1" operator="equal">
      <formula>"Pass"</formula>
    </cfRule>
    <cfRule type="cellIs" dxfId="9927" priority="9858" stopIfTrue="1" operator="equal">
      <formula>"Fail"</formula>
    </cfRule>
  </conditionalFormatting>
  <conditionalFormatting sqref="H762:O762">
    <cfRule type="cellIs" dxfId="9926" priority="9855" stopIfTrue="1" operator="equal">
      <formula>"Pass"</formula>
    </cfRule>
    <cfRule type="cellIs" dxfId="9925" priority="9856" stopIfTrue="1" operator="equal">
      <formula>"Fail"</formula>
    </cfRule>
  </conditionalFormatting>
  <conditionalFormatting sqref="H762:O762">
    <cfRule type="cellIs" dxfId="9924" priority="9853" stopIfTrue="1" operator="equal">
      <formula>"Pass"</formula>
    </cfRule>
    <cfRule type="cellIs" dxfId="9923" priority="9854" stopIfTrue="1" operator="equal">
      <formula>"Fail"</formula>
    </cfRule>
  </conditionalFormatting>
  <conditionalFormatting sqref="I762:P762">
    <cfRule type="cellIs" dxfId="9922" priority="9851" stopIfTrue="1" operator="equal">
      <formula>"Pass"</formula>
    </cfRule>
    <cfRule type="cellIs" dxfId="9921" priority="9852" stopIfTrue="1" operator="equal">
      <formula>"Fail"</formula>
    </cfRule>
  </conditionalFormatting>
  <conditionalFormatting sqref="I762:P762">
    <cfRule type="cellIs" dxfId="9920" priority="9849" stopIfTrue="1" operator="equal">
      <formula>"Pass"</formula>
    </cfRule>
    <cfRule type="cellIs" dxfId="9919" priority="9850" stopIfTrue="1" operator="equal">
      <formula>"Fail"</formula>
    </cfRule>
  </conditionalFormatting>
  <conditionalFormatting sqref="I762:P762">
    <cfRule type="cellIs" dxfId="9918" priority="9847" stopIfTrue="1" operator="equal">
      <formula>"Pass"</formula>
    </cfRule>
    <cfRule type="cellIs" dxfId="9917" priority="9848" stopIfTrue="1" operator="equal">
      <formula>"Fail"</formula>
    </cfRule>
  </conditionalFormatting>
  <conditionalFormatting sqref="I762:P762">
    <cfRule type="cellIs" dxfId="9916" priority="9845" stopIfTrue="1" operator="equal">
      <formula>"Pass"</formula>
    </cfRule>
    <cfRule type="cellIs" dxfId="9915" priority="9846" stopIfTrue="1" operator="equal">
      <formula>"Fail"</formula>
    </cfRule>
  </conditionalFormatting>
  <conditionalFormatting sqref="H762:O762">
    <cfRule type="cellIs" dxfId="9914" priority="9843" stopIfTrue="1" operator="equal">
      <formula>"Pass"</formula>
    </cfRule>
    <cfRule type="cellIs" dxfId="9913" priority="9844" stopIfTrue="1" operator="equal">
      <formula>"Fail"</formula>
    </cfRule>
  </conditionalFormatting>
  <conditionalFormatting sqref="H762:O762">
    <cfRule type="cellIs" dxfId="9912" priority="9841" stopIfTrue="1" operator="equal">
      <formula>"Pass"</formula>
    </cfRule>
    <cfRule type="cellIs" dxfId="9911" priority="9842" stopIfTrue="1" operator="equal">
      <formula>"Fail"</formula>
    </cfRule>
  </conditionalFormatting>
  <conditionalFormatting sqref="I762:P762">
    <cfRule type="cellIs" dxfId="9910" priority="9839" stopIfTrue="1" operator="equal">
      <formula>"Pass"</formula>
    </cfRule>
    <cfRule type="cellIs" dxfId="9909" priority="9840" stopIfTrue="1" operator="equal">
      <formula>"Fail"</formula>
    </cfRule>
  </conditionalFormatting>
  <conditionalFormatting sqref="I762:P762">
    <cfRule type="cellIs" dxfId="9908" priority="9837" stopIfTrue="1" operator="equal">
      <formula>"Pass"</formula>
    </cfRule>
    <cfRule type="cellIs" dxfId="9907" priority="9838" stopIfTrue="1" operator="equal">
      <formula>"Fail"</formula>
    </cfRule>
  </conditionalFormatting>
  <conditionalFormatting sqref="I762:P762">
    <cfRule type="cellIs" dxfId="9906" priority="9835" stopIfTrue="1" operator="equal">
      <formula>"Pass"</formula>
    </cfRule>
    <cfRule type="cellIs" dxfId="9905" priority="9836" stopIfTrue="1" operator="equal">
      <formula>"Fail"</formula>
    </cfRule>
  </conditionalFormatting>
  <conditionalFormatting sqref="I762:P762">
    <cfRule type="cellIs" dxfId="9904" priority="9833" stopIfTrue="1" operator="equal">
      <formula>"Pass"</formula>
    </cfRule>
    <cfRule type="cellIs" dxfId="9903" priority="9834" stopIfTrue="1" operator="equal">
      <formula>"Fail"</formula>
    </cfRule>
  </conditionalFormatting>
  <conditionalFormatting sqref="H762:O762">
    <cfRule type="cellIs" dxfId="9902" priority="9831" stopIfTrue="1" operator="equal">
      <formula>"Pass"</formula>
    </cfRule>
    <cfRule type="cellIs" dxfId="9901" priority="9832" stopIfTrue="1" operator="equal">
      <formula>"Fail"</formula>
    </cfRule>
  </conditionalFormatting>
  <conditionalFormatting sqref="H762:O762">
    <cfRule type="cellIs" dxfId="9900" priority="9829" stopIfTrue="1" operator="equal">
      <formula>"Pass"</formula>
    </cfRule>
    <cfRule type="cellIs" dxfId="9899" priority="9830" stopIfTrue="1" operator="equal">
      <formula>"Fail"</formula>
    </cfRule>
  </conditionalFormatting>
  <conditionalFormatting sqref="I762:P762">
    <cfRule type="cellIs" dxfId="9898" priority="9827" stopIfTrue="1" operator="equal">
      <formula>"Pass"</formula>
    </cfRule>
    <cfRule type="cellIs" dxfId="9897" priority="9828" stopIfTrue="1" operator="equal">
      <formula>"Fail"</formula>
    </cfRule>
  </conditionalFormatting>
  <conditionalFormatting sqref="I762:P762">
    <cfRule type="cellIs" dxfId="9896" priority="9825" stopIfTrue="1" operator="equal">
      <formula>"Pass"</formula>
    </cfRule>
    <cfRule type="cellIs" dxfId="9895" priority="9826" stopIfTrue="1" operator="equal">
      <formula>"Fail"</formula>
    </cfRule>
  </conditionalFormatting>
  <conditionalFormatting sqref="I762:P762">
    <cfRule type="cellIs" dxfId="9894" priority="9823" stopIfTrue="1" operator="equal">
      <formula>"Pass"</formula>
    </cfRule>
    <cfRule type="cellIs" dxfId="9893" priority="9824" stopIfTrue="1" operator="equal">
      <formula>"Fail"</formula>
    </cfRule>
  </conditionalFormatting>
  <conditionalFormatting sqref="I762:P762">
    <cfRule type="cellIs" dxfId="9892" priority="9821" stopIfTrue="1" operator="equal">
      <formula>"Pass"</formula>
    </cfRule>
    <cfRule type="cellIs" dxfId="9891" priority="9822" stopIfTrue="1" operator="equal">
      <formula>"Fail"</formula>
    </cfRule>
  </conditionalFormatting>
  <conditionalFormatting sqref="H762:O762">
    <cfRule type="cellIs" dxfId="9890" priority="9819" stopIfTrue="1" operator="equal">
      <formula>"Pass"</formula>
    </cfRule>
    <cfRule type="cellIs" dxfId="9889" priority="9820" stopIfTrue="1" operator="equal">
      <formula>"Fail"</formula>
    </cfRule>
  </conditionalFormatting>
  <conditionalFormatting sqref="H762:O762">
    <cfRule type="cellIs" dxfId="9888" priority="9817" stopIfTrue="1" operator="equal">
      <formula>"Pass"</formula>
    </cfRule>
    <cfRule type="cellIs" dxfId="9887" priority="9818" stopIfTrue="1" operator="equal">
      <formula>"Fail"</formula>
    </cfRule>
  </conditionalFormatting>
  <conditionalFormatting sqref="I762:P762">
    <cfRule type="cellIs" dxfId="9886" priority="9815" stopIfTrue="1" operator="equal">
      <formula>"Pass"</formula>
    </cfRule>
    <cfRule type="cellIs" dxfId="9885" priority="9816" stopIfTrue="1" operator="equal">
      <formula>"Fail"</formula>
    </cfRule>
  </conditionalFormatting>
  <conditionalFormatting sqref="I762:P762">
    <cfRule type="cellIs" dxfId="9884" priority="9813" stopIfTrue="1" operator="equal">
      <formula>"Pass"</formula>
    </cfRule>
    <cfRule type="cellIs" dxfId="9883" priority="9814" stopIfTrue="1" operator="equal">
      <formula>"Fail"</formula>
    </cfRule>
  </conditionalFormatting>
  <conditionalFormatting sqref="I762:P762">
    <cfRule type="cellIs" dxfId="9882" priority="9811" stopIfTrue="1" operator="equal">
      <formula>"Pass"</formula>
    </cfRule>
    <cfRule type="cellIs" dxfId="9881" priority="9812" stopIfTrue="1" operator="equal">
      <formula>"Fail"</formula>
    </cfRule>
  </conditionalFormatting>
  <conditionalFormatting sqref="I762:P762">
    <cfRule type="cellIs" dxfId="9880" priority="9809" stopIfTrue="1" operator="equal">
      <formula>"Pass"</formula>
    </cfRule>
    <cfRule type="cellIs" dxfId="9879" priority="9810" stopIfTrue="1" operator="equal">
      <formula>"Fail"</formula>
    </cfRule>
  </conditionalFormatting>
  <conditionalFormatting sqref="H762:O762">
    <cfRule type="cellIs" dxfId="9878" priority="9807" stopIfTrue="1" operator="equal">
      <formula>"Pass"</formula>
    </cfRule>
    <cfRule type="cellIs" dxfId="9877" priority="9808" stopIfTrue="1" operator="equal">
      <formula>"Fail"</formula>
    </cfRule>
  </conditionalFormatting>
  <conditionalFormatting sqref="H762:O762">
    <cfRule type="cellIs" dxfId="9876" priority="9805" stopIfTrue="1" operator="equal">
      <formula>"Pass"</formula>
    </cfRule>
    <cfRule type="cellIs" dxfId="9875" priority="9806" stopIfTrue="1" operator="equal">
      <formula>"Fail"</formula>
    </cfRule>
  </conditionalFormatting>
  <conditionalFormatting sqref="I762:P762">
    <cfRule type="cellIs" dxfId="9874" priority="9803" stopIfTrue="1" operator="equal">
      <formula>"Pass"</formula>
    </cfRule>
    <cfRule type="cellIs" dxfId="9873" priority="9804" stopIfTrue="1" operator="equal">
      <formula>"Fail"</formula>
    </cfRule>
  </conditionalFormatting>
  <conditionalFormatting sqref="I762:P762">
    <cfRule type="cellIs" dxfId="9872" priority="9801" stopIfTrue="1" operator="equal">
      <formula>"Pass"</formula>
    </cfRule>
    <cfRule type="cellIs" dxfId="9871" priority="9802" stopIfTrue="1" operator="equal">
      <formula>"Fail"</formula>
    </cfRule>
  </conditionalFormatting>
  <conditionalFormatting sqref="I762:P762">
    <cfRule type="cellIs" dxfId="9870" priority="9799" stopIfTrue="1" operator="equal">
      <formula>"Pass"</formula>
    </cfRule>
    <cfRule type="cellIs" dxfId="9869" priority="9800" stopIfTrue="1" operator="equal">
      <formula>"Fail"</formula>
    </cfRule>
  </conditionalFormatting>
  <conditionalFormatting sqref="I762:P762">
    <cfRule type="cellIs" dxfId="9868" priority="9797" stopIfTrue="1" operator="equal">
      <formula>"Pass"</formula>
    </cfRule>
    <cfRule type="cellIs" dxfId="9867" priority="9798" stopIfTrue="1" operator="equal">
      <formula>"Fail"</formula>
    </cfRule>
  </conditionalFormatting>
  <conditionalFormatting sqref="H762:O762">
    <cfRule type="cellIs" dxfId="9866" priority="9795" stopIfTrue="1" operator="equal">
      <formula>"Pass"</formula>
    </cfRule>
    <cfRule type="cellIs" dxfId="9865" priority="9796" stopIfTrue="1" operator="equal">
      <formula>"Fail"</formula>
    </cfRule>
  </conditionalFormatting>
  <conditionalFormatting sqref="H762:O762">
    <cfRule type="cellIs" dxfId="9864" priority="9793" stopIfTrue="1" operator="equal">
      <formula>"Pass"</formula>
    </cfRule>
    <cfRule type="cellIs" dxfId="9863" priority="9794" stopIfTrue="1" operator="equal">
      <formula>"Fail"</formula>
    </cfRule>
  </conditionalFormatting>
  <conditionalFormatting sqref="I762:P762">
    <cfRule type="cellIs" dxfId="9862" priority="9791" stopIfTrue="1" operator="equal">
      <formula>"Pass"</formula>
    </cfRule>
    <cfRule type="cellIs" dxfId="9861" priority="9792" stopIfTrue="1" operator="equal">
      <formula>"Fail"</formula>
    </cfRule>
  </conditionalFormatting>
  <conditionalFormatting sqref="I762:P762">
    <cfRule type="cellIs" dxfId="9860" priority="9789" stopIfTrue="1" operator="equal">
      <formula>"Pass"</formula>
    </cfRule>
    <cfRule type="cellIs" dxfId="9859" priority="9790" stopIfTrue="1" operator="equal">
      <formula>"Fail"</formula>
    </cfRule>
  </conditionalFormatting>
  <conditionalFormatting sqref="I762:P762">
    <cfRule type="cellIs" dxfId="9858" priority="9787" stopIfTrue="1" operator="equal">
      <formula>"Pass"</formula>
    </cfRule>
    <cfRule type="cellIs" dxfId="9857" priority="9788" stopIfTrue="1" operator="equal">
      <formula>"Fail"</formula>
    </cfRule>
  </conditionalFormatting>
  <conditionalFormatting sqref="I762:P762">
    <cfRule type="cellIs" dxfId="9856" priority="9785" stopIfTrue="1" operator="equal">
      <formula>"Pass"</formula>
    </cfRule>
    <cfRule type="cellIs" dxfId="9855" priority="9786" stopIfTrue="1" operator="equal">
      <formula>"Fail"</formula>
    </cfRule>
  </conditionalFormatting>
  <conditionalFormatting sqref="H762:O762">
    <cfRule type="cellIs" dxfId="9854" priority="9783" stopIfTrue="1" operator="equal">
      <formula>"Pass"</formula>
    </cfRule>
    <cfRule type="cellIs" dxfId="9853" priority="9784" stopIfTrue="1" operator="equal">
      <formula>"Fail"</formula>
    </cfRule>
  </conditionalFormatting>
  <conditionalFormatting sqref="H762:O762">
    <cfRule type="cellIs" dxfId="9852" priority="9781" stopIfTrue="1" operator="equal">
      <formula>"Pass"</formula>
    </cfRule>
    <cfRule type="cellIs" dxfId="9851" priority="9782" stopIfTrue="1" operator="equal">
      <formula>"Fail"</formula>
    </cfRule>
  </conditionalFormatting>
  <conditionalFormatting sqref="I762:P762">
    <cfRule type="cellIs" dxfId="9850" priority="9779" stopIfTrue="1" operator="equal">
      <formula>"Pass"</formula>
    </cfRule>
    <cfRule type="cellIs" dxfId="9849" priority="9780" stopIfTrue="1" operator="equal">
      <formula>"Fail"</formula>
    </cfRule>
  </conditionalFormatting>
  <conditionalFormatting sqref="I762:P762">
    <cfRule type="cellIs" dxfId="9848" priority="9777" stopIfTrue="1" operator="equal">
      <formula>"Pass"</formula>
    </cfRule>
    <cfRule type="cellIs" dxfId="9847" priority="9778" stopIfTrue="1" operator="equal">
      <formula>"Fail"</formula>
    </cfRule>
  </conditionalFormatting>
  <conditionalFormatting sqref="I762:P762">
    <cfRule type="cellIs" dxfId="9846" priority="9775" stopIfTrue="1" operator="equal">
      <formula>"Pass"</formula>
    </cfRule>
    <cfRule type="cellIs" dxfId="9845" priority="9776" stopIfTrue="1" operator="equal">
      <formula>"Fail"</formula>
    </cfRule>
  </conditionalFormatting>
  <conditionalFormatting sqref="I762:P762">
    <cfRule type="cellIs" dxfId="9844" priority="9773" stopIfTrue="1" operator="equal">
      <formula>"Pass"</formula>
    </cfRule>
    <cfRule type="cellIs" dxfId="9843" priority="9774" stopIfTrue="1" operator="equal">
      <formula>"Fail"</formula>
    </cfRule>
  </conditionalFormatting>
  <conditionalFormatting sqref="H762:O762">
    <cfRule type="cellIs" dxfId="9842" priority="9771" stopIfTrue="1" operator="equal">
      <formula>"Pass"</formula>
    </cfRule>
    <cfRule type="cellIs" dxfId="9841" priority="9772" stopIfTrue="1" operator="equal">
      <formula>"Fail"</formula>
    </cfRule>
  </conditionalFormatting>
  <conditionalFormatting sqref="H762:O762">
    <cfRule type="cellIs" dxfId="9840" priority="9769" stopIfTrue="1" operator="equal">
      <formula>"Pass"</formula>
    </cfRule>
    <cfRule type="cellIs" dxfId="9839" priority="9770" stopIfTrue="1" operator="equal">
      <formula>"Fail"</formula>
    </cfRule>
  </conditionalFormatting>
  <conditionalFormatting sqref="I762:P762">
    <cfRule type="cellIs" dxfId="9838" priority="9767" stopIfTrue="1" operator="equal">
      <formula>"Pass"</formula>
    </cfRule>
    <cfRule type="cellIs" dxfId="9837" priority="9768" stopIfTrue="1" operator="equal">
      <formula>"Fail"</formula>
    </cfRule>
  </conditionalFormatting>
  <conditionalFormatting sqref="I762:P762">
    <cfRule type="cellIs" dxfId="9836" priority="9765" stopIfTrue="1" operator="equal">
      <formula>"Pass"</formula>
    </cfRule>
    <cfRule type="cellIs" dxfId="9835" priority="9766" stopIfTrue="1" operator="equal">
      <formula>"Fail"</formula>
    </cfRule>
  </conditionalFormatting>
  <conditionalFormatting sqref="I762:P762">
    <cfRule type="cellIs" dxfId="9834" priority="9763" stopIfTrue="1" operator="equal">
      <formula>"Pass"</formula>
    </cfRule>
    <cfRule type="cellIs" dxfId="9833" priority="9764" stopIfTrue="1" operator="equal">
      <formula>"Fail"</formula>
    </cfRule>
  </conditionalFormatting>
  <conditionalFormatting sqref="I762:P762">
    <cfRule type="cellIs" dxfId="9832" priority="9761" stopIfTrue="1" operator="equal">
      <formula>"Pass"</formula>
    </cfRule>
    <cfRule type="cellIs" dxfId="9831" priority="9762" stopIfTrue="1" operator="equal">
      <formula>"Fail"</formula>
    </cfRule>
  </conditionalFormatting>
  <conditionalFormatting sqref="H762:O762">
    <cfRule type="cellIs" dxfId="9830" priority="9759" stopIfTrue="1" operator="equal">
      <formula>"Pass"</formula>
    </cfRule>
    <cfRule type="cellIs" dxfId="9829" priority="9760" stopIfTrue="1" operator="equal">
      <formula>"Fail"</formula>
    </cfRule>
  </conditionalFormatting>
  <conditionalFormatting sqref="H762:O762">
    <cfRule type="cellIs" dxfId="9828" priority="9757" stopIfTrue="1" operator="equal">
      <formula>"Pass"</formula>
    </cfRule>
    <cfRule type="cellIs" dxfId="9827" priority="9758" stopIfTrue="1" operator="equal">
      <formula>"Fail"</formula>
    </cfRule>
  </conditionalFormatting>
  <conditionalFormatting sqref="I762:P762">
    <cfRule type="cellIs" dxfId="9826" priority="9755" stopIfTrue="1" operator="equal">
      <formula>"Pass"</formula>
    </cfRule>
    <cfRule type="cellIs" dxfId="9825" priority="9756" stopIfTrue="1" operator="equal">
      <formula>"Fail"</formula>
    </cfRule>
  </conditionalFormatting>
  <conditionalFormatting sqref="I762:P762">
    <cfRule type="cellIs" dxfId="9824" priority="9753" stopIfTrue="1" operator="equal">
      <formula>"Pass"</formula>
    </cfRule>
    <cfRule type="cellIs" dxfId="9823" priority="9754" stopIfTrue="1" operator="equal">
      <formula>"Fail"</formula>
    </cfRule>
  </conditionalFormatting>
  <conditionalFormatting sqref="I762:P762">
    <cfRule type="cellIs" dxfId="9822" priority="9751" stopIfTrue="1" operator="equal">
      <formula>"Pass"</formula>
    </cfRule>
    <cfRule type="cellIs" dxfId="9821" priority="9752" stopIfTrue="1" operator="equal">
      <formula>"Fail"</formula>
    </cfRule>
  </conditionalFormatting>
  <conditionalFormatting sqref="I762:P762">
    <cfRule type="cellIs" dxfId="9820" priority="9749" stopIfTrue="1" operator="equal">
      <formula>"Pass"</formula>
    </cfRule>
    <cfRule type="cellIs" dxfId="9819" priority="9750" stopIfTrue="1" operator="equal">
      <formula>"Fail"</formula>
    </cfRule>
  </conditionalFormatting>
  <conditionalFormatting sqref="H762:O762">
    <cfRule type="cellIs" dxfId="9818" priority="9747" stopIfTrue="1" operator="equal">
      <formula>"Pass"</formula>
    </cfRule>
    <cfRule type="cellIs" dxfId="9817" priority="9748" stopIfTrue="1" operator="equal">
      <formula>"Fail"</formula>
    </cfRule>
  </conditionalFormatting>
  <conditionalFormatting sqref="H762:O762">
    <cfRule type="cellIs" dxfId="9816" priority="9745" stopIfTrue="1" operator="equal">
      <formula>"Pass"</formula>
    </cfRule>
    <cfRule type="cellIs" dxfId="9815" priority="9746" stopIfTrue="1" operator="equal">
      <formula>"Fail"</formula>
    </cfRule>
  </conditionalFormatting>
  <conditionalFormatting sqref="I762:P762">
    <cfRule type="cellIs" dxfId="9814" priority="9743" stopIfTrue="1" operator="equal">
      <formula>"Pass"</formula>
    </cfRule>
    <cfRule type="cellIs" dxfId="9813" priority="9744" stopIfTrue="1" operator="equal">
      <formula>"Fail"</formula>
    </cfRule>
  </conditionalFormatting>
  <conditionalFormatting sqref="I762:P762">
    <cfRule type="cellIs" dxfId="9812" priority="9741" stopIfTrue="1" operator="equal">
      <formula>"Pass"</formula>
    </cfRule>
    <cfRule type="cellIs" dxfId="9811" priority="9742" stopIfTrue="1" operator="equal">
      <formula>"Fail"</formula>
    </cfRule>
  </conditionalFormatting>
  <conditionalFormatting sqref="I762:P762">
    <cfRule type="cellIs" dxfId="9810" priority="9739" stopIfTrue="1" operator="equal">
      <formula>"Pass"</formula>
    </cfRule>
    <cfRule type="cellIs" dxfId="9809" priority="9740" stopIfTrue="1" operator="equal">
      <formula>"Fail"</formula>
    </cfRule>
  </conditionalFormatting>
  <conditionalFormatting sqref="I762:P762">
    <cfRule type="cellIs" dxfId="9808" priority="9737" stopIfTrue="1" operator="equal">
      <formula>"Pass"</formula>
    </cfRule>
    <cfRule type="cellIs" dxfId="9807" priority="9738" stopIfTrue="1" operator="equal">
      <formula>"Fail"</formula>
    </cfRule>
  </conditionalFormatting>
  <conditionalFormatting sqref="H762:O762">
    <cfRule type="cellIs" dxfId="9806" priority="9735" stopIfTrue="1" operator="equal">
      <formula>"Pass"</formula>
    </cfRule>
    <cfRule type="cellIs" dxfId="9805" priority="9736" stopIfTrue="1" operator="equal">
      <formula>"Fail"</formula>
    </cfRule>
  </conditionalFormatting>
  <conditionalFormatting sqref="H762:O762">
    <cfRule type="cellIs" dxfId="9804" priority="9733" stopIfTrue="1" operator="equal">
      <formula>"Pass"</formula>
    </cfRule>
    <cfRule type="cellIs" dxfId="9803" priority="9734" stopIfTrue="1" operator="equal">
      <formula>"Fail"</formula>
    </cfRule>
  </conditionalFormatting>
  <conditionalFormatting sqref="I762:P762">
    <cfRule type="cellIs" dxfId="9802" priority="9731" stopIfTrue="1" operator="equal">
      <formula>"Pass"</formula>
    </cfRule>
    <cfRule type="cellIs" dxfId="9801" priority="9732" stopIfTrue="1" operator="equal">
      <formula>"Fail"</formula>
    </cfRule>
  </conditionalFormatting>
  <conditionalFormatting sqref="I762:P762">
    <cfRule type="cellIs" dxfId="9800" priority="9729" stopIfTrue="1" operator="equal">
      <formula>"Pass"</formula>
    </cfRule>
    <cfRule type="cellIs" dxfId="9799" priority="9730" stopIfTrue="1" operator="equal">
      <formula>"Fail"</formula>
    </cfRule>
  </conditionalFormatting>
  <conditionalFormatting sqref="I762:P762">
    <cfRule type="cellIs" dxfId="9798" priority="9727" stopIfTrue="1" operator="equal">
      <formula>"Pass"</formula>
    </cfRule>
    <cfRule type="cellIs" dxfId="9797" priority="9728" stopIfTrue="1" operator="equal">
      <formula>"Fail"</formula>
    </cfRule>
  </conditionalFormatting>
  <conditionalFormatting sqref="I762:P762">
    <cfRule type="cellIs" dxfId="9796" priority="9725" stopIfTrue="1" operator="equal">
      <formula>"Pass"</formula>
    </cfRule>
    <cfRule type="cellIs" dxfId="9795" priority="9726" stopIfTrue="1" operator="equal">
      <formula>"Fail"</formula>
    </cfRule>
  </conditionalFormatting>
  <conditionalFormatting sqref="H762:O762">
    <cfRule type="cellIs" dxfId="9794" priority="9723" stopIfTrue="1" operator="equal">
      <formula>"Pass"</formula>
    </cfRule>
    <cfRule type="cellIs" dxfId="9793" priority="9724" stopIfTrue="1" operator="equal">
      <formula>"Fail"</formula>
    </cfRule>
  </conditionalFormatting>
  <conditionalFormatting sqref="H762:O762">
    <cfRule type="cellIs" dxfId="9792" priority="9721" stopIfTrue="1" operator="equal">
      <formula>"Pass"</formula>
    </cfRule>
    <cfRule type="cellIs" dxfId="9791" priority="9722" stopIfTrue="1" operator="equal">
      <formula>"Fail"</formula>
    </cfRule>
  </conditionalFormatting>
  <conditionalFormatting sqref="I762:P762">
    <cfRule type="cellIs" dxfId="9790" priority="9719" stopIfTrue="1" operator="equal">
      <formula>"Pass"</formula>
    </cfRule>
    <cfRule type="cellIs" dxfId="9789" priority="9720" stopIfTrue="1" operator="equal">
      <formula>"Fail"</formula>
    </cfRule>
  </conditionalFormatting>
  <conditionalFormatting sqref="I762:P762">
    <cfRule type="cellIs" dxfId="9788" priority="9717" stopIfTrue="1" operator="equal">
      <formula>"Pass"</formula>
    </cfRule>
    <cfRule type="cellIs" dxfId="9787" priority="9718" stopIfTrue="1" operator="equal">
      <formula>"Fail"</formula>
    </cfRule>
  </conditionalFormatting>
  <conditionalFormatting sqref="I762:P762">
    <cfRule type="cellIs" dxfId="9786" priority="9715" stopIfTrue="1" operator="equal">
      <formula>"Pass"</formula>
    </cfRule>
    <cfRule type="cellIs" dxfId="9785" priority="9716" stopIfTrue="1" operator="equal">
      <formula>"Fail"</formula>
    </cfRule>
  </conditionalFormatting>
  <conditionalFormatting sqref="I762:P762">
    <cfRule type="cellIs" dxfId="9784" priority="9713" stopIfTrue="1" operator="equal">
      <formula>"Pass"</formula>
    </cfRule>
    <cfRule type="cellIs" dxfId="9783" priority="9714" stopIfTrue="1" operator="equal">
      <formula>"Fail"</formula>
    </cfRule>
  </conditionalFormatting>
  <conditionalFormatting sqref="H762:O762">
    <cfRule type="cellIs" dxfId="9782" priority="9711" stopIfTrue="1" operator="equal">
      <formula>"Pass"</formula>
    </cfRule>
    <cfRule type="cellIs" dxfId="9781" priority="9712" stopIfTrue="1" operator="equal">
      <formula>"Fail"</formula>
    </cfRule>
  </conditionalFormatting>
  <conditionalFormatting sqref="H762:O762">
    <cfRule type="cellIs" dxfId="9780" priority="9709" stopIfTrue="1" operator="equal">
      <formula>"Pass"</formula>
    </cfRule>
    <cfRule type="cellIs" dxfId="9779" priority="9710" stopIfTrue="1" operator="equal">
      <formula>"Fail"</formula>
    </cfRule>
  </conditionalFormatting>
  <conditionalFormatting sqref="I762:P762">
    <cfRule type="cellIs" dxfId="9778" priority="9707" stopIfTrue="1" operator="equal">
      <formula>"Pass"</formula>
    </cfRule>
    <cfRule type="cellIs" dxfId="9777" priority="9708" stopIfTrue="1" operator="equal">
      <formula>"Fail"</formula>
    </cfRule>
  </conditionalFormatting>
  <conditionalFormatting sqref="I762:P762">
    <cfRule type="cellIs" dxfId="9776" priority="9705" stopIfTrue="1" operator="equal">
      <formula>"Pass"</formula>
    </cfRule>
    <cfRule type="cellIs" dxfId="9775" priority="9706" stopIfTrue="1" operator="equal">
      <formula>"Fail"</formula>
    </cfRule>
  </conditionalFormatting>
  <conditionalFormatting sqref="I762:P762">
    <cfRule type="cellIs" dxfId="9774" priority="9703" stopIfTrue="1" operator="equal">
      <formula>"Pass"</formula>
    </cfRule>
    <cfRule type="cellIs" dxfId="9773" priority="9704" stopIfTrue="1" operator="equal">
      <formula>"Fail"</formula>
    </cfRule>
  </conditionalFormatting>
  <conditionalFormatting sqref="I762:P762">
    <cfRule type="cellIs" dxfId="9772" priority="9701" stopIfTrue="1" operator="equal">
      <formula>"Pass"</formula>
    </cfRule>
    <cfRule type="cellIs" dxfId="9771" priority="9702" stopIfTrue="1" operator="equal">
      <formula>"Fail"</formula>
    </cfRule>
  </conditionalFormatting>
  <conditionalFormatting sqref="H762:O762">
    <cfRule type="cellIs" dxfId="9770" priority="9699" stopIfTrue="1" operator="equal">
      <formula>"Pass"</formula>
    </cfRule>
    <cfRule type="cellIs" dxfId="9769" priority="9700" stopIfTrue="1" operator="equal">
      <formula>"Fail"</formula>
    </cfRule>
  </conditionalFormatting>
  <conditionalFormatting sqref="H762:O762">
    <cfRule type="cellIs" dxfId="9768" priority="9697" stopIfTrue="1" operator="equal">
      <formula>"Pass"</formula>
    </cfRule>
    <cfRule type="cellIs" dxfId="9767" priority="9698" stopIfTrue="1" operator="equal">
      <formula>"Fail"</formula>
    </cfRule>
  </conditionalFormatting>
  <conditionalFormatting sqref="I762:P762">
    <cfRule type="cellIs" dxfId="9766" priority="9695" stopIfTrue="1" operator="equal">
      <formula>"Pass"</formula>
    </cfRule>
    <cfRule type="cellIs" dxfId="9765" priority="9696" stopIfTrue="1" operator="equal">
      <formula>"Fail"</formula>
    </cfRule>
  </conditionalFormatting>
  <conditionalFormatting sqref="I762:P762">
    <cfRule type="cellIs" dxfId="9764" priority="9693" stopIfTrue="1" operator="equal">
      <formula>"Pass"</formula>
    </cfRule>
    <cfRule type="cellIs" dxfId="9763" priority="9694" stopIfTrue="1" operator="equal">
      <formula>"Fail"</formula>
    </cfRule>
  </conditionalFormatting>
  <conditionalFormatting sqref="I762:P762">
    <cfRule type="cellIs" dxfId="9762" priority="9691" stopIfTrue="1" operator="equal">
      <formula>"Pass"</formula>
    </cfRule>
    <cfRule type="cellIs" dxfId="9761" priority="9692" stopIfTrue="1" operator="equal">
      <formula>"Fail"</formula>
    </cfRule>
  </conditionalFormatting>
  <conditionalFormatting sqref="I762:P762">
    <cfRule type="cellIs" dxfId="9760" priority="9689" stopIfTrue="1" operator="equal">
      <formula>"Pass"</formula>
    </cfRule>
    <cfRule type="cellIs" dxfId="9759" priority="9690" stopIfTrue="1" operator="equal">
      <formula>"Fail"</formula>
    </cfRule>
  </conditionalFormatting>
  <conditionalFormatting sqref="H762:O762">
    <cfRule type="cellIs" dxfId="9758" priority="9687" stopIfTrue="1" operator="equal">
      <formula>"Pass"</formula>
    </cfRule>
    <cfRule type="cellIs" dxfId="9757" priority="9688" stopIfTrue="1" operator="equal">
      <formula>"Fail"</formula>
    </cfRule>
  </conditionalFormatting>
  <conditionalFormatting sqref="H762:O762">
    <cfRule type="cellIs" dxfId="9756" priority="9685" stopIfTrue="1" operator="equal">
      <formula>"Pass"</formula>
    </cfRule>
    <cfRule type="cellIs" dxfId="9755" priority="9686" stopIfTrue="1" operator="equal">
      <formula>"Fail"</formula>
    </cfRule>
  </conditionalFormatting>
  <conditionalFormatting sqref="I762:P762">
    <cfRule type="cellIs" dxfId="9754" priority="9683" stopIfTrue="1" operator="equal">
      <formula>"Pass"</formula>
    </cfRule>
    <cfRule type="cellIs" dxfId="9753" priority="9684" stopIfTrue="1" operator="equal">
      <formula>"Fail"</formula>
    </cfRule>
  </conditionalFormatting>
  <conditionalFormatting sqref="I762:P762">
    <cfRule type="cellIs" dxfId="9752" priority="9681" stopIfTrue="1" operator="equal">
      <formula>"Pass"</formula>
    </cfRule>
    <cfRule type="cellIs" dxfId="9751" priority="9682" stopIfTrue="1" operator="equal">
      <formula>"Fail"</formula>
    </cfRule>
  </conditionalFormatting>
  <conditionalFormatting sqref="I762:P762">
    <cfRule type="cellIs" dxfId="9750" priority="9679" stopIfTrue="1" operator="equal">
      <formula>"Pass"</formula>
    </cfRule>
    <cfRule type="cellIs" dxfId="9749" priority="9680" stopIfTrue="1" operator="equal">
      <formula>"Fail"</formula>
    </cfRule>
  </conditionalFormatting>
  <conditionalFormatting sqref="I762:P762">
    <cfRule type="cellIs" dxfId="9748" priority="9677" stopIfTrue="1" operator="equal">
      <formula>"Pass"</formula>
    </cfRule>
    <cfRule type="cellIs" dxfId="9747" priority="9678" stopIfTrue="1" operator="equal">
      <formula>"Fail"</formula>
    </cfRule>
  </conditionalFormatting>
  <conditionalFormatting sqref="H762:O762">
    <cfRule type="cellIs" dxfId="9746" priority="9675" stopIfTrue="1" operator="equal">
      <formula>"Pass"</formula>
    </cfRule>
    <cfRule type="cellIs" dxfId="9745" priority="9676" stopIfTrue="1" operator="equal">
      <formula>"Fail"</formula>
    </cfRule>
  </conditionalFormatting>
  <conditionalFormatting sqref="H762:O762">
    <cfRule type="cellIs" dxfId="9744" priority="9673" stopIfTrue="1" operator="equal">
      <formula>"Pass"</formula>
    </cfRule>
    <cfRule type="cellIs" dxfId="9743" priority="9674" stopIfTrue="1" operator="equal">
      <formula>"Fail"</formula>
    </cfRule>
  </conditionalFormatting>
  <conditionalFormatting sqref="I762:P762">
    <cfRule type="cellIs" dxfId="9742" priority="9671" stopIfTrue="1" operator="equal">
      <formula>"Pass"</formula>
    </cfRule>
    <cfRule type="cellIs" dxfId="9741" priority="9672" stopIfTrue="1" operator="equal">
      <formula>"Fail"</formula>
    </cfRule>
  </conditionalFormatting>
  <conditionalFormatting sqref="I762:P762">
    <cfRule type="cellIs" dxfId="9740" priority="9669" stopIfTrue="1" operator="equal">
      <formula>"Pass"</formula>
    </cfRule>
    <cfRule type="cellIs" dxfId="9739" priority="9670" stopIfTrue="1" operator="equal">
      <formula>"Fail"</formula>
    </cfRule>
  </conditionalFormatting>
  <conditionalFormatting sqref="I762:P762">
    <cfRule type="cellIs" dxfId="9738" priority="9667" stopIfTrue="1" operator="equal">
      <formula>"Pass"</formula>
    </cfRule>
    <cfRule type="cellIs" dxfId="9737" priority="9668" stopIfTrue="1" operator="equal">
      <formula>"Fail"</formula>
    </cfRule>
  </conditionalFormatting>
  <conditionalFormatting sqref="I762:P762">
    <cfRule type="cellIs" dxfId="9736" priority="9665" stopIfTrue="1" operator="equal">
      <formula>"Pass"</formula>
    </cfRule>
    <cfRule type="cellIs" dxfId="9735" priority="9666" stopIfTrue="1" operator="equal">
      <formula>"Fail"</formula>
    </cfRule>
  </conditionalFormatting>
  <conditionalFormatting sqref="D762:E762">
    <cfRule type="cellIs" dxfId="9734" priority="9663" stopIfTrue="1" operator="equal">
      <formula>"Pass"</formula>
    </cfRule>
    <cfRule type="cellIs" dxfId="9733" priority="9664" stopIfTrue="1" operator="equal">
      <formula>"Fail"</formula>
    </cfRule>
  </conditionalFormatting>
  <conditionalFormatting sqref="D762:E762">
    <cfRule type="cellIs" dxfId="9732" priority="9661" stopIfTrue="1" operator="equal">
      <formula>"Pass"</formula>
    </cfRule>
    <cfRule type="cellIs" dxfId="9731" priority="9662" stopIfTrue="1" operator="equal">
      <formula>"Fail"</formula>
    </cfRule>
  </conditionalFormatting>
  <conditionalFormatting sqref="G762:H762">
    <cfRule type="cellIs" dxfId="9730" priority="9659" stopIfTrue="1" operator="equal">
      <formula>"Pass"</formula>
    </cfRule>
    <cfRule type="cellIs" dxfId="9729" priority="9660" stopIfTrue="1" operator="equal">
      <formula>"Fail"</formula>
    </cfRule>
  </conditionalFormatting>
  <conditionalFormatting sqref="G762:H762">
    <cfRule type="cellIs" dxfId="9728" priority="9657" stopIfTrue="1" operator="equal">
      <formula>"Pass"</formula>
    </cfRule>
    <cfRule type="cellIs" dxfId="9727" priority="9658" stopIfTrue="1" operator="equal">
      <formula>"Fail"</formula>
    </cfRule>
  </conditionalFormatting>
  <conditionalFormatting sqref="G762:H762">
    <cfRule type="cellIs" dxfId="9726" priority="9655" stopIfTrue="1" operator="equal">
      <formula>"Pass"</formula>
    </cfRule>
    <cfRule type="cellIs" dxfId="9725" priority="9656" stopIfTrue="1" operator="equal">
      <formula>"Fail"</formula>
    </cfRule>
  </conditionalFormatting>
  <conditionalFormatting sqref="G762:H762">
    <cfRule type="cellIs" dxfId="9724" priority="9653" stopIfTrue="1" operator="equal">
      <formula>"Pass"</formula>
    </cfRule>
    <cfRule type="cellIs" dxfId="9723" priority="9654" stopIfTrue="1" operator="equal">
      <formula>"Fail"</formula>
    </cfRule>
  </conditionalFormatting>
  <conditionalFormatting sqref="H762:O762">
    <cfRule type="cellIs" dxfId="9722" priority="9651" stopIfTrue="1" operator="equal">
      <formula>"Pass"</formula>
    </cfRule>
    <cfRule type="cellIs" dxfId="9721" priority="9652" stopIfTrue="1" operator="equal">
      <formula>"Fail"</formula>
    </cfRule>
  </conditionalFormatting>
  <conditionalFormatting sqref="H762:O762">
    <cfRule type="cellIs" dxfId="9720" priority="9649" stopIfTrue="1" operator="equal">
      <formula>"Pass"</formula>
    </cfRule>
    <cfRule type="cellIs" dxfId="9719" priority="9650" stopIfTrue="1" operator="equal">
      <formula>"Fail"</formula>
    </cfRule>
  </conditionalFormatting>
  <conditionalFormatting sqref="I762:P762">
    <cfRule type="cellIs" dxfId="9718" priority="9647" stopIfTrue="1" operator="equal">
      <formula>"Pass"</formula>
    </cfRule>
    <cfRule type="cellIs" dxfId="9717" priority="9648" stopIfTrue="1" operator="equal">
      <formula>"Fail"</formula>
    </cfRule>
  </conditionalFormatting>
  <conditionalFormatting sqref="I762:P762">
    <cfRule type="cellIs" dxfId="9716" priority="9645" stopIfTrue="1" operator="equal">
      <formula>"Pass"</formula>
    </cfRule>
    <cfRule type="cellIs" dxfId="9715" priority="9646" stopIfTrue="1" operator="equal">
      <formula>"Fail"</formula>
    </cfRule>
  </conditionalFormatting>
  <conditionalFormatting sqref="I762:P762">
    <cfRule type="cellIs" dxfId="9714" priority="9643" stopIfTrue="1" operator="equal">
      <formula>"Pass"</formula>
    </cfRule>
    <cfRule type="cellIs" dxfId="9713" priority="9644" stopIfTrue="1" operator="equal">
      <formula>"Fail"</formula>
    </cfRule>
  </conditionalFormatting>
  <conditionalFormatting sqref="I762:P762">
    <cfRule type="cellIs" dxfId="9712" priority="9641" stopIfTrue="1" operator="equal">
      <formula>"Pass"</formula>
    </cfRule>
    <cfRule type="cellIs" dxfId="9711" priority="9642" stopIfTrue="1" operator="equal">
      <formula>"Fail"</formula>
    </cfRule>
  </conditionalFormatting>
  <conditionalFormatting sqref="H762:O762">
    <cfRule type="cellIs" dxfId="9710" priority="9639" stopIfTrue="1" operator="equal">
      <formula>"Pass"</formula>
    </cfRule>
    <cfRule type="cellIs" dxfId="9709" priority="9640" stopIfTrue="1" operator="equal">
      <formula>"Fail"</formula>
    </cfRule>
  </conditionalFormatting>
  <conditionalFormatting sqref="H762:O762">
    <cfRule type="cellIs" dxfId="9708" priority="9637" stopIfTrue="1" operator="equal">
      <formula>"Pass"</formula>
    </cfRule>
    <cfRule type="cellIs" dxfId="9707" priority="9638" stopIfTrue="1" operator="equal">
      <formula>"Fail"</formula>
    </cfRule>
  </conditionalFormatting>
  <conditionalFormatting sqref="I762:P762">
    <cfRule type="cellIs" dxfId="9706" priority="9635" stopIfTrue="1" operator="equal">
      <formula>"Pass"</formula>
    </cfRule>
    <cfRule type="cellIs" dxfId="9705" priority="9636" stopIfTrue="1" operator="equal">
      <formula>"Fail"</formula>
    </cfRule>
  </conditionalFormatting>
  <conditionalFormatting sqref="I762:P762">
    <cfRule type="cellIs" dxfId="9704" priority="9633" stopIfTrue="1" operator="equal">
      <formula>"Pass"</formula>
    </cfRule>
    <cfRule type="cellIs" dxfId="9703" priority="9634" stopIfTrue="1" operator="equal">
      <formula>"Fail"</formula>
    </cfRule>
  </conditionalFormatting>
  <conditionalFormatting sqref="I762:P762">
    <cfRule type="cellIs" dxfId="9702" priority="9631" stopIfTrue="1" operator="equal">
      <formula>"Pass"</formula>
    </cfRule>
    <cfRule type="cellIs" dxfId="9701" priority="9632" stopIfTrue="1" operator="equal">
      <formula>"Fail"</formula>
    </cfRule>
  </conditionalFormatting>
  <conditionalFormatting sqref="I762:P762">
    <cfRule type="cellIs" dxfId="9700" priority="9629" stopIfTrue="1" operator="equal">
      <formula>"Pass"</formula>
    </cfRule>
    <cfRule type="cellIs" dxfId="9699" priority="9630" stopIfTrue="1" operator="equal">
      <formula>"Fail"</formula>
    </cfRule>
  </conditionalFormatting>
  <conditionalFormatting sqref="H762:O762">
    <cfRule type="cellIs" dxfId="9698" priority="9627" stopIfTrue="1" operator="equal">
      <formula>"Pass"</formula>
    </cfRule>
    <cfRule type="cellIs" dxfId="9697" priority="9628" stopIfTrue="1" operator="equal">
      <formula>"Fail"</formula>
    </cfRule>
  </conditionalFormatting>
  <conditionalFormatting sqref="H762:O762">
    <cfRule type="cellIs" dxfId="9696" priority="9625" stopIfTrue="1" operator="equal">
      <formula>"Pass"</formula>
    </cfRule>
    <cfRule type="cellIs" dxfId="9695" priority="9626" stopIfTrue="1" operator="equal">
      <formula>"Fail"</formula>
    </cfRule>
  </conditionalFormatting>
  <conditionalFormatting sqref="I762:P762">
    <cfRule type="cellIs" dxfId="9694" priority="9623" stopIfTrue="1" operator="equal">
      <formula>"Pass"</formula>
    </cfRule>
    <cfRule type="cellIs" dxfId="9693" priority="9624" stopIfTrue="1" operator="equal">
      <formula>"Fail"</formula>
    </cfRule>
  </conditionalFormatting>
  <conditionalFormatting sqref="I762:P762">
    <cfRule type="cellIs" dxfId="9692" priority="9621" stopIfTrue="1" operator="equal">
      <formula>"Pass"</formula>
    </cfRule>
    <cfRule type="cellIs" dxfId="9691" priority="9622" stopIfTrue="1" operator="equal">
      <formula>"Fail"</formula>
    </cfRule>
  </conditionalFormatting>
  <conditionalFormatting sqref="I762:P762">
    <cfRule type="cellIs" dxfId="9690" priority="9619" stopIfTrue="1" operator="equal">
      <formula>"Pass"</formula>
    </cfRule>
    <cfRule type="cellIs" dxfId="9689" priority="9620" stopIfTrue="1" operator="equal">
      <formula>"Fail"</formula>
    </cfRule>
  </conditionalFormatting>
  <conditionalFormatting sqref="I762:P762">
    <cfRule type="cellIs" dxfId="9688" priority="9617" stopIfTrue="1" operator="equal">
      <formula>"Pass"</formula>
    </cfRule>
    <cfRule type="cellIs" dxfId="9687" priority="9618" stopIfTrue="1" operator="equal">
      <formula>"Fail"</formula>
    </cfRule>
  </conditionalFormatting>
  <conditionalFormatting sqref="H762:O762">
    <cfRule type="cellIs" dxfId="9686" priority="9615" stopIfTrue="1" operator="equal">
      <formula>"Pass"</formula>
    </cfRule>
    <cfRule type="cellIs" dxfId="9685" priority="9616" stopIfTrue="1" operator="equal">
      <formula>"Fail"</formula>
    </cfRule>
  </conditionalFormatting>
  <conditionalFormatting sqref="H762:O762">
    <cfRule type="cellIs" dxfId="9684" priority="9613" stopIfTrue="1" operator="equal">
      <formula>"Pass"</formula>
    </cfRule>
    <cfRule type="cellIs" dxfId="9683" priority="9614" stopIfTrue="1" operator="equal">
      <formula>"Fail"</formula>
    </cfRule>
  </conditionalFormatting>
  <conditionalFormatting sqref="I762:P762">
    <cfRule type="cellIs" dxfId="9682" priority="9611" stopIfTrue="1" operator="equal">
      <formula>"Pass"</formula>
    </cfRule>
    <cfRule type="cellIs" dxfId="9681" priority="9612" stopIfTrue="1" operator="equal">
      <formula>"Fail"</formula>
    </cfRule>
  </conditionalFormatting>
  <conditionalFormatting sqref="I762:P762">
    <cfRule type="cellIs" dxfId="9680" priority="9609" stopIfTrue="1" operator="equal">
      <formula>"Pass"</formula>
    </cfRule>
    <cfRule type="cellIs" dxfId="9679" priority="9610" stopIfTrue="1" operator="equal">
      <formula>"Fail"</formula>
    </cfRule>
  </conditionalFormatting>
  <conditionalFormatting sqref="I762:P762">
    <cfRule type="cellIs" dxfId="9678" priority="9607" stopIfTrue="1" operator="equal">
      <formula>"Pass"</formula>
    </cfRule>
    <cfRule type="cellIs" dxfId="9677" priority="9608" stopIfTrue="1" operator="equal">
      <formula>"Fail"</formula>
    </cfRule>
  </conditionalFormatting>
  <conditionalFormatting sqref="I762:P762">
    <cfRule type="cellIs" dxfId="9676" priority="9605" stopIfTrue="1" operator="equal">
      <formula>"Pass"</formula>
    </cfRule>
    <cfRule type="cellIs" dxfId="9675" priority="9606" stopIfTrue="1" operator="equal">
      <formula>"Fail"</formula>
    </cfRule>
  </conditionalFormatting>
  <conditionalFormatting sqref="H762:O762">
    <cfRule type="cellIs" dxfId="9674" priority="9603" stopIfTrue="1" operator="equal">
      <formula>"Pass"</formula>
    </cfRule>
    <cfRule type="cellIs" dxfId="9673" priority="9604" stopIfTrue="1" operator="equal">
      <formula>"Fail"</formula>
    </cfRule>
  </conditionalFormatting>
  <conditionalFormatting sqref="H762:O762">
    <cfRule type="cellIs" dxfId="9672" priority="9601" stopIfTrue="1" operator="equal">
      <formula>"Pass"</formula>
    </cfRule>
    <cfRule type="cellIs" dxfId="9671" priority="9602" stopIfTrue="1" operator="equal">
      <formula>"Fail"</formula>
    </cfRule>
  </conditionalFormatting>
  <conditionalFormatting sqref="I762:P762">
    <cfRule type="cellIs" dxfId="9670" priority="9599" stopIfTrue="1" operator="equal">
      <formula>"Pass"</formula>
    </cfRule>
    <cfRule type="cellIs" dxfId="9669" priority="9600" stopIfTrue="1" operator="equal">
      <formula>"Fail"</formula>
    </cfRule>
  </conditionalFormatting>
  <conditionalFormatting sqref="I762:P762">
    <cfRule type="cellIs" dxfId="9668" priority="9597" stopIfTrue="1" operator="equal">
      <formula>"Pass"</formula>
    </cfRule>
    <cfRule type="cellIs" dxfId="9667" priority="9598" stopIfTrue="1" operator="equal">
      <formula>"Fail"</formula>
    </cfRule>
  </conditionalFormatting>
  <conditionalFormatting sqref="I762:P762">
    <cfRule type="cellIs" dxfId="9666" priority="9595" stopIfTrue="1" operator="equal">
      <formula>"Pass"</formula>
    </cfRule>
    <cfRule type="cellIs" dxfId="9665" priority="9596" stopIfTrue="1" operator="equal">
      <formula>"Fail"</formula>
    </cfRule>
  </conditionalFormatting>
  <conditionalFormatting sqref="I762:P762">
    <cfRule type="cellIs" dxfId="9664" priority="9593" stopIfTrue="1" operator="equal">
      <formula>"Pass"</formula>
    </cfRule>
    <cfRule type="cellIs" dxfId="9663" priority="9594" stopIfTrue="1" operator="equal">
      <formula>"Fail"</formula>
    </cfRule>
  </conditionalFormatting>
  <conditionalFormatting sqref="H762:O762">
    <cfRule type="cellIs" dxfId="9662" priority="9591" stopIfTrue="1" operator="equal">
      <formula>"Pass"</formula>
    </cfRule>
    <cfRule type="cellIs" dxfId="9661" priority="9592" stopIfTrue="1" operator="equal">
      <formula>"Fail"</formula>
    </cfRule>
  </conditionalFormatting>
  <conditionalFormatting sqref="H762:O762">
    <cfRule type="cellIs" dxfId="9660" priority="9589" stopIfTrue="1" operator="equal">
      <formula>"Pass"</formula>
    </cfRule>
    <cfRule type="cellIs" dxfId="9659" priority="9590" stopIfTrue="1" operator="equal">
      <formula>"Fail"</formula>
    </cfRule>
  </conditionalFormatting>
  <conditionalFormatting sqref="I762:P762">
    <cfRule type="cellIs" dxfId="9658" priority="9587" stopIfTrue="1" operator="equal">
      <formula>"Pass"</formula>
    </cfRule>
    <cfRule type="cellIs" dxfId="9657" priority="9588" stopIfTrue="1" operator="equal">
      <formula>"Fail"</formula>
    </cfRule>
  </conditionalFormatting>
  <conditionalFormatting sqref="I762:P762">
    <cfRule type="cellIs" dxfId="9656" priority="9585" stopIfTrue="1" operator="equal">
      <formula>"Pass"</formula>
    </cfRule>
    <cfRule type="cellIs" dxfId="9655" priority="9586" stopIfTrue="1" operator="equal">
      <formula>"Fail"</formula>
    </cfRule>
  </conditionalFormatting>
  <conditionalFormatting sqref="I762:P762">
    <cfRule type="cellIs" dxfId="9654" priority="9583" stopIfTrue="1" operator="equal">
      <formula>"Pass"</formula>
    </cfRule>
    <cfRule type="cellIs" dxfId="9653" priority="9584" stopIfTrue="1" operator="equal">
      <formula>"Fail"</formula>
    </cfRule>
  </conditionalFormatting>
  <conditionalFormatting sqref="I762:P762">
    <cfRule type="cellIs" dxfId="9652" priority="9581" stopIfTrue="1" operator="equal">
      <formula>"Pass"</formula>
    </cfRule>
    <cfRule type="cellIs" dxfId="9651" priority="9582" stopIfTrue="1" operator="equal">
      <formula>"Fail"</formula>
    </cfRule>
  </conditionalFormatting>
  <conditionalFormatting sqref="H762:O762">
    <cfRule type="cellIs" dxfId="9650" priority="9579" stopIfTrue="1" operator="equal">
      <formula>"Pass"</formula>
    </cfRule>
    <cfRule type="cellIs" dxfId="9649" priority="9580" stopIfTrue="1" operator="equal">
      <formula>"Fail"</formula>
    </cfRule>
  </conditionalFormatting>
  <conditionalFormatting sqref="H762:O762">
    <cfRule type="cellIs" dxfId="9648" priority="9577" stopIfTrue="1" operator="equal">
      <formula>"Pass"</formula>
    </cfRule>
    <cfRule type="cellIs" dxfId="9647" priority="9578" stopIfTrue="1" operator="equal">
      <formula>"Fail"</formula>
    </cfRule>
  </conditionalFormatting>
  <conditionalFormatting sqref="I762:P762">
    <cfRule type="cellIs" dxfId="9646" priority="9575" stopIfTrue="1" operator="equal">
      <formula>"Pass"</formula>
    </cfRule>
    <cfRule type="cellIs" dxfId="9645" priority="9576" stopIfTrue="1" operator="equal">
      <formula>"Fail"</formula>
    </cfRule>
  </conditionalFormatting>
  <conditionalFormatting sqref="I762:P762">
    <cfRule type="cellIs" dxfId="9644" priority="9573" stopIfTrue="1" operator="equal">
      <formula>"Pass"</formula>
    </cfRule>
    <cfRule type="cellIs" dxfId="9643" priority="9574" stopIfTrue="1" operator="equal">
      <formula>"Fail"</formula>
    </cfRule>
  </conditionalFormatting>
  <conditionalFormatting sqref="I762:P762">
    <cfRule type="cellIs" dxfId="9642" priority="9571" stopIfTrue="1" operator="equal">
      <formula>"Pass"</formula>
    </cfRule>
    <cfRule type="cellIs" dxfId="9641" priority="9572" stopIfTrue="1" operator="equal">
      <formula>"Fail"</formula>
    </cfRule>
  </conditionalFormatting>
  <conditionalFormatting sqref="I762:P762">
    <cfRule type="cellIs" dxfId="9640" priority="9569" stopIfTrue="1" operator="equal">
      <formula>"Pass"</formula>
    </cfRule>
    <cfRule type="cellIs" dxfId="9639" priority="9570" stopIfTrue="1" operator="equal">
      <formula>"Fail"</formula>
    </cfRule>
  </conditionalFormatting>
  <conditionalFormatting sqref="H762:O762">
    <cfRule type="cellIs" dxfId="9638" priority="9567" stopIfTrue="1" operator="equal">
      <formula>"Pass"</formula>
    </cfRule>
    <cfRule type="cellIs" dxfId="9637" priority="9568" stopIfTrue="1" operator="equal">
      <formula>"Fail"</formula>
    </cfRule>
  </conditionalFormatting>
  <conditionalFormatting sqref="H762:O762">
    <cfRule type="cellIs" dxfId="9636" priority="9565" stopIfTrue="1" operator="equal">
      <formula>"Pass"</formula>
    </cfRule>
    <cfRule type="cellIs" dxfId="9635" priority="9566" stopIfTrue="1" operator="equal">
      <formula>"Fail"</formula>
    </cfRule>
  </conditionalFormatting>
  <conditionalFormatting sqref="I762:P762">
    <cfRule type="cellIs" dxfId="9634" priority="9563" stopIfTrue="1" operator="equal">
      <formula>"Pass"</formula>
    </cfRule>
    <cfRule type="cellIs" dxfId="9633" priority="9564" stopIfTrue="1" operator="equal">
      <formula>"Fail"</formula>
    </cfRule>
  </conditionalFormatting>
  <conditionalFormatting sqref="I762:P762">
    <cfRule type="cellIs" dxfId="9632" priority="9561" stopIfTrue="1" operator="equal">
      <formula>"Pass"</formula>
    </cfRule>
    <cfRule type="cellIs" dxfId="9631" priority="9562" stopIfTrue="1" operator="equal">
      <formula>"Fail"</formula>
    </cfRule>
  </conditionalFormatting>
  <conditionalFormatting sqref="I762:P762">
    <cfRule type="cellIs" dxfId="9630" priority="9559" stopIfTrue="1" operator="equal">
      <formula>"Pass"</formula>
    </cfRule>
    <cfRule type="cellIs" dxfId="9629" priority="9560" stopIfTrue="1" operator="equal">
      <formula>"Fail"</formula>
    </cfRule>
  </conditionalFormatting>
  <conditionalFormatting sqref="I762:P762">
    <cfRule type="cellIs" dxfId="9628" priority="9557" stopIfTrue="1" operator="equal">
      <formula>"Pass"</formula>
    </cfRule>
    <cfRule type="cellIs" dxfId="9627" priority="9558" stopIfTrue="1" operator="equal">
      <formula>"Fail"</formula>
    </cfRule>
  </conditionalFormatting>
  <conditionalFormatting sqref="H762:O762">
    <cfRule type="cellIs" dxfId="9626" priority="9555" stopIfTrue="1" operator="equal">
      <formula>"Pass"</formula>
    </cfRule>
    <cfRule type="cellIs" dxfId="9625" priority="9556" stopIfTrue="1" operator="equal">
      <formula>"Fail"</formula>
    </cfRule>
  </conditionalFormatting>
  <conditionalFormatting sqref="H762:O762">
    <cfRule type="cellIs" dxfId="9624" priority="9553" stopIfTrue="1" operator="equal">
      <formula>"Pass"</formula>
    </cfRule>
    <cfRule type="cellIs" dxfId="9623" priority="9554" stopIfTrue="1" operator="equal">
      <formula>"Fail"</formula>
    </cfRule>
  </conditionalFormatting>
  <conditionalFormatting sqref="I762:P762">
    <cfRule type="cellIs" dxfId="9622" priority="9551" stopIfTrue="1" operator="equal">
      <formula>"Pass"</formula>
    </cfRule>
    <cfRule type="cellIs" dxfId="9621" priority="9552" stopIfTrue="1" operator="equal">
      <formula>"Fail"</formula>
    </cfRule>
  </conditionalFormatting>
  <conditionalFormatting sqref="I762:P762">
    <cfRule type="cellIs" dxfId="9620" priority="9549" stopIfTrue="1" operator="equal">
      <formula>"Pass"</formula>
    </cfRule>
    <cfRule type="cellIs" dxfId="9619" priority="9550" stopIfTrue="1" operator="equal">
      <formula>"Fail"</formula>
    </cfRule>
  </conditionalFormatting>
  <conditionalFormatting sqref="I762:P762">
    <cfRule type="cellIs" dxfId="9618" priority="9547" stopIfTrue="1" operator="equal">
      <formula>"Pass"</formula>
    </cfRule>
    <cfRule type="cellIs" dxfId="9617" priority="9548" stopIfTrue="1" operator="equal">
      <formula>"Fail"</formula>
    </cfRule>
  </conditionalFormatting>
  <conditionalFormatting sqref="I762:P762">
    <cfRule type="cellIs" dxfId="9616" priority="9545" stopIfTrue="1" operator="equal">
      <formula>"Pass"</formula>
    </cfRule>
    <cfRule type="cellIs" dxfId="9615" priority="9546" stopIfTrue="1" operator="equal">
      <formula>"Fail"</formula>
    </cfRule>
  </conditionalFormatting>
  <conditionalFormatting sqref="H762:O762">
    <cfRule type="cellIs" dxfId="9614" priority="9543" stopIfTrue="1" operator="equal">
      <formula>"Pass"</formula>
    </cfRule>
    <cfRule type="cellIs" dxfId="9613" priority="9544" stopIfTrue="1" operator="equal">
      <formula>"Fail"</formula>
    </cfRule>
  </conditionalFormatting>
  <conditionalFormatting sqref="H762:O762">
    <cfRule type="cellIs" dxfId="9612" priority="9541" stopIfTrue="1" operator="equal">
      <formula>"Pass"</formula>
    </cfRule>
    <cfRule type="cellIs" dxfId="9611" priority="9542" stopIfTrue="1" operator="equal">
      <formula>"Fail"</formula>
    </cfRule>
  </conditionalFormatting>
  <conditionalFormatting sqref="I762:P762">
    <cfRule type="cellIs" dxfId="9610" priority="9539" stopIfTrue="1" operator="equal">
      <formula>"Pass"</formula>
    </cfRule>
    <cfRule type="cellIs" dxfId="9609" priority="9540" stopIfTrue="1" operator="equal">
      <formula>"Fail"</formula>
    </cfRule>
  </conditionalFormatting>
  <conditionalFormatting sqref="I762:P762">
    <cfRule type="cellIs" dxfId="9608" priority="9537" stopIfTrue="1" operator="equal">
      <formula>"Pass"</formula>
    </cfRule>
    <cfRule type="cellIs" dxfId="9607" priority="9538" stopIfTrue="1" operator="equal">
      <formula>"Fail"</formula>
    </cfRule>
  </conditionalFormatting>
  <conditionalFormatting sqref="I762:P762">
    <cfRule type="cellIs" dxfId="9606" priority="9535" stopIfTrue="1" operator="equal">
      <formula>"Pass"</formula>
    </cfRule>
    <cfRule type="cellIs" dxfId="9605" priority="9536" stopIfTrue="1" operator="equal">
      <formula>"Fail"</formula>
    </cfRule>
  </conditionalFormatting>
  <conditionalFormatting sqref="I762:P762">
    <cfRule type="cellIs" dxfId="9604" priority="9533" stopIfTrue="1" operator="equal">
      <formula>"Pass"</formula>
    </cfRule>
    <cfRule type="cellIs" dxfId="9603" priority="9534" stopIfTrue="1" operator="equal">
      <formula>"Fail"</formula>
    </cfRule>
  </conditionalFormatting>
  <conditionalFormatting sqref="H762:O762">
    <cfRule type="cellIs" dxfId="9602" priority="9531" stopIfTrue="1" operator="equal">
      <formula>"Pass"</formula>
    </cfRule>
    <cfRule type="cellIs" dxfId="9601" priority="9532" stopIfTrue="1" operator="equal">
      <formula>"Fail"</formula>
    </cfRule>
  </conditionalFormatting>
  <conditionalFormatting sqref="H762:O762">
    <cfRule type="cellIs" dxfId="9600" priority="9529" stopIfTrue="1" operator="equal">
      <formula>"Pass"</formula>
    </cfRule>
    <cfRule type="cellIs" dxfId="9599" priority="9530" stopIfTrue="1" operator="equal">
      <formula>"Fail"</formula>
    </cfRule>
  </conditionalFormatting>
  <conditionalFormatting sqref="I762:P762">
    <cfRule type="cellIs" dxfId="9598" priority="9527" stopIfTrue="1" operator="equal">
      <formula>"Pass"</formula>
    </cfRule>
    <cfRule type="cellIs" dxfId="9597" priority="9528" stopIfTrue="1" operator="equal">
      <formula>"Fail"</formula>
    </cfRule>
  </conditionalFormatting>
  <conditionalFormatting sqref="I762:P762">
    <cfRule type="cellIs" dxfId="9596" priority="9525" stopIfTrue="1" operator="equal">
      <formula>"Pass"</formula>
    </cfRule>
    <cfRule type="cellIs" dxfId="9595" priority="9526" stopIfTrue="1" operator="equal">
      <formula>"Fail"</formula>
    </cfRule>
  </conditionalFormatting>
  <conditionalFormatting sqref="I762:P762">
    <cfRule type="cellIs" dxfId="9594" priority="9523" stopIfTrue="1" operator="equal">
      <formula>"Pass"</formula>
    </cfRule>
    <cfRule type="cellIs" dxfId="9593" priority="9524" stopIfTrue="1" operator="equal">
      <formula>"Fail"</formula>
    </cfRule>
  </conditionalFormatting>
  <conditionalFormatting sqref="I762:P762">
    <cfRule type="cellIs" dxfId="9592" priority="9521" stopIfTrue="1" operator="equal">
      <formula>"Pass"</formula>
    </cfRule>
    <cfRule type="cellIs" dxfId="9591" priority="9522" stopIfTrue="1" operator="equal">
      <formula>"Fail"</formula>
    </cfRule>
  </conditionalFormatting>
  <conditionalFormatting sqref="H762:O762">
    <cfRule type="cellIs" dxfId="9590" priority="9519" stopIfTrue="1" operator="equal">
      <formula>"Pass"</formula>
    </cfRule>
    <cfRule type="cellIs" dxfId="9589" priority="9520" stopIfTrue="1" operator="equal">
      <formula>"Fail"</formula>
    </cfRule>
  </conditionalFormatting>
  <conditionalFormatting sqref="H762:O762">
    <cfRule type="cellIs" dxfId="9588" priority="9517" stopIfTrue="1" operator="equal">
      <formula>"Pass"</formula>
    </cfRule>
    <cfRule type="cellIs" dxfId="9587" priority="9518" stopIfTrue="1" operator="equal">
      <formula>"Fail"</formula>
    </cfRule>
  </conditionalFormatting>
  <conditionalFormatting sqref="I762:P762">
    <cfRule type="cellIs" dxfId="9586" priority="9515" stopIfTrue="1" operator="equal">
      <formula>"Pass"</formula>
    </cfRule>
    <cfRule type="cellIs" dxfId="9585" priority="9516" stopIfTrue="1" operator="equal">
      <formula>"Fail"</formula>
    </cfRule>
  </conditionalFormatting>
  <conditionalFormatting sqref="I762:P762">
    <cfRule type="cellIs" dxfId="9584" priority="9513" stopIfTrue="1" operator="equal">
      <formula>"Pass"</formula>
    </cfRule>
    <cfRule type="cellIs" dxfId="9583" priority="9514" stopIfTrue="1" operator="equal">
      <formula>"Fail"</formula>
    </cfRule>
  </conditionalFormatting>
  <conditionalFormatting sqref="I762:P762">
    <cfRule type="cellIs" dxfId="9582" priority="9511" stopIfTrue="1" operator="equal">
      <formula>"Pass"</formula>
    </cfRule>
    <cfRule type="cellIs" dxfId="9581" priority="9512" stopIfTrue="1" operator="equal">
      <formula>"Fail"</formula>
    </cfRule>
  </conditionalFormatting>
  <conditionalFormatting sqref="I762:P762">
    <cfRule type="cellIs" dxfId="9580" priority="9509" stopIfTrue="1" operator="equal">
      <formula>"Pass"</formula>
    </cfRule>
    <cfRule type="cellIs" dxfId="9579" priority="9510" stopIfTrue="1" operator="equal">
      <formula>"Fail"</formula>
    </cfRule>
  </conditionalFormatting>
  <conditionalFormatting sqref="D762:E762 G762:P762">
    <cfRule type="cellIs" dxfId="9578" priority="9507" stopIfTrue="1" operator="equal">
      <formula>"Pass"</formula>
    </cfRule>
    <cfRule type="cellIs" dxfId="9577" priority="9508" stopIfTrue="1" operator="equal">
      <formula>"Fail"</formula>
    </cfRule>
  </conditionalFormatting>
  <conditionalFormatting sqref="D762:E762 G762:P762">
    <cfRule type="cellIs" dxfId="9576" priority="9505" stopIfTrue="1" operator="equal">
      <formula>"Pass"</formula>
    </cfRule>
    <cfRule type="cellIs" dxfId="9575" priority="9506" stopIfTrue="1" operator="equal">
      <formula>"Fail"</formula>
    </cfRule>
  </conditionalFormatting>
  <conditionalFormatting sqref="D762:E762 G762:P762">
    <cfRule type="cellIs" dxfId="9574" priority="9503" stopIfTrue="1" operator="equal">
      <formula>"Pass"</formula>
    </cfRule>
    <cfRule type="cellIs" dxfId="9573" priority="9504" stopIfTrue="1" operator="equal">
      <formula>"Fail"</formula>
    </cfRule>
  </conditionalFormatting>
  <conditionalFormatting sqref="D762:E762 G762:P762">
    <cfRule type="cellIs" dxfId="9572" priority="9501" stopIfTrue="1" operator="equal">
      <formula>"Pass"</formula>
    </cfRule>
    <cfRule type="cellIs" dxfId="9571" priority="9502" stopIfTrue="1" operator="equal">
      <formula>"Fail"</formula>
    </cfRule>
  </conditionalFormatting>
  <conditionalFormatting sqref="D762:E762 G762:P762">
    <cfRule type="cellIs" dxfId="9570" priority="9499" stopIfTrue="1" operator="equal">
      <formula>"Pass"</formula>
    </cfRule>
    <cfRule type="cellIs" dxfId="9569" priority="9500" stopIfTrue="1" operator="equal">
      <formula>"Fail"</formula>
    </cfRule>
  </conditionalFormatting>
  <conditionalFormatting sqref="D762:E762 G762:P762">
    <cfRule type="cellIs" dxfId="9568" priority="9497" stopIfTrue="1" operator="equal">
      <formula>"Pass"</formula>
    </cfRule>
    <cfRule type="cellIs" dxfId="9567" priority="9498" stopIfTrue="1" operator="equal">
      <formula>"Fail"</formula>
    </cfRule>
  </conditionalFormatting>
  <conditionalFormatting sqref="D762:E762 G762:P762">
    <cfRule type="cellIs" dxfId="9566" priority="9495" stopIfTrue="1" operator="equal">
      <formula>"Pass"</formula>
    </cfRule>
    <cfRule type="cellIs" dxfId="9565" priority="9496" stopIfTrue="1" operator="equal">
      <formula>"Fail"</formula>
    </cfRule>
  </conditionalFormatting>
  <conditionalFormatting sqref="D762:E762 G762:P762">
    <cfRule type="cellIs" dxfId="9564" priority="9493" stopIfTrue="1" operator="equal">
      <formula>"Pass"</formula>
    </cfRule>
    <cfRule type="cellIs" dxfId="9563" priority="9494" stopIfTrue="1" operator="equal">
      <formula>"Fail"</formula>
    </cfRule>
  </conditionalFormatting>
  <conditionalFormatting sqref="D762:E762 G762:P762">
    <cfRule type="cellIs" dxfId="9562" priority="9491" stopIfTrue="1" operator="equal">
      <formula>"Pass"</formula>
    </cfRule>
    <cfRule type="cellIs" dxfId="9561" priority="9492" stopIfTrue="1" operator="equal">
      <formula>"Fail"</formula>
    </cfRule>
  </conditionalFormatting>
  <conditionalFormatting sqref="D762:E762 G762:P762">
    <cfRule type="cellIs" dxfId="9560" priority="9489" stopIfTrue="1" operator="equal">
      <formula>"Pass"</formula>
    </cfRule>
    <cfRule type="cellIs" dxfId="9559" priority="9490" stopIfTrue="1" operator="equal">
      <formula>"Fail"</formula>
    </cfRule>
  </conditionalFormatting>
  <conditionalFormatting sqref="D762:E762 G762:P762">
    <cfRule type="cellIs" dxfId="9558" priority="9487" stopIfTrue="1" operator="equal">
      <formula>"Pass"</formula>
    </cfRule>
    <cfRule type="cellIs" dxfId="9557" priority="9488" stopIfTrue="1" operator="equal">
      <formula>"Fail"</formula>
    </cfRule>
  </conditionalFormatting>
  <conditionalFormatting sqref="D762:E762 G762:P762">
    <cfRule type="cellIs" dxfId="9556" priority="9485" stopIfTrue="1" operator="equal">
      <formula>"Pass"</formula>
    </cfRule>
    <cfRule type="cellIs" dxfId="9555" priority="9486" stopIfTrue="1" operator="equal">
      <formula>"Fail"</formula>
    </cfRule>
  </conditionalFormatting>
  <conditionalFormatting sqref="D762:E762 G762:P762">
    <cfRule type="cellIs" dxfId="9554" priority="9483" stopIfTrue="1" operator="equal">
      <formula>"Pass"</formula>
    </cfRule>
    <cfRule type="cellIs" dxfId="9553" priority="9484" stopIfTrue="1" operator="equal">
      <formula>"Fail"</formula>
    </cfRule>
  </conditionalFormatting>
  <conditionalFormatting sqref="D762:E762 G762:P762">
    <cfRule type="cellIs" dxfId="9552" priority="9481" stopIfTrue="1" operator="equal">
      <formula>"Pass"</formula>
    </cfRule>
    <cfRule type="cellIs" dxfId="9551" priority="9482" stopIfTrue="1" operator="equal">
      <formula>"Fail"</formula>
    </cfRule>
  </conditionalFormatting>
  <conditionalFormatting sqref="D762:E762 G762:P762">
    <cfRule type="cellIs" dxfId="9550" priority="9479" stopIfTrue="1" operator="equal">
      <formula>"Pass"</formula>
    </cfRule>
    <cfRule type="cellIs" dxfId="9549" priority="9480" stopIfTrue="1" operator="equal">
      <formula>"Fail"</formula>
    </cfRule>
  </conditionalFormatting>
  <conditionalFormatting sqref="D762:E762 G762:P762">
    <cfRule type="cellIs" dxfId="9548" priority="9477" stopIfTrue="1" operator="equal">
      <formula>"Pass"</formula>
    </cfRule>
    <cfRule type="cellIs" dxfId="9547" priority="9478" stopIfTrue="1" operator="equal">
      <formula>"Fail"</formula>
    </cfRule>
  </conditionalFormatting>
  <conditionalFormatting sqref="D762:E762 G762:P762">
    <cfRule type="cellIs" dxfId="9546" priority="9475" stopIfTrue="1" operator="equal">
      <formula>"Pass"</formula>
    </cfRule>
    <cfRule type="cellIs" dxfId="9545" priority="9476" stopIfTrue="1" operator="equal">
      <formula>"Fail"</formula>
    </cfRule>
  </conditionalFormatting>
  <conditionalFormatting sqref="D762:E762 G762:P762">
    <cfRule type="cellIs" dxfId="9544" priority="9473" stopIfTrue="1" operator="equal">
      <formula>"Pass"</formula>
    </cfRule>
    <cfRule type="cellIs" dxfId="9543" priority="9474" stopIfTrue="1" operator="equal">
      <formula>"Fail"</formula>
    </cfRule>
  </conditionalFormatting>
  <conditionalFormatting sqref="D762:E762 G762:P762">
    <cfRule type="cellIs" dxfId="9542" priority="9471" stopIfTrue="1" operator="equal">
      <formula>"Pass"</formula>
    </cfRule>
    <cfRule type="cellIs" dxfId="9541" priority="9472" stopIfTrue="1" operator="equal">
      <formula>"Fail"</formula>
    </cfRule>
  </conditionalFormatting>
  <conditionalFormatting sqref="D762:E762 G762:P762">
    <cfRule type="cellIs" dxfId="9540" priority="9469" stopIfTrue="1" operator="equal">
      <formula>"Pass"</formula>
    </cfRule>
    <cfRule type="cellIs" dxfId="9539" priority="9470" stopIfTrue="1" operator="equal">
      <formula>"Fail"</formula>
    </cfRule>
  </conditionalFormatting>
  <conditionalFormatting sqref="D762:E762 G762:P762">
    <cfRule type="cellIs" dxfId="9538" priority="9467" stopIfTrue="1" operator="equal">
      <formula>"Pass"</formula>
    </cfRule>
    <cfRule type="cellIs" dxfId="9537" priority="9468" stopIfTrue="1" operator="equal">
      <formula>"Fail"</formula>
    </cfRule>
  </conditionalFormatting>
  <conditionalFormatting sqref="D762:E762 G762:P762">
    <cfRule type="cellIs" dxfId="9536" priority="9465" stopIfTrue="1" operator="equal">
      <formula>"Pass"</formula>
    </cfRule>
    <cfRule type="cellIs" dxfId="9535" priority="9466" stopIfTrue="1" operator="equal">
      <formula>"Fail"</formula>
    </cfRule>
  </conditionalFormatting>
  <conditionalFormatting sqref="H762:P762">
    <cfRule type="cellIs" dxfId="9534" priority="9463" stopIfTrue="1" operator="equal">
      <formula>"Pass"</formula>
    </cfRule>
    <cfRule type="cellIs" dxfId="9533" priority="9464" stopIfTrue="1" operator="equal">
      <formula>"Fail"</formula>
    </cfRule>
  </conditionalFormatting>
  <conditionalFormatting sqref="H762:O762">
    <cfRule type="cellIs" dxfId="9532" priority="9461" stopIfTrue="1" operator="equal">
      <formula>"Pass"</formula>
    </cfRule>
    <cfRule type="cellIs" dxfId="9531" priority="9462" stopIfTrue="1" operator="equal">
      <formula>"Fail"</formula>
    </cfRule>
  </conditionalFormatting>
  <conditionalFormatting sqref="H762:O762">
    <cfRule type="cellIs" dxfId="9530" priority="9459" stopIfTrue="1" operator="equal">
      <formula>"Pass"</formula>
    </cfRule>
    <cfRule type="cellIs" dxfId="9529" priority="9460" stopIfTrue="1" operator="equal">
      <formula>"Fail"</formula>
    </cfRule>
  </conditionalFormatting>
  <conditionalFormatting sqref="I762:P762">
    <cfRule type="cellIs" dxfId="9528" priority="9457" stopIfTrue="1" operator="equal">
      <formula>"Pass"</formula>
    </cfRule>
    <cfRule type="cellIs" dxfId="9527" priority="9458" stopIfTrue="1" operator="equal">
      <formula>"Fail"</formula>
    </cfRule>
  </conditionalFormatting>
  <conditionalFormatting sqref="I762:P762">
    <cfRule type="cellIs" dxfId="9526" priority="9455" stopIfTrue="1" operator="equal">
      <formula>"Pass"</formula>
    </cfRule>
    <cfRule type="cellIs" dxfId="9525" priority="9456" stopIfTrue="1" operator="equal">
      <formula>"Fail"</formula>
    </cfRule>
  </conditionalFormatting>
  <conditionalFormatting sqref="I762:P762">
    <cfRule type="cellIs" dxfId="9524" priority="9453" stopIfTrue="1" operator="equal">
      <formula>"Pass"</formula>
    </cfRule>
    <cfRule type="cellIs" dxfId="9523" priority="9454" stopIfTrue="1" operator="equal">
      <formula>"Fail"</formula>
    </cfRule>
  </conditionalFormatting>
  <conditionalFormatting sqref="I762:P762">
    <cfRule type="cellIs" dxfId="9522" priority="9451" stopIfTrue="1" operator="equal">
      <formula>"Pass"</formula>
    </cfRule>
    <cfRule type="cellIs" dxfId="9521" priority="9452" stopIfTrue="1" operator="equal">
      <formula>"Fail"</formula>
    </cfRule>
  </conditionalFormatting>
  <conditionalFormatting sqref="H762:O762">
    <cfRule type="cellIs" dxfId="9520" priority="9449" stopIfTrue="1" operator="equal">
      <formula>"Pass"</formula>
    </cfRule>
    <cfRule type="cellIs" dxfId="9519" priority="9450" stopIfTrue="1" operator="equal">
      <formula>"Fail"</formula>
    </cfRule>
  </conditionalFormatting>
  <conditionalFormatting sqref="H762:O762">
    <cfRule type="cellIs" dxfId="9518" priority="9447" stopIfTrue="1" operator="equal">
      <formula>"Pass"</formula>
    </cfRule>
    <cfRule type="cellIs" dxfId="9517" priority="9448" stopIfTrue="1" operator="equal">
      <formula>"Fail"</formula>
    </cfRule>
  </conditionalFormatting>
  <conditionalFormatting sqref="I762:P762">
    <cfRule type="cellIs" dxfId="9516" priority="9445" stopIfTrue="1" operator="equal">
      <formula>"Pass"</formula>
    </cfRule>
    <cfRule type="cellIs" dxfId="9515" priority="9446" stopIfTrue="1" operator="equal">
      <formula>"Fail"</formula>
    </cfRule>
  </conditionalFormatting>
  <conditionalFormatting sqref="I762:P762">
    <cfRule type="cellIs" dxfId="9514" priority="9443" stopIfTrue="1" operator="equal">
      <formula>"Pass"</formula>
    </cfRule>
    <cfRule type="cellIs" dxfId="9513" priority="9444" stopIfTrue="1" operator="equal">
      <formula>"Fail"</formula>
    </cfRule>
  </conditionalFormatting>
  <conditionalFormatting sqref="I762:P762">
    <cfRule type="cellIs" dxfId="9512" priority="9441" stopIfTrue="1" operator="equal">
      <formula>"Pass"</formula>
    </cfRule>
    <cfRule type="cellIs" dxfId="9511" priority="9442" stopIfTrue="1" operator="equal">
      <formula>"Fail"</formula>
    </cfRule>
  </conditionalFormatting>
  <conditionalFormatting sqref="I762:P762">
    <cfRule type="cellIs" dxfId="9510" priority="9439" stopIfTrue="1" operator="equal">
      <formula>"Pass"</formula>
    </cfRule>
    <cfRule type="cellIs" dxfId="9509" priority="9440" stopIfTrue="1" operator="equal">
      <formula>"Fail"</formula>
    </cfRule>
  </conditionalFormatting>
  <conditionalFormatting sqref="H762:O762">
    <cfRule type="cellIs" dxfId="9508" priority="9437" stopIfTrue="1" operator="equal">
      <formula>"Pass"</formula>
    </cfRule>
    <cfRule type="cellIs" dxfId="9507" priority="9438" stopIfTrue="1" operator="equal">
      <formula>"Fail"</formula>
    </cfRule>
  </conditionalFormatting>
  <conditionalFormatting sqref="H762:O762">
    <cfRule type="cellIs" dxfId="9506" priority="9435" stopIfTrue="1" operator="equal">
      <formula>"Pass"</formula>
    </cfRule>
    <cfRule type="cellIs" dxfId="9505" priority="9436" stopIfTrue="1" operator="equal">
      <formula>"Fail"</formula>
    </cfRule>
  </conditionalFormatting>
  <conditionalFormatting sqref="I762:P762">
    <cfRule type="cellIs" dxfId="9504" priority="9433" stopIfTrue="1" operator="equal">
      <formula>"Pass"</formula>
    </cfRule>
    <cfRule type="cellIs" dxfId="9503" priority="9434" stopIfTrue="1" operator="equal">
      <formula>"Fail"</formula>
    </cfRule>
  </conditionalFormatting>
  <conditionalFormatting sqref="I762:P762">
    <cfRule type="cellIs" dxfId="9502" priority="9431" stopIfTrue="1" operator="equal">
      <formula>"Pass"</formula>
    </cfRule>
    <cfRule type="cellIs" dxfId="9501" priority="9432" stopIfTrue="1" operator="equal">
      <formula>"Fail"</formula>
    </cfRule>
  </conditionalFormatting>
  <conditionalFormatting sqref="I762:P762">
    <cfRule type="cellIs" dxfId="9500" priority="9429" stopIfTrue="1" operator="equal">
      <formula>"Pass"</formula>
    </cfRule>
    <cfRule type="cellIs" dxfId="9499" priority="9430" stopIfTrue="1" operator="equal">
      <formula>"Fail"</formula>
    </cfRule>
  </conditionalFormatting>
  <conditionalFormatting sqref="I762:P762">
    <cfRule type="cellIs" dxfId="9498" priority="9427" stopIfTrue="1" operator="equal">
      <formula>"Pass"</formula>
    </cfRule>
    <cfRule type="cellIs" dxfId="9497" priority="9428" stopIfTrue="1" operator="equal">
      <formula>"Fail"</formula>
    </cfRule>
  </conditionalFormatting>
  <conditionalFormatting sqref="H762:O762">
    <cfRule type="cellIs" dxfId="9496" priority="9425" stopIfTrue="1" operator="equal">
      <formula>"Pass"</formula>
    </cfRule>
    <cfRule type="cellIs" dxfId="9495" priority="9426" stopIfTrue="1" operator="equal">
      <formula>"Fail"</formula>
    </cfRule>
  </conditionalFormatting>
  <conditionalFormatting sqref="H762:O762">
    <cfRule type="cellIs" dxfId="9494" priority="9423" stopIfTrue="1" operator="equal">
      <formula>"Pass"</formula>
    </cfRule>
    <cfRule type="cellIs" dxfId="9493" priority="9424" stopIfTrue="1" operator="equal">
      <formula>"Fail"</formula>
    </cfRule>
  </conditionalFormatting>
  <conditionalFormatting sqref="I762:P762">
    <cfRule type="cellIs" dxfId="9492" priority="9421" stopIfTrue="1" operator="equal">
      <formula>"Pass"</formula>
    </cfRule>
    <cfRule type="cellIs" dxfId="9491" priority="9422" stopIfTrue="1" operator="equal">
      <formula>"Fail"</formula>
    </cfRule>
  </conditionalFormatting>
  <conditionalFormatting sqref="I762:P762">
    <cfRule type="cellIs" dxfId="9490" priority="9419" stopIfTrue="1" operator="equal">
      <formula>"Pass"</formula>
    </cfRule>
    <cfRule type="cellIs" dxfId="9489" priority="9420" stopIfTrue="1" operator="equal">
      <formula>"Fail"</formula>
    </cfRule>
  </conditionalFormatting>
  <conditionalFormatting sqref="I762:P762">
    <cfRule type="cellIs" dxfId="9488" priority="9417" stopIfTrue="1" operator="equal">
      <formula>"Pass"</formula>
    </cfRule>
    <cfRule type="cellIs" dxfId="9487" priority="9418" stopIfTrue="1" operator="equal">
      <formula>"Fail"</formula>
    </cfRule>
  </conditionalFormatting>
  <conditionalFormatting sqref="I762:P762">
    <cfRule type="cellIs" dxfId="9486" priority="9415" stopIfTrue="1" operator="equal">
      <formula>"Pass"</formula>
    </cfRule>
    <cfRule type="cellIs" dxfId="9485" priority="9416" stopIfTrue="1" operator="equal">
      <formula>"Fail"</formula>
    </cfRule>
  </conditionalFormatting>
  <conditionalFormatting sqref="H762:O762">
    <cfRule type="cellIs" dxfId="9484" priority="9413" stopIfTrue="1" operator="equal">
      <formula>"Pass"</formula>
    </cfRule>
    <cfRule type="cellIs" dxfId="9483" priority="9414" stopIfTrue="1" operator="equal">
      <formula>"Fail"</formula>
    </cfRule>
  </conditionalFormatting>
  <conditionalFormatting sqref="H762:O762">
    <cfRule type="cellIs" dxfId="9482" priority="9411" stopIfTrue="1" operator="equal">
      <formula>"Pass"</formula>
    </cfRule>
    <cfRule type="cellIs" dxfId="9481" priority="9412" stopIfTrue="1" operator="equal">
      <formula>"Fail"</formula>
    </cfRule>
  </conditionalFormatting>
  <conditionalFormatting sqref="I762:P762">
    <cfRule type="cellIs" dxfId="9480" priority="9409" stopIfTrue="1" operator="equal">
      <formula>"Pass"</formula>
    </cfRule>
    <cfRule type="cellIs" dxfId="9479" priority="9410" stopIfTrue="1" operator="equal">
      <formula>"Fail"</formula>
    </cfRule>
  </conditionalFormatting>
  <conditionalFormatting sqref="I762:P762">
    <cfRule type="cellIs" dxfId="9478" priority="9407" stopIfTrue="1" operator="equal">
      <formula>"Pass"</formula>
    </cfRule>
    <cfRule type="cellIs" dxfId="9477" priority="9408" stopIfTrue="1" operator="equal">
      <formula>"Fail"</formula>
    </cfRule>
  </conditionalFormatting>
  <conditionalFormatting sqref="I762:P762">
    <cfRule type="cellIs" dxfId="9476" priority="9405" stopIfTrue="1" operator="equal">
      <formula>"Pass"</formula>
    </cfRule>
    <cfRule type="cellIs" dxfId="9475" priority="9406" stopIfTrue="1" operator="equal">
      <formula>"Fail"</formula>
    </cfRule>
  </conditionalFormatting>
  <conditionalFormatting sqref="I762:P762">
    <cfRule type="cellIs" dxfId="9474" priority="9403" stopIfTrue="1" operator="equal">
      <formula>"Pass"</formula>
    </cfRule>
    <cfRule type="cellIs" dxfId="9473" priority="9404" stopIfTrue="1" operator="equal">
      <formula>"Fail"</formula>
    </cfRule>
  </conditionalFormatting>
  <conditionalFormatting sqref="H762:O762">
    <cfRule type="cellIs" dxfId="9472" priority="9401" stopIfTrue="1" operator="equal">
      <formula>"Pass"</formula>
    </cfRule>
    <cfRule type="cellIs" dxfId="9471" priority="9402" stopIfTrue="1" operator="equal">
      <formula>"Fail"</formula>
    </cfRule>
  </conditionalFormatting>
  <conditionalFormatting sqref="H762:O762">
    <cfRule type="cellIs" dxfId="9470" priority="9399" stopIfTrue="1" operator="equal">
      <formula>"Pass"</formula>
    </cfRule>
    <cfRule type="cellIs" dxfId="9469" priority="9400" stopIfTrue="1" operator="equal">
      <formula>"Fail"</formula>
    </cfRule>
  </conditionalFormatting>
  <conditionalFormatting sqref="I762:P762">
    <cfRule type="cellIs" dxfId="9468" priority="9397" stopIfTrue="1" operator="equal">
      <formula>"Pass"</formula>
    </cfRule>
    <cfRule type="cellIs" dxfId="9467" priority="9398" stopIfTrue="1" operator="equal">
      <formula>"Fail"</formula>
    </cfRule>
  </conditionalFormatting>
  <conditionalFormatting sqref="I762:P762">
    <cfRule type="cellIs" dxfId="9466" priority="9395" stopIfTrue="1" operator="equal">
      <formula>"Pass"</formula>
    </cfRule>
    <cfRule type="cellIs" dxfId="9465" priority="9396" stopIfTrue="1" operator="equal">
      <formula>"Fail"</formula>
    </cfRule>
  </conditionalFormatting>
  <conditionalFormatting sqref="I762:P762">
    <cfRule type="cellIs" dxfId="9464" priority="9393" stopIfTrue="1" operator="equal">
      <formula>"Pass"</formula>
    </cfRule>
    <cfRule type="cellIs" dxfId="9463" priority="9394" stopIfTrue="1" operator="equal">
      <formula>"Fail"</formula>
    </cfRule>
  </conditionalFormatting>
  <conditionalFormatting sqref="I762:P762">
    <cfRule type="cellIs" dxfId="9462" priority="9391" stopIfTrue="1" operator="equal">
      <formula>"Pass"</formula>
    </cfRule>
    <cfRule type="cellIs" dxfId="9461" priority="9392" stopIfTrue="1" operator="equal">
      <formula>"Fail"</formula>
    </cfRule>
  </conditionalFormatting>
  <conditionalFormatting sqref="H762:O762">
    <cfRule type="cellIs" dxfId="9460" priority="9389" stopIfTrue="1" operator="equal">
      <formula>"Pass"</formula>
    </cfRule>
    <cfRule type="cellIs" dxfId="9459" priority="9390" stopIfTrue="1" operator="equal">
      <formula>"Fail"</formula>
    </cfRule>
  </conditionalFormatting>
  <conditionalFormatting sqref="H762:O762">
    <cfRule type="cellIs" dxfId="9458" priority="9387" stopIfTrue="1" operator="equal">
      <formula>"Pass"</formula>
    </cfRule>
    <cfRule type="cellIs" dxfId="9457" priority="9388" stopIfTrue="1" operator="equal">
      <formula>"Fail"</formula>
    </cfRule>
  </conditionalFormatting>
  <conditionalFormatting sqref="I762:P762">
    <cfRule type="cellIs" dxfId="9456" priority="9385" stopIfTrue="1" operator="equal">
      <formula>"Pass"</formula>
    </cfRule>
    <cfRule type="cellIs" dxfId="9455" priority="9386" stopIfTrue="1" operator="equal">
      <formula>"Fail"</formula>
    </cfRule>
  </conditionalFormatting>
  <conditionalFormatting sqref="I762:P762">
    <cfRule type="cellIs" dxfId="9454" priority="9383" stopIfTrue="1" operator="equal">
      <formula>"Pass"</formula>
    </cfRule>
    <cfRule type="cellIs" dxfId="9453" priority="9384" stopIfTrue="1" operator="equal">
      <formula>"Fail"</formula>
    </cfRule>
  </conditionalFormatting>
  <conditionalFormatting sqref="I762:P762">
    <cfRule type="cellIs" dxfId="9452" priority="9381" stopIfTrue="1" operator="equal">
      <formula>"Pass"</formula>
    </cfRule>
    <cfRule type="cellIs" dxfId="9451" priority="9382" stopIfTrue="1" operator="equal">
      <formula>"Fail"</formula>
    </cfRule>
  </conditionalFormatting>
  <conditionalFormatting sqref="I762:P762">
    <cfRule type="cellIs" dxfId="9450" priority="9379" stopIfTrue="1" operator="equal">
      <formula>"Pass"</formula>
    </cfRule>
    <cfRule type="cellIs" dxfId="9449" priority="9380" stopIfTrue="1" operator="equal">
      <formula>"Fail"</formula>
    </cfRule>
  </conditionalFormatting>
  <conditionalFormatting sqref="H762:O762">
    <cfRule type="cellIs" dxfId="9448" priority="9377" stopIfTrue="1" operator="equal">
      <formula>"Pass"</formula>
    </cfRule>
    <cfRule type="cellIs" dxfId="9447" priority="9378" stopIfTrue="1" operator="equal">
      <formula>"Fail"</formula>
    </cfRule>
  </conditionalFormatting>
  <conditionalFormatting sqref="H762:O762">
    <cfRule type="cellIs" dxfId="9446" priority="9375" stopIfTrue="1" operator="equal">
      <formula>"Pass"</formula>
    </cfRule>
    <cfRule type="cellIs" dxfId="9445" priority="9376" stopIfTrue="1" operator="equal">
      <formula>"Fail"</formula>
    </cfRule>
  </conditionalFormatting>
  <conditionalFormatting sqref="I762:P762">
    <cfRule type="cellIs" dxfId="9444" priority="9373" stopIfTrue="1" operator="equal">
      <formula>"Pass"</formula>
    </cfRule>
    <cfRule type="cellIs" dxfId="9443" priority="9374" stopIfTrue="1" operator="equal">
      <formula>"Fail"</formula>
    </cfRule>
  </conditionalFormatting>
  <conditionalFormatting sqref="I762:P762">
    <cfRule type="cellIs" dxfId="9442" priority="9371" stopIfTrue="1" operator="equal">
      <formula>"Pass"</formula>
    </cfRule>
    <cfRule type="cellIs" dxfId="9441" priority="9372" stopIfTrue="1" operator="equal">
      <formula>"Fail"</formula>
    </cfRule>
  </conditionalFormatting>
  <conditionalFormatting sqref="I762:P762">
    <cfRule type="cellIs" dxfId="9440" priority="9369" stopIfTrue="1" operator="equal">
      <formula>"Pass"</formula>
    </cfRule>
    <cfRule type="cellIs" dxfId="9439" priority="9370" stopIfTrue="1" operator="equal">
      <formula>"Fail"</formula>
    </cfRule>
  </conditionalFormatting>
  <conditionalFormatting sqref="I762:P762">
    <cfRule type="cellIs" dxfId="9438" priority="9367" stopIfTrue="1" operator="equal">
      <formula>"Pass"</formula>
    </cfRule>
    <cfRule type="cellIs" dxfId="9437" priority="9368" stopIfTrue="1" operator="equal">
      <formula>"Fail"</formula>
    </cfRule>
  </conditionalFormatting>
  <conditionalFormatting sqref="H762:O762">
    <cfRule type="cellIs" dxfId="9436" priority="9365" stopIfTrue="1" operator="equal">
      <formula>"Pass"</formula>
    </cfRule>
    <cfRule type="cellIs" dxfId="9435" priority="9366" stopIfTrue="1" operator="equal">
      <formula>"Fail"</formula>
    </cfRule>
  </conditionalFormatting>
  <conditionalFormatting sqref="H762:O762">
    <cfRule type="cellIs" dxfId="9434" priority="9363" stopIfTrue="1" operator="equal">
      <formula>"Pass"</formula>
    </cfRule>
    <cfRule type="cellIs" dxfId="9433" priority="9364" stopIfTrue="1" operator="equal">
      <formula>"Fail"</formula>
    </cfRule>
  </conditionalFormatting>
  <conditionalFormatting sqref="I762:P762">
    <cfRule type="cellIs" dxfId="9432" priority="9361" stopIfTrue="1" operator="equal">
      <formula>"Pass"</formula>
    </cfRule>
    <cfRule type="cellIs" dxfId="9431" priority="9362" stopIfTrue="1" operator="equal">
      <formula>"Fail"</formula>
    </cfRule>
  </conditionalFormatting>
  <conditionalFormatting sqref="I762:P762">
    <cfRule type="cellIs" dxfId="9430" priority="9359" stopIfTrue="1" operator="equal">
      <formula>"Pass"</formula>
    </cfRule>
    <cfRule type="cellIs" dxfId="9429" priority="9360" stopIfTrue="1" operator="equal">
      <formula>"Fail"</formula>
    </cfRule>
  </conditionalFormatting>
  <conditionalFormatting sqref="I762:P762">
    <cfRule type="cellIs" dxfId="9428" priority="9357" stopIfTrue="1" operator="equal">
      <formula>"Pass"</formula>
    </cfRule>
    <cfRule type="cellIs" dxfId="9427" priority="9358" stopIfTrue="1" operator="equal">
      <formula>"Fail"</formula>
    </cfRule>
  </conditionalFormatting>
  <conditionalFormatting sqref="I762:P762">
    <cfRule type="cellIs" dxfId="9426" priority="9355" stopIfTrue="1" operator="equal">
      <formula>"Pass"</formula>
    </cfRule>
    <cfRule type="cellIs" dxfId="9425" priority="9356" stopIfTrue="1" operator="equal">
      <formula>"Fail"</formula>
    </cfRule>
  </conditionalFormatting>
  <conditionalFormatting sqref="H762:O762">
    <cfRule type="cellIs" dxfId="9424" priority="9353" stopIfTrue="1" operator="equal">
      <formula>"Pass"</formula>
    </cfRule>
    <cfRule type="cellIs" dxfId="9423" priority="9354" stopIfTrue="1" operator="equal">
      <formula>"Fail"</formula>
    </cfRule>
  </conditionalFormatting>
  <conditionalFormatting sqref="H762:O762">
    <cfRule type="cellIs" dxfId="9422" priority="9351" stopIfTrue="1" operator="equal">
      <formula>"Pass"</formula>
    </cfRule>
    <cfRule type="cellIs" dxfId="9421" priority="9352" stopIfTrue="1" operator="equal">
      <formula>"Fail"</formula>
    </cfRule>
  </conditionalFormatting>
  <conditionalFormatting sqref="I762:P762">
    <cfRule type="cellIs" dxfId="9420" priority="9349" stopIfTrue="1" operator="equal">
      <formula>"Pass"</formula>
    </cfRule>
    <cfRule type="cellIs" dxfId="9419" priority="9350" stopIfTrue="1" operator="equal">
      <formula>"Fail"</formula>
    </cfRule>
  </conditionalFormatting>
  <conditionalFormatting sqref="I762:P762">
    <cfRule type="cellIs" dxfId="9418" priority="9347" stopIfTrue="1" operator="equal">
      <formula>"Pass"</formula>
    </cfRule>
    <cfRule type="cellIs" dxfId="9417" priority="9348" stopIfTrue="1" operator="equal">
      <formula>"Fail"</formula>
    </cfRule>
  </conditionalFormatting>
  <conditionalFormatting sqref="I762:P762">
    <cfRule type="cellIs" dxfId="9416" priority="9345" stopIfTrue="1" operator="equal">
      <formula>"Pass"</formula>
    </cfRule>
    <cfRule type="cellIs" dxfId="9415" priority="9346" stopIfTrue="1" operator="equal">
      <formula>"Fail"</formula>
    </cfRule>
  </conditionalFormatting>
  <conditionalFormatting sqref="I762:P762">
    <cfRule type="cellIs" dxfId="9414" priority="9343" stopIfTrue="1" operator="equal">
      <formula>"Pass"</formula>
    </cfRule>
    <cfRule type="cellIs" dxfId="9413" priority="9344" stopIfTrue="1" operator="equal">
      <formula>"Fail"</formula>
    </cfRule>
  </conditionalFormatting>
  <conditionalFormatting sqref="H762:O762">
    <cfRule type="cellIs" dxfId="9412" priority="9341" stopIfTrue="1" operator="equal">
      <formula>"Pass"</formula>
    </cfRule>
    <cfRule type="cellIs" dxfId="9411" priority="9342" stopIfTrue="1" operator="equal">
      <formula>"Fail"</formula>
    </cfRule>
  </conditionalFormatting>
  <conditionalFormatting sqref="H762:O762">
    <cfRule type="cellIs" dxfId="9410" priority="9339" stopIfTrue="1" operator="equal">
      <formula>"Pass"</formula>
    </cfRule>
    <cfRule type="cellIs" dxfId="9409" priority="9340" stopIfTrue="1" operator="equal">
      <formula>"Fail"</formula>
    </cfRule>
  </conditionalFormatting>
  <conditionalFormatting sqref="I762:P762">
    <cfRule type="cellIs" dxfId="9408" priority="9337" stopIfTrue="1" operator="equal">
      <formula>"Pass"</formula>
    </cfRule>
    <cfRule type="cellIs" dxfId="9407" priority="9338" stopIfTrue="1" operator="equal">
      <formula>"Fail"</formula>
    </cfRule>
  </conditionalFormatting>
  <conditionalFormatting sqref="I762:P762">
    <cfRule type="cellIs" dxfId="9406" priority="9335" stopIfTrue="1" operator="equal">
      <formula>"Pass"</formula>
    </cfRule>
    <cfRule type="cellIs" dxfId="9405" priority="9336" stopIfTrue="1" operator="equal">
      <formula>"Fail"</formula>
    </cfRule>
  </conditionalFormatting>
  <conditionalFormatting sqref="I762:P762">
    <cfRule type="cellIs" dxfId="9404" priority="9333" stopIfTrue="1" operator="equal">
      <formula>"Pass"</formula>
    </cfRule>
    <cfRule type="cellIs" dxfId="9403" priority="9334" stopIfTrue="1" operator="equal">
      <formula>"Fail"</formula>
    </cfRule>
  </conditionalFormatting>
  <conditionalFormatting sqref="I762:P762">
    <cfRule type="cellIs" dxfId="9402" priority="9331" stopIfTrue="1" operator="equal">
      <formula>"Pass"</formula>
    </cfRule>
    <cfRule type="cellIs" dxfId="9401" priority="9332" stopIfTrue="1" operator="equal">
      <formula>"Fail"</formula>
    </cfRule>
  </conditionalFormatting>
  <conditionalFormatting sqref="H762:O762">
    <cfRule type="cellIs" dxfId="9400" priority="9329" stopIfTrue="1" operator="equal">
      <formula>"Pass"</formula>
    </cfRule>
    <cfRule type="cellIs" dxfId="9399" priority="9330" stopIfTrue="1" operator="equal">
      <formula>"Fail"</formula>
    </cfRule>
  </conditionalFormatting>
  <conditionalFormatting sqref="H762:O762">
    <cfRule type="cellIs" dxfId="9398" priority="9327" stopIfTrue="1" operator="equal">
      <formula>"Pass"</formula>
    </cfRule>
    <cfRule type="cellIs" dxfId="9397" priority="9328" stopIfTrue="1" operator="equal">
      <formula>"Fail"</formula>
    </cfRule>
  </conditionalFormatting>
  <conditionalFormatting sqref="I762:P762">
    <cfRule type="cellIs" dxfId="9396" priority="9325" stopIfTrue="1" operator="equal">
      <formula>"Pass"</formula>
    </cfRule>
    <cfRule type="cellIs" dxfId="9395" priority="9326" stopIfTrue="1" operator="equal">
      <formula>"Fail"</formula>
    </cfRule>
  </conditionalFormatting>
  <conditionalFormatting sqref="I762:P762">
    <cfRule type="cellIs" dxfId="9394" priority="9323" stopIfTrue="1" operator="equal">
      <formula>"Pass"</formula>
    </cfRule>
    <cfRule type="cellIs" dxfId="9393" priority="9324" stopIfTrue="1" operator="equal">
      <formula>"Fail"</formula>
    </cfRule>
  </conditionalFormatting>
  <conditionalFormatting sqref="I762:P762">
    <cfRule type="cellIs" dxfId="9392" priority="9321" stopIfTrue="1" operator="equal">
      <formula>"Pass"</formula>
    </cfRule>
    <cfRule type="cellIs" dxfId="9391" priority="9322" stopIfTrue="1" operator="equal">
      <formula>"Fail"</formula>
    </cfRule>
  </conditionalFormatting>
  <conditionalFormatting sqref="I762:P762">
    <cfRule type="cellIs" dxfId="9390" priority="9319" stopIfTrue="1" operator="equal">
      <formula>"Pass"</formula>
    </cfRule>
    <cfRule type="cellIs" dxfId="9389" priority="9320" stopIfTrue="1" operator="equal">
      <formula>"Fail"</formula>
    </cfRule>
  </conditionalFormatting>
  <conditionalFormatting sqref="H762:O762">
    <cfRule type="cellIs" dxfId="9388" priority="9317" stopIfTrue="1" operator="equal">
      <formula>"Pass"</formula>
    </cfRule>
    <cfRule type="cellIs" dxfId="9387" priority="9318" stopIfTrue="1" operator="equal">
      <formula>"Fail"</formula>
    </cfRule>
  </conditionalFormatting>
  <conditionalFormatting sqref="H762:O762">
    <cfRule type="cellIs" dxfId="9386" priority="9315" stopIfTrue="1" operator="equal">
      <formula>"Pass"</formula>
    </cfRule>
    <cfRule type="cellIs" dxfId="9385" priority="9316" stopIfTrue="1" operator="equal">
      <formula>"Fail"</formula>
    </cfRule>
  </conditionalFormatting>
  <conditionalFormatting sqref="I762:P762">
    <cfRule type="cellIs" dxfId="9384" priority="9313" stopIfTrue="1" operator="equal">
      <formula>"Pass"</formula>
    </cfRule>
    <cfRule type="cellIs" dxfId="9383" priority="9314" stopIfTrue="1" operator="equal">
      <formula>"Fail"</formula>
    </cfRule>
  </conditionalFormatting>
  <conditionalFormatting sqref="I762:P762">
    <cfRule type="cellIs" dxfId="9382" priority="9311" stopIfTrue="1" operator="equal">
      <formula>"Pass"</formula>
    </cfRule>
    <cfRule type="cellIs" dxfId="9381" priority="9312" stopIfTrue="1" operator="equal">
      <formula>"Fail"</formula>
    </cfRule>
  </conditionalFormatting>
  <conditionalFormatting sqref="I762:P762">
    <cfRule type="cellIs" dxfId="9380" priority="9309" stopIfTrue="1" operator="equal">
      <formula>"Pass"</formula>
    </cfRule>
    <cfRule type="cellIs" dxfId="9379" priority="9310" stopIfTrue="1" operator="equal">
      <formula>"Fail"</formula>
    </cfRule>
  </conditionalFormatting>
  <conditionalFormatting sqref="I762:P762">
    <cfRule type="cellIs" dxfId="9378" priority="9307" stopIfTrue="1" operator="equal">
      <formula>"Pass"</formula>
    </cfRule>
    <cfRule type="cellIs" dxfId="9377" priority="9308" stopIfTrue="1" operator="equal">
      <formula>"Fail"</formula>
    </cfRule>
  </conditionalFormatting>
  <conditionalFormatting sqref="H762:O762">
    <cfRule type="cellIs" dxfId="9376" priority="9305" stopIfTrue="1" operator="equal">
      <formula>"Pass"</formula>
    </cfRule>
    <cfRule type="cellIs" dxfId="9375" priority="9306" stopIfTrue="1" operator="equal">
      <formula>"Fail"</formula>
    </cfRule>
  </conditionalFormatting>
  <conditionalFormatting sqref="H762:O762">
    <cfRule type="cellIs" dxfId="9374" priority="9303" stopIfTrue="1" operator="equal">
      <formula>"Pass"</formula>
    </cfRule>
    <cfRule type="cellIs" dxfId="9373" priority="9304" stopIfTrue="1" operator="equal">
      <formula>"Fail"</formula>
    </cfRule>
  </conditionalFormatting>
  <conditionalFormatting sqref="I762:P762">
    <cfRule type="cellIs" dxfId="9372" priority="9301" stopIfTrue="1" operator="equal">
      <formula>"Pass"</formula>
    </cfRule>
    <cfRule type="cellIs" dxfId="9371" priority="9302" stopIfTrue="1" operator="equal">
      <formula>"Fail"</formula>
    </cfRule>
  </conditionalFormatting>
  <conditionalFormatting sqref="I762:P762">
    <cfRule type="cellIs" dxfId="9370" priority="9299" stopIfTrue="1" operator="equal">
      <formula>"Pass"</formula>
    </cfRule>
    <cfRule type="cellIs" dxfId="9369" priority="9300" stopIfTrue="1" operator="equal">
      <formula>"Fail"</formula>
    </cfRule>
  </conditionalFormatting>
  <conditionalFormatting sqref="I762:P762">
    <cfRule type="cellIs" dxfId="9368" priority="9297" stopIfTrue="1" operator="equal">
      <formula>"Pass"</formula>
    </cfRule>
    <cfRule type="cellIs" dxfId="9367" priority="9298" stopIfTrue="1" operator="equal">
      <formula>"Fail"</formula>
    </cfRule>
  </conditionalFormatting>
  <conditionalFormatting sqref="I762:P762">
    <cfRule type="cellIs" dxfId="9366" priority="9295" stopIfTrue="1" operator="equal">
      <formula>"Pass"</formula>
    </cfRule>
    <cfRule type="cellIs" dxfId="9365" priority="9296" stopIfTrue="1" operator="equal">
      <formula>"Fail"</formula>
    </cfRule>
  </conditionalFormatting>
  <conditionalFormatting sqref="H762:O762">
    <cfRule type="cellIs" dxfId="9364" priority="9293" stopIfTrue="1" operator="equal">
      <formula>"Pass"</formula>
    </cfRule>
    <cfRule type="cellIs" dxfId="9363" priority="9294" stopIfTrue="1" operator="equal">
      <formula>"Fail"</formula>
    </cfRule>
  </conditionalFormatting>
  <conditionalFormatting sqref="H762:O762">
    <cfRule type="cellIs" dxfId="9362" priority="9291" stopIfTrue="1" operator="equal">
      <formula>"Pass"</formula>
    </cfRule>
    <cfRule type="cellIs" dxfId="9361" priority="9292" stopIfTrue="1" operator="equal">
      <formula>"Fail"</formula>
    </cfRule>
  </conditionalFormatting>
  <conditionalFormatting sqref="I762:P762">
    <cfRule type="cellIs" dxfId="9360" priority="9289" stopIfTrue="1" operator="equal">
      <formula>"Pass"</formula>
    </cfRule>
    <cfRule type="cellIs" dxfId="9359" priority="9290" stopIfTrue="1" operator="equal">
      <formula>"Fail"</formula>
    </cfRule>
  </conditionalFormatting>
  <conditionalFormatting sqref="I762:P762">
    <cfRule type="cellIs" dxfId="9358" priority="9287" stopIfTrue="1" operator="equal">
      <formula>"Pass"</formula>
    </cfRule>
    <cfRule type="cellIs" dxfId="9357" priority="9288" stopIfTrue="1" operator="equal">
      <formula>"Fail"</formula>
    </cfRule>
  </conditionalFormatting>
  <conditionalFormatting sqref="I762:P762">
    <cfRule type="cellIs" dxfId="9356" priority="9285" stopIfTrue="1" operator="equal">
      <formula>"Pass"</formula>
    </cfRule>
    <cfRule type="cellIs" dxfId="9355" priority="9286" stopIfTrue="1" operator="equal">
      <formula>"Fail"</formula>
    </cfRule>
  </conditionalFormatting>
  <conditionalFormatting sqref="I762:P762">
    <cfRule type="cellIs" dxfId="9354" priority="9283" stopIfTrue="1" operator="equal">
      <formula>"Pass"</formula>
    </cfRule>
    <cfRule type="cellIs" dxfId="9353" priority="9284" stopIfTrue="1" operator="equal">
      <formula>"Fail"</formula>
    </cfRule>
  </conditionalFormatting>
  <conditionalFormatting sqref="H762:O762">
    <cfRule type="cellIs" dxfId="9352" priority="9281" stopIfTrue="1" operator="equal">
      <formula>"Pass"</formula>
    </cfRule>
    <cfRule type="cellIs" dxfId="9351" priority="9282" stopIfTrue="1" operator="equal">
      <formula>"Fail"</formula>
    </cfRule>
  </conditionalFormatting>
  <conditionalFormatting sqref="H762:O762">
    <cfRule type="cellIs" dxfId="9350" priority="9279" stopIfTrue="1" operator="equal">
      <formula>"Pass"</formula>
    </cfRule>
    <cfRule type="cellIs" dxfId="9349" priority="9280" stopIfTrue="1" operator="equal">
      <formula>"Fail"</formula>
    </cfRule>
  </conditionalFormatting>
  <conditionalFormatting sqref="I762:P762">
    <cfRule type="cellIs" dxfId="9348" priority="9277" stopIfTrue="1" operator="equal">
      <formula>"Pass"</formula>
    </cfRule>
    <cfRule type="cellIs" dxfId="9347" priority="9278" stopIfTrue="1" operator="equal">
      <formula>"Fail"</formula>
    </cfRule>
  </conditionalFormatting>
  <conditionalFormatting sqref="I762:P762">
    <cfRule type="cellIs" dxfId="9346" priority="9275" stopIfTrue="1" operator="equal">
      <formula>"Pass"</formula>
    </cfRule>
    <cfRule type="cellIs" dxfId="9345" priority="9276" stopIfTrue="1" operator="equal">
      <formula>"Fail"</formula>
    </cfRule>
  </conditionalFormatting>
  <conditionalFormatting sqref="I762:P762">
    <cfRule type="cellIs" dxfId="9344" priority="9273" stopIfTrue="1" operator="equal">
      <formula>"Pass"</formula>
    </cfRule>
    <cfRule type="cellIs" dxfId="9343" priority="9274" stopIfTrue="1" operator="equal">
      <formula>"Fail"</formula>
    </cfRule>
  </conditionalFormatting>
  <conditionalFormatting sqref="I762:P762">
    <cfRule type="cellIs" dxfId="9342" priority="9271" stopIfTrue="1" operator="equal">
      <formula>"Pass"</formula>
    </cfRule>
    <cfRule type="cellIs" dxfId="9341" priority="9272" stopIfTrue="1" operator="equal">
      <formula>"Fail"</formula>
    </cfRule>
  </conditionalFormatting>
  <conditionalFormatting sqref="H762:O762">
    <cfRule type="cellIs" dxfId="9340" priority="9269" stopIfTrue="1" operator="equal">
      <formula>"Pass"</formula>
    </cfRule>
    <cfRule type="cellIs" dxfId="9339" priority="9270" stopIfTrue="1" operator="equal">
      <formula>"Fail"</formula>
    </cfRule>
  </conditionalFormatting>
  <conditionalFormatting sqref="H762:O762">
    <cfRule type="cellIs" dxfId="9338" priority="9267" stopIfTrue="1" operator="equal">
      <formula>"Pass"</formula>
    </cfRule>
    <cfRule type="cellIs" dxfId="9337" priority="9268" stopIfTrue="1" operator="equal">
      <formula>"Fail"</formula>
    </cfRule>
  </conditionalFormatting>
  <conditionalFormatting sqref="I762:P762">
    <cfRule type="cellIs" dxfId="9336" priority="9265" stopIfTrue="1" operator="equal">
      <formula>"Pass"</formula>
    </cfRule>
    <cfRule type="cellIs" dxfId="9335" priority="9266" stopIfTrue="1" operator="equal">
      <formula>"Fail"</formula>
    </cfRule>
  </conditionalFormatting>
  <conditionalFormatting sqref="I762:P762">
    <cfRule type="cellIs" dxfId="9334" priority="9263" stopIfTrue="1" operator="equal">
      <formula>"Pass"</formula>
    </cfRule>
    <cfRule type="cellIs" dxfId="9333" priority="9264" stopIfTrue="1" operator="equal">
      <formula>"Fail"</formula>
    </cfRule>
  </conditionalFormatting>
  <conditionalFormatting sqref="I762:P762">
    <cfRule type="cellIs" dxfId="9332" priority="9261" stopIfTrue="1" operator="equal">
      <formula>"Pass"</formula>
    </cfRule>
    <cfRule type="cellIs" dxfId="9331" priority="9262" stopIfTrue="1" operator="equal">
      <formula>"Fail"</formula>
    </cfRule>
  </conditionalFormatting>
  <conditionalFormatting sqref="I762:P762">
    <cfRule type="cellIs" dxfId="9330" priority="9259" stopIfTrue="1" operator="equal">
      <formula>"Pass"</formula>
    </cfRule>
    <cfRule type="cellIs" dxfId="9329" priority="9260" stopIfTrue="1" operator="equal">
      <formula>"Fail"</formula>
    </cfRule>
  </conditionalFormatting>
  <conditionalFormatting sqref="H762:O762">
    <cfRule type="cellIs" dxfId="9328" priority="9257" stopIfTrue="1" operator="equal">
      <formula>"Pass"</formula>
    </cfRule>
    <cfRule type="cellIs" dxfId="9327" priority="9258" stopIfTrue="1" operator="equal">
      <formula>"Fail"</formula>
    </cfRule>
  </conditionalFormatting>
  <conditionalFormatting sqref="H762:O762">
    <cfRule type="cellIs" dxfId="9326" priority="9255" stopIfTrue="1" operator="equal">
      <formula>"Pass"</formula>
    </cfRule>
    <cfRule type="cellIs" dxfId="9325" priority="9256" stopIfTrue="1" operator="equal">
      <formula>"Fail"</formula>
    </cfRule>
  </conditionalFormatting>
  <conditionalFormatting sqref="I762:P762">
    <cfRule type="cellIs" dxfId="9324" priority="9253" stopIfTrue="1" operator="equal">
      <formula>"Pass"</formula>
    </cfRule>
    <cfRule type="cellIs" dxfId="9323" priority="9254" stopIfTrue="1" operator="equal">
      <formula>"Fail"</formula>
    </cfRule>
  </conditionalFormatting>
  <conditionalFormatting sqref="I762:P762">
    <cfRule type="cellIs" dxfId="9322" priority="9251" stopIfTrue="1" operator="equal">
      <formula>"Pass"</formula>
    </cfRule>
    <cfRule type="cellIs" dxfId="9321" priority="9252" stopIfTrue="1" operator="equal">
      <formula>"Fail"</formula>
    </cfRule>
  </conditionalFormatting>
  <conditionalFormatting sqref="I762:P762">
    <cfRule type="cellIs" dxfId="9320" priority="9249" stopIfTrue="1" operator="equal">
      <formula>"Pass"</formula>
    </cfRule>
    <cfRule type="cellIs" dxfId="9319" priority="9250" stopIfTrue="1" operator="equal">
      <formula>"Fail"</formula>
    </cfRule>
  </conditionalFormatting>
  <conditionalFormatting sqref="I762:P762">
    <cfRule type="cellIs" dxfId="9318" priority="9247" stopIfTrue="1" operator="equal">
      <formula>"Pass"</formula>
    </cfRule>
    <cfRule type="cellIs" dxfId="9317" priority="9248" stopIfTrue="1" operator="equal">
      <formula>"Fail"</formula>
    </cfRule>
  </conditionalFormatting>
  <conditionalFormatting sqref="H762:O762">
    <cfRule type="cellIs" dxfId="9316" priority="9245" stopIfTrue="1" operator="equal">
      <formula>"Pass"</formula>
    </cfRule>
    <cfRule type="cellIs" dxfId="9315" priority="9246" stopIfTrue="1" operator="equal">
      <formula>"Fail"</formula>
    </cfRule>
  </conditionalFormatting>
  <conditionalFormatting sqref="H762:O762">
    <cfRule type="cellIs" dxfId="9314" priority="9243" stopIfTrue="1" operator="equal">
      <formula>"Pass"</formula>
    </cfRule>
    <cfRule type="cellIs" dxfId="9313" priority="9244" stopIfTrue="1" operator="equal">
      <formula>"Fail"</formula>
    </cfRule>
  </conditionalFormatting>
  <conditionalFormatting sqref="I762:P762">
    <cfRule type="cellIs" dxfId="9312" priority="9241" stopIfTrue="1" operator="equal">
      <formula>"Pass"</formula>
    </cfRule>
    <cfRule type="cellIs" dxfId="9311" priority="9242" stopIfTrue="1" operator="equal">
      <formula>"Fail"</formula>
    </cfRule>
  </conditionalFormatting>
  <conditionalFormatting sqref="I762:P762">
    <cfRule type="cellIs" dxfId="9310" priority="9239" stopIfTrue="1" operator="equal">
      <formula>"Pass"</formula>
    </cfRule>
    <cfRule type="cellIs" dxfId="9309" priority="9240" stopIfTrue="1" operator="equal">
      <formula>"Fail"</formula>
    </cfRule>
  </conditionalFormatting>
  <conditionalFormatting sqref="I762:P762">
    <cfRule type="cellIs" dxfId="9308" priority="9237" stopIfTrue="1" operator="equal">
      <formula>"Pass"</formula>
    </cfRule>
    <cfRule type="cellIs" dxfId="9307" priority="9238" stopIfTrue="1" operator="equal">
      <formula>"Fail"</formula>
    </cfRule>
  </conditionalFormatting>
  <conditionalFormatting sqref="I762:P762">
    <cfRule type="cellIs" dxfId="9306" priority="9235" stopIfTrue="1" operator="equal">
      <formula>"Pass"</formula>
    </cfRule>
    <cfRule type="cellIs" dxfId="9305" priority="9236" stopIfTrue="1" operator="equal">
      <formula>"Fail"</formula>
    </cfRule>
  </conditionalFormatting>
  <conditionalFormatting sqref="H762:O762">
    <cfRule type="cellIs" dxfId="9304" priority="9233" stopIfTrue="1" operator="equal">
      <formula>"Pass"</formula>
    </cfRule>
    <cfRule type="cellIs" dxfId="9303" priority="9234" stopIfTrue="1" operator="equal">
      <formula>"Fail"</formula>
    </cfRule>
  </conditionalFormatting>
  <conditionalFormatting sqref="H762:O762">
    <cfRule type="cellIs" dxfId="9302" priority="9231" stopIfTrue="1" operator="equal">
      <formula>"Pass"</formula>
    </cfRule>
    <cfRule type="cellIs" dxfId="9301" priority="9232" stopIfTrue="1" operator="equal">
      <formula>"Fail"</formula>
    </cfRule>
  </conditionalFormatting>
  <conditionalFormatting sqref="I762:P762">
    <cfRule type="cellIs" dxfId="9300" priority="9229" stopIfTrue="1" operator="equal">
      <formula>"Pass"</formula>
    </cfRule>
    <cfRule type="cellIs" dxfId="9299" priority="9230" stopIfTrue="1" operator="equal">
      <formula>"Fail"</formula>
    </cfRule>
  </conditionalFormatting>
  <conditionalFormatting sqref="I762:P762">
    <cfRule type="cellIs" dxfId="9298" priority="9227" stopIfTrue="1" operator="equal">
      <formula>"Pass"</formula>
    </cfRule>
    <cfRule type="cellIs" dxfId="9297" priority="9228" stopIfTrue="1" operator="equal">
      <formula>"Fail"</formula>
    </cfRule>
  </conditionalFormatting>
  <conditionalFormatting sqref="I762:P762">
    <cfRule type="cellIs" dxfId="9296" priority="9225" stopIfTrue="1" operator="equal">
      <formula>"Pass"</formula>
    </cfRule>
    <cfRule type="cellIs" dxfId="9295" priority="9226" stopIfTrue="1" operator="equal">
      <formula>"Fail"</formula>
    </cfRule>
  </conditionalFormatting>
  <conditionalFormatting sqref="I762:P762">
    <cfRule type="cellIs" dxfId="9294" priority="9223" stopIfTrue="1" operator="equal">
      <formula>"Pass"</formula>
    </cfRule>
    <cfRule type="cellIs" dxfId="9293" priority="9224" stopIfTrue="1" operator="equal">
      <formula>"Fail"</formula>
    </cfRule>
  </conditionalFormatting>
  <conditionalFormatting sqref="D762:E762">
    <cfRule type="cellIs" dxfId="9292" priority="9221" stopIfTrue="1" operator="equal">
      <formula>"Pass"</formula>
    </cfRule>
    <cfRule type="cellIs" dxfId="9291" priority="9222" stopIfTrue="1" operator="equal">
      <formula>"Fail"</formula>
    </cfRule>
  </conditionalFormatting>
  <conditionalFormatting sqref="D762:E762">
    <cfRule type="cellIs" dxfId="9290" priority="9219" stopIfTrue="1" operator="equal">
      <formula>"Pass"</formula>
    </cfRule>
    <cfRule type="cellIs" dxfId="9289" priority="9220" stopIfTrue="1" operator="equal">
      <formula>"Fail"</formula>
    </cfRule>
  </conditionalFormatting>
  <conditionalFormatting sqref="G762:H762">
    <cfRule type="cellIs" dxfId="9288" priority="9217" stopIfTrue="1" operator="equal">
      <formula>"Pass"</formula>
    </cfRule>
    <cfRule type="cellIs" dxfId="9287" priority="9218" stopIfTrue="1" operator="equal">
      <formula>"Fail"</formula>
    </cfRule>
  </conditionalFormatting>
  <conditionalFormatting sqref="G762:H762">
    <cfRule type="cellIs" dxfId="9286" priority="9215" stopIfTrue="1" operator="equal">
      <formula>"Pass"</formula>
    </cfRule>
    <cfRule type="cellIs" dxfId="9285" priority="9216" stopIfTrue="1" operator="equal">
      <formula>"Fail"</formula>
    </cfRule>
  </conditionalFormatting>
  <conditionalFormatting sqref="G762:H762">
    <cfRule type="cellIs" dxfId="9284" priority="9213" stopIfTrue="1" operator="equal">
      <formula>"Pass"</formula>
    </cfRule>
    <cfRule type="cellIs" dxfId="9283" priority="9214" stopIfTrue="1" operator="equal">
      <formula>"Fail"</formula>
    </cfRule>
  </conditionalFormatting>
  <conditionalFormatting sqref="G762:H762">
    <cfRule type="cellIs" dxfId="9282" priority="9211" stopIfTrue="1" operator="equal">
      <formula>"Pass"</formula>
    </cfRule>
    <cfRule type="cellIs" dxfId="9281" priority="9212" stopIfTrue="1" operator="equal">
      <formula>"Fail"</formula>
    </cfRule>
  </conditionalFormatting>
  <conditionalFormatting sqref="H762:O762">
    <cfRule type="cellIs" dxfId="9280" priority="9209" stopIfTrue="1" operator="equal">
      <formula>"Pass"</formula>
    </cfRule>
    <cfRule type="cellIs" dxfId="9279" priority="9210" stopIfTrue="1" operator="equal">
      <formula>"Fail"</formula>
    </cfRule>
  </conditionalFormatting>
  <conditionalFormatting sqref="H762:O762">
    <cfRule type="cellIs" dxfId="9278" priority="9207" stopIfTrue="1" operator="equal">
      <formula>"Pass"</formula>
    </cfRule>
    <cfRule type="cellIs" dxfId="9277" priority="9208" stopIfTrue="1" operator="equal">
      <formula>"Fail"</formula>
    </cfRule>
  </conditionalFormatting>
  <conditionalFormatting sqref="I762:P762">
    <cfRule type="cellIs" dxfId="9276" priority="9205" stopIfTrue="1" operator="equal">
      <formula>"Pass"</formula>
    </cfRule>
    <cfRule type="cellIs" dxfId="9275" priority="9206" stopIfTrue="1" operator="equal">
      <formula>"Fail"</formula>
    </cfRule>
  </conditionalFormatting>
  <conditionalFormatting sqref="I762:P762">
    <cfRule type="cellIs" dxfId="9274" priority="9203" stopIfTrue="1" operator="equal">
      <formula>"Pass"</formula>
    </cfRule>
    <cfRule type="cellIs" dxfId="9273" priority="9204" stopIfTrue="1" operator="equal">
      <formula>"Fail"</formula>
    </cfRule>
  </conditionalFormatting>
  <conditionalFormatting sqref="I762:P762">
    <cfRule type="cellIs" dxfId="9272" priority="9201" stopIfTrue="1" operator="equal">
      <formula>"Pass"</formula>
    </cfRule>
    <cfRule type="cellIs" dxfId="9271" priority="9202" stopIfTrue="1" operator="equal">
      <formula>"Fail"</formula>
    </cfRule>
  </conditionalFormatting>
  <conditionalFormatting sqref="I762:P762">
    <cfRule type="cellIs" dxfId="9270" priority="9199" stopIfTrue="1" operator="equal">
      <formula>"Pass"</formula>
    </cfRule>
    <cfRule type="cellIs" dxfId="9269" priority="9200" stopIfTrue="1" operator="equal">
      <formula>"Fail"</formula>
    </cfRule>
  </conditionalFormatting>
  <conditionalFormatting sqref="H762:O762">
    <cfRule type="cellIs" dxfId="9268" priority="9197" stopIfTrue="1" operator="equal">
      <formula>"Pass"</formula>
    </cfRule>
    <cfRule type="cellIs" dxfId="9267" priority="9198" stopIfTrue="1" operator="equal">
      <formula>"Fail"</formula>
    </cfRule>
  </conditionalFormatting>
  <conditionalFormatting sqref="H762:O762">
    <cfRule type="cellIs" dxfId="9266" priority="9195" stopIfTrue="1" operator="equal">
      <formula>"Pass"</formula>
    </cfRule>
    <cfRule type="cellIs" dxfId="9265" priority="9196" stopIfTrue="1" operator="equal">
      <formula>"Fail"</formula>
    </cfRule>
  </conditionalFormatting>
  <conditionalFormatting sqref="I762:P762">
    <cfRule type="cellIs" dxfId="9264" priority="9193" stopIfTrue="1" operator="equal">
      <formula>"Pass"</formula>
    </cfRule>
    <cfRule type="cellIs" dxfId="9263" priority="9194" stopIfTrue="1" operator="equal">
      <formula>"Fail"</formula>
    </cfRule>
  </conditionalFormatting>
  <conditionalFormatting sqref="I762:P762">
    <cfRule type="cellIs" dxfId="9262" priority="9191" stopIfTrue="1" operator="equal">
      <formula>"Pass"</formula>
    </cfRule>
    <cfRule type="cellIs" dxfId="9261" priority="9192" stopIfTrue="1" operator="equal">
      <formula>"Fail"</formula>
    </cfRule>
  </conditionalFormatting>
  <conditionalFormatting sqref="I762:P762">
    <cfRule type="cellIs" dxfId="9260" priority="9189" stopIfTrue="1" operator="equal">
      <formula>"Pass"</formula>
    </cfRule>
    <cfRule type="cellIs" dxfId="9259" priority="9190" stopIfTrue="1" operator="equal">
      <formula>"Fail"</formula>
    </cfRule>
  </conditionalFormatting>
  <conditionalFormatting sqref="I762:P762">
    <cfRule type="cellIs" dxfId="9258" priority="9187" stopIfTrue="1" operator="equal">
      <formula>"Pass"</formula>
    </cfRule>
    <cfRule type="cellIs" dxfId="9257" priority="9188" stopIfTrue="1" operator="equal">
      <formula>"Fail"</formula>
    </cfRule>
  </conditionalFormatting>
  <conditionalFormatting sqref="H762:O762">
    <cfRule type="cellIs" dxfId="9256" priority="9185" stopIfTrue="1" operator="equal">
      <formula>"Pass"</formula>
    </cfRule>
    <cfRule type="cellIs" dxfId="9255" priority="9186" stopIfTrue="1" operator="equal">
      <formula>"Fail"</formula>
    </cfRule>
  </conditionalFormatting>
  <conditionalFormatting sqref="H762:O762">
    <cfRule type="cellIs" dxfId="9254" priority="9183" stopIfTrue="1" operator="equal">
      <formula>"Pass"</formula>
    </cfRule>
    <cfRule type="cellIs" dxfId="9253" priority="9184" stopIfTrue="1" operator="equal">
      <formula>"Fail"</formula>
    </cfRule>
  </conditionalFormatting>
  <conditionalFormatting sqref="I762:P762">
    <cfRule type="cellIs" dxfId="9252" priority="9181" stopIfTrue="1" operator="equal">
      <formula>"Pass"</formula>
    </cfRule>
    <cfRule type="cellIs" dxfId="9251" priority="9182" stopIfTrue="1" operator="equal">
      <formula>"Fail"</formula>
    </cfRule>
  </conditionalFormatting>
  <conditionalFormatting sqref="I762:P762">
    <cfRule type="cellIs" dxfId="9250" priority="9179" stopIfTrue="1" operator="equal">
      <formula>"Pass"</formula>
    </cfRule>
    <cfRule type="cellIs" dxfId="9249" priority="9180" stopIfTrue="1" operator="equal">
      <formula>"Fail"</formula>
    </cfRule>
  </conditionalFormatting>
  <conditionalFormatting sqref="I762:P762">
    <cfRule type="cellIs" dxfId="9248" priority="9177" stopIfTrue="1" operator="equal">
      <formula>"Pass"</formula>
    </cfRule>
    <cfRule type="cellIs" dxfId="9247" priority="9178" stopIfTrue="1" operator="equal">
      <formula>"Fail"</formula>
    </cfRule>
  </conditionalFormatting>
  <conditionalFormatting sqref="I762:P762">
    <cfRule type="cellIs" dxfId="9246" priority="9175" stopIfTrue="1" operator="equal">
      <formula>"Pass"</formula>
    </cfRule>
    <cfRule type="cellIs" dxfId="9245" priority="9176" stopIfTrue="1" operator="equal">
      <formula>"Fail"</formula>
    </cfRule>
  </conditionalFormatting>
  <conditionalFormatting sqref="H762:O762">
    <cfRule type="cellIs" dxfId="9244" priority="9173" stopIfTrue="1" operator="equal">
      <formula>"Pass"</formula>
    </cfRule>
    <cfRule type="cellIs" dxfId="9243" priority="9174" stopIfTrue="1" operator="equal">
      <formula>"Fail"</formula>
    </cfRule>
  </conditionalFormatting>
  <conditionalFormatting sqref="H762:O762">
    <cfRule type="cellIs" dxfId="9242" priority="9171" stopIfTrue="1" operator="equal">
      <formula>"Pass"</formula>
    </cfRule>
    <cfRule type="cellIs" dxfId="9241" priority="9172" stopIfTrue="1" operator="equal">
      <formula>"Fail"</formula>
    </cfRule>
  </conditionalFormatting>
  <conditionalFormatting sqref="I762:P762">
    <cfRule type="cellIs" dxfId="9240" priority="9169" stopIfTrue="1" operator="equal">
      <formula>"Pass"</formula>
    </cfRule>
    <cfRule type="cellIs" dxfId="9239" priority="9170" stopIfTrue="1" operator="equal">
      <formula>"Fail"</formula>
    </cfRule>
  </conditionalFormatting>
  <conditionalFormatting sqref="I762:P762">
    <cfRule type="cellIs" dxfId="9238" priority="9167" stopIfTrue="1" operator="equal">
      <formula>"Pass"</formula>
    </cfRule>
    <cfRule type="cellIs" dxfId="9237" priority="9168" stopIfTrue="1" operator="equal">
      <formula>"Fail"</formula>
    </cfRule>
  </conditionalFormatting>
  <conditionalFormatting sqref="I762:P762">
    <cfRule type="cellIs" dxfId="9236" priority="9165" stopIfTrue="1" operator="equal">
      <formula>"Pass"</formula>
    </cfRule>
    <cfRule type="cellIs" dxfId="9235" priority="9166" stopIfTrue="1" operator="equal">
      <formula>"Fail"</formula>
    </cfRule>
  </conditionalFormatting>
  <conditionalFormatting sqref="I762:P762">
    <cfRule type="cellIs" dxfId="9234" priority="9163" stopIfTrue="1" operator="equal">
      <formula>"Pass"</formula>
    </cfRule>
    <cfRule type="cellIs" dxfId="9233" priority="9164" stopIfTrue="1" operator="equal">
      <formula>"Fail"</formula>
    </cfRule>
  </conditionalFormatting>
  <conditionalFormatting sqref="H762:O762">
    <cfRule type="cellIs" dxfId="9232" priority="9161" stopIfTrue="1" operator="equal">
      <formula>"Pass"</formula>
    </cfRule>
    <cfRule type="cellIs" dxfId="9231" priority="9162" stopIfTrue="1" operator="equal">
      <formula>"Fail"</formula>
    </cfRule>
  </conditionalFormatting>
  <conditionalFormatting sqref="H762:O762">
    <cfRule type="cellIs" dxfId="9230" priority="9159" stopIfTrue="1" operator="equal">
      <formula>"Pass"</formula>
    </cfRule>
    <cfRule type="cellIs" dxfId="9229" priority="9160" stopIfTrue="1" operator="equal">
      <formula>"Fail"</formula>
    </cfRule>
  </conditionalFormatting>
  <conditionalFormatting sqref="I762:P762">
    <cfRule type="cellIs" dxfId="9228" priority="9157" stopIfTrue="1" operator="equal">
      <formula>"Pass"</formula>
    </cfRule>
    <cfRule type="cellIs" dxfId="9227" priority="9158" stopIfTrue="1" operator="equal">
      <formula>"Fail"</formula>
    </cfRule>
  </conditionalFormatting>
  <conditionalFormatting sqref="I762:P762">
    <cfRule type="cellIs" dxfId="9226" priority="9155" stopIfTrue="1" operator="equal">
      <formula>"Pass"</formula>
    </cfRule>
    <cfRule type="cellIs" dxfId="9225" priority="9156" stopIfTrue="1" operator="equal">
      <formula>"Fail"</formula>
    </cfRule>
  </conditionalFormatting>
  <conditionalFormatting sqref="I762:P762">
    <cfRule type="cellIs" dxfId="9224" priority="9153" stopIfTrue="1" operator="equal">
      <formula>"Pass"</formula>
    </cfRule>
    <cfRule type="cellIs" dxfId="9223" priority="9154" stopIfTrue="1" operator="equal">
      <formula>"Fail"</formula>
    </cfRule>
  </conditionalFormatting>
  <conditionalFormatting sqref="I762:P762">
    <cfRule type="cellIs" dxfId="9222" priority="9151" stopIfTrue="1" operator="equal">
      <formula>"Pass"</formula>
    </cfRule>
    <cfRule type="cellIs" dxfId="9221" priority="9152" stopIfTrue="1" operator="equal">
      <formula>"Fail"</formula>
    </cfRule>
  </conditionalFormatting>
  <conditionalFormatting sqref="H762:O762">
    <cfRule type="cellIs" dxfId="9220" priority="9149" stopIfTrue="1" operator="equal">
      <formula>"Pass"</formula>
    </cfRule>
    <cfRule type="cellIs" dxfId="9219" priority="9150" stopIfTrue="1" operator="equal">
      <formula>"Fail"</formula>
    </cfRule>
  </conditionalFormatting>
  <conditionalFormatting sqref="H762:O762">
    <cfRule type="cellIs" dxfId="9218" priority="9147" stopIfTrue="1" operator="equal">
      <formula>"Pass"</formula>
    </cfRule>
    <cfRule type="cellIs" dxfId="9217" priority="9148" stopIfTrue="1" operator="equal">
      <formula>"Fail"</formula>
    </cfRule>
  </conditionalFormatting>
  <conditionalFormatting sqref="I762:P762">
    <cfRule type="cellIs" dxfId="9216" priority="9145" stopIfTrue="1" operator="equal">
      <formula>"Pass"</formula>
    </cfRule>
    <cfRule type="cellIs" dxfId="9215" priority="9146" stopIfTrue="1" operator="equal">
      <formula>"Fail"</formula>
    </cfRule>
  </conditionalFormatting>
  <conditionalFormatting sqref="I762:P762">
    <cfRule type="cellIs" dxfId="9214" priority="9143" stopIfTrue="1" operator="equal">
      <formula>"Pass"</formula>
    </cfRule>
    <cfRule type="cellIs" dxfId="9213" priority="9144" stopIfTrue="1" operator="equal">
      <formula>"Fail"</formula>
    </cfRule>
  </conditionalFormatting>
  <conditionalFormatting sqref="I762:P762">
    <cfRule type="cellIs" dxfId="9212" priority="9141" stopIfTrue="1" operator="equal">
      <formula>"Pass"</formula>
    </cfRule>
    <cfRule type="cellIs" dxfId="9211" priority="9142" stopIfTrue="1" operator="equal">
      <formula>"Fail"</formula>
    </cfRule>
  </conditionalFormatting>
  <conditionalFormatting sqref="I762:P762">
    <cfRule type="cellIs" dxfId="9210" priority="9139" stopIfTrue="1" operator="equal">
      <formula>"Pass"</formula>
    </cfRule>
    <cfRule type="cellIs" dxfId="9209" priority="9140" stopIfTrue="1" operator="equal">
      <formula>"Fail"</formula>
    </cfRule>
  </conditionalFormatting>
  <conditionalFormatting sqref="H762:O762">
    <cfRule type="cellIs" dxfId="9208" priority="9137" stopIfTrue="1" operator="equal">
      <formula>"Pass"</formula>
    </cfRule>
    <cfRule type="cellIs" dxfId="9207" priority="9138" stopIfTrue="1" operator="equal">
      <formula>"Fail"</formula>
    </cfRule>
  </conditionalFormatting>
  <conditionalFormatting sqref="H762:O762">
    <cfRule type="cellIs" dxfId="9206" priority="9135" stopIfTrue="1" operator="equal">
      <formula>"Pass"</formula>
    </cfRule>
    <cfRule type="cellIs" dxfId="9205" priority="9136" stopIfTrue="1" operator="equal">
      <formula>"Fail"</formula>
    </cfRule>
  </conditionalFormatting>
  <conditionalFormatting sqref="I762:P762">
    <cfRule type="cellIs" dxfId="9204" priority="9133" stopIfTrue="1" operator="equal">
      <formula>"Pass"</formula>
    </cfRule>
    <cfRule type="cellIs" dxfId="9203" priority="9134" stopIfTrue="1" operator="equal">
      <formula>"Fail"</formula>
    </cfRule>
  </conditionalFormatting>
  <conditionalFormatting sqref="I762:P762">
    <cfRule type="cellIs" dxfId="9202" priority="9131" stopIfTrue="1" operator="equal">
      <formula>"Pass"</formula>
    </cfRule>
    <cfRule type="cellIs" dxfId="9201" priority="9132" stopIfTrue="1" operator="equal">
      <formula>"Fail"</formula>
    </cfRule>
  </conditionalFormatting>
  <conditionalFormatting sqref="I762:P762">
    <cfRule type="cellIs" dxfId="9200" priority="9129" stopIfTrue="1" operator="equal">
      <formula>"Pass"</formula>
    </cfRule>
    <cfRule type="cellIs" dxfId="9199" priority="9130" stopIfTrue="1" operator="equal">
      <formula>"Fail"</formula>
    </cfRule>
  </conditionalFormatting>
  <conditionalFormatting sqref="I762:P762">
    <cfRule type="cellIs" dxfId="9198" priority="9127" stopIfTrue="1" operator="equal">
      <formula>"Pass"</formula>
    </cfRule>
    <cfRule type="cellIs" dxfId="9197" priority="9128" stopIfTrue="1" operator="equal">
      <formula>"Fail"</formula>
    </cfRule>
  </conditionalFormatting>
  <conditionalFormatting sqref="H762:O762">
    <cfRule type="cellIs" dxfId="9196" priority="9125" stopIfTrue="1" operator="equal">
      <formula>"Pass"</formula>
    </cfRule>
    <cfRule type="cellIs" dxfId="9195" priority="9126" stopIfTrue="1" operator="equal">
      <formula>"Fail"</formula>
    </cfRule>
  </conditionalFormatting>
  <conditionalFormatting sqref="H762:O762">
    <cfRule type="cellIs" dxfId="9194" priority="9123" stopIfTrue="1" operator="equal">
      <formula>"Pass"</formula>
    </cfRule>
    <cfRule type="cellIs" dxfId="9193" priority="9124" stopIfTrue="1" operator="equal">
      <formula>"Fail"</formula>
    </cfRule>
  </conditionalFormatting>
  <conditionalFormatting sqref="I762:P762">
    <cfRule type="cellIs" dxfId="9192" priority="9121" stopIfTrue="1" operator="equal">
      <formula>"Pass"</formula>
    </cfRule>
    <cfRule type="cellIs" dxfId="9191" priority="9122" stopIfTrue="1" operator="equal">
      <formula>"Fail"</formula>
    </cfRule>
  </conditionalFormatting>
  <conditionalFormatting sqref="I762:P762">
    <cfRule type="cellIs" dxfId="9190" priority="9119" stopIfTrue="1" operator="equal">
      <formula>"Pass"</formula>
    </cfRule>
    <cfRule type="cellIs" dxfId="9189" priority="9120" stopIfTrue="1" operator="equal">
      <formula>"Fail"</formula>
    </cfRule>
  </conditionalFormatting>
  <conditionalFormatting sqref="I762:P762">
    <cfRule type="cellIs" dxfId="9188" priority="9117" stopIfTrue="1" operator="equal">
      <formula>"Pass"</formula>
    </cfRule>
    <cfRule type="cellIs" dxfId="9187" priority="9118" stopIfTrue="1" operator="equal">
      <formula>"Fail"</formula>
    </cfRule>
  </conditionalFormatting>
  <conditionalFormatting sqref="I762:P762">
    <cfRule type="cellIs" dxfId="9186" priority="9115" stopIfTrue="1" operator="equal">
      <formula>"Pass"</formula>
    </cfRule>
    <cfRule type="cellIs" dxfId="9185" priority="9116" stopIfTrue="1" operator="equal">
      <formula>"Fail"</formula>
    </cfRule>
  </conditionalFormatting>
  <conditionalFormatting sqref="H762:O762">
    <cfRule type="cellIs" dxfId="9184" priority="9113" stopIfTrue="1" operator="equal">
      <formula>"Pass"</formula>
    </cfRule>
    <cfRule type="cellIs" dxfId="9183" priority="9114" stopIfTrue="1" operator="equal">
      <formula>"Fail"</formula>
    </cfRule>
  </conditionalFormatting>
  <conditionalFormatting sqref="H762:O762">
    <cfRule type="cellIs" dxfId="9182" priority="9111" stopIfTrue="1" operator="equal">
      <formula>"Pass"</formula>
    </cfRule>
    <cfRule type="cellIs" dxfId="9181" priority="9112" stopIfTrue="1" operator="equal">
      <formula>"Fail"</formula>
    </cfRule>
  </conditionalFormatting>
  <conditionalFormatting sqref="I762:P762">
    <cfRule type="cellIs" dxfId="9180" priority="9109" stopIfTrue="1" operator="equal">
      <formula>"Pass"</formula>
    </cfRule>
    <cfRule type="cellIs" dxfId="9179" priority="9110" stopIfTrue="1" operator="equal">
      <formula>"Fail"</formula>
    </cfRule>
  </conditionalFormatting>
  <conditionalFormatting sqref="I762:P762">
    <cfRule type="cellIs" dxfId="9178" priority="9107" stopIfTrue="1" operator="equal">
      <formula>"Pass"</formula>
    </cfRule>
    <cfRule type="cellIs" dxfId="9177" priority="9108" stopIfTrue="1" operator="equal">
      <formula>"Fail"</formula>
    </cfRule>
  </conditionalFormatting>
  <conditionalFormatting sqref="I762:P762">
    <cfRule type="cellIs" dxfId="9176" priority="9105" stopIfTrue="1" operator="equal">
      <formula>"Pass"</formula>
    </cfRule>
    <cfRule type="cellIs" dxfId="9175" priority="9106" stopIfTrue="1" operator="equal">
      <formula>"Fail"</formula>
    </cfRule>
  </conditionalFormatting>
  <conditionalFormatting sqref="I762:P762">
    <cfRule type="cellIs" dxfId="9174" priority="9103" stopIfTrue="1" operator="equal">
      <formula>"Pass"</formula>
    </cfRule>
    <cfRule type="cellIs" dxfId="9173" priority="9104" stopIfTrue="1" operator="equal">
      <formula>"Fail"</formula>
    </cfRule>
  </conditionalFormatting>
  <conditionalFormatting sqref="H762:O762">
    <cfRule type="cellIs" dxfId="9172" priority="9101" stopIfTrue="1" operator="equal">
      <formula>"Pass"</formula>
    </cfRule>
    <cfRule type="cellIs" dxfId="9171" priority="9102" stopIfTrue="1" operator="equal">
      <formula>"Fail"</formula>
    </cfRule>
  </conditionalFormatting>
  <conditionalFormatting sqref="H762:O762">
    <cfRule type="cellIs" dxfId="9170" priority="9099" stopIfTrue="1" operator="equal">
      <formula>"Pass"</formula>
    </cfRule>
    <cfRule type="cellIs" dxfId="9169" priority="9100" stopIfTrue="1" operator="equal">
      <formula>"Fail"</formula>
    </cfRule>
  </conditionalFormatting>
  <conditionalFormatting sqref="I762:P762">
    <cfRule type="cellIs" dxfId="9168" priority="9097" stopIfTrue="1" operator="equal">
      <formula>"Pass"</formula>
    </cfRule>
    <cfRule type="cellIs" dxfId="9167" priority="9098" stopIfTrue="1" operator="equal">
      <formula>"Fail"</formula>
    </cfRule>
  </conditionalFormatting>
  <conditionalFormatting sqref="I762:P762">
    <cfRule type="cellIs" dxfId="9166" priority="9095" stopIfTrue="1" operator="equal">
      <formula>"Pass"</formula>
    </cfRule>
    <cfRule type="cellIs" dxfId="9165" priority="9096" stopIfTrue="1" operator="equal">
      <formula>"Fail"</formula>
    </cfRule>
  </conditionalFormatting>
  <conditionalFormatting sqref="I762:P762">
    <cfRule type="cellIs" dxfId="9164" priority="9093" stopIfTrue="1" operator="equal">
      <formula>"Pass"</formula>
    </cfRule>
    <cfRule type="cellIs" dxfId="9163" priority="9094" stopIfTrue="1" operator="equal">
      <formula>"Fail"</formula>
    </cfRule>
  </conditionalFormatting>
  <conditionalFormatting sqref="I762:P762">
    <cfRule type="cellIs" dxfId="9162" priority="9091" stopIfTrue="1" operator="equal">
      <formula>"Pass"</formula>
    </cfRule>
    <cfRule type="cellIs" dxfId="9161" priority="9092" stopIfTrue="1" operator="equal">
      <formula>"Fail"</formula>
    </cfRule>
  </conditionalFormatting>
  <conditionalFormatting sqref="H762:O762">
    <cfRule type="cellIs" dxfId="9160" priority="9089" stopIfTrue="1" operator="equal">
      <formula>"Pass"</formula>
    </cfRule>
    <cfRule type="cellIs" dxfId="9159" priority="9090" stopIfTrue="1" operator="equal">
      <formula>"Fail"</formula>
    </cfRule>
  </conditionalFormatting>
  <conditionalFormatting sqref="H762:O762">
    <cfRule type="cellIs" dxfId="9158" priority="9087" stopIfTrue="1" operator="equal">
      <formula>"Pass"</formula>
    </cfRule>
    <cfRule type="cellIs" dxfId="9157" priority="9088" stopIfTrue="1" operator="equal">
      <formula>"Fail"</formula>
    </cfRule>
  </conditionalFormatting>
  <conditionalFormatting sqref="I762:P762">
    <cfRule type="cellIs" dxfId="9156" priority="9085" stopIfTrue="1" operator="equal">
      <formula>"Pass"</formula>
    </cfRule>
    <cfRule type="cellIs" dxfId="9155" priority="9086" stopIfTrue="1" operator="equal">
      <formula>"Fail"</formula>
    </cfRule>
  </conditionalFormatting>
  <conditionalFormatting sqref="I762:P762">
    <cfRule type="cellIs" dxfId="9154" priority="9083" stopIfTrue="1" operator="equal">
      <formula>"Pass"</formula>
    </cfRule>
    <cfRule type="cellIs" dxfId="9153" priority="9084" stopIfTrue="1" operator="equal">
      <formula>"Fail"</formula>
    </cfRule>
  </conditionalFormatting>
  <conditionalFormatting sqref="I762:P762">
    <cfRule type="cellIs" dxfId="9152" priority="9081" stopIfTrue="1" operator="equal">
      <formula>"Pass"</formula>
    </cfRule>
    <cfRule type="cellIs" dxfId="9151" priority="9082" stopIfTrue="1" operator="equal">
      <formula>"Fail"</formula>
    </cfRule>
  </conditionalFormatting>
  <conditionalFormatting sqref="I762:P762">
    <cfRule type="cellIs" dxfId="9150" priority="9079" stopIfTrue="1" operator="equal">
      <formula>"Pass"</formula>
    </cfRule>
    <cfRule type="cellIs" dxfId="9149" priority="9080" stopIfTrue="1" operator="equal">
      <formula>"Fail"</formula>
    </cfRule>
  </conditionalFormatting>
  <conditionalFormatting sqref="H762:O762">
    <cfRule type="cellIs" dxfId="9148" priority="9077" stopIfTrue="1" operator="equal">
      <formula>"Pass"</formula>
    </cfRule>
    <cfRule type="cellIs" dxfId="9147" priority="9078" stopIfTrue="1" operator="equal">
      <formula>"Fail"</formula>
    </cfRule>
  </conditionalFormatting>
  <conditionalFormatting sqref="H762:O762">
    <cfRule type="cellIs" dxfId="9146" priority="9075" stopIfTrue="1" operator="equal">
      <formula>"Pass"</formula>
    </cfRule>
    <cfRule type="cellIs" dxfId="9145" priority="9076" stopIfTrue="1" operator="equal">
      <formula>"Fail"</formula>
    </cfRule>
  </conditionalFormatting>
  <conditionalFormatting sqref="I762:P762">
    <cfRule type="cellIs" dxfId="9144" priority="9073" stopIfTrue="1" operator="equal">
      <formula>"Pass"</formula>
    </cfRule>
    <cfRule type="cellIs" dxfId="9143" priority="9074" stopIfTrue="1" operator="equal">
      <formula>"Fail"</formula>
    </cfRule>
  </conditionalFormatting>
  <conditionalFormatting sqref="I762:P762">
    <cfRule type="cellIs" dxfId="9142" priority="9071" stopIfTrue="1" operator="equal">
      <formula>"Pass"</formula>
    </cfRule>
    <cfRule type="cellIs" dxfId="9141" priority="9072" stopIfTrue="1" operator="equal">
      <formula>"Fail"</formula>
    </cfRule>
  </conditionalFormatting>
  <conditionalFormatting sqref="I762:P762">
    <cfRule type="cellIs" dxfId="9140" priority="9069" stopIfTrue="1" operator="equal">
      <formula>"Pass"</formula>
    </cfRule>
    <cfRule type="cellIs" dxfId="9139" priority="9070" stopIfTrue="1" operator="equal">
      <formula>"Fail"</formula>
    </cfRule>
  </conditionalFormatting>
  <conditionalFormatting sqref="I762:P762">
    <cfRule type="cellIs" dxfId="9138" priority="9067" stopIfTrue="1" operator="equal">
      <formula>"Pass"</formula>
    </cfRule>
    <cfRule type="cellIs" dxfId="9137" priority="9068" stopIfTrue="1" operator="equal">
      <formula>"Fail"</formula>
    </cfRule>
  </conditionalFormatting>
  <conditionalFormatting sqref="D762:E762 G762:P762">
    <cfRule type="cellIs" dxfId="9136" priority="9065" stopIfTrue="1" operator="equal">
      <formula>"Pass"</formula>
    </cfRule>
    <cfRule type="cellIs" dxfId="9135" priority="9066" stopIfTrue="1" operator="equal">
      <formula>"Fail"</formula>
    </cfRule>
  </conditionalFormatting>
  <conditionalFormatting sqref="D762:E762 G762:P762">
    <cfRule type="cellIs" dxfId="9134" priority="9063" stopIfTrue="1" operator="equal">
      <formula>"Pass"</formula>
    </cfRule>
    <cfRule type="cellIs" dxfId="9133" priority="9064" stopIfTrue="1" operator="equal">
      <formula>"Fail"</formula>
    </cfRule>
  </conditionalFormatting>
  <conditionalFormatting sqref="D762:E762 G762:P762">
    <cfRule type="cellIs" dxfId="9132" priority="9061" stopIfTrue="1" operator="equal">
      <formula>"Pass"</formula>
    </cfRule>
    <cfRule type="cellIs" dxfId="9131" priority="9062" stopIfTrue="1" operator="equal">
      <formula>"Fail"</formula>
    </cfRule>
  </conditionalFormatting>
  <conditionalFormatting sqref="D762:E762 G762:P762">
    <cfRule type="cellIs" dxfId="9130" priority="9059" stopIfTrue="1" operator="equal">
      <formula>"Pass"</formula>
    </cfRule>
    <cfRule type="cellIs" dxfId="9129" priority="9060" stopIfTrue="1" operator="equal">
      <formula>"Fail"</formula>
    </cfRule>
  </conditionalFormatting>
  <conditionalFormatting sqref="D762:E762 G762:P762">
    <cfRule type="cellIs" dxfId="9128" priority="9057" stopIfTrue="1" operator="equal">
      <formula>"Pass"</formula>
    </cfRule>
    <cfRule type="cellIs" dxfId="9127" priority="9058" stopIfTrue="1" operator="equal">
      <formula>"Fail"</formula>
    </cfRule>
  </conditionalFormatting>
  <conditionalFormatting sqref="D762:E762 G762:P762">
    <cfRule type="cellIs" dxfId="9126" priority="9055" stopIfTrue="1" operator="equal">
      <formula>"Pass"</formula>
    </cfRule>
    <cfRule type="cellIs" dxfId="9125" priority="9056" stopIfTrue="1" operator="equal">
      <formula>"Fail"</formula>
    </cfRule>
  </conditionalFormatting>
  <conditionalFormatting sqref="D762:E762 G762:P762">
    <cfRule type="cellIs" dxfId="9124" priority="9053" stopIfTrue="1" operator="equal">
      <formula>"Pass"</formula>
    </cfRule>
    <cfRule type="cellIs" dxfId="9123" priority="9054" stopIfTrue="1" operator="equal">
      <formula>"Fail"</formula>
    </cfRule>
  </conditionalFormatting>
  <conditionalFormatting sqref="D762:E762 G762:P762">
    <cfRule type="cellIs" dxfId="9122" priority="9051" stopIfTrue="1" operator="equal">
      <formula>"Pass"</formula>
    </cfRule>
    <cfRule type="cellIs" dxfId="9121" priority="9052" stopIfTrue="1" operator="equal">
      <formula>"Fail"</formula>
    </cfRule>
  </conditionalFormatting>
  <conditionalFormatting sqref="D762:E762 G762:P762">
    <cfRule type="cellIs" dxfId="9120" priority="9049" stopIfTrue="1" operator="equal">
      <formula>"Pass"</formula>
    </cfRule>
    <cfRule type="cellIs" dxfId="9119" priority="9050" stopIfTrue="1" operator="equal">
      <formula>"Fail"</formula>
    </cfRule>
  </conditionalFormatting>
  <conditionalFormatting sqref="D762:E762 G762:P762">
    <cfRule type="cellIs" dxfId="9118" priority="9047" stopIfTrue="1" operator="equal">
      <formula>"Pass"</formula>
    </cfRule>
    <cfRule type="cellIs" dxfId="9117" priority="9048" stopIfTrue="1" operator="equal">
      <formula>"Fail"</formula>
    </cfRule>
  </conditionalFormatting>
  <conditionalFormatting sqref="D762:E762 G762:P762">
    <cfRule type="cellIs" dxfId="9116" priority="9045" stopIfTrue="1" operator="equal">
      <formula>"Pass"</formula>
    </cfRule>
    <cfRule type="cellIs" dxfId="9115" priority="9046" stopIfTrue="1" operator="equal">
      <formula>"Fail"</formula>
    </cfRule>
  </conditionalFormatting>
  <conditionalFormatting sqref="D762:E762 G762:P762">
    <cfRule type="cellIs" dxfId="9114" priority="9043" stopIfTrue="1" operator="equal">
      <formula>"Pass"</formula>
    </cfRule>
    <cfRule type="cellIs" dxfId="9113" priority="9044" stopIfTrue="1" operator="equal">
      <formula>"Fail"</formula>
    </cfRule>
  </conditionalFormatting>
  <conditionalFormatting sqref="D762:E762 G762:P762">
    <cfRule type="cellIs" dxfId="9112" priority="9041" stopIfTrue="1" operator="equal">
      <formula>"Pass"</formula>
    </cfRule>
    <cfRule type="cellIs" dxfId="9111" priority="9042" stopIfTrue="1" operator="equal">
      <formula>"Fail"</formula>
    </cfRule>
  </conditionalFormatting>
  <conditionalFormatting sqref="D762:E762 G762:P762">
    <cfRule type="cellIs" dxfId="9110" priority="9039" stopIfTrue="1" operator="equal">
      <formula>"Pass"</formula>
    </cfRule>
    <cfRule type="cellIs" dxfId="9109" priority="9040" stopIfTrue="1" operator="equal">
      <formula>"Fail"</formula>
    </cfRule>
  </conditionalFormatting>
  <conditionalFormatting sqref="D762:E762 G762:P762">
    <cfRule type="cellIs" dxfId="9108" priority="9037" stopIfTrue="1" operator="equal">
      <formula>"Pass"</formula>
    </cfRule>
    <cfRule type="cellIs" dxfId="9107" priority="9038" stopIfTrue="1" operator="equal">
      <formula>"Fail"</formula>
    </cfRule>
  </conditionalFormatting>
  <conditionalFormatting sqref="D762:E762 G762:P762">
    <cfRule type="cellIs" dxfId="9106" priority="9035" stopIfTrue="1" operator="equal">
      <formula>"Pass"</formula>
    </cfRule>
    <cfRule type="cellIs" dxfId="9105" priority="9036" stopIfTrue="1" operator="equal">
      <formula>"Fail"</formula>
    </cfRule>
  </conditionalFormatting>
  <conditionalFormatting sqref="D762:E762 G762:P762">
    <cfRule type="cellIs" dxfId="9104" priority="9033" stopIfTrue="1" operator="equal">
      <formula>"Pass"</formula>
    </cfRule>
    <cfRule type="cellIs" dxfId="9103" priority="9034" stopIfTrue="1" operator="equal">
      <formula>"Fail"</formula>
    </cfRule>
  </conditionalFormatting>
  <conditionalFormatting sqref="D762:E762 G762:P762">
    <cfRule type="cellIs" dxfId="9102" priority="9031" stopIfTrue="1" operator="equal">
      <formula>"Pass"</formula>
    </cfRule>
    <cfRule type="cellIs" dxfId="9101" priority="9032" stopIfTrue="1" operator="equal">
      <formula>"Fail"</formula>
    </cfRule>
  </conditionalFormatting>
  <conditionalFormatting sqref="D762:E762 G762:P762">
    <cfRule type="cellIs" dxfId="9100" priority="9029" stopIfTrue="1" operator="equal">
      <formula>"Pass"</formula>
    </cfRule>
    <cfRule type="cellIs" dxfId="9099" priority="9030" stopIfTrue="1" operator="equal">
      <formula>"Fail"</formula>
    </cfRule>
  </conditionalFormatting>
  <conditionalFormatting sqref="D762:E762 G762:P762">
    <cfRule type="cellIs" dxfId="9098" priority="9027" stopIfTrue="1" operator="equal">
      <formula>"Pass"</formula>
    </cfRule>
    <cfRule type="cellIs" dxfId="9097" priority="9028" stopIfTrue="1" operator="equal">
      <formula>"Fail"</formula>
    </cfRule>
  </conditionalFormatting>
  <conditionalFormatting sqref="D762:E762 G762:P762">
    <cfRule type="cellIs" dxfId="9096" priority="9025" stopIfTrue="1" operator="equal">
      <formula>"Pass"</formula>
    </cfRule>
    <cfRule type="cellIs" dxfId="9095" priority="9026" stopIfTrue="1" operator="equal">
      <formula>"Fail"</formula>
    </cfRule>
  </conditionalFormatting>
  <conditionalFormatting sqref="D762:E762 G762:P762">
    <cfRule type="cellIs" dxfId="9094" priority="9023" stopIfTrue="1" operator="equal">
      <formula>"Pass"</formula>
    </cfRule>
    <cfRule type="cellIs" dxfId="9093" priority="9024" stopIfTrue="1" operator="equal">
      <formula>"Fail"</formula>
    </cfRule>
  </conditionalFormatting>
  <conditionalFormatting sqref="H762:P762">
    <cfRule type="cellIs" dxfId="9092" priority="9021" stopIfTrue="1" operator="equal">
      <formula>"Pass"</formula>
    </cfRule>
    <cfRule type="cellIs" dxfId="9091" priority="9022" stopIfTrue="1" operator="equal">
      <formula>"Fail"</formula>
    </cfRule>
  </conditionalFormatting>
  <conditionalFormatting sqref="H762:O762">
    <cfRule type="cellIs" dxfId="9090" priority="9019" stopIfTrue="1" operator="equal">
      <formula>"Pass"</formula>
    </cfRule>
    <cfRule type="cellIs" dxfId="9089" priority="9020" stopIfTrue="1" operator="equal">
      <formula>"Fail"</formula>
    </cfRule>
  </conditionalFormatting>
  <conditionalFormatting sqref="H762:O762">
    <cfRule type="cellIs" dxfId="9088" priority="9017" stopIfTrue="1" operator="equal">
      <formula>"Pass"</formula>
    </cfRule>
    <cfRule type="cellIs" dxfId="9087" priority="9018" stopIfTrue="1" operator="equal">
      <formula>"Fail"</formula>
    </cfRule>
  </conditionalFormatting>
  <conditionalFormatting sqref="I762:P762">
    <cfRule type="cellIs" dxfId="9086" priority="9015" stopIfTrue="1" operator="equal">
      <formula>"Pass"</formula>
    </cfRule>
    <cfRule type="cellIs" dxfId="9085" priority="9016" stopIfTrue="1" operator="equal">
      <formula>"Fail"</formula>
    </cfRule>
  </conditionalFormatting>
  <conditionalFormatting sqref="I762:P762">
    <cfRule type="cellIs" dxfId="9084" priority="9013" stopIfTrue="1" operator="equal">
      <formula>"Pass"</formula>
    </cfRule>
    <cfRule type="cellIs" dxfId="9083" priority="9014" stopIfTrue="1" operator="equal">
      <formula>"Fail"</formula>
    </cfRule>
  </conditionalFormatting>
  <conditionalFormatting sqref="I762:P762">
    <cfRule type="cellIs" dxfId="9082" priority="9011" stopIfTrue="1" operator="equal">
      <formula>"Pass"</formula>
    </cfRule>
    <cfRule type="cellIs" dxfId="9081" priority="9012" stopIfTrue="1" operator="equal">
      <formula>"Fail"</formula>
    </cfRule>
  </conditionalFormatting>
  <conditionalFormatting sqref="I762:P762">
    <cfRule type="cellIs" dxfId="9080" priority="9009" stopIfTrue="1" operator="equal">
      <formula>"Pass"</formula>
    </cfRule>
    <cfRule type="cellIs" dxfId="9079" priority="9010" stopIfTrue="1" operator="equal">
      <formula>"Fail"</formula>
    </cfRule>
  </conditionalFormatting>
  <conditionalFormatting sqref="H762:O762">
    <cfRule type="cellIs" dxfId="9078" priority="9007" stopIfTrue="1" operator="equal">
      <formula>"Pass"</formula>
    </cfRule>
    <cfRule type="cellIs" dxfId="9077" priority="9008" stopIfTrue="1" operator="equal">
      <formula>"Fail"</formula>
    </cfRule>
  </conditionalFormatting>
  <conditionalFormatting sqref="H762:O762">
    <cfRule type="cellIs" dxfId="9076" priority="9005" stopIfTrue="1" operator="equal">
      <formula>"Pass"</formula>
    </cfRule>
    <cfRule type="cellIs" dxfId="9075" priority="9006" stopIfTrue="1" operator="equal">
      <formula>"Fail"</formula>
    </cfRule>
  </conditionalFormatting>
  <conditionalFormatting sqref="I762:P762">
    <cfRule type="cellIs" dxfId="9074" priority="9003" stopIfTrue="1" operator="equal">
      <formula>"Pass"</formula>
    </cfRule>
    <cfRule type="cellIs" dxfId="9073" priority="9004" stopIfTrue="1" operator="equal">
      <formula>"Fail"</formula>
    </cfRule>
  </conditionalFormatting>
  <conditionalFormatting sqref="I762:P762">
    <cfRule type="cellIs" dxfId="9072" priority="9001" stopIfTrue="1" operator="equal">
      <formula>"Pass"</formula>
    </cfRule>
    <cfRule type="cellIs" dxfId="9071" priority="9002" stopIfTrue="1" operator="equal">
      <formula>"Fail"</formula>
    </cfRule>
  </conditionalFormatting>
  <conditionalFormatting sqref="I762:P762">
    <cfRule type="cellIs" dxfId="9070" priority="8999" stopIfTrue="1" operator="equal">
      <formula>"Pass"</formula>
    </cfRule>
    <cfRule type="cellIs" dxfId="9069" priority="9000" stopIfTrue="1" operator="equal">
      <formula>"Fail"</formula>
    </cfRule>
  </conditionalFormatting>
  <conditionalFormatting sqref="I762:P762">
    <cfRule type="cellIs" dxfId="9068" priority="8997" stopIfTrue="1" operator="equal">
      <formula>"Pass"</formula>
    </cfRule>
    <cfRule type="cellIs" dxfId="9067" priority="8998" stopIfTrue="1" operator="equal">
      <formula>"Fail"</formula>
    </cfRule>
  </conditionalFormatting>
  <conditionalFormatting sqref="H762:O762">
    <cfRule type="cellIs" dxfId="9066" priority="8995" stopIfTrue="1" operator="equal">
      <formula>"Pass"</formula>
    </cfRule>
    <cfRule type="cellIs" dxfId="9065" priority="8996" stopIfTrue="1" operator="equal">
      <formula>"Fail"</formula>
    </cfRule>
  </conditionalFormatting>
  <conditionalFormatting sqref="H762:O762">
    <cfRule type="cellIs" dxfId="9064" priority="8993" stopIfTrue="1" operator="equal">
      <formula>"Pass"</formula>
    </cfRule>
    <cfRule type="cellIs" dxfId="9063" priority="8994" stopIfTrue="1" operator="equal">
      <formula>"Fail"</formula>
    </cfRule>
  </conditionalFormatting>
  <conditionalFormatting sqref="I762:P762">
    <cfRule type="cellIs" dxfId="9062" priority="8991" stopIfTrue="1" operator="equal">
      <formula>"Pass"</formula>
    </cfRule>
    <cfRule type="cellIs" dxfId="9061" priority="8992" stopIfTrue="1" operator="equal">
      <formula>"Fail"</formula>
    </cfRule>
  </conditionalFormatting>
  <conditionalFormatting sqref="I762:P762">
    <cfRule type="cellIs" dxfId="9060" priority="8989" stopIfTrue="1" operator="equal">
      <formula>"Pass"</formula>
    </cfRule>
    <cfRule type="cellIs" dxfId="9059" priority="8990" stopIfTrue="1" operator="equal">
      <formula>"Fail"</formula>
    </cfRule>
  </conditionalFormatting>
  <conditionalFormatting sqref="I762:P762">
    <cfRule type="cellIs" dxfId="9058" priority="8987" stopIfTrue="1" operator="equal">
      <formula>"Pass"</formula>
    </cfRule>
    <cfRule type="cellIs" dxfId="9057" priority="8988" stopIfTrue="1" operator="equal">
      <formula>"Fail"</formula>
    </cfRule>
  </conditionalFormatting>
  <conditionalFormatting sqref="I762:P762">
    <cfRule type="cellIs" dxfId="9056" priority="8985" stopIfTrue="1" operator="equal">
      <formula>"Pass"</formula>
    </cfRule>
    <cfRule type="cellIs" dxfId="9055" priority="8986" stopIfTrue="1" operator="equal">
      <formula>"Fail"</formula>
    </cfRule>
  </conditionalFormatting>
  <conditionalFormatting sqref="H762:O762">
    <cfRule type="cellIs" dxfId="9054" priority="8983" stopIfTrue="1" operator="equal">
      <formula>"Pass"</formula>
    </cfRule>
    <cfRule type="cellIs" dxfId="9053" priority="8984" stopIfTrue="1" operator="equal">
      <formula>"Fail"</formula>
    </cfRule>
  </conditionalFormatting>
  <conditionalFormatting sqref="H762:O762">
    <cfRule type="cellIs" dxfId="9052" priority="8981" stopIfTrue="1" operator="equal">
      <formula>"Pass"</formula>
    </cfRule>
    <cfRule type="cellIs" dxfId="9051" priority="8982" stopIfTrue="1" operator="equal">
      <formula>"Fail"</formula>
    </cfRule>
  </conditionalFormatting>
  <conditionalFormatting sqref="I762:P762">
    <cfRule type="cellIs" dxfId="9050" priority="8979" stopIfTrue="1" operator="equal">
      <formula>"Pass"</formula>
    </cfRule>
    <cfRule type="cellIs" dxfId="9049" priority="8980" stopIfTrue="1" operator="equal">
      <formula>"Fail"</formula>
    </cfRule>
  </conditionalFormatting>
  <conditionalFormatting sqref="I762:P762">
    <cfRule type="cellIs" dxfId="9048" priority="8977" stopIfTrue="1" operator="equal">
      <formula>"Pass"</formula>
    </cfRule>
    <cfRule type="cellIs" dxfId="9047" priority="8978" stopIfTrue="1" operator="equal">
      <formula>"Fail"</formula>
    </cfRule>
  </conditionalFormatting>
  <conditionalFormatting sqref="I762:P762">
    <cfRule type="cellIs" dxfId="9046" priority="8975" stopIfTrue="1" operator="equal">
      <formula>"Pass"</formula>
    </cfRule>
    <cfRule type="cellIs" dxfId="9045" priority="8976" stopIfTrue="1" operator="equal">
      <formula>"Fail"</formula>
    </cfRule>
  </conditionalFormatting>
  <conditionalFormatting sqref="I762:P762">
    <cfRule type="cellIs" dxfId="9044" priority="8973" stopIfTrue="1" operator="equal">
      <formula>"Pass"</formula>
    </cfRule>
    <cfRule type="cellIs" dxfId="9043" priority="8974" stopIfTrue="1" operator="equal">
      <formula>"Fail"</formula>
    </cfRule>
  </conditionalFormatting>
  <conditionalFormatting sqref="H762:O762">
    <cfRule type="cellIs" dxfId="9042" priority="8971" stopIfTrue="1" operator="equal">
      <formula>"Pass"</formula>
    </cfRule>
    <cfRule type="cellIs" dxfId="9041" priority="8972" stopIfTrue="1" operator="equal">
      <formula>"Fail"</formula>
    </cfRule>
  </conditionalFormatting>
  <conditionalFormatting sqref="H762:O762">
    <cfRule type="cellIs" dxfId="9040" priority="8969" stopIfTrue="1" operator="equal">
      <formula>"Pass"</formula>
    </cfRule>
    <cfRule type="cellIs" dxfId="9039" priority="8970" stopIfTrue="1" operator="equal">
      <formula>"Fail"</formula>
    </cfRule>
  </conditionalFormatting>
  <conditionalFormatting sqref="I762:P762">
    <cfRule type="cellIs" dxfId="9038" priority="8967" stopIfTrue="1" operator="equal">
      <formula>"Pass"</formula>
    </cfRule>
    <cfRule type="cellIs" dxfId="9037" priority="8968" stopIfTrue="1" operator="equal">
      <formula>"Fail"</formula>
    </cfRule>
  </conditionalFormatting>
  <conditionalFormatting sqref="I762:P762">
    <cfRule type="cellIs" dxfId="9036" priority="8965" stopIfTrue="1" operator="equal">
      <formula>"Pass"</formula>
    </cfRule>
    <cfRule type="cellIs" dxfId="9035" priority="8966" stopIfTrue="1" operator="equal">
      <formula>"Fail"</formula>
    </cfRule>
  </conditionalFormatting>
  <conditionalFormatting sqref="I762:P762">
    <cfRule type="cellIs" dxfId="9034" priority="8963" stopIfTrue="1" operator="equal">
      <formula>"Pass"</formula>
    </cfRule>
    <cfRule type="cellIs" dxfId="9033" priority="8964" stopIfTrue="1" operator="equal">
      <formula>"Fail"</formula>
    </cfRule>
  </conditionalFormatting>
  <conditionalFormatting sqref="I762:P762">
    <cfRule type="cellIs" dxfId="9032" priority="8961" stopIfTrue="1" operator="equal">
      <formula>"Pass"</formula>
    </cfRule>
    <cfRule type="cellIs" dxfId="9031" priority="8962" stopIfTrue="1" operator="equal">
      <formula>"Fail"</formula>
    </cfRule>
  </conditionalFormatting>
  <conditionalFormatting sqref="H762:O762">
    <cfRule type="cellIs" dxfId="9030" priority="8959" stopIfTrue="1" operator="equal">
      <formula>"Pass"</formula>
    </cfRule>
    <cfRule type="cellIs" dxfId="9029" priority="8960" stopIfTrue="1" operator="equal">
      <formula>"Fail"</formula>
    </cfRule>
  </conditionalFormatting>
  <conditionalFormatting sqref="H762:O762">
    <cfRule type="cellIs" dxfId="9028" priority="8957" stopIfTrue="1" operator="equal">
      <formula>"Pass"</formula>
    </cfRule>
    <cfRule type="cellIs" dxfId="9027" priority="8958" stopIfTrue="1" operator="equal">
      <formula>"Fail"</formula>
    </cfRule>
  </conditionalFormatting>
  <conditionalFormatting sqref="I762:P762">
    <cfRule type="cellIs" dxfId="9026" priority="8955" stopIfTrue="1" operator="equal">
      <formula>"Pass"</formula>
    </cfRule>
    <cfRule type="cellIs" dxfId="9025" priority="8956" stopIfTrue="1" operator="equal">
      <formula>"Fail"</formula>
    </cfRule>
  </conditionalFormatting>
  <conditionalFormatting sqref="I762:P762">
    <cfRule type="cellIs" dxfId="9024" priority="8953" stopIfTrue="1" operator="equal">
      <formula>"Pass"</formula>
    </cfRule>
    <cfRule type="cellIs" dxfId="9023" priority="8954" stopIfTrue="1" operator="equal">
      <formula>"Fail"</formula>
    </cfRule>
  </conditionalFormatting>
  <conditionalFormatting sqref="I762:P762">
    <cfRule type="cellIs" dxfId="9022" priority="8951" stopIfTrue="1" operator="equal">
      <formula>"Pass"</formula>
    </cfRule>
    <cfRule type="cellIs" dxfId="9021" priority="8952" stopIfTrue="1" operator="equal">
      <formula>"Fail"</formula>
    </cfRule>
  </conditionalFormatting>
  <conditionalFormatting sqref="I762:P762">
    <cfRule type="cellIs" dxfId="9020" priority="8949" stopIfTrue="1" operator="equal">
      <formula>"Pass"</formula>
    </cfRule>
    <cfRule type="cellIs" dxfId="9019" priority="8950" stopIfTrue="1" operator="equal">
      <formula>"Fail"</formula>
    </cfRule>
  </conditionalFormatting>
  <conditionalFormatting sqref="H762:O762">
    <cfRule type="cellIs" dxfId="9018" priority="8947" stopIfTrue="1" operator="equal">
      <formula>"Pass"</formula>
    </cfRule>
    <cfRule type="cellIs" dxfId="9017" priority="8948" stopIfTrue="1" operator="equal">
      <formula>"Fail"</formula>
    </cfRule>
  </conditionalFormatting>
  <conditionalFormatting sqref="H762:O762">
    <cfRule type="cellIs" dxfId="9016" priority="8945" stopIfTrue="1" operator="equal">
      <formula>"Pass"</formula>
    </cfRule>
    <cfRule type="cellIs" dxfId="9015" priority="8946" stopIfTrue="1" operator="equal">
      <formula>"Fail"</formula>
    </cfRule>
  </conditionalFormatting>
  <conditionalFormatting sqref="I762:P762">
    <cfRule type="cellIs" dxfId="9014" priority="8943" stopIfTrue="1" operator="equal">
      <formula>"Pass"</formula>
    </cfRule>
    <cfRule type="cellIs" dxfId="9013" priority="8944" stopIfTrue="1" operator="equal">
      <formula>"Fail"</formula>
    </cfRule>
  </conditionalFormatting>
  <conditionalFormatting sqref="I762:P762">
    <cfRule type="cellIs" dxfId="9012" priority="8941" stopIfTrue="1" operator="equal">
      <formula>"Pass"</formula>
    </cfRule>
    <cfRule type="cellIs" dxfId="9011" priority="8942" stopIfTrue="1" operator="equal">
      <formula>"Fail"</formula>
    </cfRule>
  </conditionalFormatting>
  <conditionalFormatting sqref="I762:P762">
    <cfRule type="cellIs" dxfId="9010" priority="8939" stopIfTrue="1" operator="equal">
      <formula>"Pass"</formula>
    </cfRule>
    <cfRule type="cellIs" dxfId="9009" priority="8940" stopIfTrue="1" operator="equal">
      <formula>"Fail"</formula>
    </cfRule>
  </conditionalFormatting>
  <conditionalFormatting sqref="I762:P762">
    <cfRule type="cellIs" dxfId="9008" priority="8937" stopIfTrue="1" operator="equal">
      <formula>"Pass"</formula>
    </cfRule>
    <cfRule type="cellIs" dxfId="9007" priority="8938" stopIfTrue="1" operator="equal">
      <formula>"Fail"</formula>
    </cfRule>
  </conditionalFormatting>
  <conditionalFormatting sqref="H762:O762">
    <cfRule type="cellIs" dxfId="9006" priority="8935" stopIfTrue="1" operator="equal">
      <formula>"Pass"</formula>
    </cfRule>
    <cfRule type="cellIs" dxfId="9005" priority="8936" stopIfTrue="1" operator="equal">
      <formula>"Fail"</formula>
    </cfRule>
  </conditionalFormatting>
  <conditionalFormatting sqref="H762:O762">
    <cfRule type="cellIs" dxfId="9004" priority="8933" stopIfTrue="1" operator="equal">
      <formula>"Pass"</formula>
    </cfRule>
    <cfRule type="cellIs" dxfId="9003" priority="8934" stopIfTrue="1" operator="equal">
      <formula>"Fail"</formula>
    </cfRule>
  </conditionalFormatting>
  <conditionalFormatting sqref="I762:P762">
    <cfRule type="cellIs" dxfId="9002" priority="8931" stopIfTrue="1" operator="equal">
      <formula>"Pass"</formula>
    </cfRule>
    <cfRule type="cellIs" dxfId="9001" priority="8932" stopIfTrue="1" operator="equal">
      <formula>"Fail"</formula>
    </cfRule>
  </conditionalFormatting>
  <conditionalFormatting sqref="I762:P762">
    <cfRule type="cellIs" dxfId="9000" priority="8929" stopIfTrue="1" operator="equal">
      <formula>"Pass"</formula>
    </cfRule>
    <cfRule type="cellIs" dxfId="8999" priority="8930" stopIfTrue="1" operator="equal">
      <formula>"Fail"</formula>
    </cfRule>
  </conditionalFormatting>
  <conditionalFormatting sqref="I762:P762">
    <cfRule type="cellIs" dxfId="8998" priority="8927" stopIfTrue="1" operator="equal">
      <formula>"Pass"</formula>
    </cfRule>
    <cfRule type="cellIs" dxfId="8997" priority="8928" stopIfTrue="1" operator="equal">
      <formula>"Fail"</formula>
    </cfRule>
  </conditionalFormatting>
  <conditionalFormatting sqref="I762:P762">
    <cfRule type="cellIs" dxfId="8996" priority="8925" stopIfTrue="1" operator="equal">
      <formula>"Pass"</formula>
    </cfRule>
    <cfRule type="cellIs" dxfId="8995" priority="8926" stopIfTrue="1" operator="equal">
      <formula>"Fail"</formula>
    </cfRule>
  </conditionalFormatting>
  <conditionalFormatting sqref="H762:O762">
    <cfRule type="cellIs" dxfId="8994" priority="8923" stopIfTrue="1" operator="equal">
      <formula>"Pass"</formula>
    </cfRule>
    <cfRule type="cellIs" dxfId="8993" priority="8924" stopIfTrue="1" operator="equal">
      <formula>"Fail"</formula>
    </cfRule>
  </conditionalFormatting>
  <conditionalFormatting sqref="H762:O762">
    <cfRule type="cellIs" dxfId="8992" priority="8921" stopIfTrue="1" operator="equal">
      <formula>"Pass"</formula>
    </cfRule>
    <cfRule type="cellIs" dxfId="8991" priority="8922" stopIfTrue="1" operator="equal">
      <formula>"Fail"</formula>
    </cfRule>
  </conditionalFormatting>
  <conditionalFormatting sqref="I762:P762">
    <cfRule type="cellIs" dxfId="8990" priority="8919" stopIfTrue="1" operator="equal">
      <formula>"Pass"</formula>
    </cfRule>
    <cfRule type="cellIs" dxfId="8989" priority="8920" stopIfTrue="1" operator="equal">
      <formula>"Fail"</formula>
    </cfRule>
  </conditionalFormatting>
  <conditionalFormatting sqref="I762:P762">
    <cfRule type="cellIs" dxfId="8988" priority="8917" stopIfTrue="1" operator="equal">
      <formula>"Pass"</formula>
    </cfRule>
    <cfRule type="cellIs" dxfId="8987" priority="8918" stopIfTrue="1" operator="equal">
      <formula>"Fail"</formula>
    </cfRule>
  </conditionalFormatting>
  <conditionalFormatting sqref="I762:P762">
    <cfRule type="cellIs" dxfId="8986" priority="8915" stopIfTrue="1" operator="equal">
      <formula>"Pass"</formula>
    </cfRule>
    <cfRule type="cellIs" dxfId="8985" priority="8916" stopIfTrue="1" operator="equal">
      <formula>"Fail"</formula>
    </cfRule>
  </conditionalFormatting>
  <conditionalFormatting sqref="I762:P762">
    <cfRule type="cellIs" dxfId="8984" priority="8913" stopIfTrue="1" operator="equal">
      <formula>"Pass"</formula>
    </cfRule>
    <cfRule type="cellIs" dxfId="8983" priority="8914" stopIfTrue="1" operator="equal">
      <formula>"Fail"</formula>
    </cfRule>
  </conditionalFormatting>
  <conditionalFormatting sqref="H762:O762">
    <cfRule type="cellIs" dxfId="8982" priority="8911" stopIfTrue="1" operator="equal">
      <formula>"Pass"</formula>
    </cfRule>
    <cfRule type="cellIs" dxfId="8981" priority="8912" stopIfTrue="1" operator="equal">
      <formula>"Fail"</formula>
    </cfRule>
  </conditionalFormatting>
  <conditionalFormatting sqref="H762:O762">
    <cfRule type="cellIs" dxfId="8980" priority="8909" stopIfTrue="1" operator="equal">
      <formula>"Pass"</formula>
    </cfRule>
    <cfRule type="cellIs" dxfId="8979" priority="8910" stopIfTrue="1" operator="equal">
      <formula>"Fail"</formula>
    </cfRule>
  </conditionalFormatting>
  <conditionalFormatting sqref="I762:P762">
    <cfRule type="cellIs" dxfId="8978" priority="8907" stopIfTrue="1" operator="equal">
      <formula>"Pass"</formula>
    </cfRule>
    <cfRule type="cellIs" dxfId="8977" priority="8908" stopIfTrue="1" operator="equal">
      <formula>"Fail"</formula>
    </cfRule>
  </conditionalFormatting>
  <conditionalFormatting sqref="I762:P762">
    <cfRule type="cellIs" dxfId="8976" priority="8905" stopIfTrue="1" operator="equal">
      <formula>"Pass"</formula>
    </cfRule>
    <cfRule type="cellIs" dxfId="8975" priority="8906" stopIfTrue="1" operator="equal">
      <formula>"Fail"</formula>
    </cfRule>
  </conditionalFormatting>
  <conditionalFormatting sqref="I762:P762">
    <cfRule type="cellIs" dxfId="8974" priority="8903" stopIfTrue="1" operator="equal">
      <formula>"Pass"</formula>
    </cfRule>
    <cfRule type="cellIs" dxfId="8973" priority="8904" stopIfTrue="1" operator="equal">
      <formula>"Fail"</formula>
    </cfRule>
  </conditionalFormatting>
  <conditionalFormatting sqref="I762:P762">
    <cfRule type="cellIs" dxfId="8972" priority="8901" stopIfTrue="1" operator="equal">
      <formula>"Pass"</formula>
    </cfRule>
    <cfRule type="cellIs" dxfId="8971" priority="8902" stopIfTrue="1" operator="equal">
      <formula>"Fail"</formula>
    </cfRule>
  </conditionalFormatting>
  <conditionalFormatting sqref="H762:O762">
    <cfRule type="cellIs" dxfId="8970" priority="8899" stopIfTrue="1" operator="equal">
      <formula>"Pass"</formula>
    </cfRule>
    <cfRule type="cellIs" dxfId="8969" priority="8900" stopIfTrue="1" operator="equal">
      <formula>"Fail"</formula>
    </cfRule>
  </conditionalFormatting>
  <conditionalFormatting sqref="H762:O762">
    <cfRule type="cellIs" dxfId="8968" priority="8897" stopIfTrue="1" operator="equal">
      <formula>"Pass"</formula>
    </cfRule>
    <cfRule type="cellIs" dxfId="8967" priority="8898" stopIfTrue="1" operator="equal">
      <formula>"Fail"</formula>
    </cfRule>
  </conditionalFormatting>
  <conditionalFormatting sqref="I762:P762">
    <cfRule type="cellIs" dxfId="8966" priority="8895" stopIfTrue="1" operator="equal">
      <formula>"Pass"</formula>
    </cfRule>
    <cfRule type="cellIs" dxfId="8965" priority="8896" stopIfTrue="1" operator="equal">
      <formula>"Fail"</formula>
    </cfRule>
  </conditionalFormatting>
  <conditionalFormatting sqref="I762:P762">
    <cfRule type="cellIs" dxfId="8964" priority="8893" stopIfTrue="1" operator="equal">
      <formula>"Pass"</formula>
    </cfRule>
    <cfRule type="cellIs" dxfId="8963" priority="8894" stopIfTrue="1" operator="equal">
      <formula>"Fail"</formula>
    </cfRule>
  </conditionalFormatting>
  <conditionalFormatting sqref="I762:P762">
    <cfRule type="cellIs" dxfId="8962" priority="8891" stopIfTrue="1" operator="equal">
      <formula>"Pass"</formula>
    </cfRule>
    <cfRule type="cellIs" dxfId="8961" priority="8892" stopIfTrue="1" operator="equal">
      <formula>"Fail"</formula>
    </cfRule>
  </conditionalFormatting>
  <conditionalFormatting sqref="I762:P762">
    <cfRule type="cellIs" dxfId="8960" priority="8889" stopIfTrue="1" operator="equal">
      <formula>"Pass"</formula>
    </cfRule>
    <cfRule type="cellIs" dxfId="8959" priority="8890" stopIfTrue="1" operator="equal">
      <formula>"Fail"</formula>
    </cfRule>
  </conditionalFormatting>
  <conditionalFormatting sqref="H762:O762">
    <cfRule type="cellIs" dxfId="8958" priority="8887" stopIfTrue="1" operator="equal">
      <formula>"Pass"</formula>
    </cfRule>
    <cfRule type="cellIs" dxfId="8957" priority="8888" stopIfTrue="1" operator="equal">
      <formula>"Fail"</formula>
    </cfRule>
  </conditionalFormatting>
  <conditionalFormatting sqref="H762:O762">
    <cfRule type="cellIs" dxfId="8956" priority="8885" stopIfTrue="1" operator="equal">
      <formula>"Pass"</formula>
    </cfRule>
    <cfRule type="cellIs" dxfId="8955" priority="8886" stopIfTrue="1" operator="equal">
      <formula>"Fail"</formula>
    </cfRule>
  </conditionalFormatting>
  <conditionalFormatting sqref="I762:P762">
    <cfRule type="cellIs" dxfId="8954" priority="8883" stopIfTrue="1" operator="equal">
      <formula>"Pass"</formula>
    </cfRule>
    <cfRule type="cellIs" dxfId="8953" priority="8884" stopIfTrue="1" operator="equal">
      <formula>"Fail"</formula>
    </cfRule>
  </conditionalFormatting>
  <conditionalFormatting sqref="I762:P762">
    <cfRule type="cellIs" dxfId="8952" priority="8881" stopIfTrue="1" operator="equal">
      <formula>"Pass"</formula>
    </cfRule>
    <cfRule type="cellIs" dxfId="8951" priority="8882" stopIfTrue="1" operator="equal">
      <formula>"Fail"</formula>
    </cfRule>
  </conditionalFormatting>
  <conditionalFormatting sqref="I762:P762">
    <cfRule type="cellIs" dxfId="8950" priority="8879" stopIfTrue="1" operator="equal">
      <formula>"Pass"</formula>
    </cfRule>
    <cfRule type="cellIs" dxfId="8949" priority="8880" stopIfTrue="1" operator="equal">
      <formula>"Fail"</formula>
    </cfRule>
  </conditionalFormatting>
  <conditionalFormatting sqref="I762:P762">
    <cfRule type="cellIs" dxfId="8948" priority="8877" stopIfTrue="1" operator="equal">
      <formula>"Pass"</formula>
    </cfRule>
    <cfRule type="cellIs" dxfId="8947" priority="8878" stopIfTrue="1" operator="equal">
      <formula>"Fail"</formula>
    </cfRule>
  </conditionalFormatting>
  <conditionalFormatting sqref="H762:O762">
    <cfRule type="cellIs" dxfId="8946" priority="8875" stopIfTrue="1" operator="equal">
      <formula>"Pass"</formula>
    </cfRule>
    <cfRule type="cellIs" dxfId="8945" priority="8876" stopIfTrue="1" operator="equal">
      <formula>"Fail"</formula>
    </cfRule>
  </conditionalFormatting>
  <conditionalFormatting sqref="H762:O762">
    <cfRule type="cellIs" dxfId="8944" priority="8873" stopIfTrue="1" operator="equal">
      <formula>"Pass"</formula>
    </cfRule>
    <cfRule type="cellIs" dxfId="8943" priority="8874" stopIfTrue="1" operator="equal">
      <formula>"Fail"</formula>
    </cfRule>
  </conditionalFormatting>
  <conditionalFormatting sqref="I762:P762">
    <cfRule type="cellIs" dxfId="8942" priority="8871" stopIfTrue="1" operator="equal">
      <formula>"Pass"</formula>
    </cfRule>
    <cfRule type="cellIs" dxfId="8941" priority="8872" stopIfTrue="1" operator="equal">
      <formula>"Fail"</formula>
    </cfRule>
  </conditionalFormatting>
  <conditionalFormatting sqref="I762:P762">
    <cfRule type="cellIs" dxfId="8940" priority="8869" stopIfTrue="1" operator="equal">
      <formula>"Pass"</formula>
    </cfRule>
    <cfRule type="cellIs" dxfId="8939" priority="8870" stopIfTrue="1" operator="equal">
      <formula>"Fail"</formula>
    </cfRule>
  </conditionalFormatting>
  <conditionalFormatting sqref="I762:P762">
    <cfRule type="cellIs" dxfId="8938" priority="8867" stopIfTrue="1" operator="equal">
      <formula>"Pass"</formula>
    </cfRule>
    <cfRule type="cellIs" dxfId="8937" priority="8868" stopIfTrue="1" operator="equal">
      <formula>"Fail"</formula>
    </cfRule>
  </conditionalFormatting>
  <conditionalFormatting sqref="I762:P762">
    <cfRule type="cellIs" dxfId="8936" priority="8865" stopIfTrue="1" operator="equal">
      <formula>"Pass"</formula>
    </cfRule>
    <cfRule type="cellIs" dxfId="8935" priority="8866" stopIfTrue="1" operator="equal">
      <formula>"Fail"</formula>
    </cfRule>
  </conditionalFormatting>
  <conditionalFormatting sqref="H762:O762">
    <cfRule type="cellIs" dxfId="8934" priority="8863" stopIfTrue="1" operator="equal">
      <formula>"Pass"</formula>
    </cfRule>
    <cfRule type="cellIs" dxfId="8933" priority="8864" stopIfTrue="1" operator="equal">
      <formula>"Fail"</formula>
    </cfRule>
  </conditionalFormatting>
  <conditionalFormatting sqref="H762:O762">
    <cfRule type="cellIs" dxfId="8932" priority="8861" stopIfTrue="1" operator="equal">
      <formula>"Pass"</formula>
    </cfRule>
    <cfRule type="cellIs" dxfId="8931" priority="8862" stopIfTrue="1" operator="equal">
      <formula>"Fail"</formula>
    </cfRule>
  </conditionalFormatting>
  <conditionalFormatting sqref="I762:P762">
    <cfRule type="cellIs" dxfId="8930" priority="8859" stopIfTrue="1" operator="equal">
      <formula>"Pass"</formula>
    </cfRule>
    <cfRule type="cellIs" dxfId="8929" priority="8860" stopIfTrue="1" operator="equal">
      <formula>"Fail"</formula>
    </cfRule>
  </conditionalFormatting>
  <conditionalFormatting sqref="I762:P762">
    <cfRule type="cellIs" dxfId="8928" priority="8857" stopIfTrue="1" operator="equal">
      <formula>"Pass"</formula>
    </cfRule>
    <cfRule type="cellIs" dxfId="8927" priority="8858" stopIfTrue="1" operator="equal">
      <formula>"Fail"</formula>
    </cfRule>
  </conditionalFormatting>
  <conditionalFormatting sqref="I762:P762">
    <cfRule type="cellIs" dxfId="8926" priority="8855" stopIfTrue="1" operator="equal">
      <formula>"Pass"</formula>
    </cfRule>
    <cfRule type="cellIs" dxfId="8925" priority="8856" stopIfTrue="1" operator="equal">
      <formula>"Fail"</formula>
    </cfRule>
  </conditionalFormatting>
  <conditionalFormatting sqref="I762:P762">
    <cfRule type="cellIs" dxfId="8924" priority="8853" stopIfTrue="1" operator="equal">
      <formula>"Pass"</formula>
    </cfRule>
    <cfRule type="cellIs" dxfId="8923" priority="8854" stopIfTrue="1" operator="equal">
      <formula>"Fail"</formula>
    </cfRule>
  </conditionalFormatting>
  <conditionalFormatting sqref="H762:O762">
    <cfRule type="cellIs" dxfId="8922" priority="8851" stopIfTrue="1" operator="equal">
      <formula>"Pass"</formula>
    </cfRule>
    <cfRule type="cellIs" dxfId="8921" priority="8852" stopIfTrue="1" operator="equal">
      <formula>"Fail"</formula>
    </cfRule>
  </conditionalFormatting>
  <conditionalFormatting sqref="H762:O762">
    <cfRule type="cellIs" dxfId="8920" priority="8849" stopIfTrue="1" operator="equal">
      <formula>"Pass"</formula>
    </cfRule>
    <cfRule type="cellIs" dxfId="8919" priority="8850" stopIfTrue="1" operator="equal">
      <formula>"Fail"</formula>
    </cfRule>
  </conditionalFormatting>
  <conditionalFormatting sqref="I762:P762">
    <cfRule type="cellIs" dxfId="8918" priority="8847" stopIfTrue="1" operator="equal">
      <formula>"Pass"</formula>
    </cfRule>
    <cfRule type="cellIs" dxfId="8917" priority="8848" stopIfTrue="1" operator="equal">
      <formula>"Fail"</formula>
    </cfRule>
  </conditionalFormatting>
  <conditionalFormatting sqref="I762:P762">
    <cfRule type="cellIs" dxfId="8916" priority="8845" stopIfTrue="1" operator="equal">
      <formula>"Pass"</formula>
    </cfRule>
    <cfRule type="cellIs" dxfId="8915" priority="8846" stopIfTrue="1" operator="equal">
      <formula>"Fail"</formula>
    </cfRule>
  </conditionalFormatting>
  <conditionalFormatting sqref="I762:P762">
    <cfRule type="cellIs" dxfId="8914" priority="8843" stopIfTrue="1" operator="equal">
      <formula>"Pass"</formula>
    </cfRule>
    <cfRule type="cellIs" dxfId="8913" priority="8844" stopIfTrue="1" operator="equal">
      <formula>"Fail"</formula>
    </cfRule>
  </conditionalFormatting>
  <conditionalFormatting sqref="I762:P762">
    <cfRule type="cellIs" dxfId="8912" priority="8841" stopIfTrue="1" operator="equal">
      <formula>"Pass"</formula>
    </cfRule>
    <cfRule type="cellIs" dxfId="8911" priority="8842" stopIfTrue="1" operator="equal">
      <formula>"Fail"</formula>
    </cfRule>
  </conditionalFormatting>
  <conditionalFormatting sqref="H762:O762">
    <cfRule type="cellIs" dxfId="8910" priority="8839" stopIfTrue="1" operator="equal">
      <formula>"Pass"</formula>
    </cfRule>
    <cfRule type="cellIs" dxfId="8909" priority="8840" stopIfTrue="1" operator="equal">
      <formula>"Fail"</formula>
    </cfRule>
  </conditionalFormatting>
  <conditionalFormatting sqref="H762:O762">
    <cfRule type="cellIs" dxfId="8908" priority="8837" stopIfTrue="1" operator="equal">
      <formula>"Pass"</formula>
    </cfRule>
    <cfRule type="cellIs" dxfId="8907" priority="8838" stopIfTrue="1" operator="equal">
      <formula>"Fail"</formula>
    </cfRule>
  </conditionalFormatting>
  <conditionalFormatting sqref="I762:P762">
    <cfRule type="cellIs" dxfId="8906" priority="8835" stopIfTrue="1" operator="equal">
      <formula>"Pass"</formula>
    </cfRule>
    <cfRule type="cellIs" dxfId="8905" priority="8836" stopIfTrue="1" operator="equal">
      <formula>"Fail"</formula>
    </cfRule>
  </conditionalFormatting>
  <conditionalFormatting sqref="I762:P762">
    <cfRule type="cellIs" dxfId="8904" priority="8833" stopIfTrue="1" operator="equal">
      <formula>"Pass"</formula>
    </cfRule>
    <cfRule type="cellIs" dxfId="8903" priority="8834" stopIfTrue="1" operator="equal">
      <formula>"Fail"</formula>
    </cfRule>
  </conditionalFormatting>
  <conditionalFormatting sqref="I762:P762">
    <cfRule type="cellIs" dxfId="8902" priority="8831" stopIfTrue="1" operator="equal">
      <formula>"Pass"</formula>
    </cfRule>
    <cfRule type="cellIs" dxfId="8901" priority="8832" stopIfTrue="1" operator="equal">
      <formula>"Fail"</formula>
    </cfRule>
  </conditionalFormatting>
  <conditionalFormatting sqref="I762:P762">
    <cfRule type="cellIs" dxfId="8900" priority="8829" stopIfTrue="1" operator="equal">
      <formula>"Pass"</formula>
    </cfRule>
    <cfRule type="cellIs" dxfId="8899" priority="8830" stopIfTrue="1" operator="equal">
      <formula>"Fail"</formula>
    </cfRule>
  </conditionalFormatting>
  <conditionalFormatting sqref="H762:O762">
    <cfRule type="cellIs" dxfId="8898" priority="8827" stopIfTrue="1" operator="equal">
      <formula>"Pass"</formula>
    </cfRule>
    <cfRule type="cellIs" dxfId="8897" priority="8828" stopIfTrue="1" operator="equal">
      <formula>"Fail"</formula>
    </cfRule>
  </conditionalFormatting>
  <conditionalFormatting sqref="H762:O762">
    <cfRule type="cellIs" dxfId="8896" priority="8825" stopIfTrue="1" operator="equal">
      <formula>"Pass"</formula>
    </cfRule>
    <cfRule type="cellIs" dxfId="8895" priority="8826" stopIfTrue="1" operator="equal">
      <formula>"Fail"</formula>
    </cfRule>
  </conditionalFormatting>
  <conditionalFormatting sqref="I762:P762">
    <cfRule type="cellIs" dxfId="8894" priority="8823" stopIfTrue="1" operator="equal">
      <formula>"Pass"</formula>
    </cfRule>
    <cfRule type="cellIs" dxfId="8893" priority="8824" stopIfTrue="1" operator="equal">
      <formula>"Fail"</formula>
    </cfRule>
  </conditionalFormatting>
  <conditionalFormatting sqref="I762:P762">
    <cfRule type="cellIs" dxfId="8892" priority="8821" stopIfTrue="1" operator="equal">
      <formula>"Pass"</formula>
    </cfRule>
    <cfRule type="cellIs" dxfId="8891" priority="8822" stopIfTrue="1" operator="equal">
      <formula>"Fail"</formula>
    </cfRule>
  </conditionalFormatting>
  <conditionalFormatting sqref="I762:P762">
    <cfRule type="cellIs" dxfId="8890" priority="8819" stopIfTrue="1" operator="equal">
      <formula>"Pass"</formula>
    </cfRule>
    <cfRule type="cellIs" dxfId="8889" priority="8820" stopIfTrue="1" operator="equal">
      <formula>"Fail"</formula>
    </cfRule>
  </conditionalFormatting>
  <conditionalFormatting sqref="I762:P762">
    <cfRule type="cellIs" dxfId="8888" priority="8817" stopIfTrue="1" operator="equal">
      <formula>"Pass"</formula>
    </cfRule>
    <cfRule type="cellIs" dxfId="8887" priority="8818" stopIfTrue="1" operator="equal">
      <formula>"Fail"</formula>
    </cfRule>
  </conditionalFormatting>
  <conditionalFormatting sqref="H762:O762">
    <cfRule type="cellIs" dxfId="8886" priority="8815" stopIfTrue="1" operator="equal">
      <formula>"Pass"</formula>
    </cfRule>
    <cfRule type="cellIs" dxfId="8885" priority="8816" stopIfTrue="1" operator="equal">
      <formula>"Fail"</formula>
    </cfRule>
  </conditionalFormatting>
  <conditionalFormatting sqref="H762:O762">
    <cfRule type="cellIs" dxfId="8884" priority="8813" stopIfTrue="1" operator="equal">
      <formula>"Pass"</formula>
    </cfRule>
    <cfRule type="cellIs" dxfId="8883" priority="8814" stopIfTrue="1" operator="equal">
      <formula>"Fail"</formula>
    </cfRule>
  </conditionalFormatting>
  <conditionalFormatting sqref="I762:P762">
    <cfRule type="cellIs" dxfId="8882" priority="8811" stopIfTrue="1" operator="equal">
      <formula>"Pass"</formula>
    </cfRule>
    <cfRule type="cellIs" dxfId="8881" priority="8812" stopIfTrue="1" operator="equal">
      <formula>"Fail"</formula>
    </cfRule>
  </conditionalFormatting>
  <conditionalFormatting sqref="I762:P762">
    <cfRule type="cellIs" dxfId="8880" priority="8809" stopIfTrue="1" operator="equal">
      <formula>"Pass"</formula>
    </cfRule>
    <cfRule type="cellIs" dxfId="8879" priority="8810" stopIfTrue="1" operator="equal">
      <formula>"Fail"</formula>
    </cfRule>
  </conditionalFormatting>
  <conditionalFormatting sqref="I762:P762">
    <cfRule type="cellIs" dxfId="8878" priority="8807" stopIfTrue="1" operator="equal">
      <formula>"Pass"</formula>
    </cfRule>
    <cfRule type="cellIs" dxfId="8877" priority="8808" stopIfTrue="1" operator="equal">
      <formula>"Fail"</formula>
    </cfRule>
  </conditionalFormatting>
  <conditionalFormatting sqref="I762:P762">
    <cfRule type="cellIs" dxfId="8876" priority="8805" stopIfTrue="1" operator="equal">
      <formula>"Pass"</formula>
    </cfRule>
    <cfRule type="cellIs" dxfId="8875" priority="8806" stopIfTrue="1" operator="equal">
      <formula>"Fail"</formula>
    </cfRule>
  </conditionalFormatting>
  <conditionalFormatting sqref="H762:O762">
    <cfRule type="cellIs" dxfId="8874" priority="8803" stopIfTrue="1" operator="equal">
      <formula>"Pass"</formula>
    </cfRule>
    <cfRule type="cellIs" dxfId="8873" priority="8804" stopIfTrue="1" operator="equal">
      <formula>"Fail"</formula>
    </cfRule>
  </conditionalFormatting>
  <conditionalFormatting sqref="H762:O762">
    <cfRule type="cellIs" dxfId="8872" priority="8801" stopIfTrue="1" operator="equal">
      <formula>"Pass"</formula>
    </cfRule>
    <cfRule type="cellIs" dxfId="8871" priority="8802" stopIfTrue="1" operator="equal">
      <formula>"Fail"</formula>
    </cfRule>
  </conditionalFormatting>
  <conditionalFormatting sqref="I762:P762">
    <cfRule type="cellIs" dxfId="8870" priority="8799" stopIfTrue="1" operator="equal">
      <formula>"Pass"</formula>
    </cfRule>
    <cfRule type="cellIs" dxfId="8869" priority="8800" stopIfTrue="1" operator="equal">
      <formula>"Fail"</formula>
    </cfRule>
  </conditionalFormatting>
  <conditionalFormatting sqref="I762:P762">
    <cfRule type="cellIs" dxfId="8868" priority="8797" stopIfTrue="1" operator="equal">
      <formula>"Pass"</formula>
    </cfRule>
    <cfRule type="cellIs" dxfId="8867" priority="8798" stopIfTrue="1" operator="equal">
      <formula>"Fail"</formula>
    </cfRule>
  </conditionalFormatting>
  <conditionalFormatting sqref="I762:P762">
    <cfRule type="cellIs" dxfId="8866" priority="8795" stopIfTrue="1" operator="equal">
      <formula>"Pass"</formula>
    </cfRule>
    <cfRule type="cellIs" dxfId="8865" priority="8796" stopIfTrue="1" operator="equal">
      <formula>"Fail"</formula>
    </cfRule>
  </conditionalFormatting>
  <conditionalFormatting sqref="I762:P762">
    <cfRule type="cellIs" dxfId="8864" priority="8793" stopIfTrue="1" operator="equal">
      <formula>"Pass"</formula>
    </cfRule>
    <cfRule type="cellIs" dxfId="8863" priority="8794" stopIfTrue="1" operator="equal">
      <formula>"Fail"</formula>
    </cfRule>
  </conditionalFormatting>
  <conditionalFormatting sqref="H762:O762">
    <cfRule type="cellIs" dxfId="8862" priority="8791" stopIfTrue="1" operator="equal">
      <formula>"Pass"</formula>
    </cfRule>
    <cfRule type="cellIs" dxfId="8861" priority="8792" stopIfTrue="1" operator="equal">
      <formula>"Fail"</formula>
    </cfRule>
  </conditionalFormatting>
  <conditionalFormatting sqref="H762:O762">
    <cfRule type="cellIs" dxfId="8860" priority="8789" stopIfTrue="1" operator="equal">
      <formula>"Pass"</formula>
    </cfRule>
    <cfRule type="cellIs" dxfId="8859" priority="8790" stopIfTrue="1" operator="equal">
      <formula>"Fail"</formula>
    </cfRule>
  </conditionalFormatting>
  <conditionalFormatting sqref="I762:P762">
    <cfRule type="cellIs" dxfId="8858" priority="8787" stopIfTrue="1" operator="equal">
      <formula>"Pass"</formula>
    </cfRule>
    <cfRule type="cellIs" dxfId="8857" priority="8788" stopIfTrue="1" operator="equal">
      <formula>"Fail"</formula>
    </cfRule>
  </conditionalFormatting>
  <conditionalFormatting sqref="I762:P762">
    <cfRule type="cellIs" dxfId="8856" priority="8785" stopIfTrue="1" operator="equal">
      <formula>"Pass"</formula>
    </cfRule>
    <cfRule type="cellIs" dxfId="8855" priority="8786" stopIfTrue="1" operator="equal">
      <formula>"Fail"</formula>
    </cfRule>
  </conditionalFormatting>
  <conditionalFormatting sqref="I762:P762">
    <cfRule type="cellIs" dxfId="8854" priority="8783" stopIfTrue="1" operator="equal">
      <formula>"Pass"</formula>
    </cfRule>
    <cfRule type="cellIs" dxfId="8853" priority="8784" stopIfTrue="1" operator="equal">
      <formula>"Fail"</formula>
    </cfRule>
  </conditionalFormatting>
  <conditionalFormatting sqref="I762:P762">
    <cfRule type="cellIs" dxfId="8852" priority="8781" stopIfTrue="1" operator="equal">
      <formula>"Pass"</formula>
    </cfRule>
    <cfRule type="cellIs" dxfId="8851" priority="8782" stopIfTrue="1" operator="equal">
      <formula>"Fail"</formula>
    </cfRule>
  </conditionalFormatting>
  <conditionalFormatting sqref="D762:E762">
    <cfRule type="cellIs" dxfId="8850" priority="8779" stopIfTrue="1" operator="equal">
      <formula>"Pass"</formula>
    </cfRule>
    <cfRule type="cellIs" dxfId="8849" priority="8780" stopIfTrue="1" operator="equal">
      <formula>"Fail"</formula>
    </cfRule>
  </conditionalFormatting>
  <conditionalFormatting sqref="D762:E762">
    <cfRule type="cellIs" dxfId="8848" priority="8777" stopIfTrue="1" operator="equal">
      <formula>"Pass"</formula>
    </cfRule>
    <cfRule type="cellIs" dxfId="8847" priority="8778" stopIfTrue="1" operator="equal">
      <formula>"Fail"</formula>
    </cfRule>
  </conditionalFormatting>
  <conditionalFormatting sqref="G762:H762">
    <cfRule type="cellIs" dxfId="8846" priority="8775" stopIfTrue="1" operator="equal">
      <formula>"Pass"</formula>
    </cfRule>
    <cfRule type="cellIs" dxfId="8845" priority="8776" stopIfTrue="1" operator="equal">
      <formula>"Fail"</formula>
    </cfRule>
  </conditionalFormatting>
  <conditionalFormatting sqref="G762:H762">
    <cfRule type="cellIs" dxfId="8844" priority="8773" stopIfTrue="1" operator="equal">
      <formula>"Pass"</formula>
    </cfRule>
    <cfRule type="cellIs" dxfId="8843" priority="8774" stopIfTrue="1" operator="equal">
      <formula>"Fail"</formula>
    </cfRule>
  </conditionalFormatting>
  <conditionalFormatting sqref="G762:H762">
    <cfRule type="cellIs" dxfId="8842" priority="8771" stopIfTrue="1" operator="equal">
      <formula>"Pass"</formula>
    </cfRule>
    <cfRule type="cellIs" dxfId="8841" priority="8772" stopIfTrue="1" operator="equal">
      <formula>"Fail"</formula>
    </cfRule>
  </conditionalFormatting>
  <conditionalFormatting sqref="G762:H762">
    <cfRule type="cellIs" dxfId="8840" priority="8769" stopIfTrue="1" operator="equal">
      <formula>"Pass"</formula>
    </cfRule>
    <cfRule type="cellIs" dxfId="8839" priority="8770" stopIfTrue="1" operator="equal">
      <formula>"Fail"</formula>
    </cfRule>
  </conditionalFormatting>
  <conditionalFormatting sqref="H762:O762">
    <cfRule type="cellIs" dxfId="8838" priority="8767" stopIfTrue="1" operator="equal">
      <formula>"Pass"</formula>
    </cfRule>
    <cfRule type="cellIs" dxfId="8837" priority="8768" stopIfTrue="1" operator="equal">
      <formula>"Fail"</formula>
    </cfRule>
  </conditionalFormatting>
  <conditionalFormatting sqref="H762:O762">
    <cfRule type="cellIs" dxfId="8836" priority="8765" stopIfTrue="1" operator="equal">
      <formula>"Pass"</formula>
    </cfRule>
    <cfRule type="cellIs" dxfId="8835" priority="8766" stopIfTrue="1" operator="equal">
      <formula>"Fail"</formula>
    </cfRule>
  </conditionalFormatting>
  <conditionalFormatting sqref="I762:P762">
    <cfRule type="cellIs" dxfId="8834" priority="8763" stopIfTrue="1" operator="equal">
      <formula>"Pass"</formula>
    </cfRule>
    <cfRule type="cellIs" dxfId="8833" priority="8764" stopIfTrue="1" operator="equal">
      <formula>"Fail"</formula>
    </cfRule>
  </conditionalFormatting>
  <conditionalFormatting sqref="I762:P762">
    <cfRule type="cellIs" dxfId="8832" priority="8761" stopIfTrue="1" operator="equal">
      <formula>"Pass"</formula>
    </cfRule>
    <cfRule type="cellIs" dxfId="8831" priority="8762" stopIfTrue="1" operator="equal">
      <formula>"Fail"</formula>
    </cfRule>
  </conditionalFormatting>
  <conditionalFormatting sqref="I762:P762">
    <cfRule type="cellIs" dxfId="8830" priority="8759" stopIfTrue="1" operator="equal">
      <formula>"Pass"</formula>
    </cfRule>
    <cfRule type="cellIs" dxfId="8829" priority="8760" stopIfTrue="1" operator="equal">
      <formula>"Fail"</formula>
    </cfRule>
  </conditionalFormatting>
  <conditionalFormatting sqref="I762:P762">
    <cfRule type="cellIs" dxfId="8828" priority="8757" stopIfTrue="1" operator="equal">
      <formula>"Pass"</formula>
    </cfRule>
    <cfRule type="cellIs" dxfId="8827" priority="8758" stopIfTrue="1" operator="equal">
      <formula>"Fail"</formula>
    </cfRule>
  </conditionalFormatting>
  <conditionalFormatting sqref="H762:O762">
    <cfRule type="cellIs" dxfId="8826" priority="8755" stopIfTrue="1" operator="equal">
      <formula>"Pass"</formula>
    </cfRule>
    <cfRule type="cellIs" dxfId="8825" priority="8756" stopIfTrue="1" operator="equal">
      <formula>"Fail"</formula>
    </cfRule>
  </conditionalFormatting>
  <conditionalFormatting sqref="H762:O762">
    <cfRule type="cellIs" dxfId="8824" priority="8753" stopIfTrue="1" operator="equal">
      <formula>"Pass"</formula>
    </cfRule>
    <cfRule type="cellIs" dxfId="8823" priority="8754" stopIfTrue="1" operator="equal">
      <formula>"Fail"</formula>
    </cfRule>
  </conditionalFormatting>
  <conditionalFormatting sqref="I762:P762">
    <cfRule type="cellIs" dxfId="8822" priority="8751" stopIfTrue="1" operator="equal">
      <formula>"Pass"</formula>
    </cfRule>
    <cfRule type="cellIs" dxfId="8821" priority="8752" stopIfTrue="1" operator="equal">
      <formula>"Fail"</formula>
    </cfRule>
  </conditionalFormatting>
  <conditionalFormatting sqref="I762:P762">
    <cfRule type="cellIs" dxfId="8820" priority="8749" stopIfTrue="1" operator="equal">
      <formula>"Pass"</formula>
    </cfRule>
    <cfRule type="cellIs" dxfId="8819" priority="8750" stopIfTrue="1" operator="equal">
      <formula>"Fail"</formula>
    </cfRule>
  </conditionalFormatting>
  <conditionalFormatting sqref="I762:P762">
    <cfRule type="cellIs" dxfId="8818" priority="8747" stopIfTrue="1" operator="equal">
      <formula>"Pass"</formula>
    </cfRule>
    <cfRule type="cellIs" dxfId="8817" priority="8748" stopIfTrue="1" operator="equal">
      <formula>"Fail"</formula>
    </cfRule>
  </conditionalFormatting>
  <conditionalFormatting sqref="I762:P762">
    <cfRule type="cellIs" dxfId="8816" priority="8745" stopIfTrue="1" operator="equal">
      <formula>"Pass"</formula>
    </cfRule>
    <cfRule type="cellIs" dxfId="8815" priority="8746" stopIfTrue="1" operator="equal">
      <formula>"Fail"</formula>
    </cfRule>
  </conditionalFormatting>
  <conditionalFormatting sqref="H762:O762">
    <cfRule type="cellIs" dxfId="8814" priority="8743" stopIfTrue="1" operator="equal">
      <formula>"Pass"</formula>
    </cfRule>
    <cfRule type="cellIs" dxfId="8813" priority="8744" stopIfTrue="1" operator="equal">
      <formula>"Fail"</formula>
    </cfRule>
  </conditionalFormatting>
  <conditionalFormatting sqref="H762:O762">
    <cfRule type="cellIs" dxfId="8812" priority="8741" stopIfTrue="1" operator="equal">
      <formula>"Pass"</formula>
    </cfRule>
    <cfRule type="cellIs" dxfId="8811" priority="8742" stopIfTrue="1" operator="equal">
      <formula>"Fail"</formula>
    </cfRule>
  </conditionalFormatting>
  <conditionalFormatting sqref="I762:P762">
    <cfRule type="cellIs" dxfId="8810" priority="8739" stopIfTrue="1" operator="equal">
      <formula>"Pass"</formula>
    </cfRule>
    <cfRule type="cellIs" dxfId="8809" priority="8740" stopIfTrue="1" operator="equal">
      <formula>"Fail"</formula>
    </cfRule>
  </conditionalFormatting>
  <conditionalFormatting sqref="I762:P762">
    <cfRule type="cellIs" dxfId="8808" priority="8737" stopIfTrue="1" operator="equal">
      <formula>"Pass"</formula>
    </cfRule>
    <cfRule type="cellIs" dxfId="8807" priority="8738" stopIfTrue="1" operator="equal">
      <formula>"Fail"</formula>
    </cfRule>
  </conditionalFormatting>
  <conditionalFormatting sqref="I762:P762">
    <cfRule type="cellIs" dxfId="8806" priority="8735" stopIfTrue="1" operator="equal">
      <formula>"Pass"</formula>
    </cfRule>
    <cfRule type="cellIs" dxfId="8805" priority="8736" stopIfTrue="1" operator="equal">
      <formula>"Fail"</formula>
    </cfRule>
  </conditionalFormatting>
  <conditionalFormatting sqref="I762:P762">
    <cfRule type="cellIs" dxfId="8804" priority="8733" stopIfTrue="1" operator="equal">
      <formula>"Pass"</formula>
    </cfRule>
    <cfRule type="cellIs" dxfId="8803" priority="8734" stopIfTrue="1" operator="equal">
      <formula>"Fail"</formula>
    </cfRule>
  </conditionalFormatting>
  <conditionalFormatting sqref="H762:O762">
    <cfRule type="cellIs" dxfId="8802" priority="8731" stopIfTrue="1" operator="equal">
      <formula>"Pass"</formula>
    </cfRule>
    <cfRule type="cellIs" dxfId="8801" priority="8732" stopIfTrue="1" operator="equal">
      <formula>"Fail"</formula>
    </cfRule>
  </conditionalFormatting>
  <conditionalFormatting sqref="H762:O762">
    <cfRule type="cellIs" dxfId="8800" priority="8729" stopIfTrue="1" operator="equal">
      <formula>"Pass"</formula>
    </cfRule>
    <cfRule type="cellIs" dxfId="8799" priority="8730" stopIfTrue="1" operator="equal">
      <formula>"Fail"</formula>
    </cfRule>
  </conditionalFormatting>
  <conditionalFormatting sqref="I762:P762">
    <cfRule type="cellIs" dxfId="8798" priority="8727" stopIfTrue="1" operator="equal">
      <formula>"Pass"</formula>
    </cfRule>
    <cfRule type="cellIs" dxfId="8797" priority="8728" stopIfTrue="1" operator="equal">
      <formula>"Fail"</formula>
    </cfRule>
  </conditionalFormatting>
  <conditionalFormatting sqref="I762:P762">
    <cfRule type="cellIs" dxfId="8796" priority="8725" stopIfTrue="1" operator="equal">
      <formula>"Pass"</formula>
    </cfRule>
    <cfRule type="cellIs" dxfId="8795" priority="8726" stopIfTrue="1" operator="equal">
      <formula>"Fail"</formula>
    </cfRule>
  </conditionalFormatting>
  <conditionalFormatting sqref="I762:P762">
    <cfRule type="cellIs" dxfId="8794" priority="8723" stopIfTrue="1" operator="equal">
      <formula>"Pass"</formula>
    </cfRule>
    <cfRule type="cellIs" dxfId="8793" priority="8724" stopIfTrue="1" operator="equal">
      <formula>"Fail"</formula>
    </cfRule>
  </conditionalFormatting>
  <conditionalFormatting sqref="I762:P762">
    <cfRule type="cellIs" dxfId="8792" priority="8721" stopIfTrue="1" operator="equal">
      <formula>"Pass"</formula>
    </cfRule>
    <cfRule type="cellIs" dxfId="8791" priority="8722" stopIfTrue="1" operator="equal">
      <formula>"Fail"</formula>
    </cfRule>
  </conditionalFormatting>
  <conditionalFormatting sqref="H762:O762">
    <cfRule type="cellIs" dxfId="8790" priority="8719" stopIfTrue="1" operator="equal">
      <formula>"Pass"</formula>
    </cfRule>
    <cfRule type="cellIs" dxfId="8789" priority="8720" stopIfTrue="1" operator="equal">
      <formula>"Fail"</formula>
    </cfRule>
  </conditionalFormatting>
  <conditionalFormatting sqref="H762:O762">
    <cfRule type="cellIs" dxfId="8788" priority="8717" stopIfTrue="1" operator="equal">
      <formula>"Pass"</formula>
    </cfRule>
    <cfRule type="cellIs" dxfId="8787" priority="8718" stopIfTrue="1" operator="equal">
      <formula>"Fail"</formula>
    </cfRule>
  </conditionalFormatting>
  <conditionalFormatting sqref="I762:P762">
    <cfRule type="cellIs" dxfId="8786" priority="8715" stopIfTrue="1" operator="equal">
      <formula>"Pass"</formula>
    </cfRule>
    <cfRule type="cellIs" dxfId="8785" priority="8716" stopIfTrue="1" operator="equal">
      <formula>"Fail"</formula>
    </cfRule>
  </conditionalFormatting>
  <conditionalFormatting sqref="I762:P762">
    <cfRule type="cellIs" dxfId="8784" priority="8713" stopIfTrue="1" operator="equal">
      <formula>"Pass"</formula>
    </cfRule>
    <cfRule type="cellIs" dxfId="8783" priority="8714" stopIfTrue="1" operator="equal">
      <formula>"Fail"</formula>
    </cfRule>
  </conditionalFormatting>
  <conditionalFormatting sqref="I762:P762">
    <cfRule type="cellIs" dxfId="8782" priority="8711" stopIfTrue="1" operator="equal">
      <formula>"Pass"</formula>
    </cfRule>
    <cfRule type="cellIs" dxfId="8781" priority="8712" stopIfTrue="1" operator="equal">
      <formula>"Fail"</formula>
    </cfRule>
  </conditionalFormatting>
  <conditionalFormatting sqref="I762:P762">
    <cfRule type="cellIs" dxfId="8780" priority="8709" stopIfTrue="1" operator="equal">
      <formula>"Pass"</formula>
    </cfRule>
    <cfRule type="cellIs" dxfId="8779" priority="8710" stopIfTrue="1" operator="equal">
      <formula>"Fail"</formula>
    </cfRule>
  </conditionalFormatting>
  <conditionalFormatting sqref="H762:O762">
    <cfRule type="cellIs" dxfId="8778" priority="8707" stopIfTrue="1" operator="equal">
      <formula>"Pass"</formula>
    </cfRule>
    <cfRule type="cellIs" dxfId="8777" priority="8708" stopIfTrue="1" operator="equal">
      <formula>"Fail"</formula>
    </cfRule>
  </conditionalFormatting>
  <conditionalFormatting sqref="H762:O762">
    <cfRule type="cellIs" dxfId="8776" priority="8705" stopIfTrue="1" operator="equal">
      <formula>"Pass"</formula>
    </cfRule>
    <cfRule type="cellIs" dxfId="8775" priority="8706" stopIfTrue="1" operator="equal">
      <formula>"Fail"</formula>
    </cfRule>
  </conditionalFormatting>
  <conditionalFormatting sqref="I762:P762">
    <cfRule type="cellIs" dxfId="8774" priority="8703" stopIfTrue="1" operator="equal">
      <formula>"Pass"</formula>
    </cfRule>
    <cfRule type="cellIs" dxfId="8773" priority="8704" stopIfTrue="1" operator="equal">
      <formula>"Fail"</formula>
    </cfRule>
  </conditionalFormatting>
  <conditionalFormatting sqref="I762:P762">
    <cfRule type="cellIs" dxfId="8772" priority="8701" stopIfTrue="1" operator="equal">
      <formula>"Pass"</formula>
    </cfRule>
    <cfRule type="cellIs" dxfId="8771" priority="8702" stopIfTrue="1" operator="equal">
      <formula>"Fail"</formula>
    </cfRule>
  </conditionalFormatting>
  <conditionalFormatting sqref="I762:P762">
    <cfRule type="cellIs" dxfId="8770" priority="8699" stopIfTrue="1" operator="equal">
      <formula>"Pass"</formula>
    </cfRule>
    <cfRule type="cellIs" dxfId="8769" priority="8700" stopIfTrue="1" operator="equal">
      <formula>"Fail"</formula>
    </cfRule>
  </conditionalFormatting>
  <conditionalFormatting sqref="I762:P762">
    <cfRule type="cellIs" dxfId="8768" priority="8697" stopIfTrue="1" operator="equal">
      <formula>"Pass"</formula>
    </cfRule>
    <cfRule type="cellIs" dxfId="8767" priority="8698" stopIfTrue="1" operator="equal">
      <formula>"Fail"</formula>
    </cfRule>
  </conditionalFormatting>
  <conditionalFormatting sqref="H762:O762">
    <cfRule type="cellIs" dxfId="8766" priority="8695" stopIfTrue="1" operator="equal">
      <formula>"Pass"</formula>
    </cfRule>
    <cfRule type="cellIs" dxfId="8765" priority="8696" stopIfTrue="1" operator="equal">
      <formula>"Fail"</formula>
    </cfRule>
  </conditionalFormatting>
  <conditionalFormatting sqref="H762:O762">
    <cfRule type="cellIs" dxfId="8764" priority="8693" stopIfTrue="1" operator="equal">
      <formula>"Pass"</formula>
    </cfRule>
    <cfRule type="cellIs" dxfId="8763" priority="8694" stopIfTrue="1" operator="equal">
      <formula>"Fail"</formula>
    </cfRule>
  </conditionalFormatting>
  <conditionalFormatting sqref="I762:P762">
    <cfRule type="cellIs" dxfId="8762" priority="8691" stopIfTrue="1" operator="equal">
      <formula>"Pass"</formula>
    </cfRule>
    <cfRule type="cellIs" dxfId="8761" priority="8692" stopIfTrue="1" operator="equal">
      <formula>"Fail"</formula>
    </cfRule>
  </conditionalFormatting>
  <conditionalFormatting sqref="I762:P762">
    <cfRule type="cellIs" dxfId="8760" priority="8689" stopIfTrue="1" operator="equal">
      <formula>"Pass"</formula>
    </cfRule>
    <cfRule type="cellIs" dxfId="8759" priority="8690" stopIfTrue="1" operator="equal">
      <formula>"Fail"</formula>
    </cfRule>
  </conditionalFormatting>
  <conditionalFormatting sqref="I762:P762">
    <cfRule type="cellIs" dxfId="8758" priority="8687" stopIfTrue="1" operator="equal">
      <formula>"Pass"</formula>
    </cfRule>
    <cfRule type="cellIs" dxfId="8757" priority="8688" stopIfTrue="1" operator="equal">
      <formula>"Fail"</formula>
    </cfRule>
  </conditionalFormatting>
  <conditionalFormatting sqref="I762:P762">
    <cfRule type="cellIs" dxfId="8756" priority="8685" stopIfTrue="1" operator="equal">
      <formula>"Pass"</formula>
    </cfRule>
    <cfRule type="cellIs" dxfId="8755" priority="8686" stopIfTrue="1" operator="equal">
      <formula>"Fail"</formula>
    </cfRule>
  </conditionalFormatting>
  <conditionalFormatting sqref="H762:O762">
    <cfRule type="cellIs" dxfId="8754" priority="8683" stopIfTrue="1" operator="equal">
      <formula>"Pass"</formula>
    </cfRule>
    <cfRule type="cellIs" dxfId="8753" priority="8684" stopIfTrue="1" operator="equal">
      <formula>"Fail"</formula>
    </cfRule>
  </conditionalFormatting>
  <conditionalFormatting sqref="H762:O762">
    <cfRule type="cellIs" dxfId="8752" priority="8681" stopIfTrue="1" operator="equal">
      <formula>"Pass"</formula>
    </cfRule>
    <cfRule type="cellIs" dxfId="8751" priority="8682" stopIfTrue="1" operator="equal">
      <formula>"Fail"</formula>
    </cfRule>
  </conditionalFormatting>
  <conditionalFormatting sqref="I762:P762">
    <cfRule type="cellIs" dxfId="8750" priority="8679" stopIfTrue="1" operator="equal">
      <formula>"Pass"</formula>
    </cfRule>
    <cfRule type="cellIs" dxfId="8749" priority="8680" stopIfTrue="1" operator="equal">
      <formula>"Fail"</formula>
    </cfRule>
  </conditionalFormatting>
  <conditionalFormatting sqref="I762:P762">
    <cfRule type="cellIs" dxfId="8748" priority="8677" stopIfTrue="1" operator="equal">
      <formula>"Pass"</formula>
    </cfRule>
    <cfRule type="cellIs" dxfId="8747" priority="8678" stopIfTrue="1" operator="equal">
      <formula>"Fail"</formula>
    </cfRule>
  </conditionalFormatting>
  <conditionalFormatting sqref="I762:P762">
    <cfRule type="cellIs" dxfId="8746" priority="8675" stopIfTrue="1" operator="equal">
      <formula>"Pass"</formula>
    </cfRule>
    <cfRule type="cellIs" dxfId="8745" priority="8676" stopIfTrue="1" operator="equal">
      <formula>"Fail"</formula>
    </cfRule>
  </conditionalFormatting>
  <conditionalFormatting sqref="I762:P762">
    <cfRule type="cellIs" dxfId="8744" priority="8673" stopIfTrue="1" operator="equal">
      <formula>"Pass"</formula>
    </cfRule>
    <cfRule type="cellIs" dxfId="8743" priority="8674" stopIfTrue="1" operator="equal">
      <formula>"Fail"</formula>
    </cfRule>
  </conditionalFormatting>
  <conditionalFormatting sqref="H762:O762">
    <cfRule type="cellIs" dxfId="8742" priority="8671" stopIfTrue="1" operator="equal">
      <formula>"Pass"</formula>
    </cfRule>
    <cfRule type="cellIs" dxfId="8741" priority="8672" stopIfTrue="1" operator="equal">
      <formula>"Fail"</formula>
    </cfRule>
  </conditionalFormatting>
  <conditionalFormatting sqref="H762:O762">
    <cfRule type="cellIs" dxfId="8740" priority="8669" stopIfTrue="1" operator="equal">
      <formula>"Pass"</formula>
    </cfRule>
    <cfRule type="cellIs" dxfId="8739" priority="8670" stopIfTrue="1" operator="equal">
      <formula>"Fail"</formula>
    </cfRule>
  </conditionalFormatting>
  <conditionalFormatting sqref="I762:P762">
    <cfRule type="cellIs" dxfId="8738" priority="8667" stopIfTrue="1" operator="equal">
      <formula>"Pass"</formula>
    </cfRule>
    <cfRule type="cellIs" dxfId="8737" priority="8668" stopIfTrue="1" operator="equal">
      <formula>"Fail"</formula>
    </cfRule>
  </conditionalFormatting>
  <conditionalFormatting sqref="I762:P762">
    <cfRule type="cellIs" dxfId="8736" priority="8665" stopIfTrue="1" operator="equal">
      <formula>"Pass"</formula>
    </cfRule>
    <cfRule type="cellIs" dxfId="8735" priority="8666" stopIfTrue="1" operator="equal">
      <formula>"Fail"</formula>
    </cfRule>
  </conditionalFormatting>
  <conditionalFormatting sqref="I762:P762">
    <cfRule type="cellIs" dxfId="8734" priority="8663" stopIfTrue="1" operator="equal">
      <formula>"Pass"</formula>
    </cfRule>
    <cfRule type="cellIs" dxfId="8733" priority="8664" stopIfTrue="1" operator="equal">
      <formula>"Fail"</formula>
    </cfRule>
  </conditionalFormatting>
  <conditionalFormatting sqref="I762:P762">
    <cfRule type="cellIs" dxfId="8732" priority="8661" stopIfTrue="1" operator="equal">
      <formula>"Pass"</formula>
    </cfRule>
    <cfRule type="cellIs" dxfId="8731" priority="8662" stopIfTrue="1" operator="equal">
      <formula>"Fail"</formula>
    </cfRule>
  </conditionalFormatting>
  <conditionalFormatting sqref="H762:O762">
    <cfRule type="cellIs" dxfId="8730" priority="8659" stopIfTrue="1" operator="equal">
      <formula>"Pass"</formula>
    </cfRule>
    <cfRule type="cellIs" dxfId="8729" priority="8660" stopIfTrue="1" operator="equal">
      <formula>"Fail"</formula>
    </cfRule>
  </conditionalFormatting>
  <conditionalFormatting sqref="H762:O762">
    <cfRule type="cellIs" dxfId="8728" priority="8657" stopIfTrue="1" operator="equal">
      <formula>"Pass"</formula>
    </cfRule>
    <cfRule type="cellIs" dxfId="8727" priority="8658" stopIfTrue="1" operator="equal">
      <formula>"Fail"</formula>
    </cfRule>
  </conditionalFormatting>
  <conditionalFormatting sqref="I762:P762">
    <cfRule type="cellIs" dxfId="8726" priority="8655" stopIfTrue="1" operator="equal">
      <formula>"Pass"</formula>
    </cfRule>
    <cfRule type="cellIs" dxfId="8725" priority="8656" stopIfTrue="1" operator="equal">
      <formula>"Fail"</formula>
    </cfRule>
  </conditionalFormatting>
  <conditionalFormatting sqref="I762:P762">
    <cfRule type="cellIs" dxfId="8724" priority="8653" stopIfTrue="1" operator="equal">
      <formula>"Pass"</formula>
    </cfRule>
    <cfRule type="cellIs" dxfId="8723" priority="8654" stopIfTrue="1" operator="equal">
      <formula>"Fail"</formula>
    </cfRule>
  </conditionalFormatting>
  <conditionalFormatting sqref="I762:P762">
    <cfRule type="cellIs" dxfId="8722" priority="8651" stopIfTrue="1" operator="equal">
      <formula>"Pass"</formula>
    </cfRule>
    <cfRule type="cellIs" dxfId="8721" priority="8652" stopIfTrue="1" operator="equal">
      <formula>"Fail"</formula>
    </cfRule>
  </conditionalFormatting>
  <conditionalFormatting sqref="I762:P762">
    <cfRule type="cellIs" dxfId="8720" priority="8649" stopIfTrue="1" operator="equal">
      <formula>"Pass"</formula>
    </cfRule>
    <cfRule type="cellIs" dxfId="8719" priority="8650" stopIfTrue="1" operator="equal">
      <formula>"Fail"</formula>
    </cfRule>
  </conditionalFormatting>
  <conditionalFormatting sqref="H762:O762">
    <cfRule type="cellIs" dxfId="8718" priority="8647" stopIfTrue="1" operator="equal">
      <formula>"Pass"</formula>
    </cfRule>
    <cfRule type="cellIs" dxfId="8717" priority="8648" stopIfTrue="1" operator="equal">
      <formula>"Fail"</formula>
    </cfRule>
  </conditionalFormatting>
  <conditionalFormatting sqref="H762:O762">
    <cfRule type="cellIs" dxfId="8716" priority="8645" stopIfTrue="1" operator="equal">
      <formula>"Pass"</formula>
    </cfRule>
    <cfRule type="cellIs" dxfId="8715" priority="8646" stopIfTrue="1" operator="equal">
      <formula>"Fail"</formula>
    </cfRule>
  </conditionalFormatting>
  <conditionalFormatting sqref="I762:P762">
    <cfRule type="cellIs" dxfId="8714" priority="8643" stopIfTrue="1" operator="equal">
      <formula>"Pass"</formula>
    </cfRule>
    <cfRule type="cellIs" dxfId="8713" priority="8644" stopIfTrue="1" operator="equal">
      <formula>"Fail"</formula>
    </cfRule>
  </conditionalFormatting>
  <conditionalFormatting sqref="I762:P762">
    <cfRule type="cellIs" dxfId="8712" priority="8641" stopIfTrue="1" operator="equal">
      <formula>"Pass"</formula>
    </cfRule>
    <cfRule type="cellIs" dxfId="8711" priority="8642" stopIfTrue="1" operator="equal">
      <formula>"Fail"</formula>
    </cfRule>
  </conditionalFormatting>
  <conditionalFormatting sqref="I762:P762">
    <cfRule type="cellIs" dxfId="8710" priority="8639" stopIfTrue="1" operator="equal">
      <formula>"Pass"</formula>
    </cfRule>
    <cfRule type="cellIs" dxfId="8709" priority="8640" stopIfTrue="1" operator="equal">
      <formula>"Fail"</formula>
    </cfRule>
  </conditionalFormatting>
  <conditionalFormatting sqref="I762:P762">
    <cfRule type="cellIs" dxfId="8708" priority="8637" stopIfTrue="1" operator="equal">
      <formula>"Pass"</formula>
    </cfRule>
    <cfRule type="cellIs" dxfId="8707" priority="8638" stopIfTrue="1" operator="equal">
      <formula>"Fail"</formula>
    </cfRule>
  </conditionalFormatting>
  <conditionalFormatting sqref="H762:O762">
    <cfRule type="cellIs" dxfId="8706" priority="8635" stopIfTrue="1" operator="equal">
      <formula>"Pass"</formula>
    </cfRule>
    <cfRule type="cellIs" dxfId="8705" priority="8636" stopIfTrue="1" operator="equal">
      <formula>"Fail"</formula>
    </cfRule>
  </conditionalFormatting>
  <conditionalFormatting sqref="H762:O762">
    <cfRule type="cellIs" dxfId="8704" priority="8633" stopIfTrue="1" operator="equal">
      <formula>"Pass"</formula>
    </cfRule>
    <cfRule type="cellIs" dxfId="8703" priority="8634" stopIfTrue="1" operator="equal">
      <formula>"Fail"</formula>
    </cfRule>
  </conditionalFormatting>
  <conditionalFormatting sqref="I762:P762">
    <cfRule type="cellIs" dxfId="8702" priority="8631" stopIfTrue="1" operator="equal">
      <formula>"Pass"</formula>
    </cfRule>
    <cfRule type="cellIs" dxfId="8701" priority="8632" stopIfTrue="1" operator="equal">
      <formula>"Fail"</formula>
    </cfRule>
  </conditionalFormatting>
  <conditionalFormatting sqref="I762:P762">
    <cfRule type="cellIs" dxfId="8700" priority="8629" stopIfTrue="1" operator="equal">
      <formula>"Pass"</formula>
    </cfRule>
    <cfRule type="cellIs" dxfId="8699" priority="8630" stopIfTrue="1" operator="equal">
      <formula>"Fail"</formula>
    </cfRule>
  </conditionalFormatting>
  <conditionalFormatting sqref="I762:P762">
    <cfRule type="cellIs" dxfId="8698" priority="8627" stopIfTrue="1" operator="equal">
      <formula>"Pass"</formula>
    </cfRule>
    <cfRule type="cellIs" dxfId="8697" priority="8628" stopIfTrue="1" operator="equal">
      <formula>"Fail"</formula>
    </cfRule>
  </conditionalFormatting>
  <conditionalFormatting sqref="I762:P762">
    <cfRule type="cellIs" dxfId="8696" priority="8625" stopIfTrue="1" operator="equal">
      <formula>"Pass"</formula>
    </cfRule>
    <cfRule type="cellIs" dxfId="8695" priority="8626" stopIfTrue="1" operator="equal">
      <formula>"Fail"</formula>
    </cfRule>
  </conditionalFormatting>
  <conditionalFormatting sqref="D762:E762 G762:P762">
    <cfRule type="cellIs" dxfId="8694" priority="8623" stopIfTrue="1" operator="equal">
      <formula>"Pass"</formula>
    </cfRule>
    <cfRule type="cellIs" dxfId="8693" priority="8624" stopIfTrue="1" operator="equal">
      <formula>"Fail"</formula>
    </cfRule>
  </conditionalFormatting>
  <conditionalFormatting sqref="D762:E762 G762:P762">
    <cfRule type="cellIs" dxfId="8692" priority="8621" stopIfTrue="1" operator="equal">
      <formula>"Pass"</formula>
    </cfRule>
    <cfRule type="cellIs" dxfId="8691" priority="8622" stopIfTrue="1" operator="equal">
      <formula>"Fail"</formula>
    </cfRule>
  </conditionalFormatting>
  <conditionalFormatting sqref="D762:E762 G762:P762">
    <cfRule type="cellIs" dxfId="8690" priority="8619" stopIfTrue="1" operator="equal">
      <formula>"Pass"</formula>
    </cfRule>
    <cfRule type="cellIs" dxfId="8689" priority="8620" stopIfTrue="1" operator="equal">
      <formula>"Fail"</formula>
    </cfRule>
  </conditionalFormatting>
  <conditionalFormatting sqref="D762:E762 G762:P762">
    <cfRule type="cellIs" dxfId="8688" priority="8617" stopIfTrue="1" operator="equal">
      <formula>"Pass"</formula>
    </cfRule>
    <cfRule type="cellIs" dxfId="8687" priority="8618" stopIfTrue="1" operator="equal">
      <formula>"Fail"</formula>
    </cfRule>
  </conditionalFormatting>
  <conditionalFormatting sqref="D762:E762 G762:P762">
    <cfRule type="cellIs" dxfId="8686" priority="8615" stopIfTrue="1" operator="equal">
      <formula>"Pass"</formula>
    </cfRule>
    <cfRule type="cellIs" dxfId="8685" priority="8616" stopIfTrue="1" operator="equal">
      <formula>"Fail"</formula>
    </cfRule>
  </conditionalFormatting>
  <conditionalFormatting sqref="D762:E762 G762:P762">
    <cfRule type="cellIs" dxfId="8684" priority="8613" stopIfTrue="1" operator="equal">
      <formula>"Pass"</formula>
    </cfRule>
    <cfRule type="cellIs" dxfId="8683" priority="8614" stopIfTrue="1" operator="equal">
      <formula>"Fail"</formula>
    </cfRule>
  </conditionalFormatting>
  <conditionalFormatting sqref="D762:E762 G762:P762">
    <cfRule type="cellIs" dxfId="8682" priority="8611" stopIfTrue="1" operator="equal">
      <formula>"Pass"</formula>
    </cfRule>
    <cfRule type="cellIs" dxfId="8681" priority="8612" stopIfTrue="1" operator="equal">
      <formula>"Fail"</formula>
    </cfRule>
  </conditionalFormatting>
  <conditionalFormatting sqref="D762:E762 G762:P762">
    <cfRule type="cellIs" dxfId="8680" priority="8609" stopIfTrue="1" operator="equal">
      <formula>"Pass"</formula>
    </cfRule>
    <cfRule type="cellIs" dxfId="8679" priority="8610" stopIfTrue="1" operator="equal">
      <formula>"Fail"</formula>
    </cfRule>
  </conditionalFormatting>
  <conditionalFormatting sqref="D762:E762 G762:P762">
    <cfRule type="cellIs" dxfId="8678" priority="8607" stopIfTrue="1" operator="equal">
      <formula>"Pass"</formula>
    </cfRule>
    <cfRule type="cellIs" dxfId="8677" priority="8608" stopIfTrue="1" operator="equal">
      <formula>"Fail"</formula>
    </cfRule>
  </conditionalFormatting>
  <conditionalFormatting sqref="D762:E762 G762:P762">
    <cfRule type="cellIs" dxfId="8676" priority="8605" stopIfTrue="1" operator="equal">
      <formula>"Pass"</formula>
    </cfRule>
    <cfRule type="cellIs" dxfId="8675" priority="8606" stopIfTrue="1" operator="equal">
      <formula>"Fail"</formula>
    </cfRule>
  </conditionalFormatting>
  <conditionalFormatting sqref="D762:E762 G762:P762">
    <cfRule type="cellIs" dxfId="8674" priority="8603" stopIfTrue="1" operator="equal">
      <formula>"Pass"</formula>
    </cfRule>
    <cfRule type="cellIs" dxfId="8673" priority="8604" stopIfTrue="1" operator="equal">
      <formula>"Fail"</formula>
    </cfRule>
  </conditionalFormatting>
  <conditionalFormatting sqref="D762:E762 G762:P762">
    <cfRule type="cellIs" dxfId="8672" priority="8601" stopIfTrue="1" operator="equal">
      <formula>"Pass"</formula>
    </cfRule>
    <cfRule type="cellIs" dxfId="8671" priority="8602" stopIfTrue="1" operator="equal">
      <formula>"Fail"</formula>
    </cfRule>
  </conditionalFormatting>
  <conditionalFormatting sqref="D762:E762 G762:P762">
    <cfRule type="cellIs" dxfId="8670" priority="8599" stopIfTrue="1" operator="equal">
      <formula>"Pass"</formula>
    </cfRule>
    <cfRule type="cellIs" dxfId="8669" priority="8600" stopIfTrue="1" operator="equal">
      <formula>"Fail"</formula>
    </cfRule>
  </conditionalFormatting>
  <conditionalFormatting sqref="D762:E762 G762:P762">
    <cfRule type="cellIs" dxfId="8668" priority="8597" stopIfTrue="1" operator="equal">
      <formula>"Pass"</formula>
    </cfRule>
    <cfRule type="cellIs" dxfId="8667" priority="8598" stopIfTrue="1" operator="equal">
      <formula>"Fail"</formula>
    </cfRule>
  </conditionalFormatting>
  <conditionalFormatting sqref="D762:E762 G762:P762">
    <cfRule type="cellIs" dxfId="8666" priority="8595" stopIfTrue="1" operator="equal">
      <formula>"Pass"</formula>
    </cfRule>
    <cfRule type="cellIs" dxfId="8665" priority="8596" stopIfTrue="1" operator="equal">
      <formula>"Fail"</formula>
    </cfRule>
  </conditionalFormatting>
  <conditionalFormatting sqref="D762:E762 G762:P762">
    <cfRule type="cellIs" dxfId="8664" priority="8593" stopIfTrue="1" operator="equal">
      <formula>"Pass"</formula>
    </cfRule>
    <cfRule type="cellIs" dxfId="8663" priority="8594" stopIfTrue="1" operator="equal">
      <formula>"Fail"</formula>
    </cfRule>
  </conditionalFormatting>
  <conditionalFormatting sqref="D762:E762 G762:P762">
    <cfRule type="cellIs" dxfId="8662" priority="8591" stopIfTrue="1" operator="equal">
      <formula>"Pass"</formula>
    </cfRule>
    <cfRule type="cellIs" dxfId="8661" priority="8592" stopIfTrue="1" operator="equal">
      <formula>"Fail"</formula>
    </cfRule>
  </conditionalFormatting>
  <conditionalFormatting sqref="D762:E762 G762:P762">
    <cfRule type="cellIs" dxfId="8660" priority="8589" stopIfTrue="1" operator="equal">
      <formula>"Pass"</formula>
    </cfRule>
    <cfRule type="cellIs" dxfId="8659" priority="8590" stopIfTrue="1" operator="equal">
      <formula>"Fail"</formula>
    </cfRule>
  </conditionalFormatting>
  <conditionalFormatting sqref="D762:E762 G762:P762">
    <cfRule type="cellIs" dxfId="8658" priority="8587" stopIfTrue="1" operator="equal">
      <formula>"Pass"</formula>
    </cfRule>
    <cfRule type="cellIs" dxfId="8657" priority="8588" stopIfTrue="1" operator="equal">
      <formula>"Fail"</formula>
    </cfRule>
  </conditionalFormatting>
  <conditionalFormatting sqref="D762:E762 G762:P762">
    <cfRule type="cellIs" dxfId="8656" priority="8585" stopIfTrue="1" operator="equal">
      <formula>"Pass"</formula>
    </cfRule>
    <cfRule type="cellIs" dxfId="8655" priority="8586" stopIfTrue="1" operator="equal">
      <formula>"Fail"</formula>
    </cfRule>
  </conditionalFormatting>
  <conditionalFormatting sqref="D762:E762 G762:P762">
    <cfRule type="cellIs" dxfId="8654" priority="8583" stopIfTrue="1" operator="equal">
      <formula>"Pass"</formula>
    </cfRule>
    <cfRule type="cellIs" dxfId="8653" priority="8584" stopIfTrue="1" operator="equal">
      <formula>"Fail"</formula>
    </cfRule>
  </conditionalFormatting>
  <conditionalFormatting sqref="D762:E762 G762:P762">
    <cfRule type="cellIs" dxfId="8652" priority="8581" stopIfTrue="1" operator="equal">
      <formula>"Pass"</formula>
    </cfRule>
    <cfRule type="cellIs" dxfId="8651" priority="8582" stopIfTrue="1" operator="equal">
      <formula>"Fail"</formula>
    </cfRule>
  </conditionalFormatting>
  <conditionalFormatting sqref="D764:E765">
    <cfRule type="cellIs" dxfId="8650" priority="8579" stopIfTrue="1" operator="equal">
      <formula>"Pass"</formula>
    </cfRule>
    <cfRule type="cellIs" dxfId="8649" priority="8580" stopIfTrue="1" operator="equal">
      <formula>"Fail"</formula>
    </cfRule>
  </conditionalFormatting>
  <conditionalFormatting sqref="D768:E769 G768:H769 E767 G764:P765 H767 I767:P768">
    <cfRule type="cellIs" dxfId="8648" priority="8577" stopIfTrue="1" operator="equal">
      <formula>"Pass"</formula>
    </cfRule>
    <cfRule type="cellIs" dxfId="8647" priority="8578" stopIfTrue="1" operator="equal">
      <formula>"Fail"</formula>
    </cfRule>
  </conditionalFormatting>
  <conditionalFormatting sqref="U764:V769">
    <cfRule type="cellIs" dxfId="8646" priority="8575" stopIfTrue="1" operator="equal">
      <formula>"Fail"</formula>
    </cfRule>
    <cfRule type="cellIs" dxfId="8645" priority="8576" stopIfTrue="1" operator="equal">
      <formula>"Pass"</formula>
    </cfRule>
  </conditionalFormatting>
  <conditionalFormatting sqref="H767:P767">
    <cfRule type="cellIs" dxfId="8644" priority="8573" stopIfTrue="1" operator="equal">
      <formula>"Pass"</formula>
    </cfRule>
    <cfRule type="cellIs" dxfId="8643" priority="8574" stopIfTrue="1" operator="equal">
      <formula>"Fail"</formula>
    </cfRule>
  </conditionalFormatting>
  <conditionalFormatting sqref="H767:P767">
    <cfRule type="cellIs" dxfId="8642" priority="8571" stopIfTrue="1" operator="equal">
      <formula>"Pass"</formula>
    </cfRule>
    <cfRule type="cellIs" dxfId="8641" priority="8572" stopIfTrue="1" operator="equal">
      <formula>"Fail"</formula>
    </cfRule>
  </conditionalFormatting>
  <conditionalFormatting sqref="H767:P767">
    <cfRule type="cellIs" dxfId="8640" priority="8569" stopIfTrue="1" operator="equal">
      <formula>"Pass"</formula>
    </cfRule>
    <cfRule type="cellIs" dxfId="8639" priority="8570" stopIfTrue="1" operator="equal">
      <formula>"Fail"</formula>
    </cfRule>
  </conditionalFormatting>
  <conditionalFormatting sqref="I767:P767">
    <cfRule type="cellIs" dxfId="8638" priority="8567" stopIfTrue="1" operator="equal">
      <formula>"Pass"</formula>
    </cfRule>
    <cfRule type="cellIs" dxfId="8637" priority="8568" stopIfTrue="1" operator="equal">
      <formula>"Fail"</formula>
    </cfRule>
  </conditionalFormatting>
  <conditionalFormatting sqref="I767:P767">
    <cfRule type="cellIs" dxfId="8636" priority="8565" stopIfTrue="1" operator="equal">
      <formula>"Pass"</formula>
    </cfRule>
    <cfRule type="cellIs" dxfId="8635" priority="8566" stopIfTrue="1" operator="equal">
      <formula>"Fail"</formula>
    </cfRule>
  </conditionalFormatting>
  <conditionalFormatting sqref="I767:P767">
    <cfRule type="cellIs" dxfId="8634" priority="8563" stopIfTrue="1" operator="equal">
      <formula>"Pass"</formula>
    </cfRule>
    <cfRule type="cellIs" dxfId="8633" priority="8564" stopIfTrue="1" operator="equal">
      <formula>"Fail"</formula>
    </cfRule>
  </conditionalFormatting>
  <conditionalFormatting sqref="I767:P767">
    <cfRule type="cellIs" dxfId="8632" priority="8561" stopIfTrue="1" operator="equal">
      <formula>"Pass"</formula>
    </cfRule>
    <cfRule type="cellIs" dxfId="8631" priority="8562" stopIfTrue="1" operator="equal">
      <formula>"Fail"</formula>
    </cfRule>
  </conditionalFormatting>
  <conditionalFormatting sqref="H767:P767">
    <cfRule type="cellIs" dxfId="8630" priority="8559" stopIfTrue="1" operator="equal">
      <formula>"Pass"</formula>
    </cfRule>
    <cfRule type="cellIs" dxfId="8629" priority="8560" stopIfTrue="1" operator="equal">
      <formula>"Fail"</formula>
    </cfRule>
  </conditionalFormatting>
  <conditionalFormatting sqref="H767:P767">
    <cfRule type="cellIs" dxfId="8628" priority="8557" stopIfTrue="1" operator="equal">
      <formula>"Pass"</formula>
    </cfRule>
    <cfRule type="cellIs" dxfId="8627" priority="8558" stopIfTrue="1" operator="equal">
      <formula>"Fail"</formula>
    </cfRule>
  </conditionalFormatting>
  <conditionalFormatting sqref="I767:P767">
    <cfRule type="cellIs" dxfId="8626" priority="8555" stopIfTrue="1" operator="equal">
      <formula>"Pass"</formula>
    </cfRule>
    <cfRule type="cellIs" dxfId="8625" priority="8556" stopIfTrue="1" operator="equal">
      <formula>"Fail"</formula>
    </cfRule>
  </conditionalFormatting>
  <conditionalFormatting sqref="I767:P767">
    <cfRule type="cellIs" dxfId="8624" priority="8553" stopIfTrue="1" operator="equal">
      <formula>"Pass"</formula>
    </cfRule>
    <cfRule type="cellIs" dxfId="8623" priority="8554" stopIfTrue="1" operator="equal">
      <formula>"Fail"</formula>
    </cfRule>
  </conditionalFormatting>
  <conditionalFormatting sqref="I767:P767">
    <cfRule type="cellIs" dxfId="8622" priority="8551" stopIfTrue="1" operator="equal">
      <formula>"Pass"</formula>
    </cfRule>
    <cfRule type="cellIs" dxfId="8621" priority="8552" stopIfTrue="1" operator="equal">
      <formula>"Fail"</formula>
    </cfRule>
  </conditionalFormatting>
  <conditionalFormatting sqref="I767:P767">
    <cfRule type="cellIs" dxfId="8620" priority="8549" stopIfTrue="1" operator="equal">
      <formula>"Pass"</formula>
    </cfRule>
    <cfRule type="cellIs" dxfId="8619" priority="8550" stopIfTrue="1" operator="equal">
      <formula>"Fail"</formula>
    </cfRule>
  </conditionalFormatting>
  <conditionalFormatting sqref="H767:P767">
    <cfRule type="cellIs" dxfId="8618" priority="8547" stopIfTrue="1" operator="equal">
      <formula>"Pass"</formula>
    </cfRule>
    <cfRule type="cellIs" dxfId="8617" priority="8548" stopIfTrue="1" operator="equal">
      <formula>"Fail"</formula>
    </cfRule>
  </conditionalFormatting>
  <conditionalFormatting sqref="H767:P767">
    <cfRule type="cellIs" dxfId="8616" priority="8545" stopIfTrue="1" operator="equal">
      <formula>"Pass"</formula>
    </cfRule>
    <cfRule type="cellIs" dxfId="8615" priority="8546" stopIfTrue="1" operator="equal">
      <formula>"Fail"</formula>
    </cfRule>
  </conditionalFormatting>
  <conditionalFormatting sqref="I767:P767">
    <cfRule type="cellIs" dxfId="8614" priority="8543" stopIfTrue="1" operator="equal">
      <formula>"Pass"</formula>
    </cfRule>
    <cfRule type="cellIs" dxfId="8613" priority="8544" stopIfTrue="1" operator="equal">
      <formula>"Fail"</formula>
    </cfRule>
  </conditionalFormatting>
  <conditionalFormatting sqref="I767:P767">
    <cfRule type="cellIs" dxfId="8612" priority="8541" stopIfTrue="1" operator="equal">
      <formula>"Pass"</formula>
    </cfRule>
    <cfRule type="cellIs" dxfId="8611" priority="8542" stopIfTrue="1" operator="equal">
      <formula>"Fail"</formula>
    </cfRule>
  </conditionalFormatting>
  <conditionalFormatting sqref="I767:P767">
    <cfRule type="cellIs" dxfId="8610" priority="8539" stopIfTrue="1" operator="equal">
      <formula>"Pass"</formula>
    </cfRule>
    <cfRule type="cellIs" dxfId="8609" priority="8540" stopIfTrue="1" operator="equal">
      <formula>"Fail"</formula>
    </cfRule>
  </conditionalFormatting>
  <conditionalFormatting sqref="I767:P767">
    <cfRule type="cellIs" dxfId="8608" priority="8537" stopIfTrue="1" operator="equal">
      <formula>"Pass"</formula>
    </cfRule>
    <cfRule type="cellIs" dxfId="8607" priority="8538" stopIfTrue="1" operator="equal">
      <formula>"Fail"</formula>
    </cfRule>
  </conditionalFormatting>
  <conditionalFormatting sqref="H767:P767">
    <cfRule type="cellIs" dxfId="8606" priority="8535" stopIfTrue="1" operator="equal">
      <formula>"Pass"</formula>
    </cfRule>
    <cfRule type="cellIs" dxfId="8605" priority="8536" stopIfTrue="1" operator="equal">
      <formula>"Fail"</formula>
    </cfRule>
  </conditionalFormatting>
  <conditionalFormatting sqref="H767:P767">
    <cfRule type="cellIs" dxfId="8604" priority="8533" stopIfTrue="1" operator="equal">
      <formula>"Pass"</formula>
    </cfRule>
    <cfRule type="cellIs" dxfId="8603" priority="8534" stopIfTrue="1" operator="equal">
      <formula>"Fail"</formula>
    </cfRule>
  </conditionalFormatting>
  <conditionalFormatting sqref="I767:P767">
    <cfRule type="cellIs" dxfId="8602" priority="8531" stopIfTrue="1" operator="equal">
      <formula>"Pass"</formula>
    </cfRule>
    <cfRule type="cellIs" dxfId="8601" priority="8532" stopIfTrue="1" operator="equal">
      <formula>"Fail"</formula>
    </cfRule>
  </conditionalFormatting>
  <conditionalFormatting sqref="I767:P767">
    <cfRule type="cellIs" dxfId="8600" priority="8529" stopIfTrue="1" operator="equal">
      <formula>"Pass"</formula>
    </cfRule>
    <cfRule type="cellIs" dxfId="8599" priority="8530" stopIfTrue="1" operator="equal">
      <formula>"Fail"</formula>
    </cfRule>
  </conditionalFormatting>
  <conditionalFormatting sqref="I767:P767">
    <cfRule type="cellIs" dxfId="8598" priority="8527" stopIfTrue="1" operator="equal">
      <formula>"Pass"</formula>
    </cfRule>
    <cfRule type="cellIs" dxfId="8597" priority="8528" stopIfTrue="1" operator="equal">
      <formula>"Fail"</formula>
    </cfRule>
  </conditionalFormatting>
  <conditionalFormatting sqref="I767:P767">
    <cfRule type="cellIs" dxfId="8596" priority="8525" stopIfTrue="1" operator="equal">
      <formula>"Pass"</formula>
    </cfRule>
    <cfRule type="cellIs" dxfId="8595" priority="8526" stopIfTrue="1" operator="equal">
      <formula>"Fail"</formula>
    </cfRule>
  </conditionalFormatting>
  <conditionalFormatting sqref="H767:P767">
    <cfRule type="cellIs" dxfId="8594" priority="8523" stopIfTrue="1" operator="equal">
      <formula>"Pass"</formula>
    </cfRule>
    <cfRule type="cellIs" dxfId="8593" priority="8524" stopIfTrue="1" operator="equal">
      <formula>"Fail"</formula>
    </cfRule>
  </conditionalFormatting>
  <conditionalFormatting sqref="H767:P767">
    <cfRule type="cellIs" dxfId="8592" priority="8521" stopIfTrue="1" operator="equal">
      <formula>"Pass"</formula>
    </cfRule>
    <cfRule type="cellIs" dxfId="8591" priority="8522" stopIfTrue="1" operator="equal">
      <formula>"Fail"</formula>
    </cfRule>
  </conditionalFormatting>
  <conditionalFormatting sqref="I767:P767">
    <cfRule type="cellIs" dxfId="8590" priority="8519" stopIfTrue="1" operator="equal">
      <formula>"Pass"</formula>
    </cfRule>
    <cfRule type="cellIs" dxfId="8589" priority="8520" stopIfTrue="1" operator="equal">
      <formula>"Fail"</formula>
    </cfRule>
  </conditionalFormatting>
  <conditionalFormatting sqref="I767:P767">
    <cfRule type="cellIs" dxfId="8588" priority="8517" stopIfTrue="1" operator="equal">
      <formula>"Pass"</formula>
    </cfRule>
    <cfRule type="cellIs" dxfId="8587" priority="8518" stopIfTrue="1" operator="equal">
      <formula>"Fail"</formula>
    </cfRule>
  </conditionalFormatting>
  <conditionalFormatting sqref="I767:P767">
    <cfRule type="cellIs" dxfId="8586" priority="8515" stopIfTrue="1" operator="equal">
      <formula>"Pass"</formula>
    </cfRule>
    <cfRule type="cellIs" dxfId="8585" priority="8516" stopIfTrue="1" operator="equal">
      <formula>"Fail"</formula>
    </cfRule>
  </conditionalFormatting>
  <conditionalFormatting sqref="I767:P767">
    <cfRule type="cellIs" dxfId="8584" priority="8513" stopIfTrue="1" operator="equal">
      <formula>"Pass"</formula>
    </cfRule>
    <cfRule type="cellIs" dxfId="8583" priority="8514" stopIfTrue="1" operator="equal">
      <formula>"Fail"</formula>
    </cfRule>
  </conditionalFormatting>
  <conditionalFormatting sqref="H767:P767">
    <cfRule type="cellIs" dxfId="8582" priority="8511" stopIfTrue="1" operator="equal">
      <formula>"Pass"</formula>
    </cfRule>
    <cfRule type="cellIs" dxfId="8581" priority="8512" stopIfTrue="1" operator="equal">
      <formula>"Fail"</formula>
    </cfRule>
  </conditionalFormatting>
  <conditionalFormatting sqref="H767:P767">
    <cfRule type="cellIs" dxfId="8580" priority="8509" stopIfTrue="1" operator="equal">
      <formula>"Pass"</formula>
    </cfRule>
    <cfRule type="cellIs" dxfId="8579" priority="8510" stopIfTrue="1" operator="equal">
      <formula>"Fail"</formula>
    </cfRule>
  </conditionalFormatting>
  <conditionalFormatting sqref="I767:P767">
    <cfRule type="cellIs" dxfId="8578" priority="8507" stopIfTrue="1" operator="equal">
      <formula>"Pass"</formula>
    </cfRule>
    <cfRule type="cellIs" dxfId="8577" priority="8508" stopIfTrue="1" operator="equal">
      <formula>"Fail"</formula>
    </cfRule>
  </conditionalFormatting>
  <conditionalFormatting sqref="I767:P767">
    <cfRule type="cellIs" dxfId="8576" priority="8505" stopIfTrue="1" operator="equal">
      <formula>"Pass"</formula>
    </cfRule>
    <cfRule type="cellIs" dxfId="8575" priority="8506" stopIfTrue="1" operator="equal">
      <formula>"Fail"</formula>
    </cfRule>
  </conditionalFormatting>
  <conditionalFormatting sqref="I767:P767">
    <cfRule type="cellIs" dxfId="8574" priority="8503" stopIfTrue="1" operator="equal">
      <formula>"Pass"</formula>
    </cfRule>
    <cfRule type="cellIs" dxfId="8573" priority="8504" stopIfTrue="1" operator="equal">
      <formula>"Fail"</formula>
    </cfRule>
  </conditionalFormatting>
  <conditionalFormatting sqref="I767:P767">
    <cfRule type="cellIs" dxfId="8572" priority="8501" stopIfTrue="1" operator="equal">
      <formula>"Pass"</formula>
    </cfRule>
    <cfRule type="cellIs" dxfId="8571" priority="8502" stopIfTrue="1" operator="equal">
      <formula>"Fail"</formula>
    </cfRule>
  </conditionalFormatting>
  <conditionalFormatting sqref="H767:P767">
    <cfRule type="cellIs" dxfId="8570" priority="8499" stopIfTrue="1" operator="equal">
      <formula>"Pass"</formula>
    </cfRule>
    <cfRule type="cellIs" dxfId="8569" priority="8500" stopIfTrue="1" operator="equal">
      <formula>"Fail"</formula>
    </cfRule>
  </conditionalFormatting>
  <conditionalFormatting sqref="H767:P767">
    <cfRule type="cellIs" dxfId="8568" priority="8497" stopIfTrue="1" operator="equal">
      <formula>"Pass"</formula>
    </cfRule>
    <cfRule type="cellIs" dxfId="8567" priority="8498" stopIfTrue="1" operator="equal">
      <formula>"Fail"</formula>
    </cfRule>
  </conditionalFormatting>
  <conditionalFormatting sqref="I767:P767">
    <cfRule type="cellIs" dxfId="8566" priority="8495" stopIfTrue="1" operator="equal">
      <formula>"Pass"</formula>
    </cfRule>
    <cfRule type="cellIs" dxfId="8565" priority="8496" stopIfTrue="1" operator="equal">
      <formula>"Fail"</formula>
    </cfRule>
  </conditionalFormatting>
  <conditionalFormatting sqref="I767:P767">
    <cfRule type="cellIs" dxfId="8564" priority="8493" stopIfTrue="1" operator="equal">
      <formula>"Pass"</formula>
    </cfRule>
    <cfRule type="cellIs" dxfId="8563" priority="8494" stopIfTrue="1" operator="equal">
      <formula>"Fail"</formula>
    </cfRule>
  </conditionalFormatting>
  <conditionalFormatting sqref="I767:P767">
    <cfRule type="cellIs" dxfId="8562" priority="8491" stopIfTrue="1" operator="equal">
      <formula>"Pass"</formula>
    </cfRule>
    <cfRule type="cellIs" dxfId="8561" priority="8492" stopIfTrue="1" operator="equal">
      <formula>"Fail"</formula>
    </cfRule>
  </conditionalFormatting>
  <conditionalFormatting sqref="I767:P767">
    <cfRule type="cellIs" dxfId="8560" priority="8489" stopIfTrue="1" operator="equal">
      <formula>"Pass"</formula>
    </cfRule>
    <cfRule type="cellIs" dxfId="8559" priority="8490" stopIfTrue="1" operator="equal">
      <formula>"Fail"</formula>
    </cfRule>
  </conditionalFormatting>
  <conditionalFormatting sqref="H767:P767">
    <cfRule type="cellIs" dxfId="8558" priority="8487" stopIfTrue="1" operator="equal">
      <formula>"Pass"</formula>
    </cfRule>
    <cfRule type="cellIs" dxfId="8557" priority="8488" stopIfTrue="1" operator="equal">
      <formula>"Fail"</formula>
    </cfRule>
  </conditionalFormatting>
  <conditionalFormatting sqref="H767:P767">
    <cfRule type="cellIs" dxfId="8556" priority="8485" stopIfTrue="1" operator="equal">
      <formula>"Pass"</formula>
    </cfRule>
    <cfRule type="cellIs" dxfId="8555" priority="8486" stopIfTrue="1" operator="equal">
      <formula>"Fail"</formula>
    </cfRule>
  </conditionalFormatting>
  <conditionalFormatting sqref="I767:P767">
    <cfRule type="cellIs" dxfId="8554" priority="8483" stopIfTrue="1" operator="equal">
      <formula>"Pass"</formula>
    </cfRule>
    <cfRule type="cellIs" dxfId="8553" priority="8484" stopIfTrue="1" operator="equal">
      <formula>"Fail"</formula>
    </cfRule>
  </conditionalFormatting>
  <conditionalFormatting sqref="I767:P767">
    <cfRule type="cellIs" dxfId="8552" priority="8481" stopIfTrue="1" operator="equal">
      <formula>"Pass"</formula>
    </cfRule>
    <cfRule type="cellIs" dxfId="8551" priority="8482" stopIfTrue="1" operator="equal">
      <formula>"Fail"</formula>
    </cfRule>
  </conditionalFormatting>
  <conditionalFormatting sqref="I767:P767">
    <cfRule type="cellIs" dxfId="8550" priority="8479" stopIfTrue="1" operator="equal">
      <formula>"Pass"</formula>
    </cfRule>
    <cfRule type="cellIs" dxfId="8549" priority="8480" stopIfTrue="1" operator="equal">
      <formula>"Fail"</formula>
    </cfRule>
  </conditionalFormatting>
  <conditionalFormatting sqref="I767:P767">
    <cfRule type="cellIs" dxfId="8548" priority="8477" stopIfTrue="1" operator="equal">
      <formula>"Pass"</formula>
    </cfRule>
    <cfRule type="cellIs" dxfId="8547" priority="8478" stopIfTrue="1" operator="equal">
      <formula>"Fail"</formula>
    </cfRule>
  </conditionalFormatting>
  <conditionalFormatting sqref="H767:O767">
    <cfRule type="cellIs" dxfId="8546" priority="8475" stopIfTrue="1" operator="equal">
      <formula>"Pass"</formula>
    </cfRule>
    <cfRule type="cellIs" dxfId="8545" priority="8476" stopIfTrue="1" operator="equal">
      <formula>"Fail"</formula>
    </cfRule>
  </conditionalFormatting>
  <conditionalFormatting sqref="H767:O767">
    <cfRule type="cellIs" dxfId="8544" priority="8473" stopIfTrue="1" operator="equal">
      <formula>"Pass"</formula>
    </cfRule>
    <cfRule type="cellIs" dxfId="8543" priority="8474" stopIfTrue="1" operator="equal">
      <formula>"Fail"</formula>
    </cfRule>
  </conditionalFormatting>
  <conditionalFormatting sqref="I767:P767">
    <cfRule type="cellIs" dxfId="8542" priority="8471" stopIfTrue="1" operator="equal">
      <formula>"Pass"</formula>
    </cfRule>
    <cfRule type="cellIs" dxfId="8541" priority="8472" stopIfTrue="1" operator="equal">
      <formula>"Fail"</formula>
    </cfRule>
  </conditionalFormatting>
  <conditionalFormatting sqref="I767:P767">
    <cfRule type="cellIs" dxfId="8540" priority="8469" stopIfTrue="1" operator="equal">
      <formula>"Pass"</formula>
    </cfRule>
    <cfRule type="cellIs" dxfId="8539" priority="8470" stopIfTrue="1" operator="equal">
      <formula>"Fail"</formula>
    </cfRule>
  </conditionalFormatting>
  <conditionalFormatting sqref="I767:P767">
    <cfRule type="cellIs" dxfId="8538" priority="8467" stopIfTrue="1" operator="equal">
      <formula>"Pass"</formula>
    </cfRule>
    <cfRule type="cellIs" dxfId="8537" priority="8468" stopIfTrue="1" operator="equal">
      <formula>"Fail"</formula>
    </cfRule>
  </conditionalFormatting>
  <conditionalFormatting sqref="I767:P767">
    <cfRule type="cellIs" dxfId="8536" priority="8465" stopIfTrue="1" operator="equal">
      <formula>"Pass"</formula>
    </cfRule>
    <cfRule type="cellIs" dxfId="8535" priority="8466" stopIfTrue="1" operator="equal">
      <formula>"Fail"</formula>
    </cfRule>
  </conditionalFormatting>
  <conditionalFormatting sqref="H767:O767">
    <cfRule type="cellIs" dxfId="8534" priority="8463" stopIfTrue="1" operator="equal">
      <formula>"Pass"</formula>
    </cfRule>
    <cfRule type="cellIs" dxfId="8533" priority="8464" stopIfTrue="1" operator="equal">
      <formula>"Fail"</formula>
    </cfRule>
  </conditionalFormatting>
  <conditionalFormatting sqref="H767:O767">
    <cfRule type="cellIs" dxfId="8532" priority="8461" stopIfTrue="1" operator="equal">
      <formula>"Pass"</formula>
    </cfRule>
    <cfRule type="cellIs" dxfId="8531" priority="8462" stopIfTrue="1" operator="equal">
      <formula>"Fail"</formula>
    </cfRule>
  </conditionalFormatting>
  <conditionalFormatting sqref="I767:P767">
    <cfRule type="cellIs" dxfId="8530" priority="8459" stopIfTrue="1" operator="equal">
      <formula>"Pass"</formula>
    </cfRule>
    <cfRule type="cellIs" dxfId="8529" priority="8460" stopIfTrue="1" operator="equal">
      <formula>"Fail"</formula>
    </cfRule>
  </conditionalFormatting>
  <conditionalFormatting sqref="I767:P767">
    <cfRule type="cellIs" dxfId="8528" priority="8457" stopIfTrue="1" operator="equal">
      <formula>"Pass"</formula>
    </cfRule>
    <cfRule type="cellIs" dxfId="8527" priority="8458" stopIfTrue="1" operator="equal">
      <formula>"Fail"</formula>
    </cfRule>
  </conditionalFormatting>
  <conditionalFormatting sqref="I767:P767">
    <cfRule type="cellIs" dxfId="8526" priority="8455" stopIfTrue="1" operator="equal">
      <formula>"Pass"</formula>
    </cfRule>
    <cfRule type="cellIs" dxfId="8525" priority="8456" stopIfTrue="1" operator="equal">
      <formula>"Fail"</formula>
    </cfRule>
  </conditionalFormatting>
  <conditionalFormatting sqref="I767:P767">
    <cfRule type="cellIs" dxfId="8524" priority="8453" stopIfTrue="1" operator="equal">
      <formula>"Pass"</formula>
    </cfRule>
    <cfRule type="cellIs" dxfId="8523" priority="8454" stopIfTrue="1" operator="equal">
      <formula>"Fail"</formula>
    </cfRule>
  </conditionalFormatting>
  <conditionalFormatting sqref="H767:P767">
    <cfRule type="cellIs" dxfId="8522" priority="8451" stopIfTrue="1" operator="equal">
      <formula>"Pass"</formula>
    </cfRule>
    <cfRule type="cellIs" dxfId="8521" priority="8452" stopIfTrue="1" operator="equal">
      <formula>"Fail"</formula>
    </cfRule>
  </conditionalFormatting>
  <conditionalFormatting sqref="H767:P767">
    <cfRule type="cellIs" dxfId="8520" priority="8449" stopIfTrue="1" operator="equal">
      <formula>"Pass"</formula>
    </cfRule>
    <cfRule type="cellIs" dxfId="8519" priority="8450" stopIfTrue="1" operator="equal">
      <formula>"Fail"</formula>
    </cfRule>
  </conditionalFormatting>
  <conditionalFormatting sqref="I767:P767">
    <cfRule type="cellIs" dxfId="8518" priority="8447" stopIfTrue="1" operator="equal">
      <formula>"Pass"</formula>
    </cfRule>
    <cfRule type="cellIs" dxfId="8517" priority="8448" stopIfTrue="1" operator="equal">
      <formula>"Fail"</formula>
    </cfRule>
  </conditionalFormatting>
  <conditionalFormatting sqref="I767:P767">
    <cfRule type="cellIs" dxfId="8516" priority="8445" stopIfTrue="1" operator="equal">
      <formula>"Pass"</formula>
    </cfRule>
    <cfRule type="cellIs" dxfId="8515" priority="8446" stopIfTrue="1" operator="equal">
      <formula>"Fail"</formula>
    </cfRule>
  </conditionalFormatting>
  <conditionalFormatting sqref="I767:P767">
    <cfRule type="cellIs" dxfId="8514" priority="8443" stopIfTrue="1" operator="equal">
      <formula>"Pass"</formula>
    </cfRule>
    <cfRule type="cellIs" dxfId="8513" priority="8444" stopIfTrue="1" operator="equal">
      <formula>"Fail"</formula>
    </cfRule>
  </conditionalFormatting>
  <conditionalFormatting sqref="I767:P767">
    <cfRule type="cellIs" dxfId="8512" priority="8441" stopIfTrue="1" operator="equal">
      <formula>"Pass"</formula>
    </cfRule>
    <cfRule type="cellIs" dxfId="8511" priority="8442" stopIfTrue="1" operator="equal">
      <formula>"Fail"</formula>
    </cfRule>
  </conditionalFormatting>
  <conditionalFormatting sqref="H767:P767">
    <cfRule type="cellIs" dxfId="8510" priority="8439" stopIfTrue="1" operator="equal">
      <formula>"Pass"</formula>
    </cfRule>
    <cfRule type="cellIs" dxfId="8509" priority="8440" stopIfTrue="1" operator="equal">
      <formula>"Fail"</formula>
    </cfRule>
  </conditionalFormatting>
  <conditionalFormatting sqref="H767:P767">
    <cfRule type="cellIs" dxfId="8508" priority="8437" stopIfTrue="1" operator="equal">
      <formula>"Pass"</formula>
    </cfRule>
    <cfRule type="cellIs" dxfId="8507" priority="8438" stopIfTrue="1" operator="equal">
      <formula>"Fail"</formula>
    </cfRule>
  </conditionalFormatting>
  <conditionalFormatting sqref="I767:P767">
    <cfRule type="cellIs" dxfId="8506" priority="8435" stopIfTrue="1" operator="equal">
      <formula>"Pass"</formula>
    </cfRule>
    <cfRule type="cellIs" dxfId="8505" priority="8436" stopIfTrue="1" operator="equal">
      <formula>"Fail"</formula>
    </cfRule>
  </conditionalFormatting>
  <conditionalFormatting sqref="I767:P767">
    <cfRule type="cellIs" dxfId="8504" priority="8433" stopIfTrue="1" operator="equal">
      <formula>"Pass"</formula>
    </cfRule>
    <cfRule type="cellIs" dxfId="8503" priority="8434" stopIfTrue="1" operator="equal">
      <formula>"Fail"</formula>
    </cfRule>
  </conditionalFormatting>
  <conditionalFormatting sqref="I767:P767">
    <cfRule type="cellIs" dxfId="8502" priority="8431" stopIfTrue="1" operator="equal">
      <formula>"Pass"</formula>
    </cfRule>
    <cfRule type="cellIs" dxfId="8501" priority="8432" stopIfTrue="1" operator="equal">
      <formula>"Fail"</formula>
    </cfRule>
  </conditionalFormatting>
  <conditionalFormatting sqref="I767:P767">
    <cfRule type="cellIs" dxfId="8500" priority="8429" stopIfTrue="1" operator="equal">
      <formula>"Pass"</formula>
    </cfRule>
    <cfRule type="cellIs" dxfId="8499" priority="8430" stopIfTrue="1" operator="equal">
      <formula>"Fail"</formula>
    </cfRule>
  </conditionalFormatting>
  <conditionalFormatting sqref="H767:P767">
    <cfRule type="cellIs" dxfId="8498" priority="8427" stopIfTrue="1" operator="equal">
      <formula>"Pass"</formula>
    </cfRule>
    <cfRule type="cellIs" dxfId="8497" priority="8428" stopIfTrue="1" operator="equal">
      <formula>"Fail"</formula>
    </cfRule>
  </conditionalFormatting>
  <conditionalFormatting sqref="H767:P767">
    <cfRule type="cellIs" dxfId="8496" priority="8425" stopIfTrue="1" operator="equal">
      <formula>"Pass"</formula>
    </cfRule>
    <cfRule type="cellIs" dxfId="8495" priority="8426" stopIfTrue="1" operator="equal">
      <formula>"Fail"</formula>
    </cfRule>
  </conditionalFormatting>
  <conditionalFormatting sqref="I767:P767">
    <cfRule type="cellIs" dxfId="8494" priority="8423" stopIfTrue="1" operator="equal">
      <formula>"Pass"</formula>
    </cfRule>
    <cfRule type="cellIs" dxfId="8493" priority="8424" stopIfTrue="1" operator="equal">
      <formula>"Fail"</formula>
    </cfRule>
  </conditionalFormatting>
  <conditionalFormatting sqref="I767:P767">
    <cfRule type="cellIs" dxfId="8492" priority="8421" stopIfTrue="1" operator="equal">
      <formula>"Pass"</formula>
    </cfRule>
    <cfRule type="cellIs" dxfId="8491" priority="8422" stopIfTrue="1" operator="equal">
      <formula>"Fail"</formula>
    </cfRule>
  </conditionalFormatting>
  <conditionalFormatting sqref="I767:P767">
    <cfRule type="cellIs" dxfId="8490" priority="8419" stopIfTrue="1" operator="equal">
      <formula>"Pass"</formula>
    </cfRule>
    <cfRule type="cellIs" dxfId="8489" priority="8420" stopIfTrue="1" operator="equal">
      <formula>"Fail"</formula>
    </cfRule>
  </conditionalFormatting>
  <conditionalFormatting sqref="I767:P767">
    <cfRule type="cellIs" dxfId="8488" priority="8417" stopIfTrue="1" operator="equal">
      <formula>"Pass"</formula>
    </cfRule>
    <cfRule type="cellIs" dxfId="8487" priority="8418" stopIfTrue="1" operator="equal">
      <formula>"Fail"</formula>
    </cfRule>
  </conditionalFormatting>
  <conditionalFormatting sqref="H767:P767">
    <cfRule type="cellIs" dxfId="8486" priority="8415" stopIfTrue="1" operator="equal">
      <formula>"Pass"</formula>
    </cfRule>
    <cfRule type="cellIs" dxfId="8485" priority="8416" stopIfTrue="1" operator="equal">
      <formula>"Fail"</formula>
    </cfRule>
  </conditionalFormatting>
  <conditionalFormatting sqref="H767:P767">
    <cfRule type="cellIs" dxfId="8484" priority="8413" stopIfTrue="1" operator="equal">
      <formula>"Pass"</formula>
    </cfRule>
    <cfRule type="cellIs" dxfId="8483" priority="8414" stopIfTrue="1" operator="equal">
      <formula>"Fail"</formula>
    </cfRule>
  </conditionalFormatting>
  <conditionalFormatting sqref="I767:P767">
    <cfRule type="cellIs" dxfId="8482" priority="8411" stopIfTrue="1" operator="equal">
      <formula>"Pass"</formula>
    </cfRule>
    <cfRule type="cellIs" dxfId="8481" priority="8412" stopIfTrue="1" operator="equal">
      <formula>"Fail"</formula>
    </cfRule>
  </conditionalFormatting>
  <conditionalFormatting sqref="I767:P767">
    <cfRule type="cellIs" dxfId="8480" priority="8409" stopIfTrue="1" operator="equal">
      <formula>"Pass"</formula>
    </cfRule>
    <cfRule type="cellIs" dxfId="8479" priority="8410" stopIfTrue="1" operator="equal">
      <formula>"Fail"</formula>
    </cfRule>
  </conditionalFormatting>
  <conditionalFormatting sqref="I767:P767">
    <cfRule type="cellIs" dxfId="8478" priority="8407" stopIfTrue="1" operator="equal">
      <formula>"Pass"</formula>
    </cfRule>
    <cfRule type="cellIs" dxfId="8477" priority="8408" stopIfTrue="1" operator="equal">
      <formula>"Fail"</formula>
    </cfRule>
  </conditionalFormatting>
  <conditionalFormatting sqref="I767:P767">
    <cfRule type="cellIs" dxfId="8476" priority="8405" stopIfTrue="1" operator="equal">
      <formula>"Pass"</formula>
    </cfRule>
    <cfRule type="cellIs" dxfId="8475" priority="8406" stopIfTrue="1" operator="equal">
      <formula>"Fail"</formula>
    </cfRule>
  </conditionalFormatting>
  <conditionalFormatting sqref="H767:P767">
    <cfRule type="cellIs" dxfId="8474" priority="8403" stopIfTrue="1" operator="equal">
      <formula>"Pass"</formula>
    </cfRule>
    <cfRule type="cellIs" dxfId="8473" priority="8404" stopIfTrue="1" operator="equal">
      <formula>"Fail"</formula>
    </cfRule>
  </conditionalFormatting>
  <conditionalFormatting sqref="H767:P767">
    <cfRule type="cellIs" dxfId="8472" priority="8401" stopIfTrue="1" operator="equal">
      <formula>"Pass"</formula>
    </cfRule>
    <cfRule type="cellIs" dxfId="8471" priority="8402" stopIfTrue="1" operator="equal">
      <formula>"Fail"</formula>
    </cfRule>
  </conditionalFormatting>
  <conditionalFormatting sqref="I767:P767">
    <cfRule type="cellIs" dxfId="8470" priority="8399" stopIfTrue="1" operator="equal">
      <formula>"Pass"</formula>
    </cfRule>
    <cfRule type="cellIs" dxfId="8469" priority="8400" stopIfTrue="1" operator="equal">
      <formula>"Fail"</formula>
    </cfRule>
  </conditionalFormatting>
  <conditionalFormatting sqref="I767:P767">
    <cfRule type="cellIs" dxfId="8468" priority="8397" stopIfTrue="1" operator="equal">
      <formula>"Pass"</formula>
    </cfRule>
    <cfRule type="cellIs" dxfId="8467" priority="8398" stopIfTrue="1" operator="equal">
      <formula>"Fail"</formula>
    </cfRule>
  </conditionalFormatting>
  <conditionalFormatting sqref="I767:P767">
    <cfRule type="cellIs" dxfId="8466" priority="8395" stopIfTrue="1" operator="equal">
      <formula>"Pass"</formula>
    </cfRule>
    <cfRule type="cellIs" dxfId="8465" priority="8396" stopIfTrue="1" operator="equal">
      <formula>"Fail"</formula>
    </cfRule>
  </conditionalFormatting>
  <conditionalFormatting sqref="I767:P767">
    <cfRule type="cellIs" dxfId="8464" priority="8393" stopIfTrue="1" operator="equal">
      <formula>"Pass"</formula>
    </cfRule>
    <cfRule type="cellIs" dxfId="8463" priority="8394" stopIfTrue="1" operator="equal">
      <formula>"Fail"</formula>
    </cfRule>
  </conditionalFormatting>
  <conditionalFormatting sqref="H767:P767">
    <cfRule type="cellIs" dxfId="8462" priority="8391" stopIfTrue="1" operator="equal">
      <formula>"Pass"</formula>
    </cfRule>
    <cfRule type="cellIs" dxfId="8461" priority="8392" stopIfTrue="1" operator="equal">
      <formula>"Fail"</formula>
    </cfRule>
  </conditionalFormatting>
  <conditionalFormatting sqref="H767:P767">
    <cfRule type="cellIs" dxfId="8460" priority="8389" stopIfTrue="1" operator="equal">
      <formula>"Pass"</formula>
    </cfRule>
    <cfRule type="cellIs" dxfId="8459" priority="8390" stopIfTrue="1" operator="equal">
      <formula>"Fail"</formula>
    </cfRule>
  </conditionalFormatting>
  <conditionalFormatting sqref="I767:P767">
    <cfRule type="cellIs" dxfId="8458" priority="8387" stopIfTrue="1" operator="equal">
      <formula>"Pass"</formula>
    </cfRule>
    <cfRule type="cellIs" dxfId="8457" priority="8388" stopIfTrue="1" operator="equal">
      <formula>"Fail"</formula>
    </cfRule>
  </conditionalFormatting>
  <conditionalFormatting sqref="I767:P767">
    <cfRule type="cellIs" dxfId="8456" priority="8385" stopIfTrue="1" operator="equal">
      <formula>"Pass"</formula>
    </cfRule>
    <cfRule type="cellIs" dxfId="8455" priority="8386" stopIfTrue="1" operator="equal">
      <formula>"Fail"</formula>
    </cfRule>
  </conditionalFormatting>
  <conditionalFormatting sqref="I767:P767">
    <cfRule type="cellIs" dxfId="8454" priority="8383" stopIfTrue="1" operator="equal">
      <formula>"Pass"</formula>
    </cfRule>
    <cfRule type="cellIs" dxfId="8453" priority="8384" stopIfTrue="1" operator="equal">
      <formula>"Fail"</formula>
    </cfRule>
  </conditionalFormatting>
  <conditionalFormatting sqref="I767:P767">
    <cfRule type="cellIs" dxfId="8452" priority="8381" stopIfTrue="1" operator="equal">
      <formula>"Pass"</formula>
    </cfRule>
    <cfRule type="cellIs" dxfId="8451" priority="8382" stopIfTrue="1" operator="equal">
      <formula>"Fail"</formula>
    </cfRule>
  </conditionalFormatting>
  <conditionalFormatting sqref="H767:P767">
    <cfRule type="cellIs" dxfId="8450" priority="8379" stopIfTrue="1" operator="equal">
      <formula>"Pass"</formula>
    </cfRule>
    <cfRule type="cellIs" dxfId="8449" priority="8380" stopIfTrue="1" operator="equal">
      <formula>"Fail"</formula>
    </cfRule>
  </conditionalFormatting>
  <conditionalFormatting sqref="H767:P767">
    <cfRule type="cellIs" dxfId="8448" priority="8377" stopIfTrue="1" operator="equal">
      <formula>"Pass"</formula>
    </cfRule>
    <cfRule type="cellIs" dxfId="8447" priority="8378" stopIfTrue="1" operator="equal">
      <formula>"Fail"</formula>
    </cfRule>
  </conditionalFormatting>
  <conditionalFormatting sqref="I767:P767">
    <cfRule type="cellIs" dxfId="8446" priority="8375" stopIfTrue="1" operator="equal">
      <formula>"Pass"</formula>
    </cfRule>
    <cfRule type="cellIs" dxfId="8445" priority="8376" stopIfTrue="1" operator="equal">
      <formula>"Fail"</formula>
    </cfRule>
  </conditionalFormatting>
  <conditionalFormatting sqref="I767:P767">
    <cfRule type="cellIs" dxfId="8444" priority="8373" stopIfTrue="1" operator="equal">
      <formula>"Pass"</formula>
    </cfRule>
    <cfRule type="cellIs" dxfId="8443" priority="8374" stopIfTrue="1" operator="equal">
      <formula>"Fail"</formula>
    </cfRule>
  </conditionalFormatting>
  <conditionalFormatting sqref="I767:P767">
    <cfRule type="cellIs" dxfId="8442" priority="8371" stopIfTrue="1" operator="equal">
      <formula>"Pass"</formula>
    </cfRule>
    <cfRule type="cellIs" dxfId="8441" priority="8372" stopIfTrue="1" operator="equal">
      <formula>"Fail"</formula>
    </cfRule>
  </conditionalFormatting>
  <conditionalFormatting sqref="I767:P767">
    <cfRule type="cellIs" dxfId="8440" priority="8369" stopIfTrue="1" operator="equal">
      <formula>"Pass"</formula>
    </cfRule>
    <cfRule type="cellIs" dxfId="8439" priority="8370" stopIfTrue="1" operator="equal">
      <formula>"Fail"</formula>
    </cfRule>
  </conditionalFormatting>
  <conditionalFormatting sqref="H767:P767">
    <cfRule type="cellIs" dxfId="8438" priority="8367" stopIfTrue="1" operator="equal">
      <formula>"Pass"</formula>
    </cfRule>
    <cfRule type="cellIs" dxfId="8437" priority="8368" stopIfTrue="1" operator="equal">
      <formula>"Fail"</formula>
    </cfRule>
  </conditionalFormatting>
  <conditionalFormatting sqref="H767:P767">
    <cfRule type="cellIs" dxfId="8436" priority="8365" stopIfTrue="1" operator="equal">
      <formula>"Pass"</formula>
    </cfRule>
    <cfRule type="cellIs" dxfId="8435" priority="8366" stopIfTrue="1" operator="equal">
      <formula>"Fail"</formula>
    </cfRule>
  </conditionalFormatting>
  <conditionalFormatting sqref="I767:P767">
    <cfRule type="cellIs" dxfId="8434" priority="8363" stopIfTrue="1" operator="equal">
      <formula>"Pass"</formula>
    </cfRule>
    <cfRule type="cellIs" dxfId="8433" priority="8364" stopIfTrue="1" operator="equal">
      <formula>"Fail"</formula>
    </cfRule>
  </conditionalFormatting>
  <conditionalFormatting sqref="I767:P767">
    <cfRule type="cellIs" dxfId="8432" priority="8361" stopIfTrue="1" operator="equal">
      <formula>"Pass"</formula>
    </cfRule>
    <cfRule type="cellIs" dxfId="8431" priority="8362" stopIfTrue="1" operator="equal">
      <formula>"Fail"</formula>
    </cfRule>
  </conditionalFormatting>
  <conditionalFormatting sqref="I767:P767">
    <cfRule type="cellIs" dxfId="8430" priority="8359" stopIfTrue="1" operator="equal">
      <formula>"Pass"</formula>
    </cfRule>
    <cfRule type="cellIs" dxfId="8429" priority="8360" stopIfTrue="1" operator="equal">
      <formula>"Fail"</formula>
    </cfRule>
  </conditionalFormatting>
  <conditionalFormatting sqref="I767:P767">
    <cfRule type="cellIs" dxfId="8428" priority="8357" stopIfTrue="1" operator="equal">
      <formula>"Pass"</formula>
    </cfRule>
    <cfRule type="cellIs" dxfId="8427" priority="8358" stopIfTrue="1" operator="equal">
      <formula>"Fail"</formula>
    </cfRule>
  </conditionalFormatting>
  <conditionalFormatting sqref="H767:P767">
    <cfRule type="cellIs" dxfId="8426" priority="8355" stopIfTrue="1" operator="equal">
      <formula>"Pass"</formula>
    </cfRule>
    <cfRule type="cellIs" dxfId="8425" priority="8356" stopIfTrue="1" operator="equal">
      <formula>"Fail"</formula>
    </cfRule>
  </conditionalFormatting>
  <conditionalFormatting sqref="H767:P767">
    <cfRule type="cellIs" dxfId="8424" priority="8353" stopIfTrue="1" operator="equal">
      <formula>"Pass"</formula>
    </cfRule>
    <cfRule type="cellIs" dxfId="8423" priority="8354" stopIfTrue="1" operator="equal">
      <formula>"Fail"</formula>
    </cfRule>
  </conditionalFormatting>
  <conditionalFormatting sqref="I767:P767">
    <cfRule type="cellIs" dxfId="8422" priority="8351" stopIfTrue="1" operator="equal">
      <formula>"Pass"</formula>
    </cfRule>
    <cfRule type="cellIs" dxfId="8421" priority="8352" stopIfTrue="1" operator="equal">
      <formula>"Fail"</formula>
    </cfRule>
  </conditionalFormatting>
  <conditionalFormatting sqref="I767:P767">
    <cfRule type="cellIs" dxfId="8420" priority="8349" stopIfTrue="1" operator="equal">
      <formula>"Pass"</formula>
    </cfRule>
    <cfRule type="cellIs" dxfId="8419" priority="8350" stopIfTrue="1" operator="equal">
      <formula>"Fail"</formula>
    </cfRule>
  </conditionalFormatting>
  <conditionalFormatting sqref="I767:P767">
    <cfRule type="cellIs" dxfId="8418" priority="8347" stopIfTrue="1" operator="equal">
      <formula>"Pass"</formula>
    </cfRule>
    <cfRule type="cellIs" dxfId="8417" priority="8348" stopIfTrue="1" operator="equal">
      <formula>"Fail"</formula>
    </cfRule>
  </conditionalFormatting>
  <conditionalFormatting sqref="I767:P767">
    <cfRule type="cellIs" dxfId="8416" priority="8345" stopIfTrue="1" operator="equal">
      <formula>"Pass"</formula>
    </cfRule>
    <cfRule type="cellIs" dxfId="8415" priority="8346" stopIfTrue="1" operator="equal">
      <formula>"Fail"</formula>
    </cfRule>
  </conditionalFormatting>
  <conditionalFormatting sqref="H767:P767">
    <cfRule type="cellIs" dxfId="8414" priority="8343" stopIfTrue="1" operator="equal">
      <formula>"Pass"</formula>
    </cfRule>
    <cfRule type="cellIs" dxfId="8413" priority="8344" stopIfTrue="1" operator="equal">
      <formula>"Fail"</formula>
    </cfRule>
  </conditionalFormatting>
  <conditionalFormatting sqref="H767:P767">
    <cfRule type="cellIs" dxfId="8412" priority="8341" stopIfTrue="1" operator="equal">
      <formula>"Pass"</formula>
    </cfRule>
    <cfRule type="cellIs" dxfId="8411" priority="8342" stopIfTrue="1" operator="equal">
      <formula>"Fail"</formula>
    </cfRule>
  </conditionalFormatting>
  <conditionalFormatting sqref="I767:P767">
    <cfRule type="cellIs" dxfId="8410" priority="8339" stopIfTrue="1" operator="equal">
      <formula>"Pass"</formula>
    </cfRule>
    <cfRule type="cellIs" dxfId="8409" priority="8340" stopIfTrue="1" operator="equal">
      <formula>"Fail"</formula>
    </cfRule>
  </conditionalFormatting>
  <conditionalFormatting sqref="I767:P767">
    <cfRule type="cellIs" dxfId="8408" priority="8337" stopIfTrue="1" operator="equal">
      <formula>"Pass"</formula>
    </cfRule>
    <cfRule type="cellIs" dxfId="8407" priority="8338" stopIfTrue="1" operator="equal">
      <formula>"Fail"</formula>
    </cfRule>
  </conditionalFormatting>
  <conditionalFormatting sqref="I767:P767">
    <cfRule type="cellIs" dxfId="8406" priority="8335" stopIfTrue="1" operator="equal">
      <formula>"Pass"</formula>
    </cfRule>
    <cfRule type="cellIs" dxfId="8405" priority="8336" stopIfTrue="1" operator="equal">
      <formula>"Fail"</formula>
    </cfRule>
  </conditionalFormatting>
  <conditionalFormatting sqref="I767:P767">
    <cfRule type="cellIs" dxfId="8404" priority="8333" stopIfTrue="1" operator="equal">
      <formula>"Pass"</formula>
    </cfRule>
    <cfRule type="cellIs" dxfId="8403" priority="8334" stopIfTrue="1" operator="equal">
      <formula>"Fail"</formula>
    </cfRule>
  </conditionalFormatting>
  <conditionalFormatting sqref="H767:P767">
    <cfRule type="cellIs" dxfId="8402" priority="8331" stopIfTrue="1" operator="equal">
      <formula>"Pass"</formula>
    </cfRule>
    <cfRule type="cellIs" dxfId="8401" priority="8332" stopIfTrue="1" operator="equal">
      <formula>"Fail"</formula>
    </cfRule>
  </conditionalFormatting>
  <conditionalFormatting sqref="H767:P767">
    <cfRule type="cellIs" dxfId="8400" priority="8329" stopIfTrue="1" operator="equal">
      <formula>"Pass"</formula>
    </cfRule>
    <cfRule type="cellIs" dxfId="8399" priority="8330" stopIfTrue="1" operator="equal">
      <formula>"Fail"</formula>
    </cfRule>
  </conditionalFormatting>
  <conditionalFormatting sqref="I767:P767">
    <cfRule type="cellIs" dxfId="8398" priority="8327" stopIfTrue="1" operator="equal">
      <formula>"Pass"</formula>
    </cfRule>
    <cfRule type="cellIs" dxfId="8397" priority="8328" stopIfTrue="1" operator="equal">
      <formula>"Fail"</formula>
    </cfRule>
  </conditionalFormatting>
  <conditionalFormatting sqref="I767:P767">
    <cfRule type="cellIs" dxfId="8396" priority="8325" stopIfTrue="1" operator="equal">
      <formula>"Pass"</formula>
    </cfRule>
    <cfRule type="cellIs" dxfId="8395" priority="8326" stopIfTrue="1" operator="equal">
      <formula>"Fail"</formula>
    </cfRule>
  </conditionalFormatting>
  <conditionalFormatting sqref="I767:P767">
    <cfRule type="cellIs" dxfId="8394" priority="8323" stopIfTrue="1" operator="equal">
      <formula>"Pass"</formula>
    </cfRule>
    <cfRule type="cellIs" dxfId="8393" priority="8324" stopIfTrue="1" operator="equal">
      <formula>"Fail"</formula>
    </cfRule>
  </conditionalFormatting>
  <conditionalFormatting sqref="I767:P767">
    <cfRule type="cellIs" dxfId="8392" priority="8321" stopIfTrue="1" operator="equal">
      <formula>"Pass"</formula>
    </cfRule>
    <cfRule type="cellIs" dxfId="8391" priority="8322" stopIfTrue="1" operator="equal">
      <formula>"Fail"</formula>
    </cfRule>
  </conditionalFormatting>
  <conditionalFormatting sqref="H767:P767">
    <cfRule type="cellIs" dxfId="8390" priority="8319" stopIfTrue="1" operator="equal">
      <formula>"Pass"</formula>
    </cfRule>
    <cfRule type="cellIs" dxfId="8389" priority="8320" stopIfTrue="1" operator="equal">
      <formula>"Fail"</formula>
    </cfRule>
  </conditionalFormatting>
  <conditionalFormatting sqref="H767:P767">
    <cfRule type="cellIs" dxfId="8388" priority="8317" stopIfTrue="1" operator="equal">
      <formula>"Pass"</formula>
    </cfRule>
    <cfRule type="cellIs" dxfId="8387" priority="8318" stopIfTrue="1" operator="equal">
      <formula>"Fail"</formula>
    </cfRule>
  </conditionalFormatting>
  <conditionalFormatting sqref="I767:P767">
    <cfRule type="cellIs" dxfId="8386" priority="8315" stopIfTrue="1" operator="equal">
      <formula>"Pass"</formula>
    </cfRule>
    <cfRule type="cellIs" dxfId="8385" priority="8316" stopIfTrue="1" operator="equal">
      <formula>"Fail"</formula>
    </cfRule>
  </conditionalFormatting>
  <conditionalFormatting sqref="I767:P767">
    <cfRule type="cellIs" dxfId="8384" priority="8313" stopIfTrue="1" operator="equal">
      <formula>"Pass"</formula>
    </cfRule>
    <cfRule type="cellIs" dxfId="8383" priority="8314" stopIfTrue="1" operator="equal">
      <formula>"Fail"</formula>
    </cfRule>
  </conditionalFormatting>
  <conditionalFormatting sqref="I767:P767">
    <cfRule type="cellIs" dxfId="8382" priority="8311" stopIfTrue="1" operator="equal">
      <formula>"Pass"</formula>
    </cfRule>
    <cfRule type="cellIs" dxfId="8381" priority="8312" stopIfTrue="1" operator="equal">
      <formula>"Fail"</formula>
    </cfRule>
  </conditionalFormatting>
  <conditionalFormatting sqref="I767:P767">
    <cfRule type="cellIs" dxfId="8380" priority="8309" stopIfTrue="1" operator="equal">
      <formula>"Pass"</formula>
    </cfRule>
    <cfRule type="cellIs" dxfId="8379" priority="8310" stopIfTrue="1" operator="equal">
      <formula>"Fail"</formula>
    </cfRule>
  </conditionalFormatting>
  <conditionalFormatting sqref="E767">
    <cfRule type="cellIs" dxfId="8378" priority="8307" stopIfTrue="1" operator="equal">
      <formula>"Pass"</formula>
    </cfRule>
    <cfRule type="cellIs" dxfId="8377" priority="8308" stopIfTrue="1" operator="equal">
      <formula>"Fail"</formula>
    </cfRule>
  </conditionalFormatting>
  <conditionalFormatting sqref="E767">
    <cfRule type="cellIs" dxfId="8376" priority="8305" stopIfTrue="1" operator="equal">
      <formula>"Pass"</formula>
    </cfRule>
    <cfRule type="cellIs" dxfId="8375" priority="8306" stopIfTrue="1" operator="equal">
      <formula>"Fail"</formula>
    </cfRule>
  </conditionalFormatting>
  <conditionalFormatting sqref="E767">
    <cfRule type="cellIs" dxfId="8374" priority="8303" stopIfTrue="1" operator="equal">
      <formula>"Pass"</formula>
    </cfRule>
    <cfRule type="cellIs" dxfId="8373" priority="8304" stopIfTrue="1" operator="equal">
      <formula>"Fail"</formula>
    </cfRule>
  </conditionalFormatting>
  <conditionalFormatting sqref="E767">
    <cfRule type="cellIs" dxfId="8372" priority="8301" stopIfTrue="1" operator="equal">
      <formula>"Pass"</formula>
    </cfRule>
    <cfRule type="cellIs" dxfId="8371" priority="8302" stopIfTrue="1" operator="equal">
      <formula>"Fail"</formula>
    </cfRule>
  </conditionalFormatting>
  <conditionalFormatting sqref="E767">
    <cfRule type="cellIs" dxfId="8370" priority="8299" stopIfTrue="1" operator="equal">
      <formula>"Pass"</formula>
    </cfRule>
    <cfRule type="cellIs" dxfId="8369" priority="8300" stopIfTrue="1" operator="equal">
      <formula>"Fail"</formula>
    </cfRule>
  </conditionalFormatting>
  <conditionalFormatting sqref="E767">
    <cfRule type="cellIs" dxfId="8368" priority="8297" stopIfTrue="1" operator="equal">
      <formula>"Pass"</formula>
    </cfRule>
    <cfRule type="cellIs" dxfId="8367" priority="8298" stopIfTrue="1" operator="equal">
      <formula>"Fail"</formula>
    </cfRule>
  </conditionalFormatting>
  <conditionalFormatting sqref="H767:P767">
    <cfRule type="cellIs" dxfId="8366" priority="8295" stopIfTrue="1" operator="equal">
      <formula>"Pass"</formula>
    </cfRule>
    <cfRule type="cellIs" dxfId="8365" priority="8296" stopIfTrue="1" operator="equal">
      <formula>"Fail"</formula>
    </cfRule>
  </conditionalFormatting>
  <conditionalFormatting sqref="H767:P767">
    <cfRule type="cellIs" dxfId="8364" priority="8293" stopIfTrue="1" operator="equal">
      <formula>"Pass"</formula>
    </cfRule>
    <cfRule type="cellIs" dxfId="8363" priority="8294" stopIfTrue="1" operator="equal">
      <formula>"Fail"</formula>
    </cfRule>
  </conditionalFormatting>
  <conditionalFormatting sqref="I767:P767">
    <cfRule type="cellIs" dxfId="8362" priority="8291" stopIfTrue="1" operator="equal">
      <formula>"Pass"</formula>
    </cfRule>
    <cfRule type="cellIs" dxfId="8361" priority="8292" stopIfTrue="1" operator="equal">
      <formula>"Fail"</formula>
    </cfRule>
  </conditionalFormatting>
  <conditionalFormatting sqref="I767:P767">
    <cfRule type="cellIs" dxfId="8360" priority="8289" stopIfTrue="1" operator="equal">
      <formula>"Pass"</formula>
    </cfRule>
    <cfRule type="cellIs" dxfId="8359" priority="8290" stopIfTrue="1" operator="equal">
      <formula>"Fail"</formula>
    </cfRule>
  </conditionalFormatting>
  <conditionalFormatting sqref="I767:P767">
    <cfRule type="cellIs" dxfId="8358" priority="8287" stopIfTrue="1" operator="equal">
      <formula>"Pass"</formula>
    </cfRule>
    <cfRule type="cellIs" dxfId="8357" priority="8288" stopIfTrue="1" operator="equal">
      <formula>"Fail"</formula>
    </cfRule>
  </conditionalFormatting>
  <conditionalFormatting sqref="I767:P767">
    <cfRule type="cellIs" dxfId="8356" priority="8285" stopIfTrue="1" operator="equal">
      <formula>"Pass"</formula>
    </cfRule>
    <cfRule type="cellIs" dxfId="8355" priority="8286" stopIfTrue="1" operator="equal">
      <formula>"Fail"</formula>
    </cfRule>
  </conditionalFormatting>
  <conditionalFormatting sqref="H767:P767">
    <cfRule type="cellIs" dxfId="8354" priority="8283" stopIfTrue="1" operator="equal">
      <formula>"Pass"</formula>
    </cfRule>
    <cfRule type="cellIs" dxfId="8353" priority="8284" stopIfTrue="1" operator="equal">
      <formula>"Fail"</formula>
    </cfRule>
  </conditionalFormatting>
  <conditionalFormatting sqref="H767:P767">
    <cfRule type="cellIs" dxfId="8352" priority="8281" stopIfTrue="1" operator="equal">
      <formula>"Pass"</formula>
    </cfRule>
    <cfRule type="cellIs" dxfId="8351" priority="8282" stopIfTrue="1" operator="equal">
      <formula>"Fail"</formula>
    </cfRule>
  </conditionalFormatting>
  <conditionalFormatting sqref="I767:P767">
    <cfRule type="cellIs" dxfId="8350" priority="8279" stopIfTrue="1" operator="equal">
      <formula>"Pass"</formula>
    </cfRule>
    <cfRule type="cellIs" dxfId="8349" priority="8280" stopIfTrue="1" operator="equal">
      <formula>"Fail"</formula>
    </cfRule>
  </conditionalFormatting>
  <conditionalFormatting sqref="I767:P767">
    <cfRule type="cellIs" dxfId="8348" priority="8277" stopIfTrue="1" operator="equal">
      <formula>"Pass"</formula>
    </cfRule>
    <cfRule type="cellIs" dxfId="8347" priority="8278" stopIfTrue="1" operator="equal">
      <formula>"Fail"</formula>
    </cfRule>
  </conditionalFormatting>
  <conditionalFormatting sqref="I767:P767">
    <cfRule type="cellIs" dxfId="8346" priority="8275" stopIfTrue="1" operator="equal">
      <formula>"Pass"</formula>
    </cfRule>
    <cfRule type="cellIs" dxfId="8345" priority="8276" stopIfTrue="1" operator="equal">
      <formula>"Fail"</formula>
    </cfRule>
  </conditionalFormatting>
  <conditionalFormatting sqref="I767:P767">
    <cfRule type="cellIs" dxfId="8344" priority="8273" stopIfTrue="1" operator="equal">
      <formula>"Pass"</formula>
    </cfRule>
    <cfRule type="cellIs" dxfId="8343" priority="8274" stopIfTrue="1" operator="equal">
      <formula>"Fail"</formula>
    </cfRule>
  </conditionalFormatting>
  <conditionalFormatting sqref="H767:P767">
    <cfRule type="cellIs" dxfId="8342" priority="8271" stopIfTrue="1" operator="equal">
      <formula>"Pass"</formula>
    </cfRule>
    <cfRule type="cellIs" dxfId="8341" priority="8272" stopIfTrue="1" operator="equal">
      <formula>"Fail"</formula>
    </cfRule>
  </conditionalFormatting>
  <conditionalFormatting sqref="H767:P767">
    <cfRule type="cellIs" dxfId="8340" priority="8269" stopIfTrue="1" operator="equal">
      <formula>"Pass"</formula>
    </cfRule>
    <cfRule type="cellIs" dxfId="8339" priority="8270" stopIfTrue="1" operator="equal">
      <formula>"Fail"</formula>
    </cfRule>
  </conditionalFormatting>
  <conditionalFormatting sqref="I767:P767">
    <cfRule type="cellIs" dxfId="8338" priority="8267" stopIfTrue="1" operator="equal">
      <formula>"Pass"</formula>
    </cfRule>
    <cfRule type="cellIs" dxfId="8337" priority="8268" stopIfTrue="1" operator="equal">
      <formula>"Fail"</formula>
    </cfRule>
  </conditionalFormatting>
  <conditionalFormatting sqref="I767:P767">
    <cfRule type="cellIs" dxfId="8336" priority="8265" stopIfTrue="1" operator="equal">
      <formula>"Pass"</formula>
    </cfRule>
    <cfRule type="cellIs" dxfId="8335" priority="8266" stopIfTrue="1" operator="equal">
      <formula>"Fail"</formula>
    </cfRule>
  </conditionalFormatting>
  <conditionalFormatting sqref="I767:P767">
    <cfRule type="cellIs" dxfId="8334" priority="8263" stopIfTrue="1" operator="equal">
      <formula>"Pass"</formula>
    </cfRule>
    <cfRule type="cellIs" dxfId="8333" priority="8264" stopIfTrue="1" operator="equal">
      <formula>"Fail"</formula>
    </cfRule>
  </conditionalFormatting>
  <conditionalFormatting sqref="I767:P767">
    <cfRule type="cellIs" dxfId="8332" priority="8261" stopIfTrue="1" operator="equal">
      <formula>"Pass"</formula>
    </cfRule>
    <cfRule type="cellIs" dxfId="8331" priority="8262" stopIfTrue="1" operator="equal">
      <formula>"Fail"</formula>
    </cfRule>
  </conditionalFormatting>
  <conditionalFormatting sqref="H767:P767">
    <cfRule type="cellIs" dxfId="8330" priority="8259" stopIfTrue="1" operator="equal">
      <formula>"Pass"</formula>
    </cfRule>
    <cfRule type="cellIs" dxfId="8329" priority="8260" stopIfTrue="1" operator="equal">
      <formula>"Fail"</formula>
    </cfRule>
  </conditionalFormatting>
  <conditionalFormatting sqref="H767:P767">
    <cfRule type="cellIs" dxfId="8328" priority="8257" stopIfTrue="1" operator="equal">
      <formula>"Pass"</formula>
    </cfRule>
    <cfRule type="cellIs" dxfId="8327" priority="8258" stopIfTrue="1" operator="equal">
      <formula>"Fail"</formula>
    </cfRule>
  </conditionalFormatting>
  <conditionalFormatting sqref="I767:P767">
    <cfRule type="cellIs" dxfId="8326" priority="8255" stopIfTrue="1" operator="equal">
      <formula>"Pass"</formula>
    </cfRule>
    <cfRule type="cellIs" dxfId="8325" priority="8256" stopIfTrue="1" operator="equal">
      <formula>"Fail"</formula>
    </cfRule>
  </conditionalFormatting>
  <conditionalFormatting sqref="I767:P767">
    <cfRule type="cellIs" dxfId="8324" priority="8253" stopIfTrue="1" operator="equal">
      <formula>"Pass"</formula>
    </cfRule>
    <cfRule type="cellIs" dxfId="8323" priority="8254" stopIfTrue="1" operator="equal">
      <formula>"Fail"</formula>
    </cfRule>
  </conditionalFormatting>
  <conditionalFormatting sqref="I767:P767">
    <cfRule type="cellIs" dxfId="8322" priority="8251" stopIfTrue="1" operator="equal">
      <formula>"Pass"</formula>
    </cfRule>
    <cfRule type="cellIs" dxfId="8321" priority="8252" stopIfTrue="1" operator="equal">
      <formula>"Fail"</formula>
    </cfRule>
  </conditionalFormatting>
  <conditionalFormatting sqref="I767:P767">
    <cfRule type="cellIs" dxfId="8320" priority="8249" stopIfTrue="1" operator="equal">
      <formula>"Pass"</formula>
    </cfRule>
    <cfRule type="cellIs" dxfId="8319" priority="8250" stopIfTrue="1" operator="equal">
      <formula>"Fail"</formula>
    </cfRule>
  </conditionalFormatting>
  <conditionalFormatting sqref="H767:P767">
    <cfRule type="cellIs" dxfId="8318" priority="8247" stopIfTrue="1" operator="equal">
      <formula>"Pass"</formula>
    </cfRule>
    <cfRule type="cellIs" dxfId="8317" priority="8248" stopIfTrue="1" operator="equal">
      <formula>"Fail"</formula>
    </cfRule>
  </conditionalFormatting>
  <conditionalFormatting sqref="H767:P767">
    <cfRule type="cellIs" dxfId="8316" priority="8245" stopIfTrue="1" operator="equal">
      <formula>"Pass"</formula>
    </cfRule>
    <cfRule type="cellIs" dxfId="8315" priority="8246" stopIfTrue="1" operator="equal">
      <formula>"Fail"</formula>
    </cfRule>
  </conditionalFormatting>
  <conditionalFormatting sqref="I767:P767">
    <cfRule type="cellIs" dxfId="8314" priority="8243" stopIfTrue="1" operator="equal">
      <formula>"Pass"</formula>
    </cfRule>
    <cfRule type="cellIs" dxfId="8313" priority="8244" stopIfTrue="1" operator="equal">
      <formula>"Fail"</formula>
    </cfRule>
  </conditionalFormatting>
  <conditionalFormatting sqref="I767:P767">
    <cfRule type="cellIs" dxfId="8312" priority="8241" stopIfTrue="1" operator="equal">
      <formula>"Pass"</formula>
    </cfRule>
    <cfRule type="cellIs" dxfId="8311" priority="8242" stopIfTrue="1" operator="equal">
      <formula>"Fail"</formula>
    </cfRule>
  </conditionalFormatting>
  <conditionalFormatting sqref="I767:P767">
    <cfRule type="cellIs" dxfId="8310" priority="8239" stopIfTrue="1" operator="equal">
      <formula>"Pass"</formula>
    </cfRule>
    <cfRule type="cellIs" dxfId="8309" priority="8240" stopIfTrue="1" operator="equal">
      <formula>"Fail"</formula>
    </cfRule>
  </conditionalFormatting>
  <conditionalFormatting sqref="I767:P767">
    <cfRule type="cellIs" dxfId="8308" priority="8237" stopIfTrue="1" operator="equal">
      <formula>"Pass"</formula>
    </cfRule>
    <cfRule type="cellIs" dxfId="8307" priority="8238" stopIfTrue="1" operator="equal">
      <formula>"Fail"</formula>
    </cfRule>
  </conditionalFormatting>
  <conditionalFormatting sqref="H767:P767">
    <cfRule type="cellIs" dxfId="8306" priority="8235" stopIfTrue="1" operator="equal">
      <formula>"Pass"</formula>
    </cfRule>
    <cfRule type="cellIs" dxfId="8305" priority="8236" stopIfTrue="1" operator="equal">
      <formula>"Fail"</formula>
    </cfRule>
  </conditionalFormatting>
  <conditionalFormatting sqref="H767:P767">
    <cfRule type="cellIs" dxfId="8304" priority="8233" stopIfTrue="1" operator="equal">
      <formula>"Pass"</formula>
    </cfRule>
    <cfRule type="cellIs" dxfId="8303" priority="8234" stopIfTrue="1" operator="equal">
      <formula>"Fail"</formula>
    </cfRule>
  </conditionalFormatting>
  <conditionalFormatting sqref="I767:P767">
    <cfRule type="cellIs" dxfId="8302" priority="8231" stopIfTrue="1" operator="equal">
      <formula>"Pass"</formula>
    </cfRule>
    <cfRule type="cellIs" dxfId="8301" priority="8232" stopIfTrue="1" operator="equal">
      <formula>"Fail"</formula>
    </cfRule>
  </conditionalFormatting>
  <conditionalFormatting sqref="I767:P767">
    <cfRule type="cellIs" dxfId="8300" priority="8229" stopIfTrue="1" operator="equal">
      <formula>"Pass"</formula>
    </cfRule>
    <cfRule type="cellIs" dxfId="8299" priority="8230" stopIfTrue="1" operator="equal">
      <formula>"Fail"</formula>
    </cfRule>
  </conditionalFormatting>
  <conditionalFormatting sqref="I767:P767">
    <cfRule type="cellIs" dxfId="8298" priority="8227" stopIfTrue="1" operator="equal">
      <formula>"Pass"</formula>
    </cfRule>
    <cfRule type="cellIs" dxfId="8297" priority="8228" stopIfTrue="1" operator="equal">
      <formula>"Fail"</formula>
    </cfRule>
  </conditionalFormatting>
  <conditionalFormatting sqref="I767:P767">
    <cfRule type="cellIs" dxfId="8296" priority="8225" stopIfTrue="1" operator="equal">
      <formula>"Pass"</formula>
    </cfRule>
    <cfRule type="cellIs" dxfId="8295" priority="8226" stopIfTrue="1" operator="equal">
      <formula>"Fail"</formula>
    </cfRule>
  </conditionalFormatting>
  <conditionalFormatting sqref="H767:P767">
    <cfRule type="cellIs" dxfId="8294" priority="8223" stopIfTrue="1" operator="equal">
      <formula>"Pass"</formula>
    </cfRule>
    <cfRule type="cellIs" dxfId="8293" priority="8224" stopIfTrue="1" operator="equal">
      <formula>"Fail"</formula>
    </cfRule>
  </conditionalFormatting>
  <conditionalFormatting sqref="H767:P767">
    <cfRule type="cellIs" dxfId="8292" priority="8221" stopIfTrue="1" operator="equal">
      <formula>"Pass"</formula>
    </cfRule>
    <cfRule type="cellIs" dxfId="8291" priority="8222" stopIfTrue="1" operator="equal">
      <formula>"Fail"</formula>
    </cfRule>
  </conditionalFormatting>
  <conditionalFormatting sqref="I767:P767">
    <cfRule type="cellIs" dxfId="8290" priority="8219" stopIfTrue="1" operator="equal">
      <formula>"Pass"</formula>
    </cfRule>
    <cfRule type="cellIs" dxfId="8289" priority="8220" stopIfTrue="1" operator="equal">
      <formula>"Fail"</formula>
    </cfRule>
  </conditionalFormatting>
  <conditionalFormatting sqref="I767:P767">
    <cfRule type="cellIs" dxfId="8288" priority="8217" stopIfTrue="1" operator="equal">
      <formula>"Pass"</formula>
    </cfRule>
    <cfRule type="cellIs" dxfId="8287" priority="8218" stopIfTrue="1" operator="equal">
      <formula>"Fail"</formula>
    </cfRule>
  </conditionalFormatting>
  <conditionalFormatting sqref="I767:P767">
    <cfRule type="cellIs" dxfId="8286" priority="8215" stopIfTrue="1" operator="equal">
      <formula>"Pass"</formula>
    </cfRule>
    <cfRule type="cellIs" dxfId="8285" priority="8216" stopIfTrue="1" operator="equal">
      <formula>"Fail"</formula>
    </cfRule>
  </conditionalFormatting>
  <conditionalFormatting sqref="I767:P767">
    <cfRule type="cellIs" dxfId="8284" priority="8213" stopIfTrue="1" operator="equal">
      <formula>"Pass"</formula>
    </cfRule>
    <cfRule type="cellIs" dxfId="8283" priority="8214" stopIfTrue="1" operator="equal">
      <formula>"Fail"</formula>
    </cfRule>
  </conditionalFormatting>
  <conditionalFormatting sqref="H767:P767">
    <cfRule type="cellIs" dxfId="8282" priority="8211" stopIfTrue="1" operator="equal">
      <formula>"Pass"</formula>
    </cfRule>
    <cfRule type="cellIs" dxfId="8281" priority="8212" stopIfTrue="1" operator="equal">
      <formula>"Fail"</formula>
    </cfRule>
  </conditionalFormatting>
  <conditionalFormatting sqref="H767:P767">
    <cfRule type="cellIs" dxfId="8280" priority="8209" stopIfTrue="1" operator="equal">
      <formula>"Pass"</formula>
    </cfRule>
    <cfRule type="cellIs" dxfId="8279" priority="8210" stopIfTrue="1" operator="equal">
      <formula>"Fail"</formula>
    </cfRule>
  </conditionalFormatting>
  <conditionalFormatting sqref="I767:P767">
    <cfRule type="cellIs" dxfId="8278" priority="8207" stopIfTrue="1" operator="equal">
      <formula>"Pass"</formula>
    </cfRule>
    <cfRule type="cellIs" dxfId="8277" priority="8208" stopIfTrue="1" operator="equal">
      <formula>"Fail"</formula>
    </cfRule>
  </conditionalFormatting>
  <conditionalFormatting sqref="I767:P767">
    <cfRule type="cellIs" dxfId="8276" priority="8205" stopIfTrue="1" operator="equal">
      <formula>"Pass"</formula>
    </cfRule>
    <cfRule type="cellIs" dxfId="8275" priority="8206" stopIfTrue="1" operator="equal">
      <formula>"Fail"</formula>
    </cfRule>
  </conditionalFormatting>
  <conditionalFormatting sqref="I767:P767">
    <cfRule type="cellIs" dxfId="8274" priority="8203" stopIfTrue="1" operator="equal">
      <formula>"Pass"</formula>
    </cfRule>
    <cfRule type="cellIs" dxfId="8273" priority="8204" stopIfTrue="1" operator="equal">
      <formula>"Fail"</formula>
    </cfRule>
  </conditionalFormatting>
  <conditionalFormatting sqref="I767:P767">
    <cfRule type="cellIs" dxfId="8272" priority="8201" stopIfTrue="1" operator="equal">
      <formula>"Pass"</formula>
    </cfRule>
    <cfRule type="cellIs" dxfId="8271" priority="8202" stopIfTrue="1" operator="equal">
      <formula>"Fail"</formula>
    </cfRule>
  </conditionalFormatting>
  <conditionalFormatting sqref="H767:O767">
    <cfRule type="cellIs" dxfId="8270" priority="8199" stopIfTrue="1" operator="equal">
      <formula>"Pass"</formula>
    </cfRule>
    <cfRule type="cellIs" dxfId="8269" priority="8200" stopIfTrue="1" operator="equal">
      <formula>"Fail"</formula>
    </cfRule>
  </conditionalFormatting>
  <conditionalFormatting sqref="H767:O767">
    <cfRule type="cellIs" dxfId="8268" priority="8197" stopIfTrue="1" operator="equal">
      <formula>"Pass"</formula>
    </cfRule>
    <cfRule type="cellIs" dxfId="8267" priority="8198" stopIfTrue="1" operator="equal">
      <formula>"Fail"</formula>
    </cfRule>
  </conditionalFormatting>
  <conditionalFormatting sqref="I767:P767">
    <cfRule type="cellIs" dxfId="8266" priority="8195" stopIfTrue="1" operator="equal">
      <formula>"Pass"</formula>
    </cfRule>
    <cfRule type="cellIs" dxfId="8265" priority="8196" stopIfTrue="1" operator="equal">
      <formula>"Fail"</formula>
    </cfRule>
  </conditionalFormatting>
  <conditionalFormatting sqref="I767:P767">
    <cfRule type="cellIs" dxfId="8264" priority="8193" stopIfTrue="1" operator="equal">
      <formula>"Pass"</formula>
    </cfRule>
    <cfRule type="cellIs" dxfId="8263" priority="8194" stopIfTrue="1" operator="equal">
      <formula>"Fail"</formula>
    </cfRule>
  </conditionalFormatting>
  <conditionalFormatting sqref="I767:P767">
    <cfRule type="cellIs" dxfId="8262" priority="8191" stopIfTrue="1" operator="equal">
      <formula>"Pass"</formula>
    </cfRule>
    <cfRule type="cellIs" dxfId="8261" priority="8192" stopIfTrue="1" operator="equal">
      <formula>"Fail"</formula>
    </cfRule>
  </conditionalFormatting>
  <conditionalFormatting sqref="I767:P767">
    <cfRule type="cellIs" dxfId="8260" priority="8189" stopIfTrue="1" operator="equal">
      <formula>"Pass"</formula>
    </cfRule>
    <cfRule type="cellIs" dxfId="8259" priority="8190" stopIfTrue="1" operator="equal">
      <formula>"Fail"</formula>
    </cfRule>
  </conditionalFormatting>
  <conditionalFormatting sqref="H767:O767">
    <cfRule type="cellIs" dxfId="8258" priority="8187" stopIfTrue="1" operator="equal">
      <formula>"Pass"</formula>
    </cfRule>
    <cfRule type="cellIs" dxfId="8257" priority="8188" stopIfTrue="1" operator="equal">
      <formula>"Fail"</formula>
    </cfRule>
  </conditionalFormatting>
  <conditionalFormatting sqref="H767:O767">
    <cfRule type="cellIs" dxfId="8256" priority="8185" stopIfTrue="1" operator="equal">
      <formula>"Pass"</formula>
    </cfRule>
    <cfRule type="cellIs" dxfId="8255" priority="8186" stopIfTrue="1" operator="equal">
      <formula>"Fail"</formula>
    </cfRule>
  </conditionalFormatting>
  <conditionalFormatting sqref="I767:P767">
    <cfRule type="cellIs" dxfId="8254" priority="8183" stopIfTrue="1" operator="equal">
      <formula>"Pass"</formula>
    </cfRule>
    <cfRule type="cellIs" dxfId="8253" priority="8184" stopIfTrue="1" operator="equal">
      <formula>"Fail"</formula>
    </cfRule>
  </conditionalFormatting>
  <conditionalFormatting sqref="I767:P767">
    <cfRule type="cellIs" dxfId="8252" priority="8181" stopIfTrue="1" operator="equal">
      <formula>"Pass"</formula>
    </cfRule>
    <cfRule type="cellIs" dxfId="8251" priority="8182" stopIfTrue="1" operator="equal">
      <formula>"Fail"</formula>
    </cfRule>
  </conditionalFormatting>
  <conditionalFormatting sqref="I767:P767">
    <cfRule type="cellIs" dxfId="8250" priority="8179" stopIfTrue="1" operator="equal">
      <formula>"Pass"</formula>
    </cfRule>
    <cfRule type="cellIs" dxfId="8249" priority="8180" stopIfTrue="1" operator="equal">
      <formula>"Fail"</formula>
    </cfRule>
  </conditionalFormatting>
  <conditionalFormatting sqref="I767:P767">
    <cfRule type="cellIs" dxfId="8248" priority="8177" stopIfTrue="1" operator="equal">
      <formula>"Pass"</formula>
    </cfRule>
    <cfRule type="cellIs" dxfId="8247" priority="8178" stopIfTrue="1" operator="equal">
      <formula>"Fail"</formula>
    </cfRule>
  </conditionalFormatting>
  <conditionalFormatting sqref="H767:P767">
    <cfRule type="cellIs" dxfId="8246" priority="8175" stopIfTrue="1" operator="equal">
      <formula>"Pass"</formula>
    </cfRule>
    <cfRule type="cellIs" dxfId="8245" priority="8176" stopIfTrue="1" operator="equal">
      <formula>"Fail"</formula>
    </cfRule>
  </conditionalFormatting>
  <conditionalFormatting sqref="H767:P767">
    <cfRule type="cellIs" dxfId="8244" priority="8173" stopIfTrue="1" operator="equal">
      <formula>"Pass"</formula>
    </cfRule>
    <cfRule type="cellIs" dxfId="8243" priority="8174" stopIfTrue="1" operator="equal">
      <formula>"Fail"</formula>
    </cfRule>
  </conditionalFormatting>
  <conditionalFormatting sqref="I767:P767">
    <cfRule type="cellIs" dxfId="8242" priority="8171" stopIfTrue="1" operator="equal">
      <formula>"Pass"</formula>
    </cfRule>
    <cfRule type="cellIs" dxfId="8241" priority="8172" stopIfTrue="1" operator="equal">
      <formula>"Fail"</formula>
    </cfRule>
  </conditionalFormatting>
  <conditionalFormatting sqref="I767:P767">
    <cfRule type="cellIs" dxfId="8240" priority="8169" stopIfTrue="1" operator="equal">
      <formula>"Pass"</formula>
    </cfRule>
    <cfRule type="cellIs" dxfId="8239" priority="8170" stopIfTrue="1" operator="equal">
      <formula>"Fail"</formula>
    </cfRule>
  </conditionalFormatting>
  <conditionalFormatting sqref="I767:P767">
    <cfRule type="cellIs" dxfId="8238" priority="8167" stopIfTrue="1" operator="equal">
      <formula>"Pass"</formula>
    </cfRule>
    <cfRule type="cellIs" dxfId="8237" priority="8168" stopIfTrue="1" operator="equal">
      <formula>"Fail"</formula>
    </cfRule>
  </conditionalFormatting>
  <conditionalFormatting sqref="I767:P767">
    <cfRule type="cellIs" dxfId="8236" priority="8165" stopIfTrue="1" operator="equal">
      <formula>"Pass"</formula>
    </cfRule>
    <cfRule type="cellIs" dxfId="8235" priority="8166" stopIfTrue="1" operator="equal">
      <formula>"Fail"</formula>
    </cfRule>
  </conditionalFormatting>
  <conditionalFormatting sqref="H767:P767">
    <cfRule type="cellIs" dxfId="8234" priority="8163" stopIfTrue="1" operator="equal">
      <formula>"Pass"</formula>
    </cfRule>
    <cfRule type="cellIs" dxfId="8233" priority="8164" stopIfTrue="1" operator="equal">
      <formula>"Fail"</formula>
    </cfRule>
  </conditionalFormatting>
  <conditionalFormatting sqref="H767:P767">
    <cfRule type="cellIs" dxfId="8232" priority="8161" stopIfTrue="1" operator="equal">
      <formula>"Pass"</formula>
    </cfRule>
    <cfRule type="cellIs" dxfId="8231" priority="8162" stopIfTrue="1" operator="equal">
      <formula>"Fail"</formula>
    </cfRule>
  </conditionalFormatting>
  <conditionalFormatting sqref="I767:P767">
    <cfRule type="cellIs" dxfId="8230" priority="8159" stopIfTrue="1" operator="equal">
      <formula>"Pass"</formula>
    </cfRule>
    <cfRule type="cellIs" dxfId="8229" priority="8160" stopIfTrue="1" operator="equal">
      <formula>"Fail"</formula>
    </cfRule>
  </conditionalFormatting>
  <conditionalFormatting sqref="I767:P767">
    <cfRule type="cellIs" dxfId="8228" priority="8157" stopIfTrue="1" operator="equal">
      <formula>"Pass"</formula>
    </cfRule>
    <cfRule type="cellIs" dxfId="8227" priority="8158" stopIfTrue="1" operator="equal">
      <formula>"Fail"</formula>
    </cfRule>
  </conditionalFormatting>
  <conditionalFormatting sqref="I767:P767">
    <cfRule type="cellIs" dxfId="8226" priority="8155" stopIfTrue="1" operator="equal">
      <formula>"Pass"</formula>
    </cfRule>
    <cfRule type="cellIs" dxfId="8225" priority="8156" stopIfTrue="1" operator="equal">
      <formula>"Fail"</formula>
    </cfRule>
  </conditionalFormatting>
  <conditionalFormatting sqref="I767:P767">
    <cfRule type="cellIs" dxfId="8224" priority="8153" stopIfTrue="1" operator="equal">
      <formula>"Pass"</formula>
    </cfRule>
    <cfRule type="cellIs" dxfId="8223" priority="8154" stopIfTrue="1" operator="equal">
      <formula>"Fail"</formula>
    </cfRule>
  </conditionalFormatting>
  <conditionalFormatting sqref="H767:P767">
    <cfRule type="cellIs" dxfId="8222" priority="8151" stopIfTrue="1" operator="equal">
      <formula>"Pass"</formula>
    </cfRule>
    <cfRule type="cellIs" dxfId="8221" priority="8152" stopIfTrue="1" operator="equal">
      <formula>"Fail"</formula>
    </cfRule>
  </conditionalFormatting>
  <conditionalFormatting sqref="H767:P767">
    <cfRule type="cellIs" dxfId="8220" priority="8149" stopIfTrue="1" operator="equal">
      <formula>"Pass"</formula>
    </cfRule>
    <cfRule type="cellIs" dxfId="8219" priority="8150" stopIfTrue="1" operator="equal">
      <formula>"Fail"</formula>
    </cfRule>
  </conditionalFormatting>
  <conditionalFormatting sqref="I767:P767">
    <cfRule type="cellIs" dxfId="8218" priority="8147" stopIfTrue="1" operator="equal">
      <formula>"Pass"</formula>
    </cfRule>
    <cfRule type="cellIs" dxfId="8217" priority="8148" stopIfTrue="1" operator="equal">
      <formula>"Fail"</formula>
    </cfRule>
  </conditionalFormatting>
  <conditionalFormatting sqref="I767:P767">
    <cfRule type="cellIs" dxfId="8216" priority="8145" stopIfTrue="1" operator="equal">
      <formula>"Pass"</formula>
    </cfRule>
    <cfRule type="cellIs" dxfId="8215" priority="8146" stopIfTrue="1" operator="equal">
      <formula>"Fail"</formula>
    </cfRule>
  </conditionalFormatting>
  <conditionalFormatting sqref="I767:P767">
    <cfRule type="cellIs" dxfId="8214" priority="8143" stopIfTrue="1" operator="equal">
      <formula>"Pass"</formula>
    </cfRule>
    <cfRule type="cellIs" dxfId="8213" priority="8144" stopIfTrue="1" operator="equal">
      <formula>"Fail"</formula>
    </cfRule>
  </conditionalFormatting>
  <conditionalFormatting sqref="I767:P767">
    <cfRule type="cellIs" dxfId="8212" priority="8141" stopIfTrue="1" operator="equal">
      <formula>"Pass"</formula>
    </cfRule>
    <cfRule type="cellIs" dxfId="8211" priority="8142" stopIfTrue="1" operator="equal">
      <formula>"Fail"</formula>
    </cfRule>
  </conditionalFormatting>
  <conditionalFormatting sqref="H767:P767">
    <cfRule type="cellIs" dxfId="8210" priority="8139" stopIfTrue="1" operator="equal">
      <formula>"Pass"</formula>
    </cfRule>
    <cfRule type="cellIs" dxfId="8209" priority="8140" stopIfTrue="1" operator="equal">
      <formula>"Fail"</formula>
    </cfRule>
  </conditionalFormatting>
  <conditionalFormatting sqref="H767:P767">
    <cfRule type="cellIs" dxfId="8208" priority="8137" stopIfTrue="1" operator="equal">
      <formula>"Pass"</formula>
    </cfRule>
    <cfRule type="cellIs" dxfId="8207" priority="8138" stopIfTrue="1" operator="equal">
      <formula>"Fail"</formula>
    </cfRule>
  </conditionalFormatting>
  <conditionalFormatting sqref="I767:P767">
    <cfRule type="cellIs" dxfId="8206" priority="8135" stopIfTrue="1" operator="equal">
      <formula>"Pass"</formula>
    </cfRule>
    <cfRule type="cellIs" dxfId="8205" priority="8136" stopIfTrue="1" operator="equal">
      <formula>"Fail"</formula>
    </cfRule>
  </conditionalFormatting>
  <conditionalFormatting sqref="I767:P767">
    <cfRule type="cellIs" dxfId="8204" priority="8133" stopIfTrue="1" operator="equal">
      <formula>"Pass"</formula>
    </cfRule>
    <cfRule type="cellIs" dxfId="8203" priority="8134" stopIfTrue="1" operator="equal">
      <formula>"Fail"</formula>
    </cfRule>
  </conditionalFormatting>
  <conditionalFormatting sqref="I767:P767">
    <cfRule type="cellIs" dxfId="8202" priority="8131" stopIfTrue="1" operator="equal">
      <formula>"Pass"</formula>
    </cfRule>
    <cfRule type="cellIs" dxfId="8201" priority="8132" stopIfTrue="1" operator="equal">
      <formula>"Fail"</formula>
    </cfRule>
  </conditionalFormatting>
  <conditionalFormatting sqref="I767:P767">
    <cfRule type="cellIs" dxfId="8200" priority="8129" stopIfTrue="1" operator="equal">
      <formula>"Pass"</formula>
    </cfRule>
    <cfRule type="cellIs" dxfId="8199" priority="8130" stopIfTrue="1" operator="equal">
      <formula>"Fail"</formula>
    </cfRule>
  </conditionalFormatting>
  <conditionalFormatting sqref="E767 H767:P767">
    <cfRule type="cellIs" dxfId="8198" priority="8127" stopIfTrue="1" operator="equal">
      <formula>"Pass"</formula>
    </cfRule>
    <cfRule type="cellIs" dxfId="8197" priority="8128" stopIfTrue="1" operator="equal">
      <formula>"Fail"</formula>
    </cfRule>
  </conditionalFormatting>
  <conditionalFormatting sqref="H767:O767">
    <cfRule type="cellIs" dxfId="8196" priority="8125" stopIfTrue="1" operator="equal">
      <formula>"Pass"</formula>
    </cfRule>
    <cfRule type="cellIs" dxfId="8195" priority="8126" stopIfTrue="1" operator="equal">
      <formula>"Fail"</formula>
    </cfRule>
  </conditionalFormatting>
  <conditionalFormatting sqref="H767:O767">
    <cfRule type="cellIs" dxfId="8194" priority="8123" stopIfTrue="1" operator="equal">
      <formula>"Pass"</formula>
    </cfRule>
    <cfRule type="cellIs" dxfId="8193" priority="8124" stopIfTrue="1" operator="equal">
      <formula>"Fail"</formula>
    </cfRule>
  </conditionalFormatting>
  <conditionalFormatting sqref="I767:P767">
    <cfRule type="cellIs" dxfId="8192" priority="8121" stopIfTrue="1" operator="equal">
      <formula>"Pass"</formula>
    </cfRule>
    <cfRule type="cellIs" dxfId="8191" priority="8122" stopIfTrue="1" operator="equal">
      <formula>"Fail"</formula>
    </cfRule>
  </conditionalFormatting>
  <conditionalFormatting sqref="I767:P767">
    <cfRule type="cellIs" dxfId="8190" priority="8119" stopIfTrue="1" operator="equal">
      <formula>"Pass"</formula>
    </cfRule>
    <cfRule type="cellIs" dxfId="8189" priority="8120" stopIfTrue="1" operator="equal">
      <formula>"Fail"</formula>
    </cfRule>
  </conditionalFormatting>
  <conditionalFormatting sqref="I767:P767">
    <cfRule type="cellIs" dxfId="8188" priority="8117" stopIfTrue="1" operator="equal">
      <formula>"Pass"</formula>
    </cfRule>
    <cfRule type="cellIs" dxfId="8187" priority="8118" stopIfTrue="1" operator="equal">
      <formula>"Fail"</formula>
    </cfRule>
  </conditionalFormatting>
  <conditionalFormatting sqref="I767:P767">
    <cfRule type="cellIs" dxfId="8186" priority="8115" stopIfTrue="1" operator="equal">
      <formula>"Pass"</formula>
    </cfRule>
    <cfRule type="cellIs" dxfId="8185" priority="8116" stopIfTrue="1" operator="equal">
      <formula>"Fail"</formula>
    </cfRule>
  </conditionalFormatting>
  <conditionalFormatting sqref="H767:O767">
    <cfRule type="cellIs" dxfId="8184" priority="8113" stopIfTrue="1" operator="equal">
      <formula>"Pass"</formula>
    </cfRule>
    <cfRule type="cellIs" dxfId="8183" priority="8114" stopIfTrue="1" operator="equal">
      <formula>"Fail"</formula>
    </cfRule>
  </conditionalFormatting>
  <conditionalFormatting sqref="H767:O767">
    <cfRule type="cellIs" dxfId="8182" priority="8111" stopIfTrue="1" operator="equal">
      <formula>"Pass"</formula>
    </cfRule>
    <cfRule type="cellIs" dxfId="8181" priority="8112" stopIfTrue="1" operator="equal">
      <formula>"Fail"</formula>
    </cfRule>
  </conditionalFormatting>
  <conditionalFormatting sqref="I767:P767">
    <cfRule type="cellIs" dxfId="8180" priority="8109" stopIfTrue="1" operator="equal">
      <formula>"Pass"</formula>
    </cfRule>
    <cfRule type="cellIs" dxfId="8179" priority="8110" stopIfTrue="1" operator="equal">
      <formula>"Fail"</formula>
    </cfRule>
  </conditionalFormatting>
  <conditionalFormatting sqref="I767:P767">
    <cfRule type="cellIs" dxfId="8178" priority="8107" stopIfTrue="1" operator="equal">
      <formula>"Pass"</formula>
    </cfRule>
    <cfRule type="cellIs" dxfId="8177" priority="8108" stopIfTrue="1" operator="equal">
      <formula>"Fail"</formula>
    </cfRule>
  </conditionalFormatting>
  <conditionalFormatting sqref="I767:P767">
    <cfRule type="cellIs" dxfId="8176" priority="8105" stopIfTrue="1" operator="equal">
      <formula>"Pass"</formula>
    </cfRule>
    <cfRule type="cellIs" dxfId="8175" priority="8106" stopIfTrue="1" operator="equal">
      <formula>"Fail"</formula>
    </cfRule>
  </conditionalFormatting>
  <conditionalFormatting sqref="I767:P767">
    <cfRule type="cellIs" dxfId="8174" priority="8103" stopIfTrue="1" operator="equal">
      <formula>"Pass"</formula>
    </cfRule>
    <cfRule type="cellIs" dxfId="8173" priority="8104" stopIfTrue="1" operator="equal">
      <formula>"Fail"</formula>
    </cfRule>
  </conditionalFormatting>
  <conditionalFormatting sqref="H767:O767">
    <cfRule type="cellIs" dxfId="8172" priority="8101" stopIfTrue="1" operator="equal">
      <formula>"Pass"</formula>
    </cfRule>
    <cfRule type="cellIs" dxfId="8171" priority="8102" stopIfTrue="1" operator="equal">
      <formula>"Fail"</formula>
    </cfRule>
  </conditionalFormatting>
  <conditionalFormatting sqref="H767:O767">
    <cfRule type="cellIs" dxfId="8170" priority="8099" stopIfTrue="1" operator="equal">
      <formula>"Pass"</formula>
    </cfRule>
    <cfRule type="cellIs" dxfId="8169" priority="8100" stopIfTrue="1" operator="equal">
      <formula>"Fail"</formula>
    </cfRule>
  </conditionalFormatting>
  <conditionalFormatting sqref="I767:P767">
    <cfRule type="cellIs" dxfId="8168" priority="8097" stopIfTrue="1" operator="equal">
      <formula>"Pass"</formula>
    </cfRule>
    <cfRule type="cellIs" dxfId="8167" priority="8098" stopIfTrue="1" operator="equal">
      <formula>"Fail"</formula>
    </cfRule>
  </conditionalFormatting>
  <conditionalFormatting sqref="I767:P767">
    <cfRule type="cellIs" dxfId="8166" priority="8095" stopIfTrue="1" operator="equal">
      <formula>"Pass"</formula>
    </cfRule>
    <cfRule type="cellIs" dxfId="8165" priority="8096" stopIfTrue="1" operator="equal">
      <formula>"Fail"</formula>
    </cfRule>
  </conditionalFormatting>
  <conditionalFormatting sqref="I767:P767">
    <cfRule type="cellIs" dxfId="8164" priority="8093" stopIfTrue="1" operator="equal">
      <formula>"Pass"</formula>
    </cfRule>
    <cfRule type="cellIs" dxfId="8163" priority="8094" stopIfTrue="1" operator="equal">
      <formula>"Fail"</formula>
    </cfRule>
  </conditionalFormatting>
  <conditionalFormatting sqref="I767:P767">
    <cfRule type="cellIs" dxfId="8162" priority="8091" stopIfTrue="1" operator="equal">
      <formula>"Pass"</formula>
    </cfRule>
    <cfRule type="cellIs" dxfId="8161" priority="8092" stopIfTrue="1" operator="equal">
      <formula>"Fail"</formula>
    </cfRule>
  </conditionalFormatting>
  <conditionalFormatting sqref="H767:O767">
    <cfRule type="cellIs" dxfId="8160" priority="8089" stopIfTrue="1" operator="equal">
      <formula>"Pass"</formula>
    </cfRule>
    <cfRule type="cellIs" dxfId="8159" priority="8090" stopIfTrue="1" operator="equal">
      <formula>"Fail"</formula>
    </cfRule>
  </conditionalFormatting>
  <conditionalFormatting sqref="H767:O767">
    <cfRule type="cellIs" dxfId="8158" priority="8087" stopIfTrue="1" operator="equal">
      <formula>"Pass"</formula>
    </cfRule>
    <cfRule type="cellIs" dxfId="8157" priority="8088" stopIfTrue="1" operator="equal">
      <formula>"Fail"</formula>
    </cfRule>
  </conditionalFormatting>
  <conditionalFormatting sqref="I767:P767">
    <cfRule type="cellIs" dxfId="8156" priority="8085" stopIfTrue="1" operator="equal">
      <formula>"Pass"</formula>
    </cfRule>
    <cfRule type="cellIs" dxfId="8155" priority="8086" stopIfTrue="1" operator="equal">
      <formula>"Fail"</formula>
    </cfRule>
  </conditionalFormatting>
  <conditionalFormatting sqref="I767:P767">
    <cfRule type="cellIs" dxfId="8154" priority="8083" stopIfTrue="1" operator="equal">
      <formula>"Pass"</formula>
    </cfRule>
    <cfRule type="cellIs" dxfId="8153" priority="8084" stopIfTrue="1" operator="equal">
      <formula>"Fail"</formula>
    </cfRule>
  </conditionalFormatting>
  <conditionalFormatting sqref="I767:P767">
    <cfRule type="cellIs" dxfId="8152" priority="8081" stopIfTrue="1" operator="equal">
      <formula>"Pass"</formula>
    </cfRule>
    <cfRule type="cellIs" dxfId="8151" priority="8082" stopIfTrue="1" operator="equal">
      <formula>"Fail"</formula>
    </cfRule>
  </conditionalFormatting>
  <conditionalFormatting sqref="I767:P767">
    <cfRule type="cellIs" dxfId="8150" priority="8079" stopIfTrue="1" operator="equal">
      <formula>"Pass"</formula>
    </cfRule>
    <cfRule type="cellIs" dxfId="8149" priority="8080" stopIfTrue="1" operator="equal">
      <formula>"Fail"</formula>
    </cfRule>
  </conditionalFormatting>
  <conditionalFormatting sqref="H767:O767">
    <cfRule type="cellIs" dxfId="8148" priority="8077" stopIfTrue="1" operator="equal">
      <formula>"Pass"</formula>
    </cfRule>
    <cfRule type="cellIs" dxfId="8147" priority="8078" stopIfTrue="1" operator="equal">
      <formula>"Fail"</formula>
    </cfRule>
  </conditionalFormatting>
  <conditionalFormatting sqref="H767:O767">
    <cfRule type="cellIs" dxfId="8146" priority="8075" stopIfTrue="1" operator="equal">
      <formula>"Pass"</formula>
    </cfRule>
    <cfRule type="cellIs" dxfId="8145" priority="8076" stopIfTrue="1" operator="equal">
      <formula>"Fail"</formula>
    </cfRule>
  </conditionalFormatting>
  <conditionalFormatting sqref="I767:P767">
    <cfRule type="cellIs" dxfId="8144" priority="8073" stopIfTrue="1" operator="equal">
      <formula>"Pass"</formula>
    </cfRule>
    <cfRule type="cellIs" dxfId="8143" priority="8074" stopIfTrue="1" operator="equal">
      <formula>"Fail"</formula>
    </cfRule>
  </conditionalFormatting>
  <conditionalFormatting sqref="I767:P767">
    <cfRule type="cellIs" dxfId="8142" priority="8071" stopIfTrue="1" operator="equal">
      <formula>"Pass"</formula>
    </cfRule>
    <cfRule type="cellIs" dxfId="8141" priority="8072" stopIfTrue="1" operator="equal">
      <formula>"Fail"</formula>
    </cfRule>
  </conditionalFormatting>
  <conditionalFormatting sqref="I767:P767">
    <cfRule type="cellIs" dxfId="8140" priority="8069" stopIfTrue="1" operator="equal">
      <formula>"Pass"</formula>
    </cfRule>
    <cfRule type="cellIs" dxfId="8139" priority="8070" stopIfTrue="1" operator="equal">
      <formula>"Fail"</formula>
    </cfRule>
  </conditionalFormatting>
  <conditionalFormatting sqref="I767:P767">
    <cfRule type="cellIs" dxfId="8138" priority="8067" stopIfTrue="1" operator="equal">
      <formula>"Pass"</formula>
    </cfRule>
    <cfRule type="cellIs" dxfId="8137" priority="8068" stopIfTrue="1" operator="equal">
      <formula>"Fail"</formula>
    </cfRule>
  </conditionalFormatting>
  <conditionalFormatting sqref="H767:O767">
    <cfRule type="cellIs" dxfId="8136" priority="8065" stopIfTrue="1" operator="equal">
      <formula>"Pass"</formula>
    </cfRule>
    <cfRule type="cellIs" dxfId="8135" priority="8066" stopIfTrue="1" operator="equal">
      <formula>"Fail"</formula>
    </cfRule>
  </conditionalFormatting>
  <conditionalFormatting sqref="H767:O767">
    <cfRule type="cellIs" dxfId="8134" priority="8063" stopIfTrue="1" operator="equal">
      <formula>"Pass"</formula>
    </cfRule>
    <cfRule type="cellIs" dxfId="8133" priority="8064" stopIfTrue="1" operator="equal">
      <formula>"Fail"</formula>
    </cfRule>
  </conditionalFormatting>
  <conditionalFormatting sqref="I767:P767">
    <cfRule type="cellIs" dxfId="8132" priority="8061" stopIfTrue="1" operator="equal">
      <formula>"Pass"</formula>
    </cfRule>
    <cfRule type="cellIs" dxfId="8131" priority="8062" stopIfTrue="1" operator="equal">
      <formula>"Fail"</formula>
    </cfRule>
  </conditionalFormatting>
  <conditionalFormatting sqref="I767:P767">
    <cfRule type="cellIs" dxfId="8130" priority="8059" stopIfTrue="1" operator="equal">
      <formula>"Pass"</formula>
    </cfRule>
    <cfRule type="cellIs" dxfId="8129" priority="8060" stopIfTrue="1" operator="equal">
      <formula>"Fail"</formula>
    </cfRule>
  </conditionalFormatting>
  <conditionalFormatting sqref="I767:P767">
    <cfRule type="cellIs" dxfId="8128" priority="8057" stopIfTrue="1" operator="equal">
      <formula>"Pass"</formula>
    </cfRule>
    <cfRule type="cellIs" dxfId="8127" priority="8058" stopIfTrue="1" operator="equal">
      <formula>"Fail"</formula>
    </cfRule>
  </conditionalFormatting>
  <conditionalFormatting sqref="I767:P767">
    <cfRule type="cellIs" dxfId="8126" priority="8055" stopIfTrue="1" operator="equal">
      <formula>"Pass"</formula>
    </cfRule>
    <cfRule type="cellIs" dxfId="8125" priority="8056" stopIfTrue="1" operator="equal">
      <formula>"Fail"</formula>
    </cfRule>
  </conditionalFormatting>
  <conditionalFormatting sqref="H767:O767">
    <cfRule type="cellIs" dxfId="8124" priority="8053" stopIfTrue="1" operator="equal">
      <formula>"Pass"</formula>
    </cfRule>
    <cfRule type="cellIs" dxfId="8123" priority="8054" stopIfTrue="1" operator="equal">
      <formula>"Fail"</formula>
    </cfRule>
  </conditionalFormatting>
  <conditionalFormatting sqref="H767:O767">
    <cfRule type="cellIs" dxfId="8122" priority="8051" stopIfTrue="1" operator="equal">
      <formula>"Pass"</formula>
    </cfRule>
    <cfRule type="cellIs" dxfId="8121" priority="8052" stopIfTrue="1" operator="equal">
      <formula>"Fail"</formula>
    </cfRule>
  </conditionalFormatting>
  <conditionalFormatting sqref="I767:P767">
    <cfRule type="cellIs" dxfId="8120" priority="8049" stopIfTrue="1" operator="equal">
      <formula>"Pass"</formula>
    </cfRule>
    <cfRule type="cellIs" dxfId="8119" priority="8050" stopIfTrue="1" operator="equal">
      <formula>"Fail"</formula>
    </cfRule>
  </conditionalFormatting>
  <conditionalFormatting sqref="I767:P767">
    <cfRule type="cellIs" dxfId="8118" priority="8047" stopIfTrue="1" operator="equal">
      <formula>"Pass"</formula>
    </cfRule>
    <cfRule type="cellIs" dxfId="8117" priority="8048" stopIfTrue="1" operator="equal">
      <formula>"Fail"</formula>
    </cfRule>
  </conditionalFormatting>
  <conditionalFormatting sqref="I767:P767">
    <cfRule type="cellIs" dxfId="8116" priority="8045" stopIfTrue="1" operator="equal">
      <formula>"Pass"</formula>
    </cfRule>
    <cfRule type="cellIs" dxfId="8115" priority="8046" stopIfTrue="1" operator="equal">
      <formula>"Fail"</formula>
    </cfRule>
  </conditionalFormatting>
  <conditionalFormatting sqref="I767:P767">
    <cfRule type="cellIs" dxfId="8114" priority="8043" stopIfTrue="1" operator="equal">
      <formula>"Pass"</formula>
    </cfRule>
    <cfRule type="cellIs" dxfId="8113" priority="8044" stopIfTrue="1" operator="equal">
      <formula>"Fail"</formula>
    </cfRule>
  </conditionalFormatting>
  <conditionalFormatting sqref="H767:O767">
    <cfRule type="cellIs" dxfId="8112" priority="8041" stopIfTrue="1" operator="equal">
      <formula>"Pass"</formula>
    </cfRule>
    <cfRule type="cellIs" dxfId="8111" priority="8042" stopIfTrue="1" operator="equal">
      <formula>"Fail"</formula>
    </cfRule>
  </conditionalFormatting>
  <conditionalFormatting sqref="H767:O767">
    <cfRule type="cellIs" dxfId="8110" priority="8039" stopIfTrue="1" operator="equal">
      <formula>"Pass"</formula>
    </cfRule>
    <cfRule type="cellIs" dxfId="8109" priority="8040" stopIfTrue="1" operator="equal">
      <formula>"Fail"</formula>
    </cfRule>
  </conditionalFormatting>
  <conditionalFormatting sqref="I767:P767">
    <cfRule type="cellIs" dxfId="8108" priority="8037" stopIfTrue="1" operator="equal">
      <formula>"Pass"</formula>
    </cfRule>
    <cfRule type="cellIs" dxfId="8107" priority="8038" stopIfTrue="1" operator="equal">
      <formula>"Fail"</formula>
    </cfRule>
  </conditionalFormatting>
  <conditionalFormatting sqref="I767:P767">
    <cfRule type="cellIs" dxfId="8106" priority="8035" stopIfTrue="1" operator="equal">
      <formula>"Pass"</formula>
    </cfRule>
    <cfRule type="cellIs" dxfId="8105" priority="8036" stopIfTrue="1" operator="equal">
      <formula>"Fail"</formula>
    </cfRule>
  </conditionalFormatting>
  <conditionalFormatting sqref="I767:P767">
    <cfRule type="cellIs" dxfId="8104" priority="8033" stopIfTrue="1" operator="equal">
      <formula>"Pass"</formula>
    </cfRule>
    <cfRule type="cellIs" dxfId="8103" priority="8034" stopIfTrue="1" operator="equal">
      <formula>"Fail"</formula>
    </cfRule>
  </conditionalFormatting>
  <conditionalFormatting sqref="I767:P767">
    <cfRule type="cellIs" dxfId="8102" priority="8031" stopIfTrue="1" operator="equal">
      <formula>"Pass"</formula>
    </cfRule>
    <cfRule type="cellIs" dxfId="8101" priority="8032" stopIfTrue="1" operator="equal">
      <formula>"Fail"</formula>
    </cfRule>
  </conditionalFormatting>
  <conditionalFormatting sqref="H767:O767">
    <cfRule type="cellIs" dxfId="8100" priority="8029" stopIfTrue="1" operator="equal">
      <formula>"Pass"</formula>
    </cfRule>
    <cfRule type="cellIs" dxfId="8099" priority="8030" stopIfTrue="1" operator="equal">
      <formula>"Fail"</formula>
    </cfRule>
  </conditionalFormatting>
  <conditionalFormatting sqref="H767:O767">
    <cfRule type="cellIs" dxfId="8098" priority="8027" stopIfTrue="1" operator="equal">
      <formula>"Pass"</formula>
    </cfRule>
    <cfRule type="cellIs" dxfId="8097" priority="8028" stopIfTrue="1" operator="equal">
      <formula>"Fail"</formula>
    </cfRule>
  </conditionalFormatting>
  <conditionalFormatting sqref="I767:P767">
    <cfRule type="cellIs" dxfId="8096" priority="8025" stopIfTrue="1" operator="equal">
      <formula>"Pass"</formula>
    </cfRule>
    <cfRule type="cellIs" dxfId="8095" priority="8026" stopIfTrue="1" operator="equal">
      <formula>"Fail"</formula>
    </cfRule>
  </conditionalFormatting>
  <conditionalFormatting sqref="I767:P767">
    <cfRule type="cellIs" dxfId="8094" priority="8023" stopIfTrue="1" operator="equal">
      <formula>"Pass"</formula>
    </cfRule>
    <cfRule type="cellIs" dxfId="8093" priority="8024" stopIfTrue="1" operator="equal">
      <formula>"Fail"</formula>
    </cfRule>
  </conditionalFormatting>
  <conditionalFormatting sqref="I767:P767">
    <cfRule type="cellIs" dxfId="8092" priority="8021" stopIfTrue="1" operator="equal">
      <formula>"Pass"</formula>
    </cfRule>
    <cfRule type="cellIs" dxfId="8091" priority="8022" stopIfTrue="1" operator="equal">
      <formula>"Fail"</formula>
    </cfRule>
  </conditionalFormatting>
  <conditionalFormatting sqref="I767:P767">
    <cfRule type="cellIs" dxfId="8090" priority="8019" stopIfTrue="1" operator="equal">
      <formula>"Pass"</formula>
    </cfRule>
    <cfRule type="cellIs" dxfId="8089" priority="8020" stopIfTrue="1" operator="equal">
      <formula>"Fail"</formula>
    </cfRule>
  </conditionalFormatting>
  <conditionalFormatting sqref="H767:O767">
    <cfRule type="cellIs" dxfId="8088" priority="8017" stopIfTrue="1" operator="equal">
      <formula>"Pass"</formula>
    </cfRule>
    <cfRule type="cellIs" dxfId="8087" priority="8018" stopIfTrue="1" operator="equal">
      <formula>"Fail"</formula>
    </cfRule>
  </conditionalFormatting>
  <conditionalFormatting sqref="H767:O767">
    <cfRule type="cellIs" dxfId="8086" priority="8015" stopIfTrue="1" operator="equal">
      <formula>"Pass"</formula>
    </cfRule>
    <cfRule type="cellIs" dxfId="8085" priority="8016" stopIfTrue="1" operator="equal">
      <formula>"Fail"</formula>
    </cfRule>
  </conditionalFormatting>
  <conditionalFormatting sqref="I767:P767">
    <cfRule type="cellIs" dxfId="8084" priority="8013" stopIfTrue="1" operator="equal">
      <formula>"Pass"</formula>
    </cfRule>
    <cfRule type="cellIs" dxfId="8083" priority="8014" stopIfTrue="1" operator="equal">
      <formula>"Fail"</formula>
    </cfRule>
  </conditionalFormatting>
  <conditionalFormatting sqref="I767:P767">
    <cfRule type="cellIs" dxfId="8082" priority="8011" stopIfTrue="1" operator="equal">
      <formula>"Pass"</formula>
    </cfRule>
    <cfRule type="cellIs" dxfId="8081" priority="8012" stopIfTrue="1" operator="equal">
      <formula>"Fail"</formula>
    </cfRule>
  </conditionalFormatting>
  <conditionalFormatting sqref="I767:P767">
    <cfRule type="cellIs" dxfId="8080" priority="8009" stopIfTrue="1" operator="equal">
      <formula>"Pass"</formula>
    </cfRule>
    <cfRule type="cellIs" dxfId="8079" priority="8010" stopIfTrue="1" operator="equal">
      <formula>"Fail"</formula>
    </cfRule>
  </conditionalFormatting>
  <conditionalFormatting sqref="I767:P767">
    <cfRule type="cellIs" dxfId="8078" priority="8007" stopIfTrue="1" operator="equal">
      <formula>"Pass"</formula>
    </cfRule>
    <cfRule type="cellIs" dxfId="8077" priority="8008" stopIfTrue="1" operator="equal">
      <formula>"Fail"</formula>
    </cfRule>
  </conditionalFormatting>
  <conditionalFormatting sqref="H767:O767">
    <cfRule type="cellIs" dxfId="8076" priority="8005" stopIfTrue="1" operator="equal">
      <formula>"Pass"</formula>
    </cfRule>
    <cfRule type="cellIs" dxfId="8075" priority="8006" stopIfTrue="1" operator="equal">
      <formula>"Fail"</formula>
    </cfRule>
  </conditionalFormatting>
  <conditionalFormatting sqref="H767:O767">
    <cfRule type="cellIs" dxfId="8074" priority="8003" stopIfTrue="1" operator="equal">
      <formula>"Pass"</formula>
    </cfRule>
    <cfRule type="cellIs" dxfId="8073" priority="8004" stopIfTrue="1" operator="equal">
      <formula>"Fail"</formula>
    </cfRule>
  </conditionalFormatting>
  <conditionalFormatting sqref="I767:P767">
    <cfRule type="cellIs" dxfId="8072" priority="8001" stopIfTrue="1" operator="equal">
      <formula>"Pass"</formula>
    </cfRule>
    <cfRule type="cellIs" dxfId="8071" priority="8002" stopIfTrue="1" operator="equal">
      <formula>"Fail"</formula>
    </cfRule>
  </conditionalFormatting>
  <conditionalFormatting sqref="I767:P767">
    <cfRule type="cellIs" dxfId="8070" priority="7999" stopIfTrue="1" operator="equal">
      <formula>"Pass"</formula>
    </cfRule>
    <cfRule type="cellIs" dxfId="8069" priority="8000" stopIfTrue="1" operator="equal">
      <formula>"Fail"</formula>
    </cfRule>
  </conditionalFormatting>
  <conditionalFormatting sqref="I767:P767">
    <cfRule type="cellIs" dxfId="8068" priority="7997" stopIfTrue="1" operator="equal">
      <formula>"Pass"</formula>
    </cfRule>
    <cfRule type="cellIs" dxfId="8067" priority="7998" stopIfTrue="1" operator="equal">
      <formula>"Fail"</formula>
    </cfRule>
  </conditionalFormatting>
  <conditionalFormatting sqref="I767:P767">
    <cfRule type="cellIs" dxfId="8066" priority="7995" stopIfTrue="1" operator="equal">
      <formula>"Pass"</formula>
    </cfRule>
    <cfRule type="cellIs" dxfId="8065" priority="7996" stopIfTrue="1" operator="equal">
      <formula>"Fail"</formula>
    </cfRule>
  </conditionalFormatting>
  <conditionalFormatting sqref="H767:O767">
    <cfRule type="cellIs" dxfId="8064" priority="7993" stopIfTrue="1" operator="equal">
      <formula>"Pass"</formula>
    </cfRule>
    <cfRule type="cellIs" dxfId="8063" priority="7994" stopIfTrue="1" operator="equal">
      <formula>"Fail"</formula>
    </cfRule>
  </conditionalFormatting>
  <conditionalFormatting sqref="H767:O767">
    <cfRule type="cellIs" dxfId="8062" priority="7991" stopIfTrue="1" operator="equal">
      <formula>"Pass"</formula>
    </cfRule>
    <cfRule type="cellIs" dxfId="8061" priority="7992" stopIfTrue="1" operator="equal">
      <formula>"Fail"</formula>
    </cfRule>
  </conditionalFormatting>
  <conditionalFormatting sqref="I767:P767">
    <cfRule type="cellIs" dxfId="8060" priority="7989" stopIfTrue="1" operator="equal">
      <formula>"Pass"</formula>
    </cfRule>
    <cfRule type="cellIs" dxfId="8059" priority="7990" stopIfTrue="1" operator="equal">
      <formula>"Fail"</formula>
    </cfRule>
  </conditionalFormatting>
  <conditionalFormatting sqref="I767:P767">
    <cfRule type="cellIs" dxfId="8058" priority="7987" stopIfTrue="1" operator="equal">
      <formula>"Pass"</formula>
    </cfRule>
    <cfRule type="cellIs" dxfId="8057" priority="7988" stopIfTrue="1" operator="equal">
      <formula>"Fail"</formula>
    </cfRule>
  </conditionalFormatting>
  <conditionalFormatting sqref="I767:P767">
    <cfRule type="cellIs" dxfId="8056" priority="7985" stopIfTrue="1" operator="equal">
      <formula>"Pass"</formula>
    </cfRule>
    <cfRule type="cellIs" dxfId="8055" priority="7986" stopIfTrue="1" operator="equal">
      <formula>"Fail"</formula>
    </cfRule>
  </conditionalFormatting>
  <conditionalFormatting sqref="I767:P767">
    <cfRule type="cellIs" dxfId="8054" priority="7983" stopIfTrue="1" operator="equal">
      <formula>"Pass"</formula>
    </cfRule>
    <cfRule type="cellIs" dxfId="8053" priority="7984" stopIfTrue="1" operator="equal">
      <formula>"Fail"</formula>
    </cfRule>
  </conditionalFormatting>
  <conditionalFormatting sqref="H767:O767">
    <cfRule type="cellIs" dxfId="8052" priority="7981" stopIfTrue="1" operator="equal">
      <formula>"Pass"</formula>
    </cfRule>
    <cfRule type="cellIs" dxfId="8051" priority="7982" stopIfTrue="1" operator="equal">
      <formula>"Fail"</formula>
    </cfRule>
  </conditionalFormatting>
  <conditionalFormatting sqref="H767:O767">
    <cfRule type="cellIs" dxfId="8050" priority="7979" stopIfTrue="1" operator="equal">
      <formula>"Pass"</formula>
    </cfRule>
    <cfRule type="cellIs" dxfId="8049" priority="7980" stopIfTrue="1" operator="equal">
      <formula>"Fail"</formula>
    </cfRule>
  </conditionalFormatting>
  <conditionalFormatting sqref="I767:P767">
    <cfRule type="cellIs" dxfId="8048" priority="7977" stopIfTrue="1" operator="equal">
      <formula>"Pass"</formula>
    </cfRule>
    <cfRule type="cellIs" dxfId="8047" priority="7978" stopIfTrue="1" operator="equal">
      <formula>"Fail"</formula>
    </cfRule>
  </conditionalFormatting>
  <conditionalFormatting sqref="I767:P767">
    <cfRule type="cellIs" dxfId="8046" priority="7975" stopIfTrue="1" operator="equal">
      <formula>"Pass"</formula>
    </cfRule>
    <cfRule type="cellIs" dxfId="8045" priority="7976" stopIfTrue="1" operator="equal">
      <formula>"Fail"</formula>
    </cfRule>
  </conditionalFormatting>
  <conditionalFormatting sqref="I767:P767">
    <cfRule type="cellIs" dxfId="8044" priority="7973" stopIfTrue="1" operator="equal">
      <formula>"Pass"</formula>
    </cfRule>
    <cfRule type="cellIs" dxfId="8043" priority="7974" stopIfTrue="1" operator="equal">
      <formula>"Fail"</formula>
    </cfRule>
  </conditionalFormatting>
  <conditionalFormatting sqref="I767:P767">
    <cfRule type="cellIs" dxfId="8042" priority="7971" stopIfTrue="1" operator="equal">
      <formula>"Pass"</formula>
    </cfRule>
    <cfRule type="cellIs" dxfId="8041" priority="7972" stopIfTrue="1" operator="equal">
      <formula>"Fail"</formula>
    </cfRule>
  </conditionalFormatting>
  <conditionalFormatting sqref="H767:O767">
    <cfRule type="cellIs" dxfId="8040" priority="7969" stopIfTrue="1" operator="equal">
      <formula>"Pass"</formula>
    </cfRule>
    <cfRule type="cellIs" dxfId="8039" priority="7970" stopIfTrue="1" operator="equal">
      <formula>"Fail"</formula>
    </cfRule>
  </conditionalFormatting>
  <conditionalFormatting sqref="H767:O767">
    <cfRule type="cellIs" dxfId="8038" priority="7967" stopIfTrue="1" operator="equal">
      <formula>"Pass"</formula>
    </cfRule>
    <cfRule type="cellIs" dxfId="8037" priority="7968" stopIfTrue="1" operator="equal">
      <formula>"Fail"</formula>
    </cfRule>
  </conditionalFormatting>
  <conditionalFormatting sqref="I767:P767">
    <cfRule type="cellIs" dxfId="8036" priority="7965" stopIfTrue="1" operator="equal">
      <formula>"Pass"</formula>
    </cfRule>
    <cfRule type="cellIs" dxfId="8035" priority="7966" stopIfTrue="1" operator="equal">
      <formula>"Fail"</formula>
    </cfRule>
  </conditionalFormatting>
  <conditionalFormatting sqref="I767:P767">
    <cfRule type="cellIs" dxfId="8034" priority="7963" stopIfTrue="1" operator="equal">
      <formula>"Pass"</formula>
    </cfRule>
    <cfRule type="cellIs" dxfId="8033" priority="7964" stopIfTrue="1" operator="equal">
      <formula>"Fail"</formula>
    </cfRule>
  </conditionalFormatting>
  <conditionalFormatting sqref="I767:P767">
    <cfRule type="cellIs" dxfId="8032" priority="7961" stopIfTrue="1" operator="equal">
      <formula>"Pass"</formula>
    </cfRule>
    <cfRule type="cellIs" dxfId="8031" priority="7962" stopIfTrue="1" operator="equal">
      <formula>"Fail"</formula>
    </cfRule>
  </conditionalFormatting>
  <conditionalFormatting sqref="I767:P767">
    <cfRule type="cellIs" dxfId="8030" priority="7959" stopIfTrue="1" operator="equal">
      <formula>"Pass"</formula>
    </cfRule>
    <cfRule type="cellIs" dxfId="8029" priority="7960" stopIfTrue="1" operator="equal">
      <formula>"Fail"</formula>
    </cfRule>
  </conditionalFormatting>
  <conditionalFormatting sqref="H767:O767">
    <cfRule type="cellIs" dxfId="8028" priority="7957" stopIfTrue="1" operator="equal">
      <formula>"Pass"</formula>
    </cfRule>
    <cfRule type="cellIs" dxfId="8027" priority="7958" stopIfTrue="1" operator="equal">
      <formula>"Fail"</formula>
    </cfRule>
  </conditionalFormatting>
  <conditionalFormatting sqref="H767:O767">
    <cfRule type="cellIs" dxfId="8026" priority="7955" stopIfTrue="1" operator="equal">
      <formula>"Pass"</formula>
    </cfRule>
    <cfRule type="cellIs" dxfId="8025" priority="7956" stopIfTrue="1" operator="equal">
      <formula>"Fail"</formula>
    </cfRule>
  </conditionalFormatting>
  <conditionalFormatting sqref="I767:P767">
    <cfRule type="cellIs" dxfId="8024" priority="7953" stopIfTrue="1" operator="equal">
      <formula>"Pass"</formula>
    </cfRule>
    <cfRule type="cellIs" dxfId="8023" priority="7954" stopIfTrue="1" operator="equal">
      <formula>"Fail"</formula>
    </cfRule>
  </conditionalFormatting>
  <conditionalFormatting sqref="I767:P767">
    <cfRule type="cellIs" dxfId="8022" priority="7951" stopIfTrue="1" operator="equal">
      <formula>"Pass"</formula>
    </cfRule>
    <cfRule type="cellIs" dxfId="8021" priority="7952" stopIfTrue="1" operator="equal">
      <formula>"Fail"</formula>
    </cfRule>
  </conditionalFormatting>
  <conditionalFormatting sqref="I767:P767">
    <cfRule type="cellIs" dxfId="8020" priority="7949" stopIfTrue="1" operator="equal">
      <formula>"Pass"</formula>
    </cfRule>
    <cfRule type="cellIs" dxfId="8019" priority="7950" stopIfTrue="1" operator="equal">
      <formula>"Fail"</formula>
    </cfRule>
  </conditionalFormatting>
  <conditionalFormatting sqref="I767:P767">
    <cfRule type="cellIs" dxfId="8018" priority="7947" stopIfTrue="1" operator="equal">
      <formula>"Pass"</formula>
    </cfRule>
    <cfRule type="cellIs" dxfId="8017" priority="7948" stopIfTrue="1" operator="equal">
      <formula>"Fail"</formula>
    </cfRule>
  </conditionalFormatting>
  <conditionalFormatting sqref="H767:O767">
    <cfRule type="cellIs" dxfId="8016" priority="7945" stopIfTrue="1" operator="equal">
      <formula>"Pass"</formula>
    </cfRule>
    <cfRule type="cellIs" dxfId="8015" priority="7946" stopIfTrue="1" operator="equal">
      <formula>"Fail"</formula>
    </cfRule>
  </conditionalFormatting>
  <conditionalFormatting sqref="H767:O767">
    <cfRule type="cellIs" dxfId="8014" priority="7943" stopIfTrue="1" operator="equal">
      <formula>"Pass"</formula>
    </cfRule>
    <cfRule type="cellIs" dxfId="8013" priority="7944" stopIfTrue="1" operator="equal">
      <formula>"Fail"</formula>
    </cfRule>
  </conditionalFormatting>
  <conditionalFormatting sqref="I767:P767">
    <cfRule type="cellIs" dxfId="8012" priority="7941" stopIfTrue="1" operator="equal">
      <formula>"Pass"</formula>
    </cfRule>
    <cfRule type="cellIs" dxfId="8011" priority="7942" stopIfTrue="1" operator="equal">
      <formula>"Fail"</formula>
    </cfRule>
  </conditionalFormatting>
  <conditionalFormatting sqref="I767:P767">
    <cfRule type="cellIs" dxfId="8010" priority="7939" stopIfTrue="1" operator="equal">
      <formula>"Pass"</formula>
    </cfRule>
    <cfRule type="cellIs" dxfId="8009" priority="7940" stopIfTrue="1" operator="equal">
      <formula>"Fail"</formula>
    </cfRule>
  </conditionalFormatting>
  <conditionalFormatting sqref="I767:P767">
    <cfRule type="cellIs" dxfId="8008" priority="7937" stopIfTrue="1" operator="equal">
      <formula>"Pass"</formula>
    </cfRule>
    <cfRule type="cellIs" dxfId="8007" priority="7938" stopIfTrue="1" operator="equal">
      <formula>"Fail"</formula>
    </cfRule>
  </conditionalFormatting>
  <conditionalFormatting sqref="I767:P767">
    <cfRule type="cellIs" dxfId="8006" priority="7935" stopIfTrue="1" operator="equal">
      <formula>"Pass"</formula>
    </cfRule>
    <cfRule type="cellIs" dxfId="8005" priority="7936" stopIfTrue="1" operator="equal">
      <formula>"Fail"</formula>
    </cfRule>
  </conditionalFormatting>
  <conditionalFormatting sqref="H767:O767">
    <cfRule type="cellIs" dxfId="8004" priority="7933" stopIfTrue="1" operator="equal">
      <formula>"Pass"</formula>
    </cfRule>
    <cfRule type="cellIs" dxfId="8003" priority="7934" stopIfTrue="1" operator="equal">
      <formula>"Fail"</formula>
    </cfRule>
  </conditionalFormatting>
  <conditionalFormatting sqref="H767:O767">
    <cfRule type="cellIs" dxfId="8002" priority="7931" stopIfTrue="1" operator="equal">
      <formula>"Pass"</formula>
    </cfRule>
    <cfRule type="cellIs" dxfId="8001" priority="7932" stopIfTrue="1" operator="equal">
      <formula>"Fail"</formula>
    </cfRule>
  </conditionalFormatting>
  <conditionalFormatting sqref="I767:P767">
    <cfRule type="cellIs" dxfId="8000" priority="7929" stopIfTrue="1" operator="equal">
      <formula>"Pass"</formula>
    </cfRule>
    <cfRule type="cellIs" dxfId="7999" priority="7930" stopIfTrue="1" operator="equal">
      <formula>"Fail"</formula>
    </cfRule>
  </conditionalFormatting>
  <conditionalFormatting sqref="I767:P767">
    <cfRule type="cellIs" dxfId="7998" priority="7927" stopIfTrue="1" operator="equal">
      <formula>"Pass"</formula>
    </cfRule>
    <cfRule type="cellIs" dxfId="7997" priority="7928" stopIfTrue="1" operator="equal">
      <formula>"Fail"</formula>
    </cfRule>
  </conditionalFormatting>
  <conditionalFormatting sqref="I767:P767">
    <cfRule type="cellIs" dxfId="7996" priority="7925" stopIfTrue="1" operator="equal">
      <formula>"Pass"</formula>
    </cfRule>
    <cfRule type="cellIs" dxfId="7995" priority="7926" stopIfTrue="1" operator="equal">
      <formula>"Fail"</formula>
    </cfRule>
  </conditionalFormatting>
  <conditionalFormatting sqref="I767:P767">
    <cfRule type="cellIs" dxfId="7994" priority="7923" stopIfTrue="1" operator="equal">
      <formula>"Pass"</formula>
    </cfRule>
    <cfRule type="cellIs" dxfId="7993" priority="7924" stopIfTrue="1" operator="equal">
      <formula>"Fail"</formula>
    </cfRule>
  </conditionalFormatting>
  <conditionalFormatting sqref="H767:O767">
    <cfRule type="cellIs" dxfId="7992" priority="7921" stopIfTrue="1" operator="equal">
      <formula>"Pass"</formula>
    </cfRule>
    <cfRule type="cellIs" dxfId="7991" priority="7922" stopIfTrue="1" operator="equal">
      <formula>"Fail"</formula>
    </cfRule>
  </conditionalFormatting>
  <conditionalFormatting sqref="H767:O767">
    <cfRule type="cellIs" dxfId="7990" priority="7919" stopIfTrue="1" operator="equal">
      <formula>"Pass"</formula>
    </cfRule>
    <cfRule type="cellIs" dxfId="7989" priority="7920" stopIfTrue="1" operator="equal">
      <formula>"Fail"</formula>
    </cfRule>
  </conditionalFormatting>
  <conditionalFormatting sqref="I767:P767">
    <cfRule type="cellIs" dxfId="7988" priority="7917" stopIfTrue="1" operator="equal">
      <formula>"Pass"</formula>
    </cfRule>
    <cfRule type="cellIs" dxfId="7987" priority="7918" stopIfTrue="1" operator="equal">
      <formula>"Fail"</formula>
    </cfRule>
  </conditionalFormatting>
  <conditionalFormatting sqref="I767:P767">
    <cfRule type="cellIs" dxfId="7986" priority="7915" stopIfTrue="1" operator="equal">
      <formula>"Pass"</formula>
    </cfRule>
    <cfRule type="cellIs" dxfId="7985" priority="7916" stopIfTrue="1" operator="equal">
      <formula>"Fail"</formula>
    </cfRule>
  </conditionalFormatting>
  <conditionalFormatting sqref="I767:P767">
    <cfRule type="cellIs" dxfId="7984" priority="7913" stopIfTrue="1" operator="equal">
      <formula>"Pass"</formula>
    </cfRule>
    <cfRule type="cellIs" dxfId="7983" priority="7914" stopIfTrue="1" operator="equal">
      <formula>"Fail"</formula>
    </cfRule>
  </conditionalFormatting>
  <conditionalFormatting sqref="I767:P767">
    <cfRule type="cellIs" dxfId="7982" priority="7911" stopIfTrue="1" operator="equal">
      <formula>"Pass"</formula>
    </cfRule>
    <cfRule type="cellIs" dxfId="7981" priority="7912" stopIfTrue="1" operator="equal">
      <formula>"Fail"</formula>
    </cfRule>
  </conditionalFormatting>
  <conditionalFormatting sqref="H767:O767">
    <cfRule type="cellIs" dxfId="7980" priority="7909" stopIfTrue="1" operator="equal">
      <formula>"Pass"</formula>
    </cfRule>
    <cfRule type="cellIs" dxfId="7979" priority="7910" stopIfTrue="1" operator="equal">
      <formula>"Fail"</formula>
    </cfRule>
  </conditionalFormatting>
  <conditionalFormatting sqref="H767:O767">
    <cfRule type="cellIs" dxfId="7978" priority="7907" stopIfTrue="1" operator="equal">
      <formula>"Pass"</formula>
    </cfRule>
    <cfRule type="cellIs" dxfId="7977" priority="7908" stopIfTrue="1" operator="equal">
      <formula>"Fail"</formula>
    </cfRule>
  </conditionalFormatting>
  <conditionalFormatting sqref="I767:P767">
    <cfRule type="cellIs" dxfId="7976" priority="7905" stopIfTrue="1" operator="equal">
      <formula>"Pass"</formula>
    </cfRule>
    <cfRule type="cellIs" dxfId="7975" priority="7906" stopIfTrue="1" operator="equal">
      <formula>"Fail"</formula>
    </cfRule>
  </conditionalFormatting>
  <conditionalFormatting sqref="I767:P767">
    <cfRule type="cellIs" dxfId="7974" priority="7903" stopIfTrue="1" operator="equal">
      <formula>"Pass"</formula>
    </cfRule>
    <cfRule type="cellIs" dxfId="7973" priority="7904" stopIfTrue="1" operator="equal">
      <formula>"Fail"</formula>
    </cfRule>
  </conditionalFormatting>
  <conditionalFormatting sqref="I767:P767">
    <cfRule type="cellIs" dxfId="7972" priority="7901" stopIfTrue="1" operator="equal">
      <formula>"Pass"</formula>
    </cfRule>
    <cfRule type="cellIs" dxfId="7971" priority="7902" stopIfTrue="1" operator="equal">
      <formula>"Fail"</formula>
    </cfRule>
  </conditionalFormatting>
  <conditionalFormatting sqref="I767:P767">
    <cfRule type="cellIs" dxfId="7970" priority="7899" stopIfTrue="1" operator="equal">
      <formula>"Pass"</formula>
    </cfRule>
    <cfRule type="cellIs" dxfId="7969" priority="7900" stopIfTrue="1" operator="equal">
      <formula>"Fail"</formula>
    </cfRule>
  </conditionalFormatting>
  <conditionalFormatting sqref="H767:O767">
    <cfRule type="cellIs" dxfId="7968" priority="7897" stopIfTrue="1" operator="equal">
      <formula>"Pass"</formula>
    </cfRule>
    <cfRule type="cellIs" dxfId="7967" priority="7898" stopIfTrue="1" operator="equal">
      <formula>"Fail"</formula>
    </cfRule>
  </conditionalFormatting>
  <conditionalFormatting sqref="H767:O767">
    <cfRule type="cellIs" dxfId="7966" priority="7895" stopIfTrue="1" operator="equal">
      <formula>"Pass"</formula>
    </cfRule>
    <cfRule type="cellIs" dxfId="7965" priority="7896" stopIfTrue="1" operator="equal">
      <formula>"Fail"</formula>
    </cfRule>
  </conditionalFormatting>
  <conditionalFormatting sqref="I767:P767">
    <cfRule type="cellIs" dxfId="7964" priority="7893" stopIfTrue="1" operator="equal">
      <formula>"Pass"</formula>
    </cfRule>
    <cfRule type="cellIs" dxfId="7963" priority="7894" stopIfTrue="1" operator="equal">
      <formula>"Fail"</formula>
    </cfRule>
  </conditionalFormatting>
  <conditionalFormatting sqref="I767:P767">
    <cfRule type="cellIs" dxfId="7962" priority="7891" stopIfTrue="1" operator="equal">
      <formula>"Pass"</formula>
    </cfRule>
    <cfRule type="cellIs" dxfId="7961" priority="7892" stopIfTrue="1" operator="equal">
      <formula>"Fail"</formula>
    </cfRule>
  </conditionalFormatting>
  <conditionalFormatting sqref="I767:P767">
    <cfRule type="cellIs" dxfId="7960" priority="7889" stopIfTrue="1" operator="equal">
      <formula>"Pass"</formula>
    </cfRule>
    <cfRule type="cellIs" dxfId="7959" priority="7890" stopIfTrue="1" operator="equal">
      <formula>"Fail"</formula>
    </cfRule>
  </conditionalFormatting>
  <conditionalFormatting sqref="I767:P767">
    <cfRule type="cellIs" dxfId="7958" priority="7887" stopIfTrue="1" operator="equal">
      <formula>"Pass"</formula>
    </cfRule>
    <cfRule type="cellIs" dxfId="7957" priority="7888" stopIfTrue="1" operator="equal">
      <formula>"Fail"</formula>
    </cfRule>
  </conditionalFormatting>
  <conditionalFormatting sqref="D767:E767">
    <cfRule type="cellIs" dxfId="7956" priority="7885" stopIfTrue="1" operator="equal">
      <formula>"Pass"</formula>
    </cfRule>
    <cfRule type="cellIs" dxfId="7955" priority="7886" stopIfTrue="1" operator="equal">
      <formula>"Fail"</formula>
    </cfRule>
  </conditionalFormatting>
  <conditionalFormatting sqref="D767:E767">
    <cfRule type="cellIs" dxfId="7954" priority="7883" stopIfTrue="1" operator="equal">
      <formula>"Pass"</formula>
    </cfRule>
    <cfRule type="cellIs" dxfId="7953" priority="7884" stopIfTrue="1" operator="equal">
      <formula>"Fail"</formula>
    </cfRule>
  </conditionalFormatting>
  <conditionalFormatting sqref="G767:H767">
    <cfRule type="cellIs" dxfId="7952" priority="7881" stopIfTrue="1" operator="equal">
      <formula>"Pass"</formula>
    </cfRule>
    <cfRule type="cellIs" dxfId="7951" priority="7882" stopIfTrue="1" operator="equal">
      <formula>"Fail"</formula>
    </cfRule>
  </conditionalFormatting>
  <conditionalFormatting sqref="G767:H767">
    <cfRule type="cellIs" dxfId="7950" priority="7879" stopIfTrue="1" operator="equal">
      <formula>"Pass"</formula>
    </cfRule>
    <cfRule type="cellIs" dxfId="7949" priority="7880" stopIfTrue="1" operator="equal">
      <formula>"Fail"</formula>
    </cfRule>
  </conditionalFormatting>
  <conditionalFormatting sqref="G767:H767">
    <cfRule type="cellIs" dxfId="7948" priority="7877" stopIfTrue="1" operator="equal">
      <formula>"Pass"</formula>
    </cfRule>
    <cfRule type="cellIs" dxfId="7947" priority="7878" stopIfTrue="1" operator="equal">
      <formula>"Fail"</formula>
    </cfRule>
  </conditionalFormatting>
  <conditionalFormatting sqref="G767:H767">
    <cfRule type="cellIs" dxfId="7946" priority="7875" stopIfTrue="1" operator="equal">
      <formula>"Pass"</formula>
    </cfRule>
    <cfRule type="cellIs" dxfId="7945" priority="7876" stopIfTrue="1" operator="equal">
      <formula>"Fail"</formula>
    </cfRule>
  </conditionalFormatting>
  <conditionalFormatting sqref="H767:O767">
    <cfRule type="cellIs" dxfId="7944" priority="7873" stopIfTrue="1" operator="equal">
      <formula>"Pass"</formula>
    </cfRule>
    <cfRule type="cellIs" dxfId="7943" priority="7874" stopIfTrue="1" operator="equal">
      <formula>"Fail"</formula>
    </cfRule>
  </conditionalFormatting>
  <conditionalFormatting sqref="H767:O767">
    <cfRule type="cellIs" dxfId="7942" priority="7871" stopIfTrue="1" operator="equal">
      <formula>"Pass"</formula>
    </cfRule>
    <cfRule type="cellIs" dxfId="7941" priority="7872" stopIfTrue="1" operator="equal">
      <formula>"Fail"</formula>
    </cfRule>
  </conditionalFormatting>
  <conditionalFormatting sqref="I767:P767">
    <cfRule type="cellIs" dxfId="7940" priority="7869" stopIfTrue="1" operator="equal">
      <formula>"Pass"</formula>
    </cfRule>
    <cfRule type="cellIs" dxfId="7939" priority="7870" stopIfTrue="1" operator="equal">
      <formula>"Fail"</formula>
    </cfRule>
  </conditionalFormatting>
  <conditionalFormatting sqref="I767:P767">
    <cfRule type="cellIs" dxfId="7938" priority="7867" stopIfTrue="1" operator="equal">
      <formula>"Pass"</formula>
    </cfRule>
    <cfRule type="cellIs" dxfId="7937" priority="7868" stopIfTrue="1" operator="equal">
      <formula>"Fail"</formula>
    </cfRule>
  </conditionalFormatting>
  <conditionalFormatting sqref="I767:P767">
    <cfRule type="cellIs" dxfId="7936" priority="7865" stopIfTrue="1" operator="equal">
      <formula>"Pass"</formula>
    </cfRule>
    <cfRule type="cellIs" dxfId="7935" priority="7866" stopIfTrue="1" operator="equal">
      <formula>"Fail"</formula>
    </cfRule>
  </conditionalFormatting>
  <conditionalFormatting sqref="I767:P767">
    <cfRule type="cellIs" dxfId="7934" priority="7863" stopIfTrue="1" operator="equal">
      <formula>"Pass"</formula>
    </cfRule>
    <cfRule type="cellIs" dxfId="7933" priority="7864" stopIfTrue="1" operator="equal">
      <formula>"Fail"</formula>
    </cfRule>
  </conditionalFormatting>
  <conditionalFormatting sqref="H767:O767">
    <cfRule type="cellIs" dxfId="7932" priority="7861" stopIfTrue="1" operator="equal">
      <formula>"Pass"</formula>
    </cfRule>
    <cfRule type="cellIs" dxfId="7931" priority="7862" stopIfTrue="1" operator="equal">
      <formula>"Fail"</formula>
    </cfRule>
  </conditionalFormatting>
  <conditionalFormatting sqref="H767:O767">
    <cfRule type="cellIs" dxfId="7930" priority="7859" stopIfTrue="1" operator="equal">
      <formula>"Pass"</formula>
    </cfRule>
    <cfRule type="cellIs" dxfId="7929" priority="7860" stopIfTrue="1" operator="equal">
      <formula>"Fail"</formula>
    </cfRule>
  </conditionalFormatting>
  <conditionalFormatting sqref="I767:P767">
    <cfRule type="cellIs" dxfId="7928" priority="7857" stopIfTrue="1" operator="equal">
      <formula>"Pass"</formula>
    </cfRule>
    <cfRule type="cellIs" dxfId="7927" priority="7858" stopIfTrue="1" operator="equal">
      <formula>"Fail"</formula>
    </cfRule>
  </conditionalFormatting>
  <conditionalFormatting sqref="I767:P767">
    <cfRule type="cellIs" dxfId="7926" priority="7855" stopIfTrue="1" operator="equal">
      <formula>"Pass"</formula>
    </cfRule>
    <cfRule type="cellIs" dxfId="7925" priority="7856" stopIfTrue="1" operator="equal">
      <formula>"Fail"</formula>
    </cfRule>
  </conditionalFormatting>
  <conditionalFormatting sqref="I767:P767">
    <cfRule type="cellIs" dxfId="7924" priority="7853" stopIfTrue="1" operator="equal">
      <formula>"Pass"</formula>
    </cfRule>
    <cfRule type="cellIs" dxfId="7923" priority="7854" stopIfTrue="1" operator="equal">
      <formula>"Fail"</formula>
    </cfRule>
  </conditionalFormatting>
  <conditionalFormatting sqref="I767:P767">
    <cfRule type="cellIs" dxfId="7922" priority="7851" stopIfTrue="1" operator="equal">
      <formula>"Pass"</formula>
    </cfRule>
    <cfRule type="cellIs" dxfId="7921" priority="7852" stopIfTrue="1" operator="equal">
      <formula>"Fail"</formula>
    </cfRule>
  </conditionalFormatting>
  <conditionalFormatting sqref="H767:O767">
    <cfRule type="cellIs" dxfId="7920" priority="7849" stopIfTrue="1" operator="equal">
      <formula>"Pass"</formula>
    </cfRule>
    <cfRule type="cellIs" dxfId="7919" priority="7850" stopIfTrue="1" operator="equal">
      <formula>"Fail"</formula>
    </cfRule>
  </conditionalFormatting>
  <conditionalFormatting sqref="H767:O767">
    <cfRule type="cellIs" dxfId="7918" priority="7847" stopIfTrue="1" operator="equal">
      <formula>"Pass"</formula>
    </cfRule>
    <cfRule type="cellIs" dxfId="7917" priority="7848" stopIfTrue="1" operator="equal">
      <formula>"Fail"</formula>
    </cfRule>
  </conditionalFormatting>
  <conditionalFormatting sqref="I767:P767">
    <cfRule type="cellIs" dxfId="7916" priority="7845" stopIfTrue="1" operator="equal">
      <formula>"Pass"</formula>
    </cfRule>
    <cfRule type="cellIs" dxfId="7915" priority="7846" stopIfTrue="1" operator="equal">
      <formula>"Fail"</formula>
    </cfRule>
  </conditionalFormatting>
  <conditionalFormatting sqref="I767:P767">
    <cfRule type="cellIs" dxfId="7914" priority="7843" stopIfTrue="1" operator="equal">
      <formula>"Pass"</formula>
    </cfRule>
    <cfRule type="cellIs" dxfId="7913" priority="7844" stopIfTrue="1" operator="equal">
      <formula>"Fail"</formula>
    </cfRule>
  </conditionalFormatting>
  <conditionalFormatting sqref="I767:P767">
    <cfRule type="cellIs" dxfId="7912" priority="7841" stopIfTrue="1" operator="equal">
      <formula>"Pass"</formula>
    </cfRule>
    <cfRule type="cellIs" dxfId="7911" priority="7842" stopIfTrue="1" operator="equal">
      <formula>"Fail"</formula>
    </cfRule>
  </conditionalFormatting>
  <conditionalFormatting sqref="I767:P767">
    <cfRule type="cellIs" dxfId="7910" priority="7839" stopIfTrue="1" operator="equal">
      <formula>"Pass"</formula>
    </cfRule>
    <cfRule type="cellIs" dxfId="7909" priority="7840" stopIfTrue="1" operator="equal">
      <formula>"Fail"</formula>
    </cfRule>
  </conditionalFormatting>
  <conditionalFormatting sqref="H767:O767">
    <cfRule type="cellIs" dxfId="7908" priority="7837" stopIfTrue="1" operator="equal">
      <formula>"Pass"</formula>
    </cfRule>
    <cfRule type="cellIs" dxfId="7907" priority="7838" stopIfTrue="1" operator="equal">
      <formula>"Fail"</formula>
    </cfRule>
  </conditionalFormatting>
  <conditionalFormatting sqref="H767:O767">
    <cfRule type="cellIs" dxfId="7906" priority="7835" stopIfTrue="1" operator="equal">
      <formula>"Pass"</formula>
    </cfRule>
    <cfRule type="cellIs" dxfId="7905" priority="7836" stopIfTrue="1" operator="equal">
      <formula>"Fail"</formula>
    </cfRule>
  </conditionalFormatting>
  <conditionalFormatting sqref="I767:P767">
    <cfRule type="cellIs" dxfId="7904" priority="7833" stopIfTrue="1" operator="equal">
      <formula>"Pass"</formula>
    </cfRule>
    <cfRule type="cellIs" dxfId="7903" priority="7834" stopIfTrue="1" operator="equal">
      <formula>"Fail"</formula>
    </cfRule>
  </conditionalFormatting>
  <conditionalFormatting sqref="I767:P767">
    <cfRule type="cellIs" dxfId="7902" priority="7831" stopIfTrue="1" operator="equal">
      <formula>"Pass"</formula>
    </cfRule>
    <cfRule type="cellIs" dxfId="7901" priority="7832" stopIfTrue="1" operator="equal">
      <formula>"Fail"</formula>
    </cfRule>
  </conditionalFormatting>
  <conditionalFormatting sqref="I767:P767">
    <cfRule type="cellIs" dxfId="7900" priority="7829" stopIfTrue="1" operator="equal">
      <formula>"Pass"</formula>
    </cfRule>
    <cfRule type="cellIs" dxfId="7899" priority="7830" stopIfTrue="1" operator="equal">
      <formula>"Fail"</formula>
    </cfRule>
  </conditionalFormatting>
  <conditionalFormatting sqref="I767:P767">
    <cfRule type="cellIs" dxfId="7898" priority="7827" stopIfTrue="1" operator="equal">
      <formula>"Pass"</formula>
    </cfRule>
    <cfRule type="cellIs" dxfId="7897" priority="7828" stopIfTrue="1" operator="equal">
      <formula>"Fail"</formula>
    </cfRule>
  </conditionalFormatting>
  <conditionalFormatting sqref="H767:O767">
    <cfRule type="cellIs" dxfId="7896" priority="7825" stopIfTrue="1" operator="equal">
      <formula>"Pass"</formula>
    </cfRule>
    <cfRule type="cellIs" dxfId="7895" priority="7826" stopIfTrue="1" operator="equal">
      <formula>"Fail"</formula>
    </cfRule>
  </conditionalFormatting>
  <conditionalFormatting sqref="H767:O767">
    <cfRule type="cellIs" dxfId="7894" priority="7823" stopIfTrue="1" operator="equal">
      <formula>"Pass"</formula>
    </cfRule>
    <cfRule type="cellIs" dxfId="7893" priority="7824" stopIfTrue="1" operator="equal">
      <formula>"Fail"</formula>
    </cfRule>
  </conditionalFormatting>
  <conditionalFormatting sqref="I767:P767">
    <cfRule type="cellIs" dxfId="7892" priority="7821" stopIfTrue="1" operator="equal">
      <formula>"Pass"</formula>
    </cfRule>
    <cfRule type="cellIs" dxfId="7891" priority="7822" stopIfTrue="1" operator="equal">
      <formula>"Fail"</formula>
    </cfRule>
  </conditionalFormatting>
  <conditionalFormatting sqref="I767:P767">
    <cfRule type="cellIs" dxfId="7890" priority="7819" stopIfTrue="1" operator="equal">
      <formula>"Pass"</formula>
    </cfRule>
    <cfRule type="cellIs" dxfId="7889" priority="7820" stopIfTrue="1" operator="equal">
      <formula>"Fail"</formula>
    </cfRule>
  </conditionalFormatting>
  <conditionalFormatting sqref="I767:P767">
    <cfRule type="cellIs" dxfId="7888" priority="7817" stopIfTrue="1" operator="equal">
      <formula>"Pass"</formula>
    </cfRule>
    <cfRule type="cellIs" dxfId="7887" priority="7818" stopIfTrue="1" operator="equal">
      <formula>"Fail"</formula>
    </cfRule>
  </conditionalFormatting>
  <conditionalFormatting sqref="I767:P767">
    <cfRule type="cellIs" dxfId="7886" priority="7815" stopIfTrue="1" operator="equal">
      <formula>"Pass"</formula>
    </cfRule>
    <cfRule type="cellIs" dxfId="7885" priority="7816" stopIfTrue="1" operator="equal">
      <formula>"Fail"</formula>
    </cfRule>
  </conditionalFormatting>
  <conditionalFormatting sqref="H767:O767">
    <cfRule type="cellIs" dxfId="7884" priority="7813" stopIfTrue="1" operator="equal">
      <formula>"Pass"</formula>
    </cfRule>
    <cfRule type="cellIs" dxfId="7883" priority="7814" stopIfTrue="1" operator="equal">
      <formula>"Fail"</formula>
    </cfRule>
  </conditionalFormatting>
  <conditionalFormatting sqref="H767:O767">
    <cfRule type="cellIs" dxfId="7882" priority="7811" stopIfTrue="1" operator="equal">
      <formula>"Pass"</formula>
    </cfRule>
    <cfRule type="cellIs" dxfId="7881" priority="7812" stopIfTrue="1" operator="equal">
      <formula>"Fail"</formula>
    </cfRule>
  </conditionalFormatting>
  <conditionalFormatting sqref="I767:P767">
    <cfRule type="cellIs" dxfId="7880" priority="7809" stopIfTrue="1" operator="equal">
      <formula>"Pass"</formula>
    </cfRule>
    <cfRule type="cellIs" dxfId="7879" priority="7810" stopIfTrue="1" operator="equal">
      <formula>"Fail"</formula>
    </cfRule>
  </conditionalFormatting>
  <conditionalFormatting sqref="I767:P767">
    <cfRule type="cellIs" dxfId="7878" priority="7807" stopIfTrue="1" operator="equal">
      <formula>"Pass"</formula>
    </cfRule>
    <cfRule type="cellIs" dxfId="7877" priority="7808" stopIfTrue="1" operator="equal">
      <formula>"Fail"</formula>
    </cfRule>
  </conditionalFormatting>
  <conditionalFormatting sqref="I767:P767">
    <cfRule type="cellIs" dxfId="7876" priority="7805" stopIfTrue="1" operator="equal">
      <formula>"Pass"</formula>
    </cfRule>
    <cfRule type="cellIs" dxfId="7875" priority="7806" stopIfTrue="1" operator="equal">
      <formula>"Fail"</formula>
    </cfRule>
  </conditionalFormatting>
  <conditionalFormatting sqref="I767:P767">
    <cfRule type="cellIs" dxfId="7874" priority="7803" stopIfTrue="1" operator="equal">
      <formula>"Pass"</formula>
    </cfRule>
    <cfRule type="cellIs" dxfId="7873" priority="7804" stopIfTrue="1" operator="equal">
      <formula>"Fail"</formula>
    </cfRule>
  </conditionalFormatting>
  <conditionalFormatting sqref="H767:O767">
    <cfRule type="cellIs" dxfId="7872" priority="7801" stopIfTrue="1" operator="equal">
      <formula>"Pass"</formula>
    </cfRule>
    <cfRule type="cellIs" dxfId="7871" priority="7802" stopIfTrue="1" operator="equal">
      <formula>"Fail"</formula>
    </cfRule>
  </conditionalFormatting>
  <conditionalFormatting sqref="H767:O767">
    <cfRule type="cellIs" dxfId="7870" priority="7799" stopIfTrue="1" operator="equal">
      <formula>"Pass"</formula>
    </cfRule>
    <cfRule type="cellIs" dxfId="7869" priority="7800" stopIfTrue="1" operator="equal">
      <formula>"Fail"</formula>
    </cfRule>
  </conditionalFormatting>
  <conditionalFormatting sqref="I767:P767">
    <cfRule type="cellIs" dxfId="7868" priority="7797" stopIfTrue="1" operator="equal">
      <formula>"Pass"</formula>
    </cfRule>
    <cfRule type="cellIs" dxfId="7867" priority="7798" stopIfTrue="1" operator="equal">
      <formula>"Fail"</formula>
    </cfRule>
  </conditionalFormatting>
  <conditionalFormatting sqref="I767:P767">
    <cfRule type="cellIs" dxfId="7866" priority="7795" stopIfTrue="1" operator="equal">
      <formula>"Pass"</formula>
    </cfRule>
    <cfRule type="cellIs" dxfId="7865" priority="7796" stopIfTrue="1" operator="equal">
      <formula>"Fail"</formula>
    </cfRule>
  </conditionalFormatting>
  <conditionalFormatting sqref="I767:P767">
    <cfRule type="cellIs" dxfId="7864" priority="7793" stopIfTrue="1" operator="equal">
      <formula>"Pass"</formula>
    </cfRule>
    <cfRule type="cellIs" dxfId="7863" priority="7794" stopIfTrue="1" operator="equal">
      <formula>"Fail"</formula>
    </cfRule>
  </conditionalFormatting>
  <conditionalFormatting sqref="I767:P767">
    <cfRule type="cellIs" dxfId="7862" priority="7791" stopIfTrue="1" operator="equal">
      <formula>"Pass"</formula>
    </cfRule>
    <cfRule type="cellIs" dxfId="7861" priority="7792" stopIfTrue="1" operator="equal">
      <formula>"Fail"</formula>
    </cfRule>
  </conditionalFormatting>
  <conditionalFormatting sqref="H767:O767">
    <cfRule type="cellIs" dxfId="7860" priority="7789" stopIfTrue="1" operator="equal">
      <formula>"Pass"</formula>
    </cfRule>
    <cfRule type="cellIs" dxfId="7859" priority="7790" stopIfTrue="1" operator="equal">
      <formula>"Fail"</formula>
    </cfRule>
  </conditionalFormatting>
  <conditionalFormatting sqref="H767:O767">
    <cfRule type="cellIs" dxfId="7858" priority="7787" stopIfTrue="1" operator="equal">
      <formula>"Pass"</formula>
    </cfRule>
    <cfRule type="cellIs" dxfId="7857" priority="7788" stopIfTrue="1" operator="equal">
      <formula>"Fail"</formula>
    </cfRule>
  </conditionalFormatting>
  <conditionalFormatting sqref="I767:P767">
    <cfRule type="cellIs" dxfId="7856" priority="7785" stopIfTrue="1" operator="equal">
      <formula>"Pass"</formula>
    </cfRule>
    <cfRule type="cellIs" dxfId="7855" priority="7786" stopIfTrue="1" operator="equal">
      <formula>"Fail"</formula>
    </cfRule>
  </conditionalFormatting>
  <conditionalFormatting sqref="I767:P767">
    <cfRule type="cellIs" dxfId="7854" priority="7783" stopIfTrue="1" operator="equal">
      <formula>"Pass"</formula>
    </cfRule>
    <cfRule type="cellIs" dxfId="7853" priority="7784" stopIfTrue="1" operator="equal">
      <formula>"Fail"</formula>
    </cfRule>
  </conditionalFormatting>
  <conditionalFormatting sqref="I767:P767">
    <cfRule type="cellIs" dxfId="7852" priority="7781" stopIfTrue="1" operator="equal">
      <formula>"Pass"</formula>
    </cfRule>
    <cfRule type="cellIs" dxfId="7851" priority="7782" stopIfTrue="1" operator="equal">
      <formula>"Fail"</formula>
    </cfRule>
  </conditionalFormatting>
  <conditionalFormatting sqref="I767:P767">
    <cfRule type="cellIs" dxfId="7850" priority="7779" stopIfTrue="1" operator="equal">
      <formula>"Pass"</formula>
    </cfRule>
    <cfRule type="cellIs" dxfId="7849" priority="7780" stopIfTrue="1" operator="equal">
      <formula>"Fail"</formula>
    </cfRule>
  </conditionalFormatting>
  <conditionalFormatting sqref="H767:O767">
    <cfRule type="cellIs" dxfId="7848" priority="7777" stopIfTrue="1" operator="equal">
      <formula>"Pass"</formula>
    </cfRule>
    <cfRule type="cellIs" dxfId="7847" priority="7778" stopIfTrue="1" operator="equal">
      <formula>"Fail"</formula>
    </cfRule>
  </conditionalFormatting>
  <conditionalFormatting sqref="H767:O767">
    <cfRule type="cellIs" dxfId="7846" priority="7775" stopIfTrue="1" operator="equal">
      <formula>"Pass"</formula>
    </cfRule>
    <cfRule type="cellIs" dxfId="7845" priority="7776" stopIfTrue="1" operator="equal">
      <formula>"Fail"</formula>
    </cfRule>
  </conditionalFormatting>
  <conditionalFormatting sqref="I767:P767">
    <cfRule type="cellIs" dxfId="7844" priority="7773" stopIfTrue="1" operator="equal">
      <formula>"Pass"</formula>
    </cfRule>
    <cfRule type="cellIs" dxfId="7843" priority="7774" stopIfTrue="1" operator="equal">
      <formula>"Fail"</formula>
    </cfRule>
  </conditionalFormatting>
  <conditionalFormatting sqref="I767:P767">
    <cfRule type="cellIs" dxfId="7842" priority="7771" stopIfTrue="1" operator="equal">
      <formula>"Pass"</formula>
    </cfRule>
    <cfRule type="cellIs" dxfId="7841" priority="7772" stopIfTrue="1" operator="equal">
      <formula>"Fail"</formula>
    </cfRule>
  </conditionalFormatting>
  <conditionalFormatting sqref="I767:P767">
    <cfRule type="cellIs" dxfId="7840" priority="7769" stopIfTrue="1" operator="equal">
      <formula>"Pass"</formula>
    </cfRule>
    <cfRule type="cellIs" dxfId="7839" priority="7770" stopIfTrue="1" operator="equal">
      <formula>"Fail"</formula>
    </cfRule>
  </conditionalFormatting>
  <conditionalFormatting sqref="I767:P767">
    <cfRule type="cellIs" dxfId="7838" priority="7767" stopIfTrue="1" operator="equal">
      <formula>"Pass"</formula>
    </cfRule>
    <cfRule type="cellIs" dxfId="7837" priority="7768" stopIfTrue="1" operator="equal">
      <formula>"Fail"</formula>
    </cfRule>
  </conditionalFormatting>
  <conditionalFormatting sqref="H767:O767">
    <cfRule type="cellIs" dxfId="7836" priority="7765" stopIfTrue="1" operator="equal">
      <formula>"Pass"</formula>
    </cfRule>
    <cfRule type="cellIs" dxfId="7835" priority="7766" stopIfTrue="1" operator="equal">
      <formula>"Fail"</formula>
    </cfRule>
  </conditionalFormatting>
  <conditionalFormatting sqref="H767:O767">
    <cfRule type="cellIs" dxfId="7834" priority="7763" stopIfTrue="1" operator="equal">
      <formula>"Pass"</formula>
    </cfRule>
    <cfRule type="cellIs" dxfId="7833" priority="7764" stopIfTrue="1" operator="equal">
      <formula>"Fail"</formula>
    </cfRule>
  </conditionalFormatting>
  <conditionalFormatting sqref="I767:P767">
    <cfRule type="cellIs" dxfId="7832" priority="7761" stopIfTrue="1" operator="equal">
      <formula>"Pass"</formula>
    </cfRule>
    <cfRule type="cellIs" dxfId="7831" priority="7762" stopIfTrue="1" operator="equal">
      <formula>"Fail"</formula>
    </cfRule>
  </conditionalFormatting>
  <conditionalFormatting sqref="I767:P767">
    <cfRule type="cellIs" dxfId="7830" priority="7759" stopIfTrue="1" operator="equal">
      <formula>"Pass"</formula>
    </cfRule>
    <cfRule type="cellIs" dxfId="7829" priority="7760" stopIfTrue="1" operator="equal">
      <formula>"Fail"</formula>
    </cfRule>
  </conditionalFormatting>
  <conditionalFormatting sqref="I767:P767">
    <cfRule type="cellIs" dxfId="7828" priority="7757" stopIfTrue="1" operator="equal">
      <formula>"Pass"</formula>
    </cfRule>
    <cfRule type="cellIs" dxfId="7827" priority="7758" stopIfTrue="1" operator="equal">
      <formula>"Fail"</formula>
    </cfRule>
  </conditionalFormatting>
  <conditionalFormatting sqref="I767:P767">
    <cfRule type="cellIs" dxfId="7826" priority="7755" stopIfTrue="1" operator="equal">
      <formula>"Pass"</formula>
    </cfRule>
    <cfRule type="cellIs" dxfId="7825" priority="7756" stopIfTrue="1" operator="equal">
      <formula>"Fail"</formula>
    </cfRule>
  </conditionalFormatting>
  <conditionalFormatting sqref="H767:O767">
    <cfRule type="cellIs" dxfId="7824" priority="7753" stopIfTrue="1" operator="equal">
      <formula>"Pass"</formula>
    </cfRule>
    <cfRule type="cellIs" dxfId="7823" priority="7754" stopIfTrue="1" operator="equal">
      <formula>"Fail"</formula>
    </cfRule>
  </conditionalFormatting>
  <conditionalFormatting sqref="H767:O767">
    <cfRule type="cellIs" dxfId="7822" priority="7751" stopIfTrue="1" operator="equal">
      <formula>"Pass"</formula>
    </cfRule>
    <cfRule type="cellIs" dxfId="7821" priority="7752" stopIfTrue="1" operator="equal">
      <formula>"Fail"</formula>
    </cfRule>
  </conditionalFormatting>
  <conditionalFormatting sqref="I767:P767">
    <cfRule type="cellIs" dxfId="7820" priority="7749" stopIfTrue="1" operator="equal">
      <formula>"Pass"</formula>
    </cfRule>
    <cfRule type="cellIs" dxfId="7819" priority="7750" stopIfTrue="1" operator="equal">
      <formula>"Fail"</formula>
    </cfRule>
  </conditionalFormatting>
  <conditionalFormatting sqref="I767:P767">
    <cfRule type="cellIs" dxfId="7818" priority="7747" stopIfTrue="1" operator="equal">
      <formula>"Pass"</formula>
    </cfRule>
    <cfRule type="cellIs" dxfId="7817" priority="7748" stopIfTrue="1" operator="equal">
      <formula>"Fail"</formula>
    </cfRule>
  </conditionalFormatting>
  <conditionalFormatting sqref="I767:P767">
    <cfRule type="cellIs" dxfId="7816" priority="7745" stopIfTrue="1" operator="equal">
      <formula>"Pass"</formula>
    </cfRule>
    <cfRule type="cellIs" dxfId="7815" priority="7746" stopIfTrue="1" operator="equal">
      <formula>"Fail"</formula>
    </cfRule>
  </conditionalFormatting>
  <conditionalFormatting sqref="I767:P767">
    <cfRule type="cellIs" dxfId="7814" priority="7743" stopIfTrue="1" operator="equal">
      <formula>"Pass"</formula>
    </cfRule>
    <cfRule type="cellIs" dxfId="7813" priority="7744" stopIfTrue="1" operator="equal">
      <formula>"Fail"</formula>
    </cfRule>
  </conditionalFormatting>
  <conditionalFormatting sqref="H767:O767">
    <cfRule type="cellIs" dxfId="7812" priority="7741" stopIfTrue="1" operator="equal">
      <formula>"Pass"</formula>
    </cfRule>
    <cfRule type="cellIs" dxfId="7811" priority="7742" stopIfTrue="1" operator="equal">
      <formula>"Fail"</formula>
    </cfRule>
  </conditionalFormatting>
  <conditionalFormatting sqref="H767:O767">
    <cfRule type="cellIs" dxfId="7810" priority="7739" stopIfTrue="1" operator="equal">
      <formula>"Pass"</formula>
    </cfRule>
    <cfRule type="cellIs" dxfId="7809" priority="7740" stopIfTrue="1" operator="equal">
      <formula>"Fail"</formula>
    </cfRule>
  </conditionalFormatting>
  <conditionalFormatting sqref="I767:P767">
    <cfRule type="cellIs" dxfId="7808" priority="7737" stopIfTrue="1" operator="equal">
      <formula>"Pass"</formula>
    </cfRule>
    <cfRule type="cellIs" dxfId="7807" priority="7738" stopIfTrue="1" operator="equal">
      <formula>"Fail"</formula>
    </cfRule>
  </conditionalFormatting>
  <conditionalFormatting sqref="I767:P767">
    <cfRule type="cellIs" dxfId="7806" priority="7735" stopIfTrue="1" operator="equal">
      <formula>"Pass"</formula>
    </cfRule>
    <cfRule type="cellIs" dxfId="7805" priority="7736" stopIfTrue="1" operator="equal">
      <formula>"Fail"</formula>
    </cfRule>
  </conditionalFormatting>
  <conditionalFormatting sqref="I767:P767">
    <cfRule type="cellIs" dxfId="7804" priority="7733" stopIfTrue="1" operator="equal">
      <formula>"Pass"</formula>
    </cfRule>
    <cfRule type="cellIs" dxfId="7803" priority="7734" stopIfTrue="1" operator="equal">
      <formula>"Fail"</formula>
    </cfRule>
  </conditionalFormatting>
  <conditionalFormatting sqref="I767:P767">
    <cfRule type="cellIs" dxfId="7802" priority="7731" stopIfTrue="1" operator="equal">
      <formula>"Pass"</formula>
    </cfRule>
    <cfRule type="cellIs" dxfId="7801" priority="7732" stopIfTrue="1" operator="equal">
      <formula>"Fail"</formula>
    </cfRule>
  </conditionalFormatting>
  <conditionalFormatting sqref="D767:E767 G767:P767">
    <cfRule type="cellIs" dxfId="7800" priority="7729" stopIfTrue="1" operator="equal">
      <formula>"Pass"</formula>
    </cfRule>
    <cfRule type="cellIs" dxfId="7799" priority="7730" stopIfTrue="1" operator="equal">
      <formula>"Fail"</formula>
    </cfRule>
  </conditionalFormatting>
  <conditionalFormatting sqref="E767 H767:P767">
    <cfRule type="cellIs" dxfId="7798" priority="7727" stopIfTrue="1" operator="equal">
      <formula>"Pass"</formula>
    </cfRule>
    <cfRule type="cellIs" dxfId="7797" priority="7728" stopIfTrue="1" operator="equal">
      <formula>"Fail"</formula>
    </cfRule>
  </conditionalFormatting>
  <conditionalFormatting sqref="E767 H767:P767">
    <cfRule type="cellIs" dxfId="7796" priority="7725" stopIfTrue="1" operator="equal">
      <formula>"Pass"</formula>
    </cfRule>
    <cfRule type="cellIs" dxfId="7795" priority="7726" stopIfTrue="1" operator="equal">
      <formula>"Fail"</formula>
    </cfRule>
  </conditionalFormatting>
  <conditionalFormatting sqref="E767 H767:P767">
    <cfRule type="cellIs" dxfId="7794" priority="7723" stopIfTrue="1" operator="equal">
      <formula>"Pass"</formula>
    </cfRule>
    <cfRule type="cellIs" dxfId="7793" priority="7724" stopIfTrue="1" operator="equal">
      <formula>"Fail"</formula>
    </cfRule>
  </conditionalFormatting>
  <conditionalFormatting sqref="E767 H767:P767">
    <cfRule type="cellIs" dxfId="7792" priority="7721" stopIfTrue="1" operator="equal">
      <formula>"Pass"</formula>
    </cfRule>
    <cfRule type="cellIs" dxfId="7791" priority="7722" stopIfTrue="1" operator="equal">
      <formula>"Fail"</formula>
    </cfRule>
  </conditionalFormatting>
  <conditionalFormatting sqref="E767 H767:P767">
    <cfRule type="cellIs" dxfId="7790" priority="7719" stopIfTrue="1" operator="equal">
      <formula>"Pass"</formula>
    </cfRule>
    <cfRule type="cellIs" dxfId="7789" priority="7720" stopIfTrue="1" operator="equal">
      <formula>"Fail"</formula>
    </cfRule>
  </conditionalFormatting>
  <conditionalFormatting sqref="E767 H767:P767">
    <cfRule type="cellIs" dxfId="7788" priority="7717" stopIfTrue="1" operator="equal">
      <formula>"Pass"</formula>
    </cfRule>
    <cfRule type="cellIs" dxfId="7787" priority="7718" stopIfTrue="1" operator="equal">
      <formula>"Fail"</formula>
    </cfRule>
  </conditionalFormatting>
  <conditionalFormatting sqref="E767 H767:P767">
    <cfRule type="cellIs" dxfId="7786" priority="7715" stopIfTrue="1" operator="equal">
      <formula>"Pass"</formula>
    </cfRule>
    <cfRule type="cellIs" dxfId="7785" priority="7716" stopIfTrue="1" operator="equal">
      <formula>"Fail"</formula>
    </cfRule>
  </conditionalFormatting>
  <conditionalFormatting sqref="E767 H767:P767">
    <cfRule type="cellIs" dxfId="7784" priority="7713" stopIfTrue="1" operator="equal">
      <formula>"Pass"</formula>
    </cfRule>
    <cfRule type="cellIs" dxfId="7783" priority="7714" stopIfTrue="1" operator="equal">
      <formula>"Fail"</formula>
    </cfRule>
  </conditionalFormatting>
  <conditionalFormatting sqref="E767 H767:P767">
    <cfRule type="cellIs" dxfId="7782" priority="7711" stopIfTrue="1" operator="equal">
      <formula>"Pass"</formula>
    </cfRule>
    <cfRule type="cellIs" dxfId="7781" priority="7712" stopIfTrue="1" operator="equal">
      <formula>"Fail"</formula>
    </cfRule>
  </conditionalFormatting>
  <conditionalFormatting sqref="E767 H767:P767">
    <cfRule type="cellIs" dxfId="7780" priority="7709" stopIfTrue="1" operator="equal">
      <formula>"Pass"</formula>
    </cfRule>
    <cfRule type="cellIs" dxfId="7779" priority="7710" stopIfTrue="1" operator="equal">
      <formula>"Fail"</formula>
    </cfRule>
  </conditionalFormatting>
  <conditionalFormatting sqref="E767 H767:P767">
    <cfRule type="cellIs" dxfId="7778" priority="7707" stopIfTrue="1" operator="equal">
      <formula>"Pass"</formula>
    </cfRule>
    <cfRule type="cellIs" dxfId="7777" priority="7708" stopIfTrue="1" operator="equal">
      <formula>"Fail"</formula>
    </cfRule>
  </conditionalFormatting>
  <conditionalFormatting sqref="E767 H767:P767">
    <cfRule type="cellIs" dxfId="7776" priority="7705" stopIfTrue="1" operator="equal">
      <formula>"Pass"</formula>
    </cfRule>
    <cfRule type="cellIs" dxfId="7775" priority="7706" stopIfTrue="1" operator="equal">
      <formula>"Fail"</formula>
    </cfRule>
  </conditionalFormatting>
  <conditionalFormatting sqref="E767 H767:P767">
    <cfRule type="cellIs" dxfId="7774" priority="7703" stopIfTrue="1" operator="equal">
      <formula>"Pass"</formula>
    </cfRule>
    <cfRule type="cellIs" dxfId="7773" priority="7704" stopIfTrue="1" operator="equal">
      <formula>"Fail"</formula>
    </cfRule>
  </conditionalFormatting>
  <conditionalFormatting sqref="E767 H767:P767">
    <cfRule type="cellIs" dxfId="7772" priority="7701" stopIfTrue="1" operator="equal">
      <formula>"Pass"</formula>
    </cfRule>
    <cfRule type="cellIs" dxfId="7771" priority="7702" stopIfTrue="1" operator="equal">
      <formula>"Fail"</formula>
    </cfRule>
  </conditionalFormatting>
  <conditionalFormatting sqref="E767 H767:P767">
    <cfRule type="cellIs" dxfId="7770" priority="7699" stopIfTrue="1" operator="equal">
      <formula>"Pass"</formula>
    </cfRule>
    <cfRule type="cellIs" dxfId="7769" priority="7700" stopIfTrue="1" operator="equal">
      <formula>"Fail"</formula>
    </cfRule>
  </conditionalFormatting>
  <conditionalFormatting sqref="E767 H767:P767">
    <cfRule type="cellIs" dxfId="7768" priority="7697" stopIfTrue="1" operator="equal">
      <formula>"Pass"</formula>
    </cfRule>
    <cfRule type="cellIs" dxfId="7767" priority="7698" stopIfTrue="1" operator="equal">
      <formula>"Fail"</formula>
    </cfRule>
  </conditionalFormatting>
  <conditionalFormatting sqref="E767 H767:P767">
    <cfRule type="cellIs" dxfId="7766" priority="7695" stopIfTrue="1" operator="equal">
      <formula>"Pass"</formula>
    </cfRule>
    <cfRule type="cellIs" dxfId="7765" priority="7696" stopIfTrue="1" operator="equal">
      <formula>"Fail"</formula>
    </cfRule>
  </conditionalFormatting>
  <conditionalFormatting sqref="E767 H767:P767">
    <cfRule type="cellIs" dxfId="7764" priority="7693" stopIfTrue="1" operator="equal">
      <formula>"Pass"</formula>
    </cfRule>
    <cfRule type="cellIs" dxfId="7763" priority="7694" stopIfTrue="1" operator="equal">
      <formula>"Fail"</formula>
    </cfRule>
  </conditionalFormatting>
  <conditionalFormatting sqref="H768:P768">
    <cfRule type="cellIs" dxfId="7762" priority="7691" stopIfTrue="1" operator="equal">
      <formula>"Pass"</formula>
    </cfRule>
    <cfRule type="cellIs" dxfId="7761" priority="7692" stopIfTrue="1" operator="equal">
      <formula>"Fail"</formula>
    </cfRule>
  </conditionalFormatting>
  <conditionalFormatting sqref="H768:O768">
    <cfRule type="cellIs" dxfId="7760" priority="7689" stopIfTrue="1" operator="equal">
      <formula>"Pass"</formula>
    </cfRule>
    <cfRule type="cellIs" dxfId="7759" priority="7690" stopIfTrue="1" operator="equal">
      <formula>"Fail"</formula>
    </cfRule>
  </conditionalFormatting>
  <conditionalFormatting sqref="H768:O768">
    <cfRule type="cellIs" dxfId="7758" priority="7687" stopIfTrue="1" operator="equal">
      <formula>"Pass"</formula>
    </cfRule>
    <cfRule type="cellIs" dxfId="7757" priority="7688" stopIfTrue="1" operator="equal">
      <formula>"Fail"</formula>
    </cfRule>
  </conditionalFormatting>
  <conditionalFormatting sqref="I768:P768">
    <cfRule type="cellIs" dxfId="7756" priority="7685" stopIfTrue="1" operator="equal">
      <formula>"Pass"</formula>
    </cfRule>
    <cfRule type="cellIs" dxfId="7755" priority="7686" stopIfTrue="1" operator="equal">
      <formula>"Fail"</formula>
    </cfRule>
  </conditionalFormatting>
  <conditionalFormatting sqref="I768:P768">
    <cfRule type="cellIs" dxfId="7754" priority="7683" stopIfTrue="1" operator="equal">
      <formula>"Pass"</formula>
    </cfRule>
    <cfRule type="cellIs" dxfId="7753" priority="7684" stopIfTrue="1" operator="equal">
      <formula>"Fail"</formula>
    </cfRule>
  </conditionalFormatting>
  <conditionalFormatting sqref="I768:P768">
    <cfRule type="cellIs" dxfId="7752" priority="7681" stopIfTrue="1" operator="equal">
      <formula>"Pass"</formula>
    </cfRule>
    <cfRule type="cellIs" dxfId="7751" priority="7682" stopIfTrue="1" operator="equal">
      <formula>"Fail"</formula>
    </cfRule>
  </conditionalFormatting>
  <conditionalFormatting sqref="I768:P768">
    <cfRule type="cellIs" dxfId="7750" priority="7679" stopIfTrue="1" operator="equal">
      <formula>"Pass"</formula>
    </cfRule>
    <cfRule type="cellIs" dxfId="7749" priority="7680" stopIfTrue="1" operator="equal">
      <formula>"Fail"</formula>
    </cfRule>
  </conditionalFormatting>
  <conditionalFormatting sqref="H768:O768">
    <cfRule type="cellIs" dxfId="7748" priority="7677" stopIfTrue="1" operator="equal">
      <formula>"Pass"</formula>
    </cfRule>
    <cfRule type="cellIs" dxfId="7747" priority="7678" stopIfTrue="1" operator="equal">
      <formula>"Fail"</formula>
    </cfRule>
  </conditionalFormatting>
  <conditionalFormatting sqref="H768:O768">
    <cfRule type="cellIs" dxfId="7746" priority="7675" stopIfTrue="1" operator="equal">
      <formula>"Pass"</formula>
    </cfRule>
    <cfRule type="cellIs" dxfId="7745" priority="7676" stopIfTrue="1" operator="equal">
      <formula>"Fail"</formula>
    </cfRule>
  </conditionalFormatting>
  <conditionalFormatting sqref="I768:P768">
    <cfRule type="cellIs" dxfId="7744" priority="7673" stopIfTrue="1" operator="equal">
      <formula>"Pass"</formula>
    </cfRule>
    <cfRule type="cellIs" dxfId="7743" priority="7674" stopIfTrue="1" operator="equal">
      <formula>"Fail"</formula>
    </cfRule>
  </conditionalFormatting>
  <conditionalFormatting sqref="I768:P768">
    <cfRule type="cellIs" dxfId="7742" priority="7671" stopIfTrue="1" operator="equal">
      <formula>"Pass"</formula>
    </cfRule>
    <cfRule type="cellIs" dxfId="7741" priority="7672" stopIfTrue="1" operator="equal">
      <formula>"Fail"</formula>
    </cfRule>
  </conditionalFormatting>
  <conditionalFormatting sqref="I768:P768">
    <cfRule type="cellIs" dxfId="7740" priority="7669" stopIfTrue="1" operator="equal">
      <formula>"Pass"</formula>
    </cfRule>
    <cfRule type="cellIs" dxfId="7739" priority="7670" stopIfTrue="1" operator="equal">
      <formula>"Fail"</formula>
    </cfRule>
  </conditionalFormatting>
  <conditionalFormatting sqref="I768:P768">
    <cfRule type="cellIs" dxfId="7738" priority="7667" stopIfTrue="1" operator="equal">
      <formula>"Pass"</formula>
    </cfRule>
    <cfRule type="cellIs" dxfId="7737" priority="7668" stopIfTrue="1" operator="equal">
      <formula>"Fail"</formula>
    </cfRule>
  </conditionalFormatting>
  <conditionalFormatting sqref="H768:O768">
    <cfRule type="cellIs" dxfId="7736" priority="7665" stopIfTrue="1" operator="equal">
      <formula>"Pass"</formula>
    </cfRule>
    <cfRule type="cellIs" dxfId="7735" priority="7666" stopIfTrue="1" operator="equal">
      <formula>"Fail"</formula>
    </cfRule>
  </conditionalFormatting>
  <conditionalFormatting sqref="H768:O768">
    <cfRule type="cellIs" dxfId="7734" priority="7663" stopIfTrue="1" operator="equal">
      <formula>"Pass"</formula>
    </cfRule>
    <cfRule type="cellIs" dxfId="7733" priority="7664" stopIfTrue="1" operator="equal">
      <formula>"Fail"</formula>
    </cfRule>
  </conditionalFormatting>
  <conditionalFormatting sqref="I768:P768">
    <cfRule type="cellIs" dxfId="7732" priority="7661" stopIfTrue="1" operator="equal">
      <formula>"Pass"</formula>
    </cfRule>
    <cfRule type="cellIs" dxfId="7731" priority="7662" stopIfTrue="1" operator="equal">
      <formula>"Fail"</formula>
    </cfRule>
  </conditionalFormatting>
  <conditionalFormatting sqref="I768:P768">
    <cfRule type="cellIs" dxfId="7730" priority="7659" stopIfTrue="1" operator="equal">
      <formula>"Pass"</formula>
    </cfRule>
    <cfRule type="cellIs" dxfId="7729" priority="7660" stopIfTrue="1" operator="equal">
      <formula>"Fail"</formula>
    </cfRule>
  </conditionalFormatting>
  <conditionalFormatting sqref="I768:P768">
    <cfRule type="cellIs" dxfId="7728" priority="7657" stopIfTrue="1" operator="equal">
      <formula>"Pass"</formula>
    </cfRule>
    <cfRule type="cellIs" dxfId="7727" priority="7658" stopIfTrue="1" operator="equal">
      <formula>"Fail"</formula>
    </cfRule>
  </conditionalFormatting>
  <conditionalFormatting sqref="I768:P768">
    <cfRule type="cellIs" dxfId="7726" priority="7655" stopIfTrue="1" operator="equal">
      <formula>"Pass"</formula>
    </cfRule>
    <cfRule type="cellIs" dxfId="7725" priority="7656" stopIfTrue="1" operator="equal">
      <formula>"Fail"</formula>
    </cfRule>
  </conditionalFormatting>
  <conditionalFormatting sqref="H768:O768">
    <cfRule type="cellIs" dxfId="7724" priority="7653" stopIfTrue="1" operator="equal">
      <formula>"Pass"</formula>
    </cfRule>
    <cfRule type="cellIs" dxfId="7723" priority="7654" stopIfTrue="1" operator="equal">
      <formula>"Fail"</formula>
    </cfRule>
  </conditionalFormatting>
  <conditionalFormatting sqref="H768:O768">
    <cfRule type="cellIs" dxfId="7722" priority="7651" stopIfTrue="1" operator="equal">
      <formula>"Pass"</formula>
    </cfRule>
    <cfRule type="cellIs" dxfId="7721" priority="7652" stopIfTrue="1" operator="equal">
      <formula>"Fail"</formula>
    </cfRule>
  </conditionalFormatting>
  <conditionalFormatting sqref="I768:P768">
    <cfRule type="cellIs" dxfId="7720" priority="7649" stopIfTrue="1" operator="equal">
      <formula>"Pass"</formula>
    </cfRule>
    <cfRule type="cellIs" dxfId="7719" priority="7650" stopIfTrue="1" operator="equal">
      <formula>"Fail"</formula>
    </cfRule>
  </conditionalFormatting>
  <conditionalFormatting sqref="I768:P768">
    <cfRule type="cellIs" dxfId="7718" priority="7647" stopIfTrue="1" operator="equal">
      <formula>"Pass"</formula>
    </cfRule>
    <cfRule type="cellIs" dxfId="7717" priority="7648" stopIfTrue="1" operator="equal">
      <formula>"Fail"</formula>
    </cfRule>
  </conditionalFormatting>
  <conditionalFormatting sqref="I768:P768">
    <cfRule type="cellIs" dxfId="7716" priority="7645" stopIfTrue="1" operator="equal">
      <formula>"Pass"</formula>
    </cfRule>
    <cfRule type="cellIs" dxfId="7715" priority="7646" stopIfTrue="1" operator="equal">
      <formula>"Fail"</formula>
    </cfRule>
  </conditionalFormatting>
  <conditionalFormatting sqref="I768:P768">
    <cfRule type="cellIs" dxfId="7714" priority="7643" stopIfTrue="1" operator="equal">
      <formula>"Pass"</formula>
    </cfRule>
    <cfRule type="cellIs" dxfId="7713" priority="7644" stopIfTrue="1" operator="equal">
      <formula>"Fail"</formula>
    </cfRule>
  </conditionalFormatting>
  <conditionalFormatting sqref="H768:O768">
    <cfRule type="cellIs" dxfId="7712" priority="7641" stopIfTrue="1" operator="equal">
      <formula>"Pass"</formula>
    </cfRule>
    <cfRule type="cellIs" dxfId="7711" priority="7642" stopIfTrue="1" operator="equal">
      <formula>"Fail"</formula>
    </cfRule>
  </conditionalFormatting>
  <conditionalFormatting sqref="H768:O768">
    <cfRule type="cellIs" dxfId="7710" priority="7639" stopIfTrue="1" operator="equal">
      <formula>"Pass"</formula>
    </cfRule>
    <cfRule type="cellIs" dxfId="7709" priority="7640" stopIfTrue="1" operator="equal">
      <formula>"Fail"</formula>
    </cfRule>
  </conditionalFormatting>
  <conditionalFormatting sqref="I768:P768">
    <cfRule type="cellIs" dxfId="7708" priority="7637" stopIfTrue="1" operator="equal">
      <formula>"Pass"</formula>
    </cfRule>
    <cfRule type="cellIs" dxfId="7707" priority="7638" stopIfTrue="1" operator="equal">
      <formula>"Fail"</formula>
    </cfRule>
  </conditionalFormatting>
  <conditionalFormatting sqref="I768:P768">
    <cfRule type="cellIs" dxfId="7706" priority="7635" stopIfTrue="1" operator="equal">
      <formula>"Pass"</formula>
    </cfRule>
    <cfRule type="cellIs" dxfId="7705" priority="7636" stopIfTrue="1" operator="equal">
      <formula>"Fail"</formula>
    </cfRule>
  </conditionalFormatting>
  <conditionalFormatting sqref="I768:P768">
    <cfRule type="cellIs" dxfId="7704" priority="7633" stopIfTrue="1" operator="equal">
      <formula>"Pass"</formula>
    </cfRule>
    <cfRule type="cellIs" dxfId="7703" priority="7634" stopIfTrue="1" operator="equal">
      <formula>"Fail"</formula>
    </cfRule>
  </conditionalFormatting>
  <conditionalFormatting sqref="I768:P768">
    <cfRule type="cellIs" dxfId="7702" priority="7631" stopIfTrue="1" operator="equal">
      <formula>"Pass"</formula>
    </cfRule>
    <cfRule type="cellIs" dxfId="7701" priority="7632" stopIfTrue="1" operator="equal">
      <formula>"Fail"</formula>
    </cfRule>
  </conditionalFormatting>
  <conditionalFormatting sqref="H768:O768">
    <cfRule type="cellIs" dxfId="7700" priority="7629" stopIfTrue="1" operator="equal">
      <formula>"Pass"</formula>
    </cfRule>
    <cfRule type="cellIs" dxfId="7699" priority="7630" stopIfTrue="1" operator="equal">
      <formula>"Fail"</formula>
    </cfRule>
  </conditionalFormatting>
  <conditionalFormatting sqref="H768:O768">
    <cfRule type="cellIs" dxfId="7698" priority="7627" stopIfTrue="1" operator="equal">
      <formula>"Pass"</formula>
    </cfRule>
    <cfRule type="cellIs" dxfId="7697" priority="7628" stopIfTrue="1" operator="equal">
      <formula>"Fail"</formula>
    </cfRule>
  </conditionalFormatting>
  <conditionalFormatting sqref="I768:P768">
    <cfRule type="cellIs" dxfId="7696" priority="7625" stopIfTrue="1" operator="equal">
      <formula>"Pass"</formula>
    </cfRule>
    <cfRule type="cellIs" dxfId="7695" priority="7626" stopIfTrue="1" operator="equal">
      <formula>"Fail"</formula>
    </cfRule>
  </conditionalFormatting>
  <conditionalFormatting sqref="I768:P768">
    <cfRule type="cellIs" dxfId="7694" priority="7623" stopIfTrue="1" operator="equal">
      <formula>"Pass"</formula>
    </cfRule>
    <cfRule type="cellIs" dxfId="7693" priority="7624" stopIfTrue="1" operator="equal">
      <formula>"Fail"</formula>
    </cfRule>
  </conditionalFormatting>
  <conditionalFormatting sqref="I768:P768">
    <cfRule type="cellIs" dxfId="7692" priority="7621" stopIfTrue="1" operator="equal">
      <formula>"Pass"</formula>
    </cfRule>
    <cfRule type="cellIs" dxfId="7691" priority="7622" stopIfTrue="1" operator="equal">
      <formula>"Fail"</formula>
    </cfRule>
  </conditionalFormatting>
  <conditionalFormatting sqref="I768:P768">
    <cfRule type="cellIs" dxfId="7690" priority="7619" stopIfTrue="1" operator="equal">
      <formula>"Pass"</formula>
    </cfRule>
    <cfRule type="cellIs" dxfId="7689" priority="7620" stopIfTrue="1" operator="equal">
      <formula>"Fail"</formula>
    </cfRule>
  </conditionalFormatting>
  <conditionalFormatting sqref="H768:O768">
    <cfRule type="cellIs" dxfId="7688" priority="7617" stopIfTrue="1" operator="equal">
      <formula>"Pass"</formula>
    </cfRule>
    <cfRule type="cellIs" dxfId="7687" priority="7618" stopIfTrue="1" operator="equal">
      <formula>"Fail"</formula>
    </cfRule>
  </conditionalFormatting>
  <conditionalFormatting sqref="H768:O768">
    <cfRule type="cellIs" dxfId="7686" priority="7615" stopIfTrue="1" operator="equal">
      <formula>"Pass"</formula>
    </cfRule>
    <cfRule type="cellIs" dxfId="7685" priority="7616" stopIfTrue="1" operator="equal">
      <formula>"Fail"</formula>
    </cfRule>
  </conditionalFormatting>
  <conditionalFormatting sqref="I768:P768">
    <cfRule type="cellIs" dxfId="7684" priority="7613" stopIfTrue="1" operator="equal">
      <formula>"Pass"</formula>
    </cfRule>
    <cfRule type="cellIs" dxfId="7683" priority="7614" stopIfTrue="1" operator="equal">
      <formula>"Fail"</formula>
    </cfRule>
  </conditionalFormatting>
  <conditionalFormatting sqref="I768:P768">
    <cfRule type="cellIs" dxfId="7682" priority="7611" stopIfTrue="1" operator="equal">
      <formula>"Pass"</formula>
    </cfRule>
    <cfRule type="cellIs" dxfId="7681" priority="7612" stopIfTrue="1" operator="equal">
      <formula>"Fail"</formula>
    </cfRule>
  </conditionalFormatting>
  <conditionalFormatting sqref="I768:P768">
    <cfRule type="cellIs" dxfId="7680" priority="7609" stopIfTrue="1" operator="equal">
      <formula>"Pass"</formula>
    </cfRule>
    <cfRule type="cellIs" dxfId="7679" priority="7610" stopIfTrue="1" operator="equal">
      <formula>"Fail"</formula>
    </cfRule>
  </conditionalFormatting>
  <conditionalFormatting sqref="I768:P768">
    <cfRule type="cellIs" dxfId="7678" priority="7607" stopIfTrue="1" operator="equal">
      <formula>"Pass"</formula>
    </cfRule>
    <cfRule type="cellIs" dxfId="7677" priority="7608" stopIfTrue="1" operator="equal">
      <formula>"Fail"</formula>
    </cfRule>
  </conditionalFormatting>
  <conditionalFormatting sqref="H768:O768">
    <cfRule type="cellIs" dxfId="7676" priority="7605" stopIfTrue="1" operator="equal">
      <formula>"Pass"</formula>
    </cfRule>
    <cfRule type="cellIs" dxfId="7675" priority="7606" stopIfTrue="1" operator="equal">
      <formula>"Fail"</formula>
    </cfRule>
  </conditionalFormatting>
  <conditionalFormatting sqref="H768:O768">
    <cfRule type="cellIs" dxfId="7674" priority="7603" stopIfTrue="1" operator="equal">
      <formula>"Pass"</formula>
    </cfRule>
    <cfRule type="cellIs" dxfId="7673" priority="7604" stopIfTrue="1" operator="equal">
      <formula>"Fail"</formula>
    </cfRule>
  </conditionalFormatting>
  <conditionalFormatting sqref="I768:P768">
    <cfRule type="cellIs" dxfId="7672" priority="7601" stopIfTrue="1" operator="equal">
      <formula>"Pass"</formula>
    </cfRule>
    <cfRule type="cellIs" dxfId="7671" priority="7602" stopIfTrue="1" operator="equal">
      <formula>"Fail"</formula>
    </cfRule>
  </conditionalFormatting>
  <conditionalFormatting sqref="I768:P768">
    <cfRule type="cellIs" dxfId="7670" priority="7599" stopIfTrue="1" operator="equal">
      <formula>"Pass"</formula>
    </cfRule>
    <cfRule type="cellIs" dxfId="7669" priority="7600" stopIfTrue="1" operator="equal">
      <formula>"Fail"</formula>
    </cfRule>
  </conditionalFormatting>
  <conditionalFormatting sqref="I768:P768">
    <cfRule type="cellIs" dxfId="7668" priority="7597" stopIfTrue="1" operator="equal">
      <formula>"Pass"</formula>
    </cfRule>
    <cfRule type="cellIs" dxfId="7667" priority="7598" stopIfTrue="1" operator="equal">
      <formula>"Fail"</formula>
    </cfRule>
  </conditionalFormatting>
  <conditionalFormatting sqref="I768:P768">
    <cfRule type="cellIs" dxfId="7666" priority="7595" stopIfTrue="1" operator="equal">
      <formula>"Pass"</formula>
    </cfRule>
    <cfRule type="cellIs" dxfId="7665" priority="7596" stopIfTrue="1" operator="equal">
      <formula>"Fail"</formula>
    </cfRule>
  </conditionalFormatting>
  <conditionalFormatting sqref="H768:O768">
    <cfRule type="cellIs" dxfId="7664" priority="7593" stopIfTrue="1" operator="equal">
      <formula>"Pass"</formula>
    </cfRule>
    <cfRule type="cellIs" dxfId="7663" priority="7594" stopIfTrue="1" operator="equal">
      <formula>"Fail"</formula>
    </cfRule>
  </conditionalFormatting>
  <conditionalFormatting sqref="H768:O768">
    <cfRule type="cellIs" dxfId="7662" priority="7591" stopIfTrue="1" operator="equal">
      <formula>"Pass"</formula>
    </cfRule>
    <cfRule type="cellIs" dxfId="7661" priority="7592" stopIfTrue="1" operator="equal">
      <formula>"Fail"</formula>
    </cfRule>
  </conditionalFormatting>
  <conditionalFormatting sqref="I768:P768">
    <cfRule type="cellIs" dxfId="7660" priority="7589" stopIfTrue="1" operator="equal">
      <formula>"Pass"</formula>
    </cfRule>
    <cfRule type="cellIs" dxfId="7659" priority="7590" stopIfTrue="1" operator="equal">
      <formula>"Fail"</formula>
    </cfRule>
  </conditionalFormatting>
  <conditionalFormatting sqref="I768:P768">
    <cfRule type="cellIs" dxfId="7658" priority="7587" stopIfTrue="1" operator="equal">
      <formula>"Pass"</formula>
    </cfRule>
    <cfRule type="cellIs" dxfId="7657" priority="7588" stopIfTrue="1" operator="equal">
      <formula>"Fail"</formula>
    </cfRule>
  </conditionalFormatting>
  <conditionalFormatting sqref="I768:P768">
    <cfRule type="cellIs" dxfId="7656" priority="7585" stopIfTrue="1" operator="equal">
      <formula>"Pass"</formula>
    </cfRule>
    <cfRule type="cellIs" dxfId="7655" priority="7586" stopIfTrue="1" operator="equal">
      <formula>"Fail"</formula>
    </cfRule>
  </conditionalFormatting>
  <conditionalFormatting sqref="I768:P768">
    <cfRule type="cellIs" dxfId="7654" priority="7583" stopIfTrue="1" operator="equal">
      <formula>"Pass"</formula>
    </cfRule>
    <cfRule type="cellIs" dxfId="7653" priority="7584" stopIfTrue="1" operator="equal">
      <formula>"Fail"</formula>
    </cfRule>
  </conditionalFormatting>
  <conditionalFormatting sqref="H768:O768">
    <cfRule type="cellIs" dxfId="7652" priority="7581" stopIfTrue="1" operator="equal">
      <formula>"Pass"</formula>
    </cfRule>
    <cfRule type="cellIs" dxfId="7651" priority="7582" stopIfTrue="1" operator="equal">
      <formula>"Fail"</formula>
    </cfRule>
  </conditionalFormatting>
  <conditionalFormatting sqref="H768:O768">
    <cfRule type="cellIs" dxfId="7650" priority="7579" stopIfTrue="1" operator="equal">
      <formula>"Pass"</formula>
    </cfRule>
    <cfRule type="cellIs" dxfId="7649" priority="7580" stopIfTrue="1" operator="equal">
      <formula>"Fail"</formula>
    </cfRule>
  </conditionalFormatting>
  <conditionalFormatting sqref="I768:P768">
    <cfRule type="cellIs" dxfId="7648" priority="7577" stopIfTrue="1" operator="equal">
      <formula>"Pass"</formula>
    </cfRule>
    <cfRule type="cellIs" dxfId="7647" priority="7578" stopIfTrue="1" operator="equal">
      <formula>"Fail"</formula>
    </cfRule>
  </conditionalFormatting>
  <conditionalFormatting sqref="I768:P768">
    <cfRule type="cellIs" dxfId="7646" priority="7575" stopIfTrue="1" operator="equal">
      <formula>"Pass"</formula>
    </cfRule>
    <cfRule type="cellIs" dxfId="7645" priority="7576" stopIfTrue="1" operator="equal">
      <formula>"Fail"</formula>
    </cfRule>
  </conditionalFormatting>
  <conditionalFormatting sqref="I768:P768">
    <cfRule type="cellIs" dxfId="7644" priority="7573" stopIfTrue="1" operator="equal">
      <formula>"Pass"</formula>
    </cfRule>
    <cfRule type="cellIs" dxfId="7643" priority="7574" stopIfTrue="1" operator="equal">
      <formula>"Fail"</formula>
    </cfRule>
  </conditionalFormatting>
  <conditionalFormatting sqref="I768:P768">
    <cfRule type="cellIs" dxfId="7642" priority="7571" stopIfTrue="1" operator="equal">
      <formula>"Pass"</formula>
    </cfRule>
    <cfRule type="cellIs" dxfId="7641" priority="7572" stopIfTrue="1" operator="equal">
      <formula>"Fail"</formula>
    </cfRule>
  </conditionalFormatting>
  <conditionalFormatting sqref="H768:O768">
    <cfRule type="cellIs" dxfId="7640" priority="7569" stopIfTrue="1" operator="equal">
      <formula>"Pass"</formula>
    </cfRule>
    <cfRule type="cellIs" dxfId="7639" priority="7570" stopIfTrue="1" operator="equal">
      <formula>"Fail"</formula>
    </cfRule>
  </conditionalFormatting>
  <conditionalFormatting sqref="H768:O768">
    <cfRule type="cellIs" dxfId="7638" priority="7567" stopIfTrue="1" operator="equal">
      <formula>"Pass"</formula>
    </cfRule>
    <cfRule type="cellIs" dxfId="7637" priority="7568" stopIfTrue="1" operator="equal">
      <formula>"Fail"</formula>
    </cfRule>
  </conditionalFormatting>
  <conditionalFormatting sqref="I768:P768">
    <cfRule type="cellIs" dxfId="7636" priority="7565" stopIfTrue="1" operator="equal">
      <formula>"Pass"</formula>
    </cfRule>
    <cfRule type="cellIs" dxfId="7635" priority="7566" stopIfTrue="1" operator="equal">
      <formula>"Fail"</formula>
    </cfRule>
  </conditionalFormatting>
  <conditionalFormatting sqref="I768:P768">
    <cfRule type="cellIs" dxfId="7634" priority="7563" stopIfTrue="1" operator="equal">
      <formula>"Pass"</formula>
    </cfRule>
    <cfRule type="cellIs" dxfId="7633" priority="7564" stopIfTrue="1" operator="equal">
      <formula>"Fail"</formula>
    </cfRule>
  </conditionalFormatting>
  <conditionalFormatting sqref="I768:P768">
    <cfRule type="cellIs" dxfId="7632" priority="7561" stopIfTrue="1" operator="equal">
      <formula>"Pass"</formula>
    </cfRule>
    <cfRule type="cellIs" dxfId="7631" priority="7562" stopIfTrue="1" operator="equal">
      <formula>"Fail"</formula>
    </cfRule>
  </conditionalFormatting>
  <conditionalFormatting sqref="I768:P768">
    <cfRule type="cellIs" dxfId="7630" priority="7559" stopIfTrue="1" operator="equal">
      <formula>"Pass"</formula>
    </cfRule>
    <cfRule type="cellIs" dxfId="7629" priority="7560" stopIfTrue="1" operator="equal">
      <formula>"Fail"</formula>
    </cfRule>
  </conditionalFormatting>
  <conditionalFormatting sqref="H768:O768">
    <cfRule type="cellIs" dxfId="7628" priority="7557" stopIfTrue="1" operator="equal">
      <formula>"Pass"</formula>
    </cfRule>
    <cfRule type="cellIs" dxfId="7627" priority="7558" stopIfTrue="1" operator="equal">
      <formula>"Fail"</formula>
    </cfRule>
  </conditionalFormatting>
  <conditionalFormatting sqref="H768:O768">
    <cfRule type="cellIs" dxfId="7626" priority="7555" stopIfTrue="1" operator="equal">
      <formula>"Pass"</formula>
    </cfRule>
    <cfRule type="cellIs" dxfId="7625" priority="7556" stopIfTrue="1" operator="equal">
      <formula>"Fail"</formula>
    </cfRule>
  </conditionalFormatting>
  <conditionalFormatting sqref="I768:P768">
    <cfRule type="cellIs" dxfId="7624" priority="7553" stopIfTrue="1" operator="equal">
      <formula>"Pass"</formula>
    </cfRule>
    <cfRule type="cellIs" dxfId="7623" priority="7554" stopIfTrue="1" operator="equal">
      <formula>"Fail"</formula>
    </cfRule>
  </conditionalFormatting>
  <conditionalFormatting sqref="I768:P768">
    <cfRule type="cellIs" dxfId="7622" priority="7551" stopIfTrue="1" operator="equal">
      <formula>"Pass"</formula>
    </cfRule>
    <cfRule type="cellIs" dxfId="7621" priority="7552" stopIfTrue="1" operator="equal">
      <formula>"Fail"</formula>
    </cfRule>
  </conditionalFormatting>
  <conditionalFormatting sqref="I768:P768">
    <cfRule type="cellIs" dxfId="7620" priority="7549" stopIfTrue="1" operator="equal">
      <formula>"Pass"</formula>
    </cfRule>
    <cfRule type="cellIs" dxfId="7619" priority="7550" stopIfTrue="1" operator="equal">
      <formula>"Fail"</formula>
    </cfRule>
  </conditionalFormatting>
  <conditionalFormatting sqref="I768:P768">
    <cfRule type="cellIs" dxfId="7618" priority="7547" stopIfTrue="1" operator="equal">
      <formula>"Pass"</formula>
    </cfRule>
    <cfRule type="cellIs" dxfId="7617" priority="7548" stopIfTrue="1" operator="equal">
      <formula>"Fail"</formula>
    </cfRule>
  </conditionalFormatting>
  <conditionalFormatting sqref="H768:O768">
    <cfRule type="cellIs" dxfId="7616" priority="7545" stopIfTrue="1" operator="equal">
      <formula>"Pass"</formula>
    </cfRule>
    <cfRule type="cellIs" dxfId="7615" priority="7546" stopIfTrue="1" operator="equal">
      <formula>"Fail"</formula>
    </cfRule>
  </conditionalFormatting>
  <conditionalFormatting sqref="H768:O768">
    <cfRule type="cellIs" dxfId="7614" priority="7543" stopIfTrue="1" operator="equal">
      <formula>"Pass"</formula>
    </cfRule>
    <cfRule type="cellIs" dxfId="7613" priority="7544" stopIfTrue="1" operator="equal">
      <formula>"Fail"</formula>
    </cfRule>
  </conditionalFormatting>
  <conditionalFormatting sqref="I768:P768">
    <cfRule type="cellIs" dxfId="7612" priority="7541" stopIfTrue="1" operator="equal">
      <formula>"Pass"</formula>
    </cfRule>
    <cfRule type="cellIs" dxfId="7611" priority="7542" stopIfTrue="1" operator="equal">
      <formula>"Fail"</formula>
    </cfRule>
  </conditionalFormatting>
  <conditionalFormatting sqref="I768:P768">
    <cfRule type="cellIs" dxfId="7610" priority="7539" stopIfTrue="1" operator="equal">
      <formula>"Pass"</formula>
    </cfRule>
    <cfRule type="cellIs" dxfId="7609" priority="7540" stopIfTrue="1" operator="equal">
      <formula>"Fail"</formula>
    </cfRule>
  </conditionalFormatting>
  <conditionalFormatting sqref="I768:P768">
    <cfRule type="cellIs" dxfId="7608" priority="7537" stopIfTrue="1" operator="equal">
      <formula>"Pass"</formula>
    </cfRule>
    <cfRule type="cellIs" dxfId="7607" priority="7538" stopIfTrue="1" operator="equal">
      <formula>"Fail"</formula>
    </cfRule>
  </conditionalFormatting>
  <conditionalFormatting sqref="I768:P768">
    <cfRule type="cellIs" dxfId="7606" priority="7535" stopIfTrue="1" operator="equal">
      <formula>"Pass"</formula>
    </cfRule>
    <cfRule type="cellIs" dxfId="7605" priority="7536" stopIfTrue="1" operator="equal">
      <formula>"Fail"</formula>
    </cfRule>
  </conditionalFormatting>
  <conditionalFormatting sqref="H768:O768">
    <cfRule type="cellIs" dxfId="7604" priority="7533" stopIfTrue="1" operator="equal">
      <formula>"Pass"</formula>
    </cfRule>
    <cfRule type="cellIs" dxfId="7603" priority="7534" stopIfTrue="1" operator="equal">
      <formula>"Fail"</formula>
    </cfRule>
  </conditionalFormatting>
  <conditionalFormatting sqref="H768:O768">
    <cfRule type="cellIs" dxfId="7602" priority="7531" stopIfTrue="1" operator="equal">
      <formula>"Pass"</formula>
    </cfRule>
    <cfRule type="cellIs" dxfId="7601" priority="7532" stopIfTrue="1" operator="equal">
      <formula>"Fail"</formula>
    </cfRule>
  </conditionalFormatting>
  <conditionalFormatting sqref="I768:P768">
    <cfRule type="cellIs" dxfId="7600" priority="7529" stopIfTrue="1" operator="equal">
      <formula>"Pass"</formula>
    </cfRule>
    <cfRule type="cellIs" dxfId="7599" priority="7530" stopIfTrue="1" operator="equal">
      <formula>"Fail"</formula>
    </cfRule>
  </conditionalFormatting>
  <conditionalFormatting sqref="I768:P768">
    <cfRule type="cellIs" dxfId="7598" priority="7527" stopIfTrue="1" operator="equal">
      <formula>"Pass"</formula>
    </cfRule>
    <cfRule type="cellIs" dxfId="7597" priority="7528" stopIfTrue="1" operator="equal">
      <formula>"Fail"</formula>
    </cfRule>
  </conditionalFormatting>
  <conditionalFormatting sqref="I768:P768">
    <cfRule type="cellIs" dxfId="7596" priority="7525" stopIfTrue="1" operator="equal">
      <formula>"Pass"</formula>
    </cfRule>
    <cfRule type="cellIs" dxfId="7595" priority="7526" stopIfTrue="1" operator="equal">
      <formula>"Fail"</formula>
    </cfRule>
  </conditionalFormatting>
  <conditionalFormatting sqref="I768:P768">
    <cfRule type="cellIs" dxfId="7594" priority="7523" stopIfTrue="1" operator="equal">
      <formula>"Pass"</formula>
    </cfRule>
    <cfRule type="cellIs" dxfId="7593" priority="7524" stopIfTrue="1" operator="equal">
      <formula>"Fail"</formula>
    </cfRule>
  </conditionalFormatting>
  <conditionalFormatting sqref="H768:O768">
    <cfRule type="cellIs" dxfId="7592" priority="7521" stopIfTrue="1" operator="equal">
      <formula>"Pass"</formula>
    </cfRule>
    <cfRule type="cellIs" dxfId="7591" priority="7522" stopIfTrue="1" operator="equal">
      <formula>"Fail"</formula>
    </cfRule>
  </conditionalFormatting>
  <conditionalFormatting sqref="H768:O768">
    <cfRule type="cellIs" dxfId="7590" priority="7519" stopIfTrue="1" operator="equal">
      <formula>"Pass"</formula>
    </cfRule>
    <cfRule type="cellIs" dxfId="7589" priority="7520" stopIfTrue="1" operator="equal">
      <formula>"Fail"</formula>
    </cfRule>
  </conditionalFormatting>
  <conditionalFormatting sqref="I768:P768">
    <cfRule type="cellIs" dxfId="7588" priority="7517" stopIfTrue="1" operator="equal">
      <formula>"Pass"</formula>
    </cfRule>
    <cfRule type="cellIs" dxfId="7587" priority="7518" stopIfTrue="1" operator="equal">
      <formula>"Fail"</formula>
    </cfRule>
  </conditionalFormatting>
  <conditionalFormatting sqref="I768:P768">
    <cfRule type="cellIs" dxfId="7586" priority="7515" stopIfTrue="1" operator="equal">
      <formula>"Pass"</formula>
    </cfRule>
    <cfRule type="cellIs" dxfId="7585" priority="7516" stopIfTrue="1" operator="equal">
      <formula>"Fail"</formula>
    </cfRule>
  </conditionalFormatting>
  <conditionalFormatting sqref="I768:P768">
    <cfRule type="cellIs" dxfId="7584" priority="7513" stopIfTrue="1" operator="equal">
      <formula>"Pass"</formula>
    </cfRule>
    <cfRule type="cellIs" dxfId="7583" priority="7514" stopIfTrue="1" operator="equal">
      <formula>"Fail"</formula>
    </cfRule>
  </conditionalFormatting>
  <conditionalFormatting sqref="I768:P768">
    <cfRule type="cellIs" dxfId="7582" priority="7511" stopIfTrue="1" operator="equal">
      <formula>"Pass"</formula>
    </cfRule>
    <cfRule type="cellIs" dxfId="7581" priority="7512" stopIfTrue="1" operator="equal">
      <formula>"Fail"</formula>
    </cfRule>
  </conditionalFormatting>
  <conditionalFormatting sqref="H768:O768">
    <cfRule type="cellIs" dxfId="7580" priority="7509" stopIfTrue="1" operator="equal">
      <formula>"Pass"</formula>
    </cfRule>
    <cfRule type="cellIs" dxfId="7579" priority="7510" stopIfTrue="1" operator="equal">
      <formula>"Fail"</formula>
    </cfRule>
  </conditionalFormatting>
  <conditionalFormatting sqref="H768:O768">
    <cfRule type="cellIs" dxfId="7578" priority="7507" stopIfTrue="1" operator="equal">
      <formula>"Pass"</formula>
    </cfRule>
    <cfRule type="cellIs" dxfId="7577" priority="7508" stopIfTrue="1" operator="equal">
      <formula>"Fail"</formula>
    </cfRule>
  </conditionalFormatting>
  <conditionalFormatting sqref="I768:P768">
    <cfRule type="cellIs" dxfId="7576" priority="7505" stopIfTrue="1" operator="equal">
      <formula>"Pass"</formula>
    </cfRule>
    <cfRule type="cellIs" dxfId="7575" priority="7506" stopIfTrue="1" operator="equal">
      <formula>"Fail"</formula>
    </cfRule>
  </conditionalFormatting>
  <conditionalFormatting sqref="I768:P768">
    <cfRule type="cellIs" dxfId="7574" priority="7503" stopIfTrue="1" operator="equal">
      <formula>"Pass"</formula>
    </cfRule>
    <cfRule type="cellIs" dxfId="7573" priority="7504" stopIfTrue="1" operator="equal">
      <formula>"Fail"</formula>
    </cfRule>
  </conditionalFormatting>
  <conditionalFormatting sqref="I768:P768">
    <cfRule type="cellIs" dxfId="7572" priority="7501" stopIfTrue="1" operator="equal">
      <formula>"Pass"</formula>
    </cfRule>
    <cfRule type="cellIs" dxfId="7571" priority="7502" stopIfTrue="1" operator="equal">
      <formula>"Fail"</formula>
    </cfRule>
  </conditionalFormatting>
  <conditionalFormatting sqref="I768:P768">
    <cfRule type="cellIs" dxfId="7570" priority="7499" stopIfTrue="1" operator="equal">
      <formula>"Pass"</formula>
    </cfRule>
    <cfRule type="cellIs" dxfId="7569" priority="7500" stopIfTrue="1" operator="equal">
      <formula>"Fail"</formula>
    </cfRule>
  </conditionalFormatting>
  <conditionalFormatting sqref="H768:O768">
    <cfRule type="cellIs" dxfId="7568" priority="7497" stopIfTrue="1" operator="equal">
      <formula>"Pass"</formula>
    </cfRule>
    <cfRule type="cellIs" dxfId="7567" priority="7498" stopIfTrue="1" operator="equal">
      <formula>"Fail"</formula>
    </cfRule>
  </conditionalFormatting>
  <conditionalFormatting sqref="H768:O768">
    <cfRule type="cellIs" dxfId="7566" priority="7495" stopIfTrue="1" operator="equal">
      <formula>"Pass"</formula>
    </cfRule>
    <cfRule type="cellIs" dxfId="7565" priority="7496" stopIfTrue="1" operator="equal">
      <formula>"Fail"</formula>
    </cfRule>
  </conditionalFormatting>
  <conditionalFormatting sqref="I768:P768">
    <cfRule type="cellIs" dxfId="7564" priority="7493" stopIfTrue="1" operator="equal">
      <formula>"Pass"</formula>
    </cfRule>
    <cfRule type="cellIs" dxfId="7563" priority="7494" stopIfTrue="1" operator="equal">
      <formula>"Fail"</formula>
    </cfRule>
  </conditionalFormatting>
  <conditionalFormatting sqref="I768:P768">
    <cfRule type="cellIs" dxfId="7562" priority="7491" stopIfTrue="1" operator="equal">
      <formula>"Pass"</formula>
    </cfRule>
    <cfRule type="cellIs" dxfId="7561" priority="7492" stopIfTrue="1" operator="equal">
      <formula>"Fail"</formula>
    </cfRule>
  </conditionalFormatting>
  <conditionalFormatting sqref="I768:P768">
    <cfRule type="cellIs" dxfId="7560" priority="7489" stopIfTrue="1" operator="equal">
      <formula>"Pass"</formula>
    </cfRule>
    <cfRule type="cellIs" dxfId="7559" priority="7490" stopIfTrue="1" operator="equal">
      <formula>"Fail"</formula>
    </cfRule>
  </conditionalFormatting>
  <conditionalFormatting sqref="I768:P768">
    <cfRule type="cellIs" dxfId="7558" priority="7487" stopIfTrue="1" operator="equal">
      <formula>"Pass"</formula>
    </cfRule>
    <cfRule type="cellIs" dxfId="7557" priority="7488" stopIfTrue="1" operator="equal">
      <formula>"Fail"</formula>
    </cfRule>
  </conditionalFormatting>
  <conditionalFormatting sqref="H768:O768">
    <cfRule type="cellIs" dxfId="7556" priority="7485" stopIfTrue="1" operator="equal">
      <formula>"Pass"</formula>
    </cfRule>
    <cfRule type="cellIs" dxfId="7555" priority="7486" stopIfTrue="1" operator="equal">
      <formula>"Fail"</formula>
    </cfRule>
  </conditionalFormatting>
  <conditionalFormatting sqref="H768:O768">
    <cfRule type="cellIs" dxfId="7554" priority="7483" stopIfTrue="1" operator="equal">
      <formula>"Pass"</formula>
    </cfRule>
    <cfRule type="cellIs" dxfId="7553" priority="7484" stopIfTrue="1" operator="equal">
      <formula>"Fail"</formula>
    </cfRule>
  </conditionalFormatting>
  <conditionalFormatting sqref="I768:P768">
    <cfRule type="cellIs" dxfId="7552" priority="7481" stopIfTrue="1" operator="equal">
      <formula>"Pass"</formula>
    </cfRule>
    <cfRule type="cellIs" dxfId="7551" priority="7482" stopIfTrue="1" operator="equal">
      <formula>"Fail"</formula>
    </cfRule>
  </conditionalFormatting>
  <conditionalFormatting sqref="I768:P768">
    <cfRule type="cellIs" dxfId="7550" priority="7479" stopIfTrue="1" operator="equal">
      <formula>"Pass"</formula>
    </cfRule>
    <cfRule type="cellIs" dxfId="7549" priority="7480" stopIfTrue="1" operator="equal">
      <formula>"Fail"</formula>
    </cfRule>
  </conditionalFormatting>
  <conditionalFormatting sqref="I768:P768">
    <cfRule type="cellIs" dxfId="7548" priority="7477" stopIfTrue="1" operator="equal">
      <formula>"Pass"</formula>
    </cfRule>
    <cfRule type="cellIs" dxfId="7547" priority="7478" stopIfTrue="1" operator="equal">
      <formula>"Fail"</formula>
    </cfRule>
  </conditionalFormatting>
  <conditionalFormatting sqref="I768:P768">
    <cfRule type="cellIs" dxfId="7546" priority="7475" stopIfTrue="1" operator="equal">
      <formula>"Pass"</formula>
    </cfRule>
    <cfRule type="cellIs" dxfId="7545" priority="7476" stopIfTrue="1" operator="equal">
      <formula>"Fail"</formula>
    </cfRule>
  </conditionalFormatting>
  <conditionalFormatting sqref="H768:O768">
    <cfRule type="cellIs" dxfId="7544" priority="7473" stopIfTrue="1" operator="equal">
      <formula>"Pass"</formula>
    </cfRule>
    <cfRule type="cellIs" dxfId="7543" priority="7474" stopIfTrue="1" operator="equal">
      <formula>"Fail"</formula>
    </cfRule>
  </conditionalFormatting>
  <conditionalFormatting sqref="H768:O768">
    <cfRule type="cellIs" dxfId="7542" priority="7471" stopIfTrue="1" operator="equal">
      <formula>"Pass"</formula>
    </cfRule>
    <cfRule type="cellIs" dxfId="7541" priority="7472" stopIfTrue="1" operator="equal">
      <formula>"Fail"</formula>
    </cfRule>
  </conditionalFormatting>
  <conditionalFormatting sqref="I768:P768">
    <cfRule type="cellIs" dxfId="7540" priority="7469" stopIfTrue="1" operator="equal">
      <formula>"Pass"</formula>
    </cfRule>
    <cfRule type="cellIs" dxfId="7539" priority="7470" stopIfTrue="1" operator="equal">
      <formula>"Fail"</formula>
    </cfRule>
  </conditionalFormatting>
  <conditionalFormatting sqref="I768:P768">
    <cfRule type="cellIs" dxfId="7538" priority="7467" stopIfTrue="1" operator="equal">
      <formula>"Pass"</formula>
    </cfRule>
    <cfRule type="cellIs" dxfId="7537" priority="7468" stopIfTrue="1" operator="equal">
      <formula>"Fail"</formula>
    </cfRule>
  </conditionalFormatting>
  <conditionalFormatting sqref="I768:P768">
    <cfRule type="cellIs" dxfId="7536" priority="7465" stopIfTrue="1" operator="equal">
      <formula>"Pass"</formula>
    </cfRule>
    <cfRule type="cellIs" dxfId="7535" priority="7466" stopIfTrue="1" operator="equal">
      <formula>"Fail"</formula>
    </cfRule>
  </conditionalFormatting>
  <conditionalFormatting sqref="I768:P768">
    <cfRule type="cellIs" dxfId="7534" priority="7463" stopIfTrue="1" operator="equal">
      <formula>"Pass"</formula>
    </cfRule>
    <cfRule type="cellIs" dxfId="7533" priority="7464" stopIfTrue="1" operator="equal">
      <formula>"Fail"</formula>
    </cfRule>
  </conditionalFormatting>
  <conditionalFormatting sqref="H768:O768">
    <cfRule type="cellIs" dxfId="7532" priority="7461" stopIfTrue="1" operator="equal">
      <formula>"Pass"</formula>
    </cfRule>
    <cfRule type="cellIs" dxfId="7531" priority="7462" stopIfTrue="1" operator="equal">
      <formula>"Fail"</formula>
    </cfRule>
  </conditionalFormatting>
  <conditionalFormatting sqref="H768:O768">
    <cfRule type="cellIs" dxfId="7530" priority="7459" stopIfTrue="1" operator="equal">
      <formula>"Pass"</formula>
    </cfRule>
    <cfRule type="cellIs" dxfId="7529" priority="7460" stopIfTrue="1" operator="equal">
      <formula>"Fail"</formula>
    </cfRule>
  </conditionalFormatting>
  <conditionalFormatting sqref="I768:P768">
    <cfRule type="cellIs" dxfId="7528" priority="7457" stopIfTrue="1" operator="equal">
      <formula>"Pass"</formula>
    </cfRule>
    <cfRule type="cellIs" dxfId="7527" priority="7458" stopIfTrue="1" operator="equal">
      <formula>"Fail"</formula>
    </cfRule>
  </conditionalFormatting>
  <conditionalFormatting sqref="I768:P768">
    <cfRule type="cellIs" dxfId="7526" priority="7455" stopIfTrue="1" operator="equal">
      <formula>"Pass"</formula>
    </cfRule>
    <cfRule type="cellIs" dxfId="7525" priority="7456" stopIfTrue="1" operator="equal">
      <formula>"Fail"</formula>
    </cfRule>
  </conditionalFormatting>
  <conditionalFormatting sqref="I768:P768">
    <cfRule type="cellIs" dxfId="7524" priority="7453" stopIfTrue="1" operator="equal">
      <formula>"Pass"</formula>
    </cfRule>
    <cfRule type="cellIs" dxfId="7523" priority="7454" stopIfTrue="1" operator="equal">
      <formula>"Fail"</formula>
    </cfRule>
  </conditionalFormatting>
  <conditionalFormatting sqref="I768:P768">
    <cfRule type="cellIs" dxfId="7522" priority="7451" stopIfTrue="1" operator="equal">
      <formula>"Pass"</formula>
    </cfRule>
    <cfRule type="cellIs" dxfId="7521" priority="7452" stopIfTrue="1" operator="equal">
      <formula>"Fail"</formula>
    </cfRule>
  </conditionalFormatting>
  <conditionalFormatting sqref="D768:E768">
    <cfRule type="cellIs" dxfId="7520" priority="7449" stopIfTrue="1" operator="equal">
      <formula>"Pass"</formula>
    </cfRule>
    <cfRule type="cellIs" dxfId="7519" priority="7450" stopIfTrue="1" operator="equal">
      <formula>"Fail"</formula>
    </cfRule>
  </conditionalFormatting>
  <conditionalFormatting sqref="D768:E768">
    <cfRule type="cellIs" dxfId="7518" priority="7447" stopIfTrue="1" operator="equal">
      <formula>"Pass"</formula>
    </cfRule>
    <cfRule type="cellIs" dxfId="7517" priority="7448" stopIfTrue="1" operator="equal">
      <formula>"Fail"</formula>
    </cfRule>
  </conditionalFormatting>
  <conditionalFormatting sqref="G768:H768">
    <cfRule type="cellIs" dxfId="7516" priority="7445" stopIfTrue="1" operator="equal">
      <formula>"Pass"</formula>
    </cfRule>
    <cfRule type="cellIs" dxfId="7515" priority="7446" stopIfTrue="1" operator="equal">
      <formula>"Fail"</formula>
    </cfRule>
  </conditionalFormatting>
  <conditionalFormatting sqref="G768:H768">
    <cfRule type="cellIs" dxfId="7514" priority="7443" stopIfTrue="1" operator="equal">
      <formula>"Pass"</formula>
    </cfRule>
    <cfRule type="cellIs" dxfId="7513" priority="7444" stopIfTrue="1" operator="equal">
      <formula>"Fail"</formula>
    </cfRule>
  </conditionalFormatting>
  <conditionalFormatting sqref="G768:H768">
    <cfRule type="cellIs" dxfId="7512" priority="7441" stopIfTrue="1" operator="equal">
      <formula>"Pass"</formula>
    </cfRule>
    <cfRule type="cellIs" dxfId="7511" priority="7442" stopIfTrue="1" operator="equal">
      <formula>"Fail"</formula>
    </cfRule>
  </conditionalFormatting>
  <conditionalFormatting sqref="G768:H768">
    <cfRule type="cellIs" dxfId="7510" priority="7439" stopIfTrue="1" operator="equal">
      <formula>"Pass"</formula>
    </cfRule>
    <cfRule type="cellIs" dxfId="7509" priority="7440" stopIfTrue="1" operator="equal">
      <formula>"Fail"</formula>
    </cfRule>
  </conditionalFormatting>
  <conditionalFormatting sqref="H768:O768">
    <cfRule type="cellIs" dxfId="7508" priority="7437" stopIfTrue="1" operator="equal">
      <formula>"Pass"</formula>
    </cfRule>
    <cfRule type="cellIs" dxfId="7507" priority="7438" stopIfTrue="1" operator="equal">
      <formula>"Fail"</formula>
    </cfRule>
  </conditionalFormatting>
  <conditionalFormatting sqref="H768:O768">
    <cfRule type="cellIs" dxfId="7506" priority="7435" stopIfTrue="1" operator="equal">
      <formula>"Pass"</formula>
    </cfRule>
    <cfRule type="cellIs" dxfId="7505" priority="7436" stopIfTrue="1" operator="equal">
      <formula>"Fail"</formula>
    </cfRule>
  </conditionalFormatting>
  <conditionalFormatting sqref="I768:P768">
    <cfRule type="cellIs" dxfId="7504" priority="7433" stopIfTrue="1" operator="equal">
      <formula>"Pass"</formula>
    </cfRule>
    <cfRule type="cellIs" dxfId="7503" priority="7434" stopIfTrue="1" operator="equal">
      <formula>"Fail"</formula>
    </cfRule>
  </conditionalFormatting>
  <conditionalFormatting sqref="I768:P768">
    <cfRule type="cellIs" dxfId="7502" priority="7431" stopIfTrue="1" operator="equal">
      <formula>"Pass"</formula>
    </cfRule>
    <cfRule type="cellIs" dxfId="7501" priority="7432" stopIfTrue="1" operator="equal">
      <formula>"Fail"</formula>
    </cfRule>
  </conditionalFormatting>
  <conditionalFormatting sqref="I768:P768">
    <cfRule type="cellIs" dxfId="7500" priority="7429" stopIfTrue="1" operator="equal">
      <formula>"Pass"</formula>
    </cfRule>
    <cfRule type="cellIs" dxfId="7499" priority="7430" stopIfTrue="1" operator="equal">
      <formula>"Fail"</formula>
    </cfRule>
  </conditionalFormatting>
  <conditionalFormatting sqref="I768:P768">
    <cfRule type="cellIs" dxfId="7498" priority="7427" stopIfTrue="1" operator="equal">
      <formula>"Pass"</formula>
    </cfRule>
    <cfRule type="cellIs" dxfId="7497" priority="7428" stopIfTrue="1" operator="equal">
      <formula>"Fail"</formula>
    </cfRule>
  </conditionalFormatting>
  <conditionalFormatting sqref="H768:O768">
    <cfRule type="cellIs" dxfId="7496" priority="7425" stopIfTrue="1" operator="equal">
      <formula>"Pass"</formula>
    </cfRule>
    <cfRule type="cellIs" dxfId="7495" priority="7426" stopIfTrue="1" operator="equal">
      <formula>"Fail"</formula>
    </cfRule>
  </conditionalFormatting>
  <conditionalFormatting sqref="H768:O768">
    <cfRule type="cellIs" dxfId="7494" priority="7423" stopIfTrue="1" operator="equal">
      <formula>"Pass"</formula>
    </cfRule>
    <cfRule type="cellIs" dxfId="7493" priority="7424" stopIfTrue="1" operator="equal">
      <formula>"Fail"</formula>
    </cfRule>
  </conditionalFormatting>
  <conditionalFormatting sqref="I768:P768">
    <cfRule type="cellIs" dxfId="7492" priority="7421" stopIfTrue="1" operator="equal">
      <formula>"Pass"</formula>
    </cfRule>
    <cfRule type="cellIs" dxfId="7491" priority="7422" stopIfTrue="1" operator="equal">
      <formula>"Fail"</formula>
    </cfRule>
  </conditionalFormatting>
  <conditionalFormatting sqref="I768:P768">
    <cfRule type="cellIs" dxfId="7490" priority="7419" stopIfTrue="1" operator="equal">
      <formula>"Pass"</formula>
    </cfRule>
    <cfRule type="cellIs" dxfId="7489" priority="7420" stopIfTrue="1" operator="equal">
      <formula>"Fail"</formula>
    </cfRule>
  </conditionalFormatting>
  <conditionalFormatting sqref="I768:P768">
    <cfRule type="cellIs" dxfId="7488" priority="7417" stopIfTrue="1" operator="equal">
      <formula>"Pass"</formula>
    </cfRule>
    <cfRule type="cellIs" dxfId="7487" priority="7418" stopIfTrue="1" operator="equal">
      <formula>"Fail"</formula>
    </cfRule>
  </conditionalFormatting>
  <conditionalFormatting sqref="I768:P768">
    <cfRule type="cellIs" dxfId="7486" priority="7415" stopIfTrue="1" operator="equal">
      <formula>"Pass"</formula>
    </cfRule>
    <cfRule type="cellIs" dxfId="7485" priority="7416" stopIfTrue="1" operator="equal">
      <formula>"Fail"</formula>
    </cfRule>
  </conditionalFormatting>
  <conditionalFormatting sqref="H768:O768">
    <cfRule type="cellIs" dxfId="7484" priority="7413" stopIfTrue="1" operator="equal">
      <formula>"Pass"</formula>
    </cfRule>
    <cfRule type="cellIs" dxfId="7483" priority="7414" stopIfTrue="1" operator="equal">
      <formula>"Fail"</formula>
    </cfRule>
  </conditionalFormatting>
  <conditionalFormatting sqref="H768:O768">
    <cfRule type="cellIs" dxfId="7482" priority="7411" stopIfTrue="1" operator="equal">
      <formula>"Pass"</formula>
    </cfRule>
    <cfRule type="cellIs" dxfId="7481" priority="7412" stopIfTrue="1" operator="equal">
      <formula>"Fail"</formula>
    </cfRule>
  </conditionalFormatting>
  <conditionalFormatting sqref="I768:P768">
    <cfRule type="cellIs" dxfId="7480" priority="7409" stopIfTrue="1" operator="equal">
      <formula>"Pass"</formula>
    </cfRule>
    <cfRule type="cellIs" dxfId="7479" priority="7410" stopIfTrue="1" operator="equal">
      <formula>"Fail"</formula>
    </cfRule>
  </conditionalFormatting>
  <conditionalFormatting sqref="I768:P768">
    <cfRule type="cellIs" dxfId="7478" priority="7407" stopIfTrue="1" operator="equal">
      <formula>"Pass"</formula>
    </cfRule>
    <cfRule type="cellIs" dxfId="7477" priority="7408" stopIfTrue="1" operator="equal">
      <formula>"Fail"</formula>
    </cfRule>
  </conditionalFormatting>
  <conditionalFormatting sqref="I768:P768">
    <cfRule type="cellIs" dxfId="7476" priority="7405" stopIfTrue="1" operator="equal">
      <formula>"Pass"</formula>
    </cfRule>
    <cfRule type="cellIs" dxfId="7475" priority="7406" stopIfTrue="1" operator="equal">
      <formula>"Fail"</formula>
    </cfRule>
  </conditionalFormatting>
  <conditionalFormatting sqref="I768:P768">
    <cfRule type="cellIs" dxfId="7474" priority="7403" stopIfTrue="1" operator="equal">
      <formula>"Pass"</formula>
    </cfRule>
    <cfRule type="cellIs" dxfId="7473" priority="7404" stopIfTrue="1" operator="equal">
      <formula>"Fail"</formula>
    </cfRule>
  </conditionalFormatting>
  <conditionalFormatting sqref="H768:O768">
    <cfRule type="cellIs" dxfId="7472" priority="7401" stopIfTrue="1" operator="equal">
      <formula>"Pass"</formula>
    </cfRule>
    <cfRule type="cellIs" dxfId="7471" priority="7402" stopIfTrue="1" operator="equal">
      <formula>"Fail"</formula>
    </cfRule>
  </conditionalFormatting>
  <conditionalFormatting sqref="H768:O768">
    <cfRule type="cellIs" dxfId="7470" priority="7399" stopIfTrue="1" operator="equal">
      <formula>"Pass"</formula>
    </cfRule>
    <cfRule type="cellIs" dxfId="7469" priority="7400" stopIfTrue="1" operator="equal">
      <formula>"Fail"</formula>
    </cfRule>
  </conditionalFormatting>
  <conditionalFormatting sqref="I768:P768">
    <cfRule type="cellIs" dxfId="7468" priority="7397" stopIfTrue="1" operator="equal">
      <formula>"Pass"</formula>
    </cfRule>
    <cfRule type="cellIs" dxfId="7467" priority="7398" stopIfTrue="1" operator="equal">
      <formula>"Fail"</formula>
    </cfRule>
  </conditionalFormatting>
  <conditionalFormatting sqref="I768:P768">
    <cfRule type="cellIs" dxfId="7466" priority="7395" stopIfTrue="1" operator="equal">
      <formula>"Pass"</formula>
    </cfRule>
    <cfRule type="cellIs" dxfId="7465" priority="7396" stopIfTrue="1" operator="equal">
      <formula>"Fail"</formula>
    </cfRule>
  </conditionalFormatting>
  <conditionalFormatting sqref="I768:P768">
    <cfRule type="cellIs" dxfId="7464" priority="7393" stopIfTrue="1" operator="equal">
      <formula>"Pass"</formula>
    </cfRule>
    <cfRule type="cellIs" dxfId="7463" priority="7394" stopIfTrue="1" operator="equal">
      <formula>"Fail"</formula>
    </cfRule>
  </conditionalFormatting>
  <conditionalFormatting sqref="I768:P768">
    <cfRule type="cellIs" dxfId="7462" priority="7391" stopIfTrue="1" operator="equal">
      <formula>"Pass"</formula>
    </cfRule>
    <cfRule type="cellIs" dxfId="7461" priority="7392" stopIfTrue="1" operator="equal">
      <formula>"Fail"</formula>
    </cfRule>
  </conditionalFormatting>
  <conditionalFormatting sqref="H768:O768">
    <cfRule type="cellIs" dxfId="7460" priority="7389" stopIfTrue="1" operator="equal">
      <formula>"Pass"</formula>
    </cfRule>
    <cfRule type="cellIs" dxfId="7459" priority="7390" stopIfTrue="1" operator="equal">
      <formula>"Fail"</formula>
    </cfRule>
  </conditionalFormatting>
  <conditionalFormatting sqref="H768:O768">
    <cfRule type="cellIs" dxfId="7458" priority="7387" stopIfTrue="1" operator="equal">
      <formula>"Pass"</formula>
    </cfRule>
    <cfRule type="cellIs" dxfId="7457" priority="7388" stopIfTrue="1" operator="equal">
      <formula>"Fail"</formula>
    </cfRule>
  </conditionalFormatting>
  <conditionalFormatting sqref="I768:P768">
    <cfRule type="cellIs" dxfId="7456" priority="7385" stopIfTrue="1" operator="equal">
      <formula>"Pass"</formula>
    </cfRule>
    <cfRule type="cellIs" dxfId="7455" priority="7386" stopIfTrue="1" operator="equal">
      <formula>"Fail"</formula>
    </cfRule>
  </conditionalFormatting>
  <conditionalFormatting sqref="I768:P768">
    <cfRule type="cellIs" dxfId="7454" priority="7383" stopIfTrue="1" operator="equal">
      <formula>"Pass"</formula>
    </cfRule>
    <cfRule type="cellIs" dxfId="7453" priority="7384" stopIfTrue="1" operator="equal">
      <formula>"Fail"</formula>
    </cfRule>
  </conditionalFormatting>
  <conditionalFormatting sqref="I768:P768">
    <cfRule type="cellIs" dxfId="7452" priority="7381" stopIfTrue="1" operator="equal">
      <formula>"Pass"</formula>
    </cfRule>
    <cfRule type="cellIs" dxfId="7451" priority="7382" stopIfTrue="1" operator="equal">
      <formula>"Fail"</formula>
    </cfRule>
  </conditionalFormatting>
  <conditionalFormatting sqref="I768:P768">
    <cfRule type="cellIs" dxfId="7450" priority="7379" stopIfTrue="1" operator="equal">
      <formula>"Pass"</formula>
    </cfRule>
    <cfRule type="cellIs" dxfId="7449" priority="7380" stopIfTrue="1" operator="equal">
      <formula>"Fail"</formula>
    </cfRule>
  </conditionalFormatting>
  <conditionalFormatting sqref="H768:O768">
    <cfRule type="cellIs" dxfId="7448" priority="7377" stopIfTrue="1" operator="equal">
      <formula>"Pass"</formula>
    </cfRule>
    <cfRule type="cellIs" dxfId="7447" priority="7378" stopIfTrue="1" operator="equal">
      <formula>"Fail"</formula>
    </cfRule>
  </conditionalFormatting>
  <conditionalFormatting sqref="H768:O768">
    <cfRule type="cellIs" dxfId="7446" priority="7375" stopIfTrue="1" operator="equal">
      <formula>"Pass"</formula>
    </cfRule>
    <cfRule type="cellIs" dxfId="7445" priority="7376" stopIfTrue="1" operator="equal">
      <formula>"Fail"</formula>
    </cfRule>
  </conditionalFormatting>
  <conditionalFormatting sqref="I768:P768">
    <cfRule type="cellIs" dxfId="7444" priority="7373" stopIfTrue="1" operator="equal">
      <formula>"Pass"</formula>
    </cfRule>
    <cfRule type="cellIs" dxfId="7443" priority="7374" stopIfTrue="1" operator="equal">
      <formula>"Fail"</formula>
    </cfRule>
  </conditionalFormatting>
  <conditionalFormatting sqref="I768:P768">
    <cfRule type="cellIs" dxfId="7442" priority="7371" stopIfTrue="1" operator="equal">
      <formula>"Pass"</formula>
    </cfRule>
    <cfRule type="cellIs" dxfId="7441" priority="7372" stopIfTrue="1" operator="equal">
      <formula>"Fail"</formula>
    </cfRule>
  </conditionalFormatting>
  <conditionalFormatting sqref="I768:P768">
    <cfRule type="cellIs" dxfId="7440" priority="7369" stopIfTrue="1" operator="equal">
      <formula>"Pass"</formula>
    </cfRule>
    <cfRule type="cellIs" dxfId="7439" priority="7370" stopIfTrue="1" operator="equal">
      <formula>"Fail"</formula>
    </cfRule>
  </conditionalFormatting>
  <conditionalFormatting sqref="I768:P768">
    <cfRule type="cellIs" dxfId="7438" priority="7367" stopIfTrue="1" operator="equal">
      <formula>"Pass"</formula>
    </cfRule>
    <cfRule type="cellIs" dxfId="7437" priority="7368" stopIfTrue="1" operator="equal">
      <formula>"Fail"</formula>
    </cfRule>
  </conditionalFormatting>
  <conditionalFormatting sqref="H768:O768">
    <cfRule type="cellIs" dxfId="7436" priority="7365" stopIfTrue="1" operator="equal">
      <formula>"Pass"</formula>
    </cfRule>
    <cfRule type="cellIs" dxfId="7435" priority="7366" stopIfTrue="1" operator="equal">
      <formula>"Fail"</formula>
    </cfRule>
  </conditionalFormatting>
  <conditionalFormatting sqref="H768:O768">
    <cfRule type="cellIs" dxfId="7434" priority="7363" stopIfTrue="1" operator="equal">
      <formula>"Pass"</formula>
    </cfRule>
    <cfRule type="cellIs" dxfId="7433" priority="7364" stopIfTrue="1" operator="equal">
      <formula>"Fail"</formula>
    </cfRule>
  </conditionalFormatting>
  <conditionalFormatting sqref="I768:P768">
    <cfRule type="cellIs" dxfId="7432" priority="7361" stopIfTrue="1" operator="equal">
      <formula>"Pass"</formula>
    </cfRule>
    <cfRule type="cellIs" dxfId="7431" priority="7362" stopIfTrue="1" operator="equal">
      <formula>"Fail"</formula>
    </cfRule>
  </conditionalFormatting>
  <conditionalFormatting sqref="I768:P768">
    <cfRule type="cellIs" dxfId="7430" priority="7359" stopIfTrue="1" operator="equal">
      <formula>"Pass"</formula>
    </cfRule>
    <cfRule type="cellIs" dxfId="7429" priority="7360" stopIfTrue="1" operator="equal">
      <formula>"Fail"</formula>
    </cfRule>
  </conditionalFormatting>
  <conditionalFormatting sqref="I768:P768">
    <cfRule type="cellIs" dxfId="7428" priority="7357" stopIfTrue="1" operator="equal">
      <formula>"Pass"</formula>
    </cfRule>
    <cfRule type="cellIs" dxfId="7427" priority="7358" stopIfTrue="1" operator="equal">
      <formula>"Fail"</formula>
    </cfRule>
  </conditionalFormatting>
  <conditionalFormatting sqref="I768:P768">
    <cfRule type="cellIs" dxfId="7426" priority="7355" stopIfTrue="1" operator="equal">
      <formula>"Pass"</formula>
    </cfRule>
    <cfRule type="cellIs" dxfId="7425" priority="7356" stopIfTrue="1" operator="equal">
      <formula>"Fail"</formula>
    </cfRule>
  </conditionalFormatting>
  <conditionalFormatting sqref="H768:O768">
    <cfRule type="cellIs" dxfId="7424" priority="7353" stopIfTrue="1" operator="equal">
      <formula>"Pass"</formula>
    </cfRule>
    <cfRule type="cellIs" dxfId="7423" priority="7354" stopIfTrue="1" operator="equal">
      <formula>"Fail"</formula>
    </cfRule>
  </conditionalFormatting>
  <conditionalFormatting sqref="H768:O768">
    <cfRule type="cellIs" dxfId="7422" priority="7351" stopIfTrue="1" operator="equal">
      <formula>"Pass"</formula>
    </cfRule>
    <cfRule type="cellIs" dxfId="7421" priority="7352" stopIfTrue="1" operator="equal">
      <formula>"Fail"</formula>
    </cfRule>
  </conditionalFormatting>
  <conditionalFormatting sqref="I768:P768">
    <cfRule type="cellIs" dxfId="7420" priority="7349" stopIfTrue="1" operator="equal">
      <formula>"Pass"</formula>
    </cfRule>
    <cfRule type="cellIs" dxfId="7419" priority="7350" stopIfTrue="1" operator="equal">
      <formula>"Fail"</formula>
    </cfRule>
  </conditionalFormatting>
  <conditionalFormatting sqref="I768:P768">
    <cfRule type="cellIs" dxfId="7418" priority="7347" stopIfTrue="1" operator="equal">
      <formula>"Pass"</formula>
    </cfRule>
    <cfRule type="cellIs" dxfId="7417" priority="7348" stopIfTrue="1" operator="equal">
      <formula>"Fail"</formula>
    </cfRule>
  </conditionalFormatting>
  <conditionalFormatting sqref="I768:P768">
    <cfRule type="cellIs" dxfId="7416" priority="7345" stopIfTrue="1" operator="equal">
      <formula>"Pass"</formula>
    </cfRule>
    <cfRule type="cellIs" dxfId="7415" priority="7346" stopIfTrue="1" operator="equal">
      <formula>"Fail"</formula>
    </cfRule>
  </conditionalFormatting>
  <conditionalFormatting sqref="I768:P768">
    <cfRule type="cellIs" dxfId="7414" priority="7343" stopIfTrue="1" operator="equal">
      <formula>"Pass"</formula>
    </cfRule>
    <cfRule type="cellIs" dxfId="7413" priority="7344" stopIfTrue="1" operator="equal">
      <formula>"Fail"</formula>
    </cfRule>
  </conditionalFormatting>
  <conditionalFormatting sqref="H768:O768">
    <cfRule type="cellIs" dxfId="7412" priority="7341" stopIfTrue="1" operator="equal">
      <formula>"Pass"</formula>
    </cfRule>
    <cfRule type="cellIs" dxfId="7411" priority="7342" stopIfTrue="1" operator="equal">
      <formula>"Fail"</formula>
    </cfRule>
  </conditionalFormatting>
  <conditionalFormatting sqref="H768:O768">
    <cfRule type="cellIs" dxfId="7410" priority="7339" stopIfTrue="1" operator="equal">
      <formula>"Pass"</formula>
    </cfRule>
    <cfRule type="cellIs" dxfId="7409" priority="7340" stopIfTrue="1" operator="equal">
      <formula>"Fail"</formula>
    </cfRule>
  </conditionalFormatting>
  <conditionalFormatting sqref="I768:P768">
    <cfRule type="cellIs" dxfId="7408" priority="7337" stopIfTrue="1" operator="equal">
      <formula>"Pass"</formula>
    </cfRule>
    <cfRule type="cellIs" dxfId="7407" priority="7338" stopIfTrue="1" operator="equal">
      <formula>"Fail"</formula>
    </cfRule>
  </conditionalFormatting>
  <conditionalFormatting sqref="I768:P768">
    <cfRule type="cellIs" dxfId="7406" priority="7335" stopIfTrue="1" operator="equal">
      <formula>"Pass"</formula>
    </cfRule>
    <cfRule type="cellIs" dxfId="7405" priority="7336" stopIfTrue="1" operator="equal">
      <formula>"Fail"</formula>
    </cfRule>
  </conditionalFormatting>
  <conditionalFormatting sqref="I768:P768">
    <cfRule type="cellIs" dxfId="7404" priority="7333" stopIfTrue="1" operator="equal">
      <formula>"Pass"</formula>
    </cfRule>
    <cfRule type="cellIs" dxfId="7403" priority="7334" stopIfTrue="1" operator="equal">
      <formula>"Fail"</formula>
    </cfRule>
  </conditionalFormatting>
  <conditionalFormatting sqref="I768:P768">
    <cfRule type="cellIs" dxfId="7402" priority="7331" stopIfTrue="1" operator="equal">
      <formula>"Pass"</formula>
    </cfRule>
    <cfRule type="cellIs" dxfId="7401" priority="7332" stopIfTrue="1" operator="equal">
      <formula>"Fail"</formula>
    </cfRule>
  </conditionalFormatting>
  <conditionalFormatting sqref="H768:O768">
    <cfRule type="cellIs" dxfId="7400" priority="7329" stopIfTrue="1" operator="equal">
      <formula>"Pass"</formula>
    </cfRule>
    <cfRule type="cellIs" dxfId="7399" priority="7330" stopIfTrue="1" operator="equal">
      <formula>"Fail"</formula>
    </cfRule>
  </conditionalFormatting>
  <conditionalFormatting sqref="H768:O768">
    <cfRule type="cellIs" dxfId="7398" priority="7327" stopIfTrue="1" operator="equal">
      <formula>"Pass"</formula>
    </cfRule>
    <cfRule type="cellIs" dxfId="7397" priority="7328" stopIfTrue="1" operator="equal">
      <formula>"Fail"</formula>
    </cfRule>
  </conditionalFormatting>
  <conditionalFormatting sqref="I768:P768">
    <cfRule type="cellIs" dxfId="7396" priority="7325" stopIfTrue="1" operator="equal">
      <formula>"Pass"</formula>
    </cfRule>
    <cfRule type="cellIs" dxfId="7395" priority="7326" stopIfTrue="1" operator="equal">
      <formula>"Fail"</formula>
    </cfRule>
  </conditionalFormatting>
  <conditionalFormatting sqref="I768:P768">
    <cfRule type="cellIs" dxfId="7394" priority="7323" stopIfTrue="1" operator="equal">
      <formula>"Pass"</formula>
    </cfRule>
    <cfRule type="cellIs" dxfId="7393" priority="7324" stopIfTrue="1" operator="equal">
      <formula>"Fail"</formula>
    </cfRule>
  </conditionalFormatting>
  <conditionalFormatting sqref="I768:P768">
    <cfRule type="cellIs" dxfId="7392" priority="7321" stopIfTrue="1" operator="equal">
      <formula>"Pass"</formula>
    </cfRule>
    <cfRule type="cellIs" dxfId="7391" priority="7322" stopIfTrue="1" operator="equal">
      <formula>"Fail"</formula>
    </cfRule>
  </conditionalFormatting>
  <conditionalFormatting sqref="I768:P768">
    <cfRule type="cellIs" dxfId="7390" priority="7319" stopIfTrue="1" operator="equal">
      <formula>"Pass"</formula>
    </cfRule>
    <cfRule type="cellIs" dxfId="7389" priority="7320" stopIfTrue="1" operator="equal">
      <formula>"Fail"</formula>
    </cfRule>
  </conditionalFormatting>
  <conditionalFormatting sqref="H768:O768">
    <cfRule type="cellIs" dxfId="7388" priority="7317" stopIfTrue="1" operator="equal">
      <formula>"Pass"</formula>
    </cfRule>
    <cfRule type="cellIs" dxfId="7387" priority="7318" stopIfTrue="1" operator="equal">
      <formula>"Fail"</formula>
    </cfRule>
  </conditionalFormatting>
  <conditionalFormatting sqref="H768:O768">
    <cfRule type="cellIs" dxfId="7386" priority="7315" stopIfTrue="1" operator="equal">
      <formula>"Pass"</formula>
    </cfRule>
    <cfRule type="cellIs" dxfId="7385" priority="7316" stopIfTrue="1" operator="equal">
      <formula>"Fail"</formula>
    </cfRule>
  </conditionalFormatting>
  <conditionalFormatting sqref="I768:P768">
    <cfRule type="cellIs" dxfId="7384" priority="7313" stopIfTrue="1" operator="equal">
      <formula>"Pass"</formula>
    </cfRule>
    <cfRule type="cellIs" dxfId="7383" priority="7314" stopIfTrue="1" operator="equal">
      <formula>"Fail"</formula>
    </cfRule>
  </conditionalFormatting>
  <conditionalFormatting sqref="I768:P768">
    <cfRule type="cellIs" dxfId="7382" priority="7311" stopIfTrue="1" operator="equal">
      <formula>"Pass"</formula>
    </cfRule>
    <cfRule type="cellIs" dxfId="7381" priority="7312" stopIfTrue="1" operator="equal">
      <formula>"Fail"</formula>
    </cfRule>
  </conditionalFormatting>
  <conditionalFormatting sqref="I768:P768">
    <cfRule type="cellIs" dxfId="7380" priority="7309" stopIfTrue="1" operator="equal">
      <formula>"Pass"</formula>
    </cfRule>
    <cfRule type="cellIs" dxfId="7379" priority="7310" stopIfTrue="1" operator="equal">
      <formula>"Fail"</formula>
    </cfRule>
  </conditionalFormatting>
  <conditionalFormatting sqref="I768:P768">
    <cfRule type="cellIs" dxfId="7378" priority="7307" stopIfTrue="1" operator="equal">
      <formula>"Pass"</formula>
    </cfRule>
    <cfRule type="cellIs" dxfId="7377" priority="7308" stopIfTrue="1" operator="equal">
      <formula>"Fail"</formula>
    </cfRule>
  </conditionalFormatting>
  <conditionalFormatting sqref="H768:O768">
    <cfRule type="cellIs" dxfId="7376" priority="7305" stopIfTrue="1" operator="equal">
      <formula>"Pass"</formula>
    </cfRule>
    <cfRule type="cellIs" dxfId="7375" priority="7306" stopIfTrue="1" operator="equal">
      <formula>"Fail"</formula>
    </cfRule>
  </conditionalFormatting>
  <conditionalFormatting sqref="H768:O768">
    <cfRule type="cellIs" dxfId="7374" priority="7303" stopIfTrue="1" operator="equal">
      <formula>"Pass"</formula>
    </cfRule>
    <cfRule type="cellIs" dxfId="7373" priority="7304" stopIfTrue="1" operator="equal">
      <formula>"Fail"</formula>
    </cfRule>
  </conditionalFormatting>
  <conditionalFormatting sqref="I768:P768">
    <cfRule type="cellIs" dxfId="7372" priority="7301" stopIfTrue="1" operator="equal">
      <formula>"Pass"</formula>
    </cfRule>
    <cfRule type="cellIs" dxfId="7371" priority="7302" stopIfTrue="1" operator="equal">
      <formula>"Fail"</formula>
    </cfRule>
  </conditionalFormatting>
  <conditionalFormatting sqref="I768:P768">
    <cfRule type="cellIs" dxfId="7370" priority="7299" stopIfTrue="1" operator="equal">
      <formula>"Pass"</formula>
    </cfRule>
    <cfRule type="cellIs" dxfId="7369" priority="7300" stopIfTrue="1" operator="equal">
      <formula>"Fail"</formula>
    </cfRule>
  </conditionalFormatting>
  <conditionalFormatting sqref="I768:P768">
    <cfRule type="cellIs" dxfId="7368" priority="7297" stopIfTrue="1" operator="equal">
      <formula>"Pass"</formula>
    </cfRule>
    <cfRule type="cellIs" dxfId="7367" priority="7298" stopIfTrue="1" operator="equal">
      <formula>"Fail"</formula>
    </cfRule>
  </conditionalFormatting>
  <conditionalFormatting sqref="I768:P768">
    <cfRule type="cellIs" dxfId="7366" priority="7295" stopIfTrue="1" operator="equal">
      <formula>"Pass"</formula>
    </cfRule>
    <cfRule type="cellIs" dxfId="7365" priority="7296" stopIfTrue="1" operator="equal">
      <formula>"Fail"</formula>
    </cfRule>
  </conditionalFormatting>
  <conditionalFormatting sqref="D768:E768 G768:P768">
    <cfRule type="cellIs" dxfId="7364" priority="7293" stopIfTrue="1" operator="equal">
      <formula>"Pass"</formula>
    </cfRule>
    <cfRule type="cellIs" dxfId="7363" priority="7294" stopIfTrue="1" operator="equal">
      <formula>"Fail"</formula>
    </cfRule>
  </conditionalFormatting>
  <conditionalFormatting sqref="D768:E768 G768:P768">
    <cfRule type="cellIs" dxfId="7362" priority="7291" stopIfTrue="1" operator="equal">
      <formula>"Pass"</formula>
    </cfRule>
    <cfRule type="cellIs" dxfId="7361" priority="7292" stopIfTrue="1" operator="equal">
      <formula>"Fail"</formula>
    </cfRule>
  </conditionalFormatting>
  <conditionalFormatting sqref="D768:E768 G768:P768">
    <cfRule type="cellIs" dxfId="7360" priority="7289" stopIfTrue="1" operator="equal">
      <formula>"Pass"</formula>
    </cfRule>
    <cfRule type="cellIs" dxfId="7359" priority="7290" stopIfTrue="1" operator="equal">
      <formula>"Fail"</formula>
    </cfRule>
  </conditionalFormatting>
  <conditionalFormatting sqref="D768:E768 G768:P768">
    <cfRule type="cellIs" dxfId="7358" priority="7287" stopIfTrue="1" operator="equal">
      <formula>"Pass"</formula>
    </cfRule>
    <cfRule type="cellIs" dxfId="7357" priority="7288" stopIfTrue="1" operator="equal">
      <formula>"Fail"</formula>
    </cfRule>
  </conditionalFormatting>
  <conditionalFormatting sqref="D768:E768 G768:P768">
    <cfRule type="cellIs" dxfId="7356" priority="7285" stopIfTrue="1" operator="equal">
      <formula>"Pass"</formula>
    </cfRule>
    <cfRule type="cellIs" dxfId="7355" priority="7286" stopIfTrue="1" operator="equal">
      <formula>"Fail"</formula>
    </cfRule>
  </conditionalFormatting>
  <conditionalFormatting sqref="D768:E768 G768:P768">
    <cfRule type="cellIs" dxfId="7354" priority="7283" stopIfTrue="1" operator="equal">
      <formula>"Pass"</formula>
    </cfRule>
    <cfRule type="cellIs" dxfId="7353" priority="7284" stopIfTrue="1" operator="equal">
      <formula>"Fail"</formula>
    </cfRule>
  </conditionalFormatting>
  <conditionalFormatting sqref="D768:E768 G768:P768">
    <cfRule type="cellIs" dxfId="7352" priority="7281" stopIfTrue="1" operator="equal">
      <formula>"Pass"</formula>
    </cfRule>
    <cfRule type="cellIs" dxfId="7351" priority="7282" stopIfTrue="1" operator="equal">
      <formula>"Fail"</formula>
    </cfRule>
  </conditionalFormatting>
  <conditionalFormatting sqref="D768:E768 G768:P768">
    <cfRule type="cellIs" dxfId="7350" priority="7279" stopIfTrue="1" operator="equal">
      <formula>"Pass"</formula>
    </cfRule>
    <cfRule type="cellIs" dxfId="7349" priority="7280" stopIfTrue="1" operator="equal">
      <formula>"Fail"</formula>
    </cfRule>
  </conditionalFormatting>
  <conditionalFormatting sqref="D768:E768 G768:P768">
    <cfRule type="cellIs" dxfId="7348" priority="7277" stopIfTrue="1" operator="equal">
      <formula>"Pass"</formula>
    </cfRule>
    <cfRule type="cellIs" dxfId="7347" priority="7278" stopIfTrue="1" operator="equal">
      <formula>"Fail"</formula>
    </cfRule>
  </conditionalFormatting>
  <conditionalFormatting sqref="D768:E768 G768:P768">
    <cfRule type="cellIs" dxfId="7346" priority="7275" stopIfTrue="1" operator="equal">
      <formula>"Pass"</formula>
    </cfRule>
    <cfRule type="cellIs" dxfId="7345" priority="7276" stopIfTrue="1" operator="equal">
      <formula>"Fail"</formula>
    </cfRule>
  </conditionalFormatting>
  <conditionalFormatting sqref="D768:E768 G768:P768">
    <cfRule type="cellIs" dxfId="7344" priority="7273" stopIfTrue="1" operator="equal">
      <formula>"Pass"</formula>
    </cfRule>
    <cfRule type="cellIs" dxfId="7343" priority="7274" stopIfTrue="1" operator="equal">
      <formula>"Fail"</formula>
    </cfRule>
  </conditionalFormatting>
  <conditionalFormatting sqref="D768:E768 G768:P768">
    <cfRule type="cellIs" dxfId="7342" priority="7271" stopIfTrue="1" operator="equal">
      <formula>"Pass"</formula>
    </cfRule>
    <cfRule type="cellIs" dxfId="7341" priority="7272" stopIfTrue="1" operator="equal">
      <formula>"Fail"</formula>
    </cfRule>
  </conditionalFormatting>
  <conditionalFormatting sqref="D768:E768 G768:P768">
    <cfRule type="cellIs" dxfId="7340" priority="7269" stopIfTrue="1" operator="equal">
      <formula>"Pass"</formula>
    </cfRule>
    <cfRule type="cellIs" dxfId="7339" priority="7270" stopIfTrue="1" operator="equal">
      <formula>"Fail"</formula>
    </cfRule>
  </conditionalFormatting>
  <conditionalFormatting sqref="D768:E768 G768:P768">
    <cfRule type="cellIs" dxfId="7338" priority="7267" stopIfTrue="1" operator="equal">
      <formula>"Pass"</formula>
    </cfRule>
    <cfRule type="cellIs" dxfId="7337" priority="7268" stopIfTrue="1" operator="equal">
      <formula>"Fail"</formula>
    </cfRule>
  </conditionalFormatting>
  <conditionalFormatting sqref="D768:E768 G768:P768">
    <cfRule type="cellIs" dxfId="7336" priority="7265" stopIfTrue="1" operator="equal">
      <formula>"Pass"</formula>
    </cfRule>
    <cfRule type="cellIs" dxfId="7335" priority="7266" stopIfTrue="1" operator="equal">
      <formula>"Fail"</formula>
    </cfRule>
  </conditionalFormatting>
  <conditionalFormatting sqref="D768:E768 G768:P768">
    <cfRule type="cellIs" dxfId="7334" priority="7263" stopIfTrue="1" operator="equal">
      <formula>"Pass"</formula>
    </cfRule>
    <cfRule type="cellIs" dxfId="7333" priority="7264" stopIfTrue="1" operator="equal">
      <formula>"Fail"</formula>
    </cfRule>
  </conditionalFormatting>
  <conditionalFormatting sqref="D768:E768 G768:P768">
    <cfRule type="cellIs" dxfId="7332" priority="7261" stopIfTrue="1" operator="equal">
      <formula>"Pass"</formula>
    </cfRule>
    <cfRule type="cellIs" dxfId="7331" priority="7262" stopIfTrue="1" operator="equal">
      <formula>"Fail"</formula>
    </cfRule>
  </conditionalFormatting>
  <conditionalFormatting sqref="D768:E768 G768:P768">
    <cfRule type="cellIs" dxfId="7330" priority="7259" stopIfTrue="1" operator="equal">
      <formula>"Pass"</formula>
    </cfRule>
    <cfRule type="cellIs" dxfId="7329" priority="7260" stopIfTrue="1" operator="equal">
      <formula>"Fail"</formula>
    </cfRule>
  </conditionalFormatting>
  <conditionalFormatting sqref="D768:E768 G768:P768">
    <cfRule type="cellIs" dxfId="7328" priority="7257" stopIfTrue="1" operator="equal">
      <formula>"Pass"</formula>
    </cfRule>
    <cfRule type="cellIs" dxfId="7327" priority="7258" stopIfTrue="1" operator="equal">
      <formula>"Fail"</formula>
    </cfRule>
  </conditionalFormatting>
  <conditionalFormatting sqref="D768:E768 G768:P768">
    <cfRule type="cellIs" dxfId="7326" priority="7255" stopIfTrue="1" operator="equal">
      <formula>"Pass"</formula>
    </cfRule>
    <cfRule type="cellIs" dxfId="7325" priority="7256" stopIfTrue="1" operator="equal">
      <formula>"Fail"</formula>
    </cfRule>
  </conditionalFormatting>
  <conditionalFormatting sqref="D768:E768 G768:P768">
    <cfRule type="cellIs" dxfId="7324" priority="7253" stopIfTrue="1" operator="equal">
      <formula>"Pass"</formula>
    </cfRule>
    <cfRule type="cellIs" dxfId="7323" priority="7254" stopIfTrue="1" operator="equal">
      <formula>"Fail"</formula>
    </cfRule>
  </conditionalFormatting>
  <conditionalFormatting sqref="G764:L764">
    <cfRule type="cellIs" dxfId="7322" priority="7251" stopIfTrue="1" operator="equal">
      <formula>"Pass"</formula>
    </cfRule>
    <cfRule type="cellIs" dxfId="7321" priority="7252" stopIfTrue="1" operator="equal">
      <formula>"Fail"</formula>
    </cfRule>
  </conditionalFormatting>
  <conditionalFormatting sqref="H764:L764">
    <cfRule type="cellIs" dxfId="7320" priority="7249" stopIfTrue="1" operator="equal">
      <formula>"Pass"</formula>
    </cfRule>
    <cfRule type="cellIs" dxfId="7319" priority="7250" stopIfTrue="1" operator="equal">
      <formula>"Fail"</formula>
    </cfRule>
  </conditionalFormatting>
  <conditionalFormatting sqref="H764:L764">
    <cfRule type="cellIs" dxfId="7318" priority="7247" stopIfTrue="1" operator="equal">
      <formula>"Pass"</formula>
    </cfRule>
    <cfRule type="cellIs" dxfId="7317" priority="7248" stopIfTrue="1" operator="equal">
      <formula>"Fail"</formula>
    </cfRule>
  </conditionalFormatting>
  <conditionalFormatting sqref="I764:L764">
    <cfRule type="cellIs" dxfId="7316" priority="7245" stopIfTrue="1" operator="equal">
      <formula>"Pass"</formula>
    </cfRule>
    <cfRule type="cellIs" dxfId="7315" priority="7246" stopIfTrue="1" operator="equal">
      <formula>"Fail"</formula>
    </cfRule>
  </conditionalFormatting>
  <conditionalFormatting sqref="I764:L764">
    <cfRule type="cellIs" dxfId="7314" priority="7243" stopIfTrue="1" operator="equal">
      <formula>"Pass"</formula>
    </cfRule>
    <cfRule type="cellIs" dxfId="7313" priority="7244" stopIfTrue="1" operator="equal">
      <formula>"Fail"</formula>
    </cfRule>
  </conditionalFormatting>
  <conditionalFormatting sqref="I764:L764">
    <cfRule type="cellIs" dxfId="7312" priority="7241" stopIfTrue="1" operator="equal">
      <formula>"Pass"</formula>
    </cfRule>
    <cfRule type="cellIs" dxfId="7311" priority="7242" stopIfTrue="1" operator="equal">
      <formula>"Fail"</formula>
    </cfRule>
  </conditionalFormatting>
  <conditionalFormatting sqref="I764:L764">
    <cfRule type="cellIs" dxfId="7310" priority="7239" stopIfTrue="1" operator="equal">
      <formula>"Pass"</formula>
    </cfRule>
    <cfRule type="cellIs" dxfId="7309" priority="7240" stopIfTrue="1" operator="equal">
      <formula>"Fail"</formula>
    </cfRule>
  </conditionalFormatting>
  <conditionalFormatting sqref="H764:L764">
    <cfRule type="cellIs" dxfId="7308" priority="7237" stopIfTrue="1" operator="equal">
      <formula>"Pass"</formula>
    </cfRule>
    <cfRule type="cellIs" dxfId="7307" priority="7238" stopIfTrue="1" operator="equal">
      <formula>"Fail"</formula>
    </cfRule>
  </conditionalFormatting>
  <conditionalFormatting sqref="H764:L764">
    <cfRule type="cellIs" dxfId="7306" priority="7235" stopIfTrue="1" operator="equal">
      <formula>"Pass"</formula>
    </cfRule>
    <cfRule type="cellIs" dxfId="7305" priority="7236" stopIfTrue="1" operator="equal">
      <formula>"Fail"</formula>
    </cfRule>
  </conditionalFormatting>
  <conditionalFormatting sqref="I764:L764">
    <cfRule type="cellIs" dxfId="7304" priority="7233" stopIfTrue="1" operator="equal">
      <formula>"Pass"</formula>
    </cfRule>
    <cfRule type="cellIs" dxfId="7303" priority="7234" stopIfTrue="1" operator="equal">
      <formula>"Fail"</formula>
    </cfRule>
  </conditionalFormatting>
  <conditionalFormatting sqref="I764:L764">
    <cfRule type="cellIs" dxfId="7302" priority="7231" stopIfTrue="1" operator="equal">
      <formula>"Pass"</formula>
    </cfRule>
    <cfRule type="cellIs" dxfId="7301" priority="7232" stopIfTrue="1" operator="equal">
      <formula>"Fail"</formula>
    </cfRule>
  </conditionalFormatting>
  <conditionalFormatting sqref="I764:L764">
    <cfRule type="cellIs" dxfId="7300" priority="7229" stopIfTrue="1" operator="equal">
      <formula>"Pass"</formula>
    </cfRule>
    <cfRule type="cellIs" dxfId="7299" priority="7230" stopIfTrue="1" operator="equal">
      <formula>"Fail"</formula>
    </cfRule>
  </conditionalFormatting>
  <conditionalFormatting sqref="I764:L764">
    <cfRule type="cellIs" dxfId="7298" priority="7227" stopIfTrue="1" operator="equal">
      <formula>"Pass"</formula>
    </cfRule>
    <cfRule type="cellIs" dxfId="7297" priority="7228" stopIfTrue="1" operator="equal">
      <formula>"Fail"</formula>
    </cfRule>
  </conditionalFormatting>
  <conditionalFormatting sqref="H764:L764">
    <cfRule type="cellIs" dxfId="7296" priority="7225" stopIfTrue="1" operator="equal">
      <formula>"Pass"</formula>
    </cfRule>
    <cfRule type="cellIs" dxfId="7295" priority="7226" stopIfTrue="1" operator="equal">
      <formula>"Fail"</formula>
    </cfRule>
  </conditionalFormatting>
  <conditionalFormatting sqref="H764:L764">
    <cfRule type="cellIs" dxfId="7294" priority="7223" stopIfTrue="1" operator="equal">
      <formula>"Pass"</formula>
    </cfRule>
    <cfRule type="cellIs" dxfId="7293" priority="7224" stopIfTrue="1" operator="equal">
      <formula>"Fail"</formula>
    </cfRule>
  </conditionalFormatting>
  <conditionalFormatting sqref="I764:L764">
    <cfRule type="cellIs" dxfId="7292" priority="7221" stopIfTrue="1" operator="equal">
      <formula>"Pass"</formula>
    </cfRule>
    <cfRule type="cellIs" dxfId="7291" priority="7222" stopIfTrue="1" operator="equal">
      <formula>"Fail"</formula>
    </cfRule>
  </conditionalFormatting>
  <conditionalFormatting sqref="I764:L764">
    <cfRule type="cellIs" dxfId="7290" priority="7219" stopIfTrue="1" operator="equal">
      <formula>"Pass"</formula>
    </cfRule>
    <cfRule type="cellIs" dxfId="7289" priority="7220" stopIfTrue="1" operator="equal">
      <formula>"Fail"</formula>
    </cfRule>
  </conditionalFormatting>
  <conditionalFormatting sqref="I764:L764">
    <cfRule type="cellIs" dxfId="7288" priority="7217" stopIfTrue="1" operator="equal">
      <formula>"Pass"</formula>
    </cfRule>
    <cfRule type="cellIs" dxfId="7287" priority="7218" stopIfTrue="1" operator="equal">
      <formula>"Fail"</formula>
    </cfRule>
  </conditionalFormatting>
  <conditionalFormatting sqref="I764:L764">
    <cfRule type="cellIs" dxfId="7286" priority="7215" stopIfTrue="1" operator="equal">
      <formula>"Pass"</formula>
    </cfRule>
    <cfRule type="cellIs" dxfId="7285" priority="7216" stopIfTrue="1" operator="equal">
      <formula>"Fail"</formula>
    </cfRule>
  </conditionalFormatting>
  <conditionalFormatting sqref="H764:L764">
    <cfRule type="cellIs" dxfId="7284" priority="7213" stopIfTrue="1" operator="equal">
      <formula>"Pass"</formula>
    </cfRule>
    <cfRule type="cellIs" dxfId="7283" priority="7214" stopIfTrue="1" operator="equal">
      <formula>"Fail"</formula>
    </cfRule>
  </conditionalFormatting>
  <conditionalFormatting sqref="H764:L764">
    <cfRule type="cellIs" dxfId="7282" priority="7211" stopIfTrue="1" operator="equal">
      <formula>"Pass"</formula>
    </cfRule>
    <cfRule type="cellIs" dxfId="7281" priority="7212" stopIfTrue="1" operator="equal">
      <formula>"Fail"</formula>
    </cfRule>
  </conditionalFormatting>
  <conditionalFormatting sqref="I764:L764">
    <cfRule type="cellIs" dxfId="7280" priority="7209" stopIfTrue="1" operator="equal">
      <formula>"Pass"</formula>
    </cfRule>
    <cfRule type="cellIs" dxfId="7279" priority="7210" stopIfTrue="1" operator="equal">
      <formula>"Fail"</formula>
    </cfRule>
  </conditionalFormatting>
  <conditionalFormatting sqref="I764:L764">
    <cfRule type="cellIs" dxfId="7278" priority="7207" stopIfTrue="1" operator="equal">
      <formula>"Pass"</formula>
    </cfRule>
    <cfRule type="cellIs" dxfId="7277" priority="7208" stopIfTrue="1" operator="equal">
      <formula>"Fail"</formula>
    </cfRule>
  </conditionalFormatting>
  <conditionalFormatting sqref="I764:L764">
    <cfRule type="cellIs" dxfId="7276" priority="7205" stopIfTrue="1" operator="equal">
      <formula>"Pass"</formula>
    </cfRule>
    <cfRule type="cellIs" dxfId="7275" priority="7206" stopIfTrue="1" operator="equal">
      <formula>"Fail"</formula>
    </cfRule>
  </conditionalFormatting>
  <conditionalFormatting sqref="I764:L764">
    <cfRule type="cellIs" dxfId="7274" priority="7203" stopIfTrue="1" operator="equal">
      <formula>"Pass"</formula>
    </cfRule>
    <cfRule type="cellIs" dxfId="7273" priority="7204" stopIfTrue="1" operator="equal">
      <formula>"Fail"</formula>
    </cfRule>
  </conditionalFormatting>
  <conditionalFormatting sqref="H764:L764">
    <cfRule type="cellIs" dxfId="7272" priority="7201" stopIfTrue="1" operator="equal">
      <formula>"Pass"</formula>
    </cfRule>
    <cfRule type="cellIs" dxfId="7271" priority="7202" stopIfTrue="1" operator="equal">
      <formula>"Fail"</formula>
    </cfRule>
  </conditionalFormatting>
  <conditionalFormatting sqref="H764:L764">
    <cfRule type="cellIs" dxfId="7270" priority="7199" stopIfTrue="1" operator="equal">
      <formula>"Pass"</formula>
    </cfRule>
    <cfRule type="cellIs" dxfId="7269" priority="7200" stopIfTrue="1" operator="equal">
      <formula>"Fail"</formula>
    </cfRule>
  </conditionalFormatting>
  <conditionalFormatting sqref="I764:L764">
    <cfRule type="cellIs" dxfId="7268" priority="7197" stopIfTrue="1" operator="equal">
      <formula>"Pass"</formula>
    </cfRule>
    <cfRule type="cellIs" dxfId="7267" priority="7198" stopIfTrue="1" operator="equal">
      <formula>"Fail"</formula>
    </cfRule>
  </conditionalFormatting>
  <conditionalFormatting sqref="I764:L764">
    <cfRule type="cellIs" dxfId="7266" priority="7195" stopIfTrue="1" operator="equal">
      <formula>"Pass"</formula>
    </cfRule>
    <cfRule type="cellIs" dxfId="7265" priority="7196" stopIfTrue="1" operator="equal">
      <formula>"Fail"</formula>
    </cfRule>
  </conditionalFormatting>
  <conditionalFormatting sqref="I764:L764">
    <cfRule type="cellIs" dxfId="7264" priority="7193" stopIfTrue="1" operator="equal">
      <formula>"Pass"</formula>
    </cfRule>
    <cfRule type="cellIs" dxfId="7263" priority="7194" stopIfTrue="1" operator="equal">
      <formula>"Fail"</formula>
    </cfRule>
  </conditionalFormatting>
  <conditionalFormatting sqref="I764:L764">
    <cfRule type="cellIs" dxfId="7262" priority="7191" stopIfTrue="1" operator="equal">
      <formula>"Pass"</formula>
    </cfRule>
    <cfRule type="cellIs" dxfId="7261" priority="7192" stopIfTrue="1" operator="equal">
      <formula>"Fail"</formula>
    </cfRule>
  </conditionalFormatting>
  <conditionalFormatting sqref="G764">
    <cfRule type="cellIs" dxfId="7260" priority="7189" stopIfTrue="1" operator="equal">
      <formula>"Pass"</formula>
    </cfRule>
    <cfRule type="cellIs" dxfId="7259" priority="7190" stopIfTrue="1" operator="equal">
      <formula>"Fail"</formula>
    </cfRule>
  </conditionalFormatting>
  <conditionalFormatting sqref="G764">
    <cfRule type="cellIs" dxfId="7258" priority="7187" stopIfTrue="1" operator="equal">
      <formula>"Pass"</formula>
    </cfRule>
    <cfRule type="cellIs" dxfId="7257" priority="7188" stopIfTrue="1" operator="equal">
      <formula>"Fail"</formula>
    </cfRule>
  </conditionalFormatting>
  <conditionalFormatting sqref="G764">
    <cfRule type="cellIs" dxfId="7256" priority="7185" stopIfTrue="1" operator="equal">
      <formula>"Pass"</formula>
    </cfRule>
    <cfRule type="cellIs" dxfId="7255" priority="7186" stopIfTrue="1" operator="equal">
      <formula>"Fail"</formula>
    </cfRule>
  </conditionalFormatting>
  <conditionalFormatting sqref="G764">
    <cfRule type="cellIs" dxfId="7254" priority="7183" stopIfTrue="1" operator="equal">
      <formula>"Pass"</formula>
    </cfRule>
    <cfRule type="cellIs" dxfId="7253" priority="7184" stopIfTrue="1" operator="equal">
      <formula>"Fail"</formula>
    </cfRule>
  </conditionalFormatting>
  <conditionalFormatting sqref="G764">
    <cfRule type="cellIs" dxfId="7252" priority="7181" stopIfTrue="1" operator="equal">
      <formula>"Pass"</formula>
    </cfRule>
    <cfRule type="cellIs" dxfId="7251" priority="7182" stopIfTrue="1" operator="equal">
      <formula>"Fail"</formula>
    </cfRule>
  </conditionalFormatting>
  <conditionalFormatting sqref="G764">
    <cfRule type="cellIs" dxfId="7250" priority="7179" stopIfTrue="1" operator="equal">
      <formula>"Pass"</formula>
    </cfRule>
    <cfRule type="cellIs" dxfId="7249" priority="7180" stopIfTrue="1" operator="equal">
      <formula>"Fail"</formula>
    </cfRule>
  </conditionalFormatting>
  <conditionalFormatting sqref="H764:L764">
    <cfRule type="cellIs" dxfId="7248" priority="7177" stopIfTrue="1" operator="equal">
      <formula>"Pass"</formula>
    </cfRule>
    <cfRule type="cellIs" dxfId="7247" priority="7178" stopIfTrue="1" operator="equal">
      <formula>"Fail"</formula>
    </cfRule>
  </conditionalFormatting>
  <conditionalFormatting sqref="H764:L764">
    <cfRule type="cellIs" dxfId="7246" priority="7175" stopIfTrue="1" operator="equal">
      <formula>"Pass"</formula>
    </cfRule>
    <cfRule type="cellIs" dxfId="7245" priority="7176" stopIfTrue="1" operator="equal">
      <formula>"Fail"</formula>
    </cfRule>
  </conditionalFormatting>
  <conditionalFormatting sqref="I764:L764">
    <cfRule type="cellIs" dxfId="7244" priority="7173" stopIfTrue="1" operator="equal">
      <formula>"Pass"</formula>
    </cfRule>
    <cfRule type="cellIs" dxfId="7243" priority="7174" stopIfTrue="1" operator="equal">
      <formula>"Fail"</formula>
    </cfRule>
  </conditionalFormatting>
  <conditionalFormatting sqref="I764:L764">
    <cfRule type="cellIs" dxfId="7242" priority="7171" stopIfTrue="1" operator="equal">
      <formula>"Pass"</formula>
    </cfRule>
    <cfRule type="cellIs" dxfId="7241" priority="7172" stopIfTrue="1" operator="equal">
      <formula>"Fail"</formula>
    </cfRule>
  </conditionalFormatting>
  <conditionalFormatting sqref="I764:L764">
    <cfRule type="cellIs" dxfId="7240" priority="7169" stopIfTrue="1" operator="equal">
      <formula>"Pass"</formula>
    </cfRule>
    <cfRule type="cellIs" dxfId="7239" priority="7170" stopIfTrue="1" operator="equal">
      <formula>"Fail"</formula>
    </cfRule>
  </conditionalFormatting>
  <conditionalFormatting sqref="I764:L764">
    <cfRule type="cellIs" dxfId="7238" priority="7167" stopIfTrue="1" operator="equal">
      <formula>"Pass"</formula>
    </cfRule>
    <cfRule type="cellIs" dxfId="7237" priority="7168" stopIfTrue="1" operator="equal">
      <formula>"Fail"</formula>
    </cfRule>
  </conditionalFormatting>
  <conditionalFormatting sqref="H764:L764">
    <cfRule type="cellIs" dxfId="7236" priority="7165" stopIfTrue="1" operator="equal">
      <formula>"Pass"</formula>
    </cfRule>
    <cfRule type="cellIs" dxfId="7235" priority="7166" stopIfTrue="1" operator="equal">
      <formula>"Fail"</formula>
    </cfRule>
  </conditionalFormatting>
  <conditionalFormatting sqref="H764:L764">
    <cfRule type="cellIs" dxfId="7234" priority="7163" stopIfTrue="1" operator="equal">
      <formula>"Pass"</formula>
    </cfRule>
    <cfRule type="cellIs" dxfId="7233" priority="7164" stopIfTrue="1" operator="equal">
      <formula>"Fail"</formula>
    </cfRule>
  </conditionalFormatting>
  <conditionalFormatting sqref="I764:L764">
    <cfRule type="cellIs" dxfId="7232" priority="7161" stopIfTrue="1" operator="equal">
      <formula>"Pass"</formula>
    </cfRule>
    <cfRule type="cellIs" dxfId="7231" priority="7162" stopIfTrue="1" operator="equal">
      <formula>"Fail"</formula>
    </cfRule>
  </conditionalFormatting>
  <conditionalFormatting sqref="I764:L764">
    <cfRule type="cellIs" dxfId="7230" priority="7159" stopIfTrue="1" operator="equal">
      <formula>"Pass"</formula>
    </cfRule>
    <cfRule type="cellIs" dxfId="7229" priority="7160" stopIfTrue="1" operator="equal">
      <formula>"Fail"</formula>
    </cfRule>
  </conditionalFormatting>
  <conditionalFormatting sqref="I764:L764">
    <cfRule type="cellIs" dxfId="7228" priority="7157" stopIfTrue="1" operator="equal">
      <formula>"Pass"</formula>
    </cfRule>
    <cfRule type="cellIs" dxfId="7227" priority="7158" stopIfTrue="1" operator="equal">
      <formula>"Fail"</formula>
    </cfRule>
  </conditionalFormatting>
  <conditionalFormatting sqref="I764:L764">
    <cfRule type="cellIs" dxfId="7226" priority="7155" stopIfTrue="1" operator="equal">
      <formula>"Pass"</formula>
    </cfRule>
    <cfRule type="cellIs" dxfId="7225" priority="7156" stopIfTrue="1" operator="equal">
      <formula>"Fail"</formula>
    </cfRule>
  </conditionalFormatting>
  <conditionalFormatting sqref="H764:L764">
    <cfRule type="cellIs" dxfId="7224" priority="7153" stopIfTrue="1" operator="equal">
      <formula>"Pass"</formula>
    </cfRule>
    <cfRule type="cellIs" dxfId="7223" priority="7154" stopIfTrue="1" operator="equal">
      <formula>"Fail"</formula>
    </cfRule>
  </conditionalFormatting>
  <conditionalFormatting sqref="H764:L764">
    <cfRule type="cellIs" dxfId="7222" priority="7151" stopIfTrue="1" operator="equal">
      <formula>"Pass"</formula>
    </cfRule>
    <cfRule type="cellIs" dxfId="7221" priority="7152" stopIfTrue="1" operator="equal">
      <formula>"Fail"</formula>
    </cfRule>
  </conditionalFormatting>
  <conditionalFormatting sqref="I764:L764">
    <cfRule type="cellIs" dxfId="7220" priority="7149" stopIfTrue="1" operator="equal">
      <formula>"Pass"</formula>
    </cfRule>
    <cfRule type="cellIs" dxfId="7219" priority="7150" stopIfTrue="1" operator="equal">
      <formula>"Fail"</formula>
    </cfRule>
  </conditionalFormatting>
  <conditionalFormatting sqref="I764:L764">
    <cfRule type="cellIs" dxfId="7218" priority="7147" stopIfTrue="1" operator="equal">
      <formula>"Pass"</formula>
    </cfRule>
    <cfRule type="cellIs" dxfId="7217" priority="7148" stopIfTrue="1" operator="equal">
      <formula>"Fail"</formula>
    </cfRule>
  </conditionalFormatting>
  <conditionalFormatting sqref="I764:L764">
    <cfRule type="cellIs" dxfId="7216" priority="7145" stopIfTrue="1" operator="equal">
      <formula>"Pass"</formula>
    </cfRule>
    <cfRule type="cellIs" dxfId="7215" priority="7146" stopIfTrue="1" operator="equal">
      <formula>"Fail"</formula>
    </cfRule>
  </conditionalFormatting>
  <conditionalFormatting sqref="I764:L764">
    <cfRule type="cellIs" dxfId="7214" priority="7143" stopIfTrue="1" operator="equal">
      <formula>"Pass"</formula>
    </cfRule>
    <cfRule type="cellIs" dxfId="7213" priority="7144" stopIfTrue="1" operator="equal">
      <formula>"Fail"</formula>
    </cfRule>
  </conditionalFormatting>
  <conditionalFormatting sqref="H764:L764">
    <cfRule type="cellIs" dxfId="7212" priority="7141" stopIfTrue="1" operator="equal">
      <formula>"Pass"</formula>
    </cfRule>
    <cfRule type="cellIs" dxfId="7211" priority="7142" stopIfTrue="1" operator="equal">
      <formula>"Fail"</formula>
    </cfRule>
  </conditionalFormatting>
  <conditionalFormatting sqref="H764:L764">
    <cfRule type="cellIs" dxfId="7210" priority="7139" stopIfTrue="1" operator="equal">
      <formula>"Pass"</formula>
    </cfRule>
    <cfRule type="cellIs" dxfId="7209" priority="7140" stopIfTrue="1" operator="equal">
      <formula>"Fail"</formula>
    </cfRule>
  </conditionalFormatting>
  <conditionalFormatting sqref="I764:L764">
    <cfRule type="cellIs" dxfId="7208" priority="7137" stopIfTrue="1" operator="equal">
      <formula>"Pass"</formula>
    </cfRule>
    <cfRule type="cellIs" dxfId="7207" priority="7138" stopIfTrue="1" operator="equal">
      <formula>"Fail"</formula>
    </cfRule>
  </conditionalFormatting>
  <conditionalFormatting sqref="I764:L764">
    <cfRule type="cellIs" dxfId="7206" priority="7135" stopIfTrue="1" operator="equal">
      <formula>"Pass"</formula>
    </cfRule>
    <cfRule type="cellIs" dxfId="7205" priority="7136" stopIfTrue="1" operator="equal">
      <formula>"Fail"</formula>
    </cfRule>
  </conditionalFormatting>
  <conditionalFormatting sqref="I764:L764">
    <cfRule type="cellIs" dxfId="7204" priority="7133" stopIfTrue="1" operator="equal">
      <formula>"Pass"</formula>
    </cfRule>
    <cfRule type="cellIs" dxfId="7203" priority="7134" stopIfTrue="1" operator="equal">
      <formula>"Fail"</formula>
    </cfRule>
  </conditionalFormatting>
  <conditionalFormatting sqref="I764:L764">
    <cfRule type="cellIs" dxfId="7202" priority="7131" stopIfTrue="1" operator="equal">
      <formula>"Pass"</formula>
    </cfRule>
    <cfRule type="cellIs" dxfId="7201" priority="7132" stopIfTrue="1" operator="equal">
      <formula>"Fail"</formula>
    </cfRule>
  </conditionalFormatting>
  <conditionalFormatting sqref="G764">
    <cfRule type="cellIs" dxfId="7200" priority="7129" stopIfTrue="1" operator="equal">
      <formula>"Pass"</formula>
    </cfRule>
    <cfRule type="cellIs" dxfId="7199" priority="7130" stopIfTrue="1" operator="equal">
      <formula>"Fail"</formula>
    </cfRule>
  </conditionalFormatting>
  <conditionalFormatting sqref="G764">
    <cfRule type="cellIs" dxfId="7198" priority="7127" stopIfTrue="1" operator="equal">
      <formula>"Pass"</formula>
    </cfRule>
    <cfRule type="cellIs" dxfId="7197" priority="7128" stopIfTrue="1" operator="equal">
      <formula>"Fail"</formula>
    </cfRule>
  </conditionalFormatting>
  <conditionalFormatting sqref="G764">
    <cfRule type="cellIs" dxfId="7196" priority="7125" stopIfTrue="1" operator="equal">
      <formula>"Pass"</formula>
    </cfRule>
    <cfRule type="cellIs" dxfId="7195" priority="7126" stopIfTrue="1" operator="equal">
      <formula>"Fail"</formula>
    </cfRule>
  </conditionalFormatting>
  <conditionalFormatting sqref="G764">
    <cfRule type="cellIs" dxfId="7194" priority="7123" stopIfTrue="1" operator="equal">
      <formula>"Pass"</formula>
    </cfRule>
    <cfRule type="cellIs" dxfId="7193" priority="7124" stopIfTrue="1" operator="equal">
      <formula>"Fail"</formula>
    </cfRule>
  </conditionalFormatting>
  <conditionalFormatting sqref="G764">
    <cfRule type="cellIs" dxfId="7192" priority="7121" stopIfTrue="1" operator="equal">
      <formula>"Pass"</formula>
    </cfRule>
    <cfRule type="cellIs" dxfId="7191" priority="7122" stopIfTrue="1" operator="equal">
      <formula>"Fail"</formula>
    </cfRule>
  </conditionalFormatting>
  <conditionalFormatting sqref="G764">
    <cfRule type="cellIs" dxfId="7190" priority="7119" stopIfTrue="1" operator="equal">
      <formula>"Pass"</formula>
    </cfRule>
    <cfRule type="cellIs" dxfId="7189" priority="7120" stopIfTrue="1" operator="equal">
      <formula>"Fail"</formula>
    </cfRule>
  </conditionalFormatting>
  <conditionalFormatting sqref="H764:L764">
    <cfRule type="cellIs" dxfId="7188" priority="7117" stopIfTrue="1" operator="equal">
      <formula>"Pass"</formula>
    </cfRule>
    <cfRule type="cellIs" dxfId="7187" priority="7118" stopIfTrue="1" operator="equal">
      <formula>"Fail"</formula>
    </cfRule>
  </conditionalFormatting>
  <conditionalFormatting sqref="H764:L764">
    <cfRule type="cellIs" dxfId="7186" priority="7115" stopIfTrue="1" operator="equal">
      <formula>"Pass"</formula>
    </cfRule>
    <cfRule type="cellIs" dxfId="7185" priority="7116" stopIfTrue="1" operator="equal">
      <formula>"Fail"</formula>
    </cfRule>
  </conditionalFormatting>
  <conditionalFormatting sqref="I764:L764">
    <cfRule type="cellIs" dxfId="7184" priority="7113" stopIfTrue="1" operator="equal">
      <formula>"Pass"</formula>
    </cfRule>
    <cfRule type="cellIs" dxfId="7183" priority="7114" stopIfTrue="1" operator="equal">
      <formula>"Fail"</formula>
    </cfRule>
  </conditionalFormatting>
  <conditionalFormatting sqref="I764:L764">
    <cfRule type="cellIs" dxfId="7182" priority="7111" stopIfTrue="1" operator="equal">
      <formula>"Pass"</formula>
    </cfRule>
    <cfRule type="cellIs" dxfId="7181" priority="7112" stopIfTrue="1" operator="equal">
      <formula>"Fail"</formula>
    </cfRule>
  </conditionalFormatting>
  <conditionalFormatting sqref="I764:L764">
    <cfRule type="cellIs" dxfId="7180" priority="7109" stopIfTrue="1" operator="equal">
      <formula>"Pass"</formula>
    </cfRule>
    <cfRule type="cellIs" dxfId="7179" priority="7110" stopIfTrue="1" operator="equal">
      <formula>"Fail"</formula>
    </cfRule>
  </conditionalFormatting>
  <conditionalFormatting sqref="I764:L764">
    <cfRule type="cellIs" dxfId="7178" priority="7107" stopIfTrue="1" operator="equal">
      <formula>"Pass"</formula>
    </cfRule>
    <cfRule type="cellIs" dxfId="7177" priority="7108" stopIfTrue="1" operator="equal">
      <formula>"Fail"</formula>
    </cfRule>
  </conditionalFormatting>
  <conditionalFormatting sqref="H764:L764">
    <cfRule type="cellIs" dxfId="7176" priority="7105" stopIfTrue="1" operator="equal">
      <formula>"Pass"</formula>
    </cfRule>
    <cfRule type="cellIs" dxfId="7175" priority="7106" stopIfTrue="1" operator="equal">
      <formula>"Fail"</formula>
    </cfRule>
  </conditionalFormatting>
  <conditionalFormatting sqref="H764:L764">
    <cfRule type="cellIs" dxfId="7174" priority="7103" stopIfTrue="1" operator="equal">
      <formula>"Pass"</formula>
    </cfRule>
    <cfRule type="cellIs" dxfId="7173" priority="7104" stopIfTrue="1" operator="equal">
      <formula>"Fail"</formula>
    </cfRule>
  </conditionalFormatting>
  <conditionalFormatting sqref="I764:L764">
    <cfRule type="cellIs" dxfId="7172" priority="7101" stopIfTrue="1" operator="equal">
      <formula>"Pass"</formula>
    </cfRule>
    <cfRule type="cellIs" dxfId="7171" priority="7102" stopIfTrue="1" operator="equal">
      <formula>"Fail"</formula>
    </cfRule>
  </conditionalFormatting>
  <conditionalFormatting sqref="I764:L764">
    <cfRule type="cellIs" dxfId="7170" priority="7099" stopIfTrue="1" operator="equal">
      <formula>"Pass"</formula>
    </cfRule>
    <cfRule type="cellIs" dxfId="7169" priority="7100" stopIfTrue="1" operator="equal">
      <formula>"Fail"</formula>
    </cfRule>
  </conditionalFormatting>
  <conditionalFormatting sqref="I764:L764">
    <cfRule type="cellIs" dxfId="7168" priority="7097" stopIfTrue="1" operator="equal">
      <formula>"Pass"</formula>
    </cfRule>
    <cfRule type="cellIs" dxfId="7167" priority="7098" stopIfTrue="1" operator="equal">
      <formula>"Fail"</formula>
    </cfRule>
  </conditionalFormatting>
  <conditionalFormatting sqref="I764:L764">
    <cfRule type="cellIs" dxfId="7166" priority="7095" stopIfTrue="1" operator="equal">
      <formula>"Pass"</formula>
    </cfRule>
    <cfRule type="cellIs" dxfId="7165" priority="7096" stopIfTrue="1" operator="equal">
      <formula>"Fail"</formula>
    </cfRule>
  </conditionalFormatting>
  <conditionalFormatting sqref="H764:L764">
    <cfRule type="cellIs" dxfId="7164" priority="7093" stopIfTrue="1" operator="equal">
      <formula>"Pass"</formula>
    </cfRule>
    <cfRule type="cellIs" dxfId="7163" priority="7094" stopIfTrue="1" operator="equal">
      <formula>"Fail"</formula>
    </cfRule>
  </conditionalFormatting>
  <conditionalFormatting sqref="H764:L764">
    <cfRule type="cellIs" dxfId="7162" priority="7091" stopIfTrue="1" operator="equal">
      <formula>"Pass"</formula>
    </cfRule>
    <cfRule type="cellIs" dxfId="7161" priority="7092" stopIfTrue="1" operator="equal">
      <formula>"Fail"</formula>
    </cfRule>
  </conditionalFormatting>
  <conditionalFormatting sqref="I764:L764">
    <cfRule type="cellIs" dxfId="7160" priority="7089" stopIfTrue="1" operator="equal">
      <formula>"Pass"</formula>
    </cfRule>
    <cfRule type="cellIs" dxfId="7159" priority="7090" stopIfTrue="1" operator="equal">
      <formula>"Fail"</formula>
    </cfRule>
  </conditionalFormatting>
  <conditionalFormatting sqref="I764:L764">
    <cfRule type="cellIs" dxfId="7158" priority="7087" stopIfTrue="1" operator="equal">
      <formula>"Pass"</formula>
    </cfRule>
    <cfRule type="cellIs" dxfId="7157" priority="7088" stopIfTrue="1" operator="equal">
      <formula>"Fail"</formula>
    </cfRule>
  </conditionalFormatting>
  <conditionalFormatting sqref="I764:L764">
    <cfRule type="cellIs" dxfId="7156" priority="7085" stopIfTrue="1" operator="equal">
      <formula>"Pass"</formula>
    </cfRule>
    <cfRule type="cellIs" dxfId="7155" priority="7086" stopIfTrue="1" operator="equal">
      <formula>"Fail"</formula>
    </cfRule>
  </conditionalFormatting>
  <conditionalFormatting sqref="I764:L764">
    <cfRule type="cellIs" dxfId="7154" priority="7083" stopIfTrue="1" operator="equal">
      <formula>"Pass"</formula>
    </cfRule>
    <cfRule type="cellIs" dxfId="7153" priority="7084" stopIfTrue="1" operator="equal">
      <formula>"Fail"</formula>
    </cfRule>
  </conditionalFormatting>
  <conditionalFormatting sqref="H764:L764">
    <cfRule type="cellIs" dxfId="7152" priority="7081" stopIfTrue="1" operator="equal">
      <formula>"Pass"</formula>
    </cfRule>
    <cfRule type="cellIs" dxfId="7151" priority="7082" stopIfTrue="1" operator="equal">
      <formula>"Fail"</formula>
    </cfRule>
  </conditionalFormatting>
  <conditionalFormatting sqref="H764:L764">
    <cfRule type="cellIs" dxfId="7150" priority="7079" stopIfTrue="1" operator="equal">
      <formula>"Pass"</formula>
    </cfRule>
    <cfRule type="cellIs" dxfId="7149" priority="7080" stopIfTrue="1" operator="equal">
      <formula>"Fail"</formula>
    </cfRule>
  </conditionalFormatting>
  <conditionalFormatting sqref="I764:L764">
    <cfRule type="cellIs" dxfId="7148" priority="7077" stopIfTrue="1" operator="equal">
      <formula>"Pass"</formula>
    </cfRule>
    <cfRule type="cellIs" dxfId="7147" priority="7078" stopIfTrue="1" operator="equal">
      <formula>"Fail"</formula>
    </cfRule>
  </conditionalFormatting>
  <conditionalFormatting sqref="I764:L764">
    <cfRule type="cellIs" dxfId="7146" priority="7075" stopIfTrue="1" operator="equal">
      <formula>"Pass"</formula>
    </cfRule>
    <cfRule type="cellIs" dxfId="7145" priority="7076" stopIfTrue="1" operator="equal">
      <formula>"Fail"</formula>
    </cfRule>
  </conditionalFormatting>
  <conditionalFormatting sqref="I764:L764">
    <cfRule type="cellIs" dxfId="7144" priority="7073" stopIfTrue="1" operator="equal">
      <formula>"Pass"</formula>
    </cfRule>
    <cfRule type="cellIs" dxfId="7143" priority="7074" stopIfTrue="1" operator="equal">
      <formula>"Fail"</formula>
    </cfRule>
  </conditionalFormatting>
  <conditionalFormatting sqref="I764:L764">
    <cfRule type="cellIs" dxfId="7142" priority="7071" stopIfTrue="1" operator="equal">
      <formula>"Pass"</formula>
    </cfRule>
    <cfRule type="cellIs" dxfId="7141" priority="7072" stopIfTrue="1" operator="equal">
      <formula>"Fail"</formula>
    </cfRule>
  </conditionalFormatting>
  <conditionalFormatting sqref="G764">
    <cfRule type="cellIs" dxfId="7140" priority="7069" stopIfTrue="1" operator="equal">
      <formula>"Pass"</formula>
    </cfRule>
    <cfRule type="cellIs" dxfId="7139" priority="7070" stopIfTrue="1" operator="equal">
      <formula>"Fail"</formula>
    </cfRule>
  </conditionalFormatting>
  <conditionalFormatting sqref="G764">
    <cfRule type="cellIs" dxfId="7138" priority="7067" stopIfTrue="1" operator="equal">
      <formula>"Pass"</formula>
    </cfRule>
    <cfRule type="cellIs" dxfId="7137" priority="7068" stopIfTrue="1" operator="equal">
      <formula>"Fail"</formula>
    </cfRule>
  </conditionalFormatting>
  <conditionalFormatting sqref="G764">
    <cfRule type="cellIs" dxfId="7136" priority="7065" stopIfTrue="1" operator="equal">
      <formula>"Pass"</formula>
    </cfRule>
    <cfRule type="cellIs" dxfId="7135" priority="7066" stopIfTrue="1" operator="equal">
      <formula>"Fail"</formula>
    </cfRule>
  </conditionalFormatting>
  <conditionalFormatting sqref="G764">
    <cfRule type="cellIs" dxfId="7134" priority="7063" stopIfTrue="1" operator="equal">
      <formula>"Pass"</formula>
    </cfRule>
    <cfRule type="cellIs" dxfId="7133" priority="7064" stopIfTrue="1" operator="equal">
      <formula>"Fail"</formula>
    </cfRule>
  </conditionalFormatting>
  <conditionalFormatting sqref="G764">
    <cfRule type="cellIs" dxfId="7132" priority="7061" stopIfTrue="1" operator="equal">
      <formula>"Pass"</formula>
    </cfRule>
    <cfRule type="cellIs" dxfId="7131" priority="7062" stopIfTrue="1" operator="equal">
      <formula>"Fail"</formula>
    </cfRule>
  </conditionalFormatting>
  <conditionalFormatting sqref="G764">
    <cfRule type="cellIs" dxfId="7130" priority="7059" stopIfTrue="1" operator="equal">
      <formula>"Pass"</formula>
    </cfRule>
    <cfRule type="cellIs" dxfId="7129" priority="7060" stopIfTrue="1" operator="equal">
      <formula>"Fail"</formula>
    </cfRule>
  </conditionalFormatting>
  <conditionalFormatting sqref="G764">
    <cfRule type="cellIs" dxfId="7128" priority="7057" stopIfTrue="1" operator="equal">
      <formula>"Pass"</formula>
    </cfRule>
    <cfRule type="cellIs" dxfId="7127" priority="7058" stopIfTrue="1" operator="equal">
      <formula>"Fail"</formula>
    </cfRule>
  </conditionalFormatting>
  <conditionalFormatting sqref="G764">
    <cfRule type="cellIs" dxfId="7126" priority="7055" stopIfTrue="1" operator="equal">
      <formula>"Pass"</formula>
    </cfRule>
    <cfRule type="cellIs" dxfId="7125" priority="7056" stopIfTrue="1" operator="equal">
      <formula>"Fail"</formula>
    </cfRule>
  </conditionalFormatting>
  <conditionalFormatting sqref="G764">
    <cfRule type="cellIs" dxfId="7124" priority="7053" stopIfTrue="1" operator="equal">
      <formula>"Pass"</formula>
    </cfRule>
    <cfRule type="cellIs" dxfId="7123" priority="7054" stopIfTrue="1" operator="equal">
      <formula>"Fail"</formula>
    </cfRule>
  </conditionalFormatting>
  <conditionalFormatting sqref="G764">
    <cfRule type="cellIs" dxfId="7122" priority="7051" stopIfTrue="1" operator="equal">
      <formula>"Pass"</formula>
    </cfRule>
    <cfRule type="cellIs" dxfId="7121" priority="7052" stopIfTrue="1" operator="equal">
      <formula>"Fail"</formula>
    </cfRule>
  </conditionalFormatting>
  <conditionalFormatting sqref="G764">
    <cfRule type="cellIs" dxfId="7120" priority="7049" stopIfTrue="1" operator="equal">
      <formula>"Pass"</formula>
    </cfRule>
    <cfRule type="cellIs" dxfId="7119" priority="7050" stopIfTrue="1" operator="equal">
      <formula>"Fail"</formula>
    </cfRule>
  </conditionalFormatting>
  <conditionalFormatting sqref="G764">
    <cfRule type="cellIs" dxfId="7118" priority="7047" stopIfTrue="1" operator="equal">
      <formula>"Pass"</formula>
    </cfRule>
    <cfRule type="cellIs" dxfId="7117" priority="7048" stopIfTrue="1" operator="equal">
      <formula>"Fail"</formula>
    </cfRule>
  </conditionalFormatting>
  <conditionalFormatting sqref="H764:L764">
    <cfRule type="cellIs" dxfId="7116" priority="7045" stopIfTrue="1" operator="equal">
      <formula>"Pass"</formula>
    </cfRule>
    <cfRule type="cellIs" dxfId="7115" priority="7046" stopIfTrue="1" operator="equal">
      <formula>"Fail"</formula>
    </cfRule>
  </conditionalFormatting>
  <conditionalFormatting sqref="H764:L764">
    <cfRule type="cellIs" dxfId="7114" priority="7043" stopIfTrue="1" operator="equal">
      <formula>"Pass"</formula>
    </cfRule>
    <cfRule type="cellIs" dxfId="7113" priority="7044" stopIfTrue="1" operator="equal">
      <formula>"Fail"</formula>
    </cfRule>
  </conditionalFormatting>
  <conditionalFormatting sqref="I764:L764">
    <cfRule type="cellIs" dxfId="7112" priority="7041" stopIfTrue="1" operator="equal">
      <formula>"Pass"</formula>
    </cfRule>
    <cfRule type="cellIs" dxfId="7111" priority="7042" stopIfTrue="1" operator="equal">
      <formula>"Fail"</formula>
    </cfRule>
  </conditionalFormatting>
  <conditionalFormatting sqref="I764:L764">
    <cfRule type="cellIs" dxfId="7110" priority="7039" stopIfTrue="1" operator="equal">
      <formula>"Pass"</formula>
    </cfRule>
    <cfRule type="cellIs" dxfId="7109" priority="7040" stopIfTrue="1" operator="equal">
      <formula>"Fail"</formula>
    </cfRule>
  </conditionalFormatting>
  <conditionalFormatting sqref="I764:L764">
    <cfRule type="cellIs" dxfId="7108" priority="7037" stopIfTrue="1" operator="equal">
      <formula>"Pass"</formula>
    </cfRule>
    <cfRule type="cellIs" dxfId="7107" priority="7038" stopIfTrue="1" operator="equal">
      <formula>"Fail"</formula>
    </cfRule>
  </conditionalFormatting>
  <conditionalFormatting sqref="I764:L764">
    <cfRule type="cellIs" dxfId="7106" priority="7035" stopIfTrue="1" operator="equal">
      <formula>"Pass"</formula>
    </cfRule>
    <cfRule type="cellIs" dxfId="7105" priority="7036" stopIfTrue="1" operator="equal">
      <formula>"Fail"</formula>
    </cfRule>
  </conditionalFormatting>
  <conditionalFormatting sqref="H764:L764">
    <cfRule type="cellIs" dxfId="7104" priority="7033" stopIfTrue="1" operator="equal">
      <formula>"Pass"</formula>
    </cfRule>
    <cfRule type="cellIs" dxfId="7103" priority="7034" stopIfTrue="1" operator="equal">
      <formula>"Fail"</formula>
    </cfRule>
  </conditionalFormatting>
  <conditionalFormatting sqref="H764:L764">
    <cfRule type="cellIs" dxfId="7102" priority="7031" stopIfTrue="1" operator="equal">
      <formula>"Pass"</formula>
    </cfRule>
    <cfRule type="cellIs" dxfId="7101" priority="7032" stopIfTrue="1" operator="equal">
      <formula>"Fail"</formula>
    </cfRule>
  </conditionalFormatting>
  <conditionalFormatting sqref="I764:L764">
    <cfRule type="cellIs" dxfId="7100" priority="7029" stopIfTrue="1" operator="equal">
      <formula>"Pass"</formula>
    </cfRule>
    <cfRule type="cellIs" dxfId="7099" priority="7030" stopIfTrue="1" operator="equal">
      <formula>"Fail"</formula>
    </cfRule>
  </conditionalFormatting>
  <conditionalFormatting sqref="I764:L764">
    <cfRule type="cellIs" dxfId="7098" priority="7027" stopIfTrue="1" operator="equal">
      <formula>"Pass"</formula>
    </cfRule>
    <cfRule type="cellIs" dxfId="7097" priority="7028" stopIfTrue="1" operator="equal">
      <formula>"Fail"</formula>
    </cfRule>
  </conditionalFormatting>
  <conditionalFormatting sqref="I764:L764">
    <cfRule type="cellIs" dxfId="7096" priority="7025" stopIfTrue="1" operator="equal">
      <formula>"Pass"</formula>
    </cfRule>
    <cfRule type="cellIs" dxfId="7095" priority="7026" stopIfTrue="1" operator="equal">
      <formula>"Fail"</formula>
    </cfRule>
  </conditionalFormatting>
  <conditionalFormatting sqref="I764:L764">
    <cfRule type="cellIs" dxfId="7094" priority="7023" stopIfTrue="1" operator="equal">
      <formula>"Pass"</formula>
    </cfRule>
    <cfRule type="cellIs" dxfId="7093" priority="7024" stopIfTrue="1" operator="equal">
      <formula>"Fail"</formula>
    </cfRule>
  </conditionalFormatting>
  <conditionalFormatting sqref="H764:L764">
    <cfRule type="cellIs" dxfId="7092" priority="7021" stopIfTrue="1" operator="equal">
      <formula>"Pass"</formula>
    </cfRule>
    <cfRule type="cellIs" dxfId="7091" priority="7022" stopIfTrue="1" operator="equal">
      <formula>"Fail"</formula>
    </cfRule>
  </conditionalFormatting>
  <conditionalFormatting sqref="H764:L764">
    <cfRule type="cellIs" dxfId="7090" priority="7019" stopIfTrue="1" operator="equal">
      <formula>"Pass"</formula>
    </cfRule>
    <cfRule type="cellIs" dxfId="7089" priority="7020" stopIfTrue="1" operator="equal">
      <formula>"Fail"</formula>
    </cfRule>
  </conditionalFormatting>
  <conditionalFormatting sqref="I764:L764">
    <cfRule type="cellIs" dxfId="7088" priority="7017" stopIfTrue="1" operator="equal">
      <formula>"Pass"</formula>
    </cfRule>
    <cfRule type="cellIs" dxfId="7087" priority="7018" stopIfTrue="1" operator="equal">
      <formula>"Fail"</formula>
    </cfRule>
  </conditionalFormatting>
  <conditionalFormatting sqref="I764:L764">
    <cfRule type="cellIs" dxfId="7086" priority="7015" stopIfTrue="1" operator="equal">
      <formula>"Pass"</formula>
    </cfRule>
    <cfRule type="cellIs" dxfId="7085" priority="7016" stopIfTrue="1" operator="equal">
      <formula>"Fail"</formula>
    </cfRule>
  </conditionalFormatting>
  <conditionalFormatting sqref="I764:L764">
    <cfRule type="cellIs" dxfId="7084" priority="7013" stopIfTrue="1" operator="equal">
      <formula>"Pass"</formula>
    </cfRule>
    <cfRule type="cellIs" dxfId="7083" priority="7014" stopIfTrue="1" operator="equal">
      <formula>"Fail"</formula>
    </cfRule>
  </conditionalFormatting>
  <conditionalFormatting sqref="I764:L764">
    <cfRule type="cellIs" dxfId="7082" priority="7011" stopIfTrue="1" operator="equal">
      <formula>"Pass"</formula>
    </cfRule>
    <cfRule type="cellIs" dxfId="7081" priority="7012" stopIfTrue="1" operator="equal">
      <formula>"Fail"</formula>
    </cfRule>
  </conditionalFormatting>
  <conditionalFormatting sqref="H764:L764">
    <cfRule type="cellIs" dxfId="7080" priority="7009" stopIfTrue="1" operator="equal">
      <formula>"Pass"</formula>
    </cfRule>
    <cfRule type="cellIs" dxfId="7079" priority="7010" stopIfTrue="1" operator="equal">
      <formula>"Fail"</formula>
    </cfRule>
  </conditionalFormatting>
  <conditionalFormatting sqref="H764:L764">
    <cfRule type="cellIs" dxfId="7078" priority="7007" stopIfTrue="1" operator="equal">
      <formula>"Pass"</formula>
    </cfRule>
    <cfRule type="cellIs" dxfId="7077" priority="7008" stopIfTrue="1" operator="equal">
      <formula>"Fail"</formula>
    </cfRule>
  </conditionalFormatting>
  <conditionalFormatting sqref="I764:L764">
    <cfRule type="cellIs" dxfId="7076" priority="7005" stopIfTrue="1" operator="equal">
      <formula>"Pass"</formula>
    </cfRule>
    <cfRule type="cellIs" dxfId="7075" priority="7006" stopIfTrue="1" operator="equal">
      <formula>"Fail"</formula>
    </cfRule>
  </conditionalFormatting>
  <conditionalFormatting sqref="I764:L764">
    <cfRule type="cellIs" dxfId="7074" priority="7003" stopIfTrue="1" operator="equal">
      <formula>"Pass"</formula>
    </cfRule>
    <cfRule type="cellIs" dxfId="7073" priority="7004" stopIfTrue="1" operator="equal">
      <formula>"Fail"</formula>
    </cfRule>
  </conditionalFormatting>
  <conditionalFormatting sqref="I764:L764">
    <cfRule type="cellIs" dxfId="7072" priority="7001" stopIfTrue="1" operator="equal">
      <formula>"Pass"</formula>
    </cfRule>
    <cfRule type="cellIs" dxfId="7071" priority="7002" stopIfTrue="1" operator="equal">
      <formula>"Fail"</formula>
    </cfRule>
  </conditionalFormatting>
  <conditionalFormatting sqref="I764:L764">
    <cfRule type="cellIs" dxfId="7070" priority="6999" stopIfTrue="1" operator="equal">
      <formula>"Pass"</formula>
    </cfRule>
    <cfRule type="cellIs" dxfId="7069" priority="7000" stopIfTrue="1" operator="equal">
      <formula>"Fail"</formula>
    </cfRule>
  </conditionalFormatting>
  <conditionalFormatting sqref="H764:L764">
    <cfRule type="cellIs" dxfId="7068" priority="6997" stopIfTrue="1" operator="equal">
      <formula>"Pass"</formula>
    </cfRule>
    <cfRule type="cellIs" dxfId="7067" priority="6998" stopIfTrue="1" operator="equal">
      <formula>"Fail"</formula>
    </cfRule>
  </conditionalFormatting>
  <conditionalFormatting sqref="H764:L764">
    <cfRule type="cellIs" dxfId="7066" priority="6995" stopIfTrue="1" operator="equal">
      <formula>"Pass"</formula>
    </cfRule>
    <cfRule type="cellIs" dxfId="7065" priority="6996" stopIfTrue="1" operator="equal">
      <formula>"Fail"</formula>
    </cfRule>
  </conditionalFormatting>
  <conditionalFormatting sqref="I764:L764">
    <cfRule type="cellIs" dxfId="7064" priority="6993" stopIfTrue="1" operator="equal">
      <formula>"Pass"</formula>
    </cfRule>
    <cfRule type="cellIs" dxfId="7063" priority="6994" stopIfTrue="1" operator="equal">
      <formula>"Fail"</formula>
    </cfRule>
  </conditionalFormatting>
  <conditionalFormatting sqref="I764:L764">
    <cfRule type="cellIs" dxfId="7062" priority="6991" stopIfTrue="1" operator="equal">
      <formula>"Pass"</formula>
    </cfRule>
    <cfRule type="cellIs" dxfId="7061" priority="6992" stopIfTrue="1" operator="equal">
      <formula>"Fail"</formula>
    </cfRule>
  </conditionalFormatting>
  <conditionalFormatting sqref="I764:L764">
    <cfRule type="cellIs" dxfId="7060" priority="6989" stopIfTrue="1" operator="equal">
      <formula>"Pass"</formula>
    </cfRule>
    <cfRule type="cellIs" dxfId="7059" priority="6990" stopIfTrue="1" operator="equal">
      <formula>"Fail"</formula>
    </cfRule>
  </conditionalFormatting>
  <conditionalFormatting sqref="I764:L764">
    <cfRule type="cellIs" dxfId="7058" priority="6987" stopIfTrue="1" operator="equal">
      <formula>"Pass"</formula>
    </cfRule>
    <cfRule type="cellIs" dxfId="7057" priority="6988" stopIfTrue="1" operator="equal">
      <formula>"Fail"</formula>
    </cfRule>
  </conditionalFormatting>
  <conditionalFormatting sqref="G764">
    <cfRule type="cellIs" dxfId="7056" priority="6985" stopIfTrue="1" operator="equal">
      <formula>"Pass"</formula>
    </cfRule>
    <cfRule type="cellIs" dxfId="7055" priority="6986" stopIfTrue="1" operator="equal">
      <formula>"Fail"</formula>
    </cfRule>
  </conditionalFormatting>
  <conditionalFormatting sqref="G764">
    <cfRule type="cellIs" dxfId="7054" priority="6983" stopIfTrue="1" operator="equal">
      <formula>"Pass"</formula>
    </cfRule>
    <cfRule type="cellIs" dxfId="7053" priority="6984" stopIfTrue="1" operator="equal">
      <formula>"Fail"</formula>
    </cfRule>
  </conditionalFormatting>
  <conditionalFormatting sqref="G764">
    <cfRule type="cellIs" dxfId="7052" priority="6981" stopIfTrue="1" operator="equal">
      <formula>"Pass"</formula>
    </cfRule>
    <cfRule type="cellIs" dxfId="7051" priority="6982" stopIfTrue="1" operator="equal">
      <formula>"Fail"</formula>
    </cfRule>
  </conditionalFormatting>
  <conditionalFormatting sqref="G764">
    <cfRule type="cellIs" dxfId="7050" priority="6979" stopIfTrue="1" operator="equal">
      <formula>"Pass"</formula>
    </cfRule>
    <cfRule type="cellIs" dxfId="7049" priority="6980" stopIfTrue="1" operator="equal">
      <formula>"Fail"</formula>
    </cfRule>
  </conditionalFormatting>
  <conditionalFormatting sqref="G764">
    <cfRule type="cellIs" dxfId="7048" priority="6977" stopIfTrue="1" operator="equal">
      <formula>"Pass"</formula>
    </cfRule>
    <cfRule type="cellIs" dxfId="7047" priority="6978" stopIfTrue="1" operator="equal">
      <formula>"Fail"</formula>
    </cfRule>
  </conditionalFormatting>
  <conditionalFormatting sqref="G764">
    <cfRule type="cellIs" dxfId="7046" priority="6975" stopIfTrue="1" operator="equal">
      <formula>"Pass"</formula>
    </cfRule>
    <cfRule type="cellIs" dxfId="7045" priority="6976" stopIfTrue="1" operator="equal">
      <formula>"Fail"</formula>
    </cfRule>
  </conditionalFormatting>
  <conditionalFormatting sqref="H764:L764">
    <cfRule type="cellIs" dxfId="7044" priority="6973" stopIfTrue="1" operator="equal">
      <formula>"Pass"</formula>
    </cfRule>
    <cfRule type="cellIs" dxfId="7043" priority="6974" stopIfTrue="1" operator="equal">
      <formula>"Fail"</formula>
    </cfRule>
  </conditionalFormatting>
  <conditionalFormatting sqref="H764:L764">
    <cfRule type="cellIs" dxfId="7042" priority="6971" stopIfTrue="1" operator="equal">
      <formula>"Pass"</formula>
    </cfRule>
    <cfRule type="cellIs" dxfId="7041" priority="6972" stopIfTrue="1" operator="equal">
      <formula>"Fail"</formula>
    </cfRule>
  </conditionalFormatting>
  <conditionalFormatting sqref="I764:L764">
    <cfRule type="cellIs" dxfId="7040" priority="6969" stopIfTrue="1" operator="equal">
      <formula>"Pass"</formula>
    </cfRule>
    <cfRule type="cellIs" dxfId="7039" priority="6970" stopIfTrue="1" operator="equal">
      <formula>"Fail"</formula>
    </cfRule>
  </conditionalFormatting>
  <conditionalFormatting sqref="I764:L764">
    <cfRule type="cellIs" dxfId="7038" priority="6967" stopIfTrue="1" operator="equal">
      <formula>"Pass"</formula>
    </cfRule>
    <cfRule type="cellIs" dxfId="7037" priority="6968" stopIfTrue="1" operator="equal">
      <formula>"Fail"</formula>
    </cfRule>
  </conditionalFormatting>
  <conditionalFormatting sqref="I764:L764">
    <cfRule type="cellIs" dxfId="7036" priority="6965" stopIfTrue="1" operator="equal">
      <formula>"Pass"</formula>
    </cfRule>
    <cfRule type="cellIs" dxfId="7035" priority="6966" stopIfTrue="1" operator="equal">
      <formula>"Fail"</formula>
    </cfRule>
  </conditionalFormatting>
  <conditionalFormatting sqref="I764:L764">
    <cfRule type="cellIs" dxfId="7034" priority="6963" stopIfTrue="1" operator="equal">
      <formula>"Pass"</formula>
    </cfRule>
    <cfRule type="cellIs" dxfId="7033" priority="6964" stopIfTrue="1" operator="equal">
      <formula>"Fail"</formula>
    </cfRule>
  </conditionalFormatting>
  <conditionalFormatting sqref="H764:L764">
    <cfRule type="cellIs" dxfId="7032" priority="6961" stopIfTrue="1" operator="equal">
      <formula>"Pass"</formula>
    </cfRule>
    <cfRule type="cellIs" dxfId="7031" priority="6962" stopIfTrue="1" operator="equal">
      <formula>"Fail"</formula>
    </cfRule>
  </conditionalFormatting>
  <conditionalFormatting sqref="H764:L764">
    <cfRule type="cellIs" dxfId="7030" priority="6959" stopIfTrue="1" operator="equal">
      <formula>"Pass"</formula>
    </cfRule>
    <cfRule type="cellIs" dxfId="7029" priority="6960" stopIfTrue="1" operator="equal">
      <formula>"Fail"</formula>
    </cfRule>
  </conditionalFormatting>
  <conditionalFormatting sqref="I764:L764">
    <cfRule type="cellIs" dxfId="7028" priority="6957" stopIfTrue="1" operator="equal">
      <formula>"Pass"</formula>
    </cfRule>
    <cfRule type="cellIs" dxfId="7027" priority="6958" stopIfTrue="1" operator="equal">
      <formula>"Fail"</formula>
    </cfRule>
  </conditionalFormatting>
  <conditionalFormatting sqref="I764:L764">
    <cfRule type="cellIs" dxfId="7026" priority="6955" stopIfTrue="1" operator="equal">
      <formula>"Pass"</formula>
    </cfRule>
    <cfRule type="cellIs" dxfId="7025" priority="6956" stopIfTrue="1" operator="equal">
      <formula>"Fail"</formula>
    </cfRule>
  </conditionalFormatting>
  <conditionalFormatting sqref="I764:L764">
    <cfRule type="cellIs" dxfId="7024" priority="6953" stopIfTrue="1" operator="equal">
      <formula>"Pass"</formula>
    </cfRule>
    <cfRule type="cellIs" dxfId="7023" priority="6954" stopIfTrue="1" operator="equal">
      <formula>"Fail"</formula>
    </cfRule>
  </conditionalFormatting>
  <conditionalFormatting sqref="I764:L764">
    <cfRule type="cellIs" dxfId="7022" priority="6951" stopIfTrue="1" operator="equal">
      <formula>"Pass"</formula>
    </cfRule>
    <cfRule type="cellIs" dxfId="7021" priority="6952" stopIfTrue="1" operator="equal">
      <formula>"Fail"</formula>
    </cfRule>
  </conditionalFormatting>
  <conditionalFormatting sqref="H764:L764">
    <cfRule type="cellIs" dxfId="7020" priority="6949" stopIfTrue="1" operator="equal">
      <formula>"Pass"</formula>
    </cfRule>
    <cfRule type="cellIs" dxfId="7019" priority="6950" stopIfTrue="1" operator="equal">
      <formula>"Fail"</formula>
    </cfRule>
  </conditionalFormatting>
  <conditionalFormatting sqref="H764:L764">
    <cfRule type="cellIs" dxfId="7018" priority="6947" stopIfTrue="1" operator="equal">
      <formula>"Pass"</formula>
    </cfRule>
    <cfRule type="cellIs" dxfId="7017" priority="6948" stopIfTrue="1" operator="equal">
      <formula>"Fail"</formula>
    </cfRule>
  </conditionalFormatting>
  <conditionalFormatting sqref="I764:L764">
    <cfRule type="cellIs" dxfId="7016" priority="6945" stopIfTrue="1" operator="equal">
      <formula>"Pass"</formula>
    </cfRule>
    <cfRule type="cellIs" dxfId="7015" priority="6946" stopIfTrue="1" operator="equal">
      <formula>"Fail"</formula>
    </cfRule>
  </conditionalFormatting>
  <conditionalFormatting sqref="I764:L764">
    <cfRule type="cellIs" dxfId="7014" priority="6943" stopIfTrue="1" operator="equal">
      <formula>"Pass"</formula>
    </cfRule>
    <cfRule type="cellIs" dxfId="7013" priority="6944" stopIfTrue="1" operator="equal">
      <formula>"Fail"</formula>
    </cfRule>
  </conditionalFormatting>
  <conditionalFormatting sqref="I764:L764">
    <cfRule type="cellIs" dxfId="7012" priority="6941" stopIfTrue="1" operator="equal">
      <formula>"Pass"</formula>
    </cfRule>
    <cfRule type="cellIs" dxfId="7011" priority="6942" stopIfTrue="1" operator="equal">
      <formula>"Fail"</formula>
    </cfRule>
  </conditionalFormatting>
  <conditionalFormatting sqref="I764:L764">
    <cfRule type="cellIs" dxfId="7010" priority="6939" stopIfTrue="1" operator="equal">
      <formula>"Pass"</formula>
    </cfRule>
    <cfRule type="cellIs" dxfId="7009" priority="6940" stopIfTrue="1" operator="equal">
      <formula>"Fail"</formula>
    </cfRule>
  </conditionalFormatting>
  <conditionalFormatting sqref="H764:L764">
    <cfRule type="cellIs" dxfId="7008" priority="6937" stopIfTrue="1" operator="equal">
      <formula>"Pass"</formula>
    </cfRule>
    <cfRule type="cellIs" dxfId="7007" priority="6938" stopIfTrue="1" operator="equal">
      <formula>"Fail"</formula>
    </cfRule>
  </conditionalFormatting>
  <conditionalFormatting sqref="H764:L764">
    <cfRule type="cellIs" dxfId="7006" priority="6935" stopIfTrue="1" operator="equal">
      <formula>"Pass"</formula>
    </cfRule>
    <cfRule type="cellIs" dxfId="7005" priority="6936" stopIfTrue="1" operator="equal">
      <formula>"Fail"</formula>
    </cfRule>
  </conditionalFormatting>
  <conditionalFormatting sqref="I764:L764">
    <cfRule type="cellIs" dxfId="7004" priority="6933" stopIfTrue="1" operator="equal">
      <formula>"Pass"</formula>
    </cfRule>
    <cfRule type="cellIs" dxfId="7003" priority="6934" stopIfTrue="1" operator="equal">
      <formula>"Fail"</formula>
    </cfRule>
  </conditionalFormatting>
  <conditionalFormatting sqref="I764:L764">
    <cfRule type="cellIs" dxfId="7002" priority="6931" stopIfTrue="1" operator="equal">
      <formula>"Pass"</formula>
    </cfRule>
    <cfRule type="cellIs" dxfId="7001" priority="6932" stopIfTrue="1" operator="equal">
      <formula>"Fail"</formula>
    </cfRule>
  </conditionalFormatting>
  <conditionalFormatting sqref="I764:L764">
    <cfRule type="cellIs" dxfId="7000" priority="6929" stopIfTrue="1" operator="equal">
      <formula>"Pass"</formula>
    </cfRule>
    <cfRule type="cellIs" dxfId="6999" priority="6930" stopIfTrue="1" operator="equal">
      <formula>"Fail"</formula>
    </cfRule>
  </conditionalFormatting>
  <conditionalFormatting sqref="I764:L764">
    <cfRule type="cellIs" dxfId="6998" priority="6927" stopIfTrue="1" operator="equal">
      <formula>"Pass"</formula>
    </cfRule>
    <cfRule type="cellIs" dxfId="6997" priority="6928" stopIfTrue="1" operator="equal">
      <formula>"Fail"</formula>
    </cfRule>
  </conditionalFormatting>
  <conditionalFormatting sqref="G764">
    <cfRule type="cellIs" dxfId="6996" priority="6925" stopIfTrue="1" operator="equal">
      <formula>"Pass"</formula>
    </cfRule>
    <cfRule type="cellIs" dxfId="6995" priority="6926" stopIfTrue="1" operator="equal">
      <formula>"Fail"</formula>
    </cfRule>
  </conditionalFormatting>
  <conditionalFormatting sqref="G764">
    <cfRule type="cellIs" dxfId="6994" priority="6923" stopIfTrue="1" operator="equal">
      <formula>"Pass"</formula>
    </cfRule>
    <cfRule type="cellIs" dxfId="6993" priority="6924" stopIfTrue="1" operator="equal">
      <formula>"Fail"</formula>
    </cfRule>
  </conditionalFormatting>
  <conditionalFormatting sqref="G764">
    <cfRule type="cellIs" dxfId="6992" priority="6921" stopIfTrue="1" operator="equal">
      <formula>"Pass"</formula>
    </cfRule>
    <cfRule type="cellIs" dxfId="6991" priority="6922" stopIfTrue="1" operator="equal">
      <formula>"Fail"</formula>
    </cfRule>
  </conditionalFormatting>
  <conditionalFormatting sqref="G764">
    <cfRule type="cellIs" dxfId="6990" priority="6919" stopIfTrue="1" operator="equal">
      <formula>"Pass"</formula>
    </cfRule>
    <cfRule type="cellIs" dxfId="6989" priority="6920" stopIfTrue="1" operator="equal">
      <formula>"Fail"</formula>
    </cfRule>
  </conditionalFormatting>
  <conditionalFormatting sqref="G764">
    <cfRule type="cellIs" dxfId="6988" priority="6917" stopIfTrue="1" operator="equal">
      <formula>"Pass"</formula>
    </cfRule>
    <cfRule type="cellIs" dxfId="6987" priority="6918" stopIfTrue="1" operator="equal">
      <formula>"Fail"</formula>
    </cfRule>
  </conditionalFormatting>
  <conditionalFormatting sqref="G764">
    <cfRule type="cellIs" dxfId="6986" priority="6915" stopIfTrue="1" operator="equal">
      <formula>"Pass"</formula>
    </cfRule>
    <cfRule type="cellIs" dxfId="6985" priority="6916" stopIfTrue="1" operator="equal">
      <formula>"Fail"</formula>
    </cfRule>
  </conditionalFormatting>
  <conditionalFormatting sqref="G764:L764">
    <cfRule type="cellIs" dxfId="6984" priority="6913" stopIfTrue="1" operator="equal">
      <formula>"Pass"</formula>
    </cfRule>
    <cfRule type="cellIs" dxfId="6983" priority="6914" stopIfTrue="1" operator="equal">
      <formula>"Fail"</formula>
    </cfRule>
  </conditionalFormatting>
  <conditionalFormatting sqref="H764:L764">
    <cfRule type="cellIs" dxfId="6982" priority="6911" stopIfTrue="1" operator="equal">
      <formula>"Pass"</formula>
    </cfRule>
    <cfRule type="cellIs" dxfId="6981" priority="6912" stopIfTrue="1" operator="equal">
      <formula>"Fail"</formula>
    </cfRule>
  </conditionalFormatting>
  <conditionalFormatting sqref="H764:L764">
    <cfRule type="cellIs" dxfId="6980" priority="6909" stopIfTrue="1" operator="equal">
      <formula>"Pass"</formula>
    </cfRule>
    <cfRule type="cellIs" dxfId="6979" priority="6910" stopIfTrue="1" operator="equal">
      <formula>"Fail"</formula>
    </cfRule>
  </conditionalFormatting>
  <conditionalFormatting sqref="I764:L764">
    <cfRule type="cellIs" dxfId="6978" priority="6907" stopIfTrue="1" operator="equal">
      <formula>"Pass"</formula>
    </cfRule>
    <cfRule type="cellIs" dxfId="6977" priority="6908" stopIfTrue="1" operator="equal">
      <formula>"Fail"</formula>
    </cfRule>
  </conditionalFormatting>
  <conditionalFormatting sqref="I764:L764">
    <cfRule type="cellIs" dxfId="6976" priority="6905" stopIfTrue="1" operator="equal">
      <formula>"Pass"</formula>
    </cfRule>
    <cfRule type="cellIs" dxfId="6975" priority="6906" stopIfTrue="1" operator="equal">
      <formula>"Fail"</formula>
    </cfRule>
  </conditionalFormatting>
  <conditionalFormatting sqref="I764:L764">
    <cfRule type="cellIs" dxfId="6974" priority="6903" stopIfTrue="1" operator="equal">
      <formula>"Pass"</formula>
    </cfRule>
    <cfRule type="cellIs" dxfId="6973" priority="6904" stopIfTrue="1" operator="equal">
      <formula>"Fail"</formula>
    </cfRule>
  </conditionalFormatting>
  <conditionalFormatting sqref="I764:L764">
    <cfRule type="cellIs" dxfId="6972" priority="6901" stopIfTrue="1" operator="equal">
      <formula>"Pass"</formula>
    </cfRule>
    <cfRule type="cellIs" dxfId="6971" priority="6902" stopIfTrue="1" operator="equal">
      <formula>"Fail"</formula>
    </cfRule>
  </conditionalFormatting>
  <conditionalFormatting sqref="G764">
    <cfRule type="cellIs" dxfId="6970" priority="6899" stopIfTrue="1" operator="equal">
      <formula>"Pass"</formula>
    </cfRule>
    <cfRule type="cellIs" dxfId="6969" priority="6900" stopIfTrue="1" operator="equal">
      <formula>"Fail"</formula>
    </cfRule>
  </conditionalFormatting>
  <conditionalFormatting sqref="G764">
    <cfRule type="cellIs" dxfId="6968" priority="6897" stopIfTrue="1" operator="equal">
      <formula>"Pass"</formula>
    </cfRule>
    <cfRule type="cellIs" dxfId="6967" priority="6898" stopIfTrue="1" operator="equal">
      <formula>"Fail"</formula>
    </cfRule>
  </conditionalFormatting>
  <conditionalFormatting sqref="G764">
    <cfRule type="cellIs" dxfId="6966" priority="6895" stopIfTrue="1" operator="equal">
      <formula>"Pass"</formula>
    </cfRule>
    <cfRule type="cellIs" dxfId="6965" priority="6896" stopIfTrue="1" operator="equal">
      <formula>"Fail"</formula>
    </cfRule>
  </conditionalFormatting>
  <conditionalFormatting sqref="G764">
    <cfRule type="cellIs" dxfId="6964" priority="6893" stopIfTrue="1" operator="equal">
      <formula>"Pass"</formula>
    </cfRule>
    <cfRule type="cellIs" dxfId="6963" priority="6894" stopIfTrue="1" operator="equal">
      <formula>"Fail"</formula>
    </cfRule>
  </conditionalFormatting>
  <conditionalFormatting sqref="G764">
    <cfRule type="cellIs" dxfId="6962" priority="6891" stopIfTrue="1" operator="equal">
      <formula>"Pass"</formula>
    </cfRule>
    <cfRule type="cellIs" dxfId="6961" priority="6892" stopIfTrue="1" operator="equal">
      <formula>"Fail"</formula>
    </cfRule>
  </conditionalFormatting>
  <conditionalFormatting sqref="G764">
    <cfRule type="cellIs" dxfId="6960" priority="6889" stopIfTrue="1" operator="equal">
      <formula>"Pass"</formula>
    </cfRule>
    <cfRule type="cellIs" dxfId="6959" priority="6890" stopIfTrue="1" operator="equal">
      <formula>"Fail"</formula>
    </cfRule>
  </conditionalFormatting>
  <conditionalFormatting sqref="H764:L764">
    <cfRule type="cellIs" dxfId="6958" priority="6887" stopIfTrue="1" operator="equal">
      <formula>"Pass"</formula>
    </cfRule>
    <cfRule type="cellIs" dxfId="6957" priority="6888" stopIfTrue="1" operator="equal">
      <formula>"Fail"</formula>
    </cfRule>
  </conditionalFormatting>
  <conditionalFormatting sqref="H764:L764">
    <cfRule type="cellIs" dxfId="6956" priority="6885" stopIfTrue="1" operator="equal">
      <formula>"Pass"</formula>
    </cfRule>
    <cfRule type="cellIs" dxfId="6955" priority="6886" stopIfTrue="1" operator="equal">
      <formula>"Fail"</formula>
    </cfRule>
  </conditionalFormatting>
  <conditionalFormatting sqref="I764:L764">
    <cfRule type="cellIs" dxfId="6954" priority="6883" stopIfTrue="1" operator="equal">
      <formula>"Pass"</formula>
    </cfRule>
    <cfRule type="cellIs" dxfId="6953" priority="6884" stopIfTrue="1" operator="equal">
      <formula>"Fail"</formula>
    </cfRule>
  </conditionalFormatting>
  <conditionalFormatting sqref="I764:L764">
    <cfRule type="cellIs" dxfId="6952" priority="6881" stopIfTrue="1" operator="equal">
      <formula>"Pass"</formula>
    </cfRule>
    <cfRule type="cellIs" dxfId="6951" priority="6882" stopIfTrue="1" operator="equal">
      <formula>"Fail"</formula>
    </cfRule>
  </conditionalFormatting>
  <conditionalFormatting sqref="I764:L764">
    <cfRule type="cellIs" dxfId="6950" priority="6879" stopIfTrue="1" operator="equal">
      <formula>"Pass"</formula>
    </cfRule>
    <cfRule type="cellIs" dxfId="6949" priority="6880" stopIfTrue="1" operator="equal">
      <formula>"Fail"</formula>
    </cfRule>
  </conditionalFormatting>
  <conditionalFormatting sqref="I764:L764">
    <cfRule type="cellIs" dxfId="6948" priority="6877" stopIfTrue="1" operator="equal">
      <formula>"Pass"</formula>
    </cfRule>
    <cfRule type="cellIs" dxfId="6947" priority="6878" stopIfTrue="1" operator="equal">
      <formula>"Fail"</formula>
    </cfRule>
  </conditionalFormatting>
  <conditionalFormatting sqref="G764">
    <cfRule type="cellIs" dxfId="6946" priority="6875" stopIfTrue="1" operator="equal">
      <formula>"Pass"</formula>
    </cfRule>
    <cfRule type="cellIs" dxfId="6945" priority="6876" stopIfTrue="1" operator="equal">
      <formula>"Fail"</formula>
    </cfRule>
  </conditionalFormatting>
  <conditionalFormatting sqref="G764">
    <cfRule type="cellIs" dxfId="6944" priority="6873" stopIfTrue="1" operator="equal">
      <formula>"Pass"</formula>
    </cfRule>
    <cfRule type="cellIs" dxfId="6943" priority="6874" stopIfTrue="1" operator="equal">
      <formula>"Fail"</formula>
    </cfRule>
  </conditionalFormatting>
  <conditionalFormatting sqref="G764">
    <cfRule type="cellIs" dxfId="6942" priority="6871" stopIfTrue="1" operator="equal">
      <formula>"Pass"</formula>
    </cfRule>
    <cfRule type="cellIs" dxfId="6941" priority="6872" stopIfTrue="1" operator="equal">
      <formula>"Fail"</formula>
    </cfRule>
  </conditionalFormatting>
  <conditionalFormatting sqref="G764">
    <cfRule type="cellIs" dxfId="6940" priority="6869" stopIfTrue="1" operator="equal">
      <formula>"Pass"</formula>
    </cfRule>
    <cfRule type="cellIs" dxfId="6939" priority="6870" stopIfTrue="1" operator="equal">
      <formula>"Fail"</formula>
    </cfRule>
  </conditionalFormatting>
  <conditionalFormatting sqref="G764">
    <cfRule type="cellIs" dxfId="6938" priority="6867" stopIfTrue="1" operator="equal">
      <formula>"Pass"</formula>
    </cfRule>
    <cfRule type="cellIs" dxfId="6937" priority="6868" stopIfTrue="1" operator="equal">
      <formula>"Fail"</formula>
    </cfRule>
  </conditionalFormatting>
  <conditionalFormatting sqref="G764">
    <cfRule type="cellIs" dxfId="6936" priority="6865" stopIfTrue="1" operator="equal">
      <formula>"Pass"</formula>
    </cfRule>
    <cfRule type="cellIs" dxfId="6935" priority="6866" stopIfTrue="1" operator="equal">
      <formula>"Fail"</formula>
    </cfRule>
  </conditionalFormatting>
  <conditionalFormatting sqref="H764:L764">
    <cfRule type="cellIs" dxfId="6934" priority="6863" stopIfTrue="1" operator="equal">
      <formula>"Pass"</formula>
    </cfRule>
    <cfRule type="cellIs" dxfId="6933" priority="6864" stopIfTrue="1" operator="equal">
      <formula>"Fail"</formula>
    </cfRule>
  </conditionalFormatting>
  <conditionalFormatting sqref="H764:L764">
    <cfRule type="cellIs" dxfId="6932" priority="6861" stopIfTrue="1" operator="equal">
      <formula>"Pass"</formula>
    </cfRule>
    <cfRule type="cellIs" dxfId="6931" priority="6862" stopIfTrue="1" operator="equal">
      <formula>"Fail"</formula>
    </cfRule>
  </conditionalFormatting>
  <conditionalFormatting sqref="I764:L764">
    <cfRule type="cellIs" dxfId="6930" priority="6859" stopIfTrue="1" operator="equal">
      <formula>"Pass"</formula>
    </cfRule>
    <cfRule type="cellIs" dxfId="6929" priority="6860" stopIfTrue="1" operator="equal">
      <formula>"Fail"</formula>
    </cfRule>
  </conditionalFormatting>
  <conditionalFormatting sqref="I764:L764">
    <cfRule type="cellIs" dxfId="6928" priority="6857" stopIfTrue="1" operator="equal">
      <formula>"Pass"</formula>
    </cfRule>
    <cfRule type="cellIs" dxfId="6927" priority="6858" stopIfTrue="1" operator="equal">
      <formula>"Fail"</formula>
    </cfRule>
  </conditionalFormatting>
  <conditionalFormatting sqref="I764:L764">
    <cfRule type="cellIs" dxfId="6926" priority="6855" stopIfTrue="1" operator="equal">
      <formula>"Pass"</formula>
    </cfRule>
    <cfRule type="cellIs" dxfId="6925" priority="6856" stopIfTrue="1" operator="equal">
      <formula>"Fail"</formula>
    </cfRule>
  </conditionalFormatting>
  <conditionalFormatting sqref="I764:L764">
    <cfRule type="cellIs" dxfId="6924" priority="6853" stopIfTrue="1" operator="equal">
      <formula>"Pass"</formula>
    </cfRule>
    <cfRule type="cellIs" dxfId="6923" priority="6854" stopIfTrue="1" operator="equal">
      <formula>"Fail"</formula>
    </cfRule>
  </conditionalFormatting>
  <conditionalFormatting sqref="G764">
    <cfRule type="cellIs" dxfId="6922" priority="6851" stopIfTrue="1" operator="equal">
      <formula>"Pass"</formula>
    </cfRule>
    <cfRule type="cellIs" dxfId="6921" priority="6852" stopIfTrue="1" operator="equal">
      <formula>"Fail"</formula>
    </cfRule>
  </conditionalFormatting>
  <conditionalFormatting sqref="G764">
    <cfRule type="cellIs" dxfId="6920" priority="6849" stopIfTrue="1" operator="equal">
      <formula>"Pass"</formula>
    </cfRule>
    <cfRule type="cellIs" dxfId="6919" priority="6850" stopIfTrue="1" operator="equal">
      <formula>"Fail"</formula>
    </cfRule>
  </conditionalFormatting>
  <conditionalFormatting sqref="G764">
    <cfRule type="cellIs" dxfId="6918" priority="6847" stopIfTrue="1" operator="equal">
      <formula>"Pass"</formula>
    </cfRule>
    <cfRule type="cellIs" dxfId="6917" priority="6848" stopIfTrue="1" operator="equal">
      <formula>"Fail"</formula>
    </cfRule>
  </conditionalFormatting>
  <conditionalFormatting sqref="G764">
    <cfRule type="cellIs" dxfId="6916" priority="6845" stopIfTrue="1" operator="equal">
      <formula>"Pass"</formula>
    </cfRule>
    <cfRule type="cellIs" dxfId="6915" priority="6846" stopIfTrue="1" operator="equal">
      <formula>"Fail"</formula>
    </cfRule>
  </conditionalFormatting>
  <conditionalFormatting sqref="G764">
    <cfRule type="cellIs" dxfId="6914" priority="6843" stopIfTrue="1" operator="equal">
      <formula>"Pass"</formula>
    </cfRule>
    <cfRule type="cellIs" dxfId="6913" priority="6844" stopIfTrue="1" operator="equal">
      <formula>"Fail"</formula>
    </cfRule>
  </conditionalFormatting>
  <conditionalFormatting sqref="G764">
    <cfRule type="cellIs" dxfId="6912" priority="6841" stopIfTrue="1" operator="equal">
      <formula>"Pass"</formula>
    </cfRule>
    <cfRule type="cellIs" dxfId="6911" priority="6842" stopIfTrue="1" operator="equal">
      <formula>"Fail"</formula>
    </cfRule>
  </conditionalFormatting>
  <conditionalFormatting sqref="H764:L764">
    <cfRule type="cellIs" dxfId="6910" priority="6839" stopIfTrue="1" operator="equal">
      <formula>"Pass"</formula>
    </cfRule>
    <cfRule type="cellIs" dxfId="6909" priority="6840" stopIfTrue="1" operator="equal">
      <formula>"Fail"</formula>
    </cfRule>
  </conditionalFormatting>
  <conditionalFormatting sqref="H764:L764">
    <cfRule type="cellIs" dxfId="6908" priority="6837" stopIfTrue="1" operator="equal">
      <formula>"Pass"</formula>
    </cfRule>
    <cfRule type="cellIs" dxfId="6907" priority="6838" stopIfTrue="1" operator="equal">
      <formula>"Fail"</formula>
    </cfRule>
  </conditionalFormatting>
  <conditionalFormatting sqref="I764:L764">
    <cfRule type="cellIs" dxfId="6906" priority="6835" stopIfTrue="1" operator="equal">
      <formula>"Pass"</formula>
    </cfRule>
    <cfRule type="cellIs" dxfId="6905" priority="6836" stopIfTrue="1" operator="equal">
      <formula>"Fail"</formula>
    </cfRule>
  </conditionalFormatting>
  <conditionalFormatting sqref="I764:L764">
    <cfRule type="cellIs" dxfId="6904" priority="6833" stopIfTrue="1" operator="equal">
      <formula>"Pass"</formula>
    </cfRule>
    <cfRule type="cellIs" dxfId="6903" priority="6834" stopIfTrue="1" operator="equal">
      <formula>"Fail"</formula>
    </cfRule>
  </conditionalFormatting>
  <conditionalFormatting sqref="I764:L764">
    <cfRule type="cellIs" dxfId="6902" priority="6831" stopIfTrue="1" operator="equal">
      <formula>"Pass"</formula>
    </cfRule>
    <cfRule type="cellIs" dxfId="6901" priority="6832" stopIfTrue="1" operator="equal">
      <formula>"Fail"</formula>
    </cfRule>
  </conditionalFormatting>
  <conditionalFormatting sqref="I764:L764">
    <cfRule type="cellIs" dxfId="6900" priority="6829" stopIfTrue="1" operator="equal">
      <formula>"Pass"</formula>
    </cfRule>
    <cfRule type="cellIs" dxfId="6899" priority="6830" stopIfTrue="1" operator="equal">
      <formula>"Fail"</formula>
    </cfRule>
  </conditionalFormatting>
  <conditionalFormatting sqref="G764">
    <cfRule type="cellIs" dxfId="6898" priority="6827" stopIfTrue="1" operator="equal">
      <formula>"Pass"</formula>
    </cfRule>
    <cfRule type="cellIs" dxfId="6897" priority="6828" stopIfTrue="1" operator="equal">
      <formula>"Fail"</formula>
    </cfRule>
  </conditionalFormatting>
  <conditionalFormatting sqref="G764">
    <cfRule type="cellIs" dxfId="6896" priority="6825" stopIfTrue="1" operator="equal">
      <formula>"Pass"</formula>
    </cfRule>
    <cfRule type="cellIs" dxfId="6895" priority="6826" stopIfTrue="1" operator="equal">
      <formula>"Fail"</formula>
    </cfRule>
  </conditionalFormatting>
  <conditionalFormatting sqref="G764">
    <cfRule type="cellIs" dxfId="6894" priority="6823" stopIfTrue="1" operator="equal">
      <formula>"Pass"</formula>
    </cfRule>
    <cfRule type="cellIs" dxfId="6893" priority="6824" stopIfTrue="1" operator="equal">
      <formula>"Fail"</formula>
    </cfRule>
  </conditionalFormatting>
  <conditionalFormatting sqref="G764">
    <cfRule type="cellIs" dxfId="6892" priority="6821" stopIfTrue="1" operator="equal">
      <formula>"Pass"</formula>
    </cfRule>
    <cfRule type="cellIs" dxfId="6891" priority="6822" stopIfTrue="1" operator="equal">
      <formula>"Fail"</formula>
    </cfRule>
  </conditionalFormatting>
  <conditionalFormatting sqref="G764">
    <cfRule type="cellIs" dxfId="6890" priority="6819" stopIfTrue="1" operator="equal">
      <formula>"Pass"</formula>
    </cfRule>
    <cfRule type="cellIs" dxfId="6889" priority="6820" stopIfTrue="1" operator="equal">
      <formula>"Fail"</formula>
    </cfRule>
  </conditionalFormatting>
  <conditionalFormatting sqref="G764">
    <cfRule type="cellIs" dxfId="6888" priority="6817" stopIfTrue="1" operator="equal">
      <formula>"Pass"</formula>
    </cfRule>
    <cfRule type="cellIs" dxfId="6887" priority="6818" stopIfTrue="1" operator="equal">
      <formula>"Fail"</formula>
    </cfRule>
  </conditionalFormatting>
  <conditionalFormatting sqref="H764:L764">
    <cfRule type="cellIs" dxfId="6886" priority="6815" stopIfTrue="1" operator="equal">
      <formula>"Pass"</formula>
    </cfRule>
    <cfRule type="cellIs" dxfId="6885" priority="6816" stopIfTrue="1" operator="equal">
      <formula>"Fail"</formula>
    </cfRule>
  </conditionalFormatting>
  <conditionalFormatting sqref="H764:L764">
    <cfRule type="cellIs" dxfId="6884" priority="6813" stopIfTrue="1" operator="equal">
      <formula>"Pass"</formula>
    </cfRule>
    <cfRule type="cellIs" dxfId="6883" priority="6814" stopIfTrue="1" operator="equal">
      <formula>"Fail"</formula>
    </cfRule>
  </conditionalFormatting>
  <conditionalFormatting sqref="I764:L764">
    <cfRule type="cellIs" dxfId="6882" priority="6811" stopIfTrue="1" operator="equal">
      <formula>"Pass"</formula>
    </cfRule>
    <cfRule type="cellIs" dxfId="6881" priority="6812" stopIfTrue="1" operator="equal">
      <formula>"Fail"</formula>
    </cfRule>
  </conditionalFormatting>
  <conditionalFormatting sqref="I764:L764">
    <cfRule type="cellIs" dxfId="6880" priority="6809" stopIfTrue="1" operator="equal">
      <formula>"Pass"</formula>
    </cfRule>
    <cfRule type="cellIs" dxfId="6879" priority="6810" stopIfTrue="1" operator="equal">
      <formula>"Fail"</formula>
    </cfRule>
  </conditionalFormatting>
  <conditionalFormatting sqref="I764:L764">
    <cfRule type="cellIs" dxfId="6878" priority="6807" stopIfTrue="1" operator="equal">
      <formula>"Pass"</formula>
    </cfRule>
    <cfRule type="cellIs" dxfId="6877" priority="6808" stopIfTrue="1" operator="equal">
      <formula>"Fail"</formula>
    </cfRule>
  </conditionalFormatting>
  <conditionalFormatting sqref="I764:L764">
    <cfRule type="cellIs" dxfId="6876" priority="6805" stopIfTrue="1" operator="equal">
      <formula>"Pass"</formula>
    </cfRule>
    <cfRule type="cellIs" dxfId="6875" priority="6806" stopIfTrue="1" operator="equal">
      <formula>"Fail"</formula>
    </cfRule>
  </conditionalFormatting>
  <conditionalFormatting sqref="G764">
    <cfRule type="cellIs" dxfId="6874" priority="6803" stopIfTrue="1" operator="equal">
      <formula>"Pass"</formula>
    </cfRule>
    <cfRule type="cellIs" dxfId="6873" priority="6804" stopIfTrue="1" operator="equal">
      <formula>"Fail"</formula>
    </cfRule>
  </conditionalFormatting>
  <conditionalFormatting sqref="G764">
    <cfRule type="cellIs" dxfId="6872" priority="6801" stopIfTrue="1" operator="equal">
      <formula>"Pass"</formula>
    </cfRule>
    <cfRule type="cellIs" dxfId="6871" priority="6802" stopIfTrue="1" operator="equal">
      <formula>"Fail"</formula>
    </cfRule>
  </conditionalFormatting>
  <conditionalFormatting sqref="G764">
    <cfRule type="cellIs" dxfId="6870" priority="6799" stopIfTrue="1" operator="equal">
      <formula>"Pass"</formula>
    </cfRule>
    <cfRule type="cellIs" dxfId="6869" priority="6800" stopIfTrue="1" operator="equal">
      <formula>"Fail"</formula>
    </cfRule>
  </conditionalFormatting>
  <conditionalFormatting sqref="G764">
    <cfRule type="cellIs" dxfId="6868" priority="6797" stopIfTrue="1" operator="equal">
      <formula>"Pass"</formula>
    </cfRule>
    <cfRule type="cellIs" dxfId="6867" priority="6798" stopIfTrue="1" operator="equal">
      <formula>"Fail"</formula>
    </cfRule>
  </conditionalFormatting>
  <conditionalFormatting sqref="G764">
    <cfRule type="cellIs" dxfId="6866" priority="6795" stopIfTrue="1" operator="equal">
      <formula>"Pass"</formula>
    </cfRule>
    <cfRule type="cellIs" dxfId="6865" priority="6796" stopIfTrue="1" operator="equal">
      <formula>"Fail"</formula>
    </cfRule>
  </conditionalFormatting>
  <conditionalFormatting sqref="G764">
    <cfRule type="cellIs" dxfId="6864" priority="6793" stopIfTrue="1" operator="equal">
      <formula>"Pass"</formula>
    </cfRule>
    <cfRule type="cellIs" dxfId="6863" priority="6794" stopIfTrue="1" operator="equal">
      <formula>"Fail"</formula>
    </cfRule>
  </conditionalFormatting>
  <conditionalFormatting sqref="H764:L764">
    <cfRule type="cellIs" dxfId="6862" priority="6791" stopIfTrue="1" operator="equal">
      <formula>"Pass"</formula>
    </cfRule>
    <cfRule type="cellIs" dxfId="6861" priority="6792" stopIfTrue="1" operator="equal">
      <formula>"Fail"</formula>
    </cfRule>
  </conditionalFormatting>
  <conditionalFormatting sqref="H764:L764">
    <cfRule type="cellIs" dxfId="6860" priority="6789" stopIfTrue="1" operator="equal">
      <formula>"Pass"</formula>
    </cfRule>
    <cfRule type="cellIs" dxfId="6859" priority="6790" stopIfTrue="1" operator="equal">
      <formula>"Fail"</formula>
    </cfRule>
  </conditionalFormatting>
  <conditionalFormatting sqref="I764:L764">
    <cfRule type="cellIs" dxfId="6858" priority="6787" stopIfTrue="1" operator="equal">
      <formula>"Pass"</formula>
    </cfRule>
    <cfRule type="cellIs" dxfId="6857" priority="6788" stopIfTrue="1" operator="equal">
      <formula>"Fail"</formula>
    </cfRule>
  </conditionalFormatting>
  <conditionalFormatting sqref="I764:L764">
    <cfRule type="cellIs" dxfId="6856" priority="6785" stopIfTrue="1" operator="equal">
      <formula>"Pass"</formula>
    </cfRule>
    <cfRule type="cellIs" dxfId="6855" priority="6786" stopIfTrue="1" operator="equal">
      <formula>"Fail"</formula>
    </cfRule>
  </conditionalFormatting>
  <conditionalFormatting sqref="I764:L764">
    <cfRule type="cellIs" dxfId="6854" priority="6783" stopIfTrue="1" operator="equal">
      <formula>"Pass"</formula>
    </cfRule>
    <cfRule type="cellIs" dxfId="6853" priority="6784" stopIfTrue="1" operator="equal">
      <formula>"Fail"</formula>
    </cfRule>
  </conditionalFormatting>
  <conditionalFormatting sqref="I764:L764">
    <cfRule type="cellIs" dxfId="6852" priority="6781" stopIfTrue="1" operator="equal">
      <formula>"Pass"</formula>
    </cfRule>
    <cfRule type="cellIs" dxfId="6851" priority="6782" stopIfTrue="1" operator="equal">
      <formula>"Fail"</formula>
    </cfRule>
  </conditionalFormatting>
  <conditionalFormatting sqref="G764">
    <cfRule type="cellIs" dxfId="6850" priority="6779" stopIfTrue="1" operator="equal">
      <formula>"Pass"</formula>
    </cfRule>
    <cfRule type="cellIs" dxfId="6849" priority="6780" stopIfTrue="1" operator="equal">
      <formula>"Fail"</formula>
    </cfRule>
  </conditionalFormatting>
  <conditionalFormatting sqref="G764">
    <cfRule type="cellIs" dxfId="6848" priority="6777" stopIfTrue="1" operator="equal">
      <formula>"Pass"</formula>
    </cfRule>
    <cfRule type="cellIs" dxfId="6847" priority="6778" stopIfTrue="1" operator="equal">
      <formula>"Fail"</formula>
    </cfRule>
  </conditionalFormatting>
  <conditionalFormatting sqref="G764">
    <cfRule type="cellIs" dxfId="6846" priority="6775" stopIfTrue="1" operator="equal">
      <formula>"Pass"</formula>
    </cfRule>
    <cfRule type="cellIs" dxfId="6845" priority="6776" stopIfTrue="1" operator="equal">
      <formula>"Fail"</formula>
    </cfRule>
  </conditionalFormatting>
  <conditionalFormatting sqref="G764">
    <cfRule type="cellIs" dxfId="6844" priority="6773" stopIfTrue="1" operator="equal">
      <formula>"Pass"</formula>
    </cfRule>
    <cfRule type="cellIs" dxfId="6843" priority="6774" stopIfTrue="1" operator="equal">
      <formula>"Fail"</formula>
    </cfRule>
  </conditionalFormatting>
  <conditionalFormatting sqref="G764">
    <cfRule type="cellIs" dxfId="6842" priority="6771" stopIfTrue="1" operator="equal">
      <formula>"Pass"</formula>
    </cfRule>
    <cfRule type="cellIs" dxfId="6841" priority="6772" stopIfTrue="1" operator="equal">
      <formula>"Fail"</formula>
    </cfRule>
  </conditionalFormatting>
  <conditionalFormatting sqref="G764">
    <cfRule type="cellIs" dxfId="6840" priority="6769" stopIfTrue="1" operator="equal">
      <formula>"Pass"</formula>
    </cfRule>
    <cfRule type="cellIs" dxfId="6839" priority="6770" stopIfTrue="1" operator="equal">
      <formula>"Fail"</formula>
    </cfRule>
  </conditionalFormatting>
  <conditionalFormatting sqref="H764:L764">
    <cfRule type="cellIs" dxfId="6838" priority="6767" stopIfTrue="1" operator="equal">
      <formula>"Pass"</formula>
    </cfRule>
    <cfRule type="cellIs" dxfId="6837" priority="6768" stopIfTrue="1" operator="equal">
      <formula>"Fail"</formula>
    </cfRule>
  </conditionalFormatting>
  <conditionalFormatting sqref="H764:L764">
    <cfRule type="cellIs" dxfId="6836" priority="6765" stopIfTrue="1" operator="equal">
      <formula>"Pass"</formula>
    </cfRule>
    <cfRule type="cellIs" dxfId="6835" priority="6766" stopIfTrue="1" operator="equal">
      <formula>"Fail"</formula>
    </cfRule>
  </conditionalFormatting>
  <conditionalFormatting sqref="I764:L764">
    <cfRule type="cellIs" dxfId="6834" priority="6763" stopIfTrue="1" operator="equal">
      <formula>"Pass"</formula>
    </cfRule>
    <cfRule type="cellIs" dxfId="6833" priority="6764" stopIfTrue="1" operator="equal">
      <formula>"Fail"</formula>
    </cfRule>
  </conditionalFormatting>
  <conditionalFormatting sqref="I764:L764">
    <cfRule type="cellIs" dxfId="6832" priority="6761" stopIfTrue="1" operator="equal">
      <formula>"Pass"</formula>
    </cfRule>
    <cfRule type="cellIs" dxfId="6831" priority="6762" stopIfTrue="1" operator="equal">
      <formula>"Fail"</formula>
    </cfRule>
  </conditionalFormatting>
  <conditionalFormatting sqref="I764:L764">
    <cfRule type="cellIs" dxfId="6830" priority="6759" stopIfTrue="1" operator="equal">
      <formula>"Pass"</formula>
    </cfRule>
    <cfRule type="cellIs" dxfId="6829" priority="6760" stopIfTrue="1" operator="equal">
      <formula>"Fail"</formula>
    </cfRule>
  </conditionalFormatting>
  <conditionalFormatting sqref="I764:L764">
    <cfRule type="cellIs" dxfId="6828" priority="6757" stopIfTrue="1" operator="equal">
      <formula>"Pass"</formula>
    </cfRule>
    <cfRule type="cellIs" dxfId="6827" priority="6758" stopIfTrue="1" operator="equal">
      <formula>"Fail"</formula>
    </cfRule>
  </conditionalFormatting>
  <conditionalFormatting sqref="G764">
    <cfRule type="cellIs" dxfId="6826" priority="6755" stopIfTrue="1" operator="equal">
      <formula>"Pass"</formula>
    </cfRule>
    <cfRule type="cellIs" dxfId="6825" priority="6756" stopIfTrue="1" operator="equal">
      <formula>"Fail"</formula>
    </cfRule>
  </conditionalFormatting>
  <conditionalFormatting sqref="G764">
    <cfRule type="cellIs" dxfId="6824" priority="6753" stopIfTrue="1" operator="equal">
      <formula>"Pass"</formula>
    </cfRule>
    <cfRule type="cellIs" dxfId="6823" priority="6754" stopIfTrue="1" operator="equal">
      <formula>"Fail"</formula>
    </cfRule>
  </conditionalFormatting>
  <conditionalFormatting sqref="G764">
    <cfRule type="cellIs" dxfId="6822" priority="6751" stopIfTrue="1" operator="equal">
      <formula>"Pass"</formula>
    </cfRule>
    <cfRule type="cellIs" dxfId="6821" priority="6752" stopIfTrue="1" operator="equal">
      <formula>"Fail"</formula>
    </cfRule>
  </conditionalFormatting>
  <conditionalFormatting sqref="G764">
    <cfRule type="cellIs" dxfId="6820" priority="6749" stopIfTrue="1" operator="equal">
      <formula>"Pass"</formula>
    </cfRule>
    <cfRule type="cellIs" dxfId="6819" priority="6750" stopIfTrue="1" operator="equal">
      <formula>"Fail"</formula>
    </cfRule>
  </conditionalFormatting>
  <conditionalFormatting sqref="G764">
    <cfRule type="cellIs" dxfId="6818" priority="6747" stopIfTrue="1" operator="equal">
      <formula>"Pass"</formula>
    </cfRule>
    <cfRule type="cellIs" dxfId="6817" priority="6748" stopIfTrue="1" operator="equal">
      <formula>"Fail"</formula>
    </cfRule>
  </conditionalFormatting>
  <conditionalFormatting sqref="G764">
    <cfRule type="cellIs" dxfId="6816" priority="6745" stopIfTrue="1" operator="equal">
      <formula>"Pass"</formula>
    </cfRule>
    <cfRule type="cellIs" dxfId="6815" priority="6746" stopIfTrue="1" operator="equal">
      <formula>"Fail"</formula>
    </cfRule>
  </conditionalFormatting>
  <conditionalFormatting sqref="H764:L764">
    <cfRule type="cellIs" dxfId="6814" priority="6743" stopIfTrue="1" operator="equal">
      <formula>"Pass"</formula>
    </cfRule>
    <cfRule type="cellIs" dxfId="6813" priority="6744" stopIfTrue="1" operator="equal">
      <formula>"Fail"</formula>
    </cfRule>
  </conditionalFormatting>
  <conditionalFormatting sqref="H764:L764">
    <cfRule type="cellIs" dxfId="6812" priority="6741" stopIfTrue="1" operator="equal">
      <formula>"Pass"</formula>
    </cfRule>
    <cfRule type="cellIs" dxfId="6811" priority="6742" stopIfTrue="1" operator="equal">
      <formula>"Fail"</formula>
    </cfRule>
  </conditionalFormatting>
  <conditionalFormatting sqref="I764:L764">
    <cfRule type="cellIs" dxfId="6810" priority="6739" stopIfTrue="1" operator="equal">
      <formula>"Pass"</formula>
    </cfRule>
    <cfRule type="cellIs" dxfId="6809" priority="6740" stopIfTrue="1" operator="equal">
      <formula>"Fail"</formula>
    </cfRule>
  </conditionalFormatting>
  <conditionalFormatting sqref="I764:L764">
    <cfRule type="cellIs" dxfId="6808" priority="6737" stopIfTrue="1" operator="equal">
      <formula>"Pass"</formula>
    </cfRule>
    <cfRule type="cellIs" dxfId="6807" priority="6738" stopIfTrue="1" operator="equal">
      <formula>"Fail"</formula>
    </cfRule>
  </conditionalFormatting>
  <conditionalFormatting sqref="I764:L764">
    <cfRule type="cellIs" dxfId="6806" priority="6735" stopIfTrue="1" operator="equal">
      <formula>"Pass"</formula>
    </cfRule>
    <cfRule type="cellIs" dxfId="6805" priority="6736" stopIfTrue="1" operator="equal">
      <formula>"Fail"</formula>
    </cfRule>
  </conditionalFormatting>
  <conditionalFormatting sqref="I764:L764">
    <cfRule type="cellIs" dxfId="6804" priority="6733" stopIfTrue="1" operator="equal">
      <formula>"Pass"</formula>
    </cfRule>
    <cfRule type="cellIs" dxfId="6803" priority="6734" stopIfTrue="1" operator="equal">
      <formula>"Fail"</formula>
    </cfRule>
  </conditionalFormatting>
  <conditionalFormatting sqref="G764">
    <cfRule type="cellIs" dxfId="6802" priority="6731" stopIfTrue="1" operator="equal">
      <formula>"Pass"</formula>
    </cfRule>
    <cfRule type="cellIs" dxfId="6801" priority="6732" stopIfTrue="1" operator="equal">
      <formula>"Fail"</formula>
    </cfRule>
  </conditionalFormatting>
  <conditionalFormatting sqref="G764">
    <cfRule type="cellIs" dxfId="6800" priority="6729" stopIfTrue="1" operator="equal">
      <formula>"Pass"</formula>
    </cfRule>
    <cfRule type="cellIs" dxfId="6799" priority="6730" stopIfTrue="1" operator="equal">
      <formula>"Fail"</formula>
    </cfRule>
  </conditionalFormatting>
  <conditionalFormatting sqref="G764">
    <cfRule type="cellIs" dxfId="6798" priority="6727" stopIfTrue="1" operator="equal">
      <formula>"Pass"</formula>
    </cfRule>
    <cfRule type="cellIs" dxfId="6797" priority="6728" stopIfTrue="1" operator="equal">
      <formula>"Fail"</formula>
    </cfRule>
  </conditionalFormatting>
  <conditionalFormatting sqref="G764">
    <cfRule type="cellIs" dxfId="6796" priority="6725" stopIfTrue="1" operator="equal">
      <formula>"Pass"</formula>
    </cfRule>
    <cfRule type="cellIs" dxfId="6795" priority="6726" stopIfTrue="1" operator="equal">
      <formula>"Fail"</formula>
    </cfRule>
  </conditionalFormatting>
  <conditionalFormatting sqref="G764">
    <cfRule type="cellIs" dxfId="6794" priority="6723" stopIfTrue="1" operator="equal">
      <formula>"Pass"</formula>
    </cfRule>
    <cfRule type="cellIs" dxfId="6793" priority="6724" stopIfTrue="1" operator="equal">
      <formula>"Fail"</formula>
    </cfRule>
  </conditionalFormatting>
  <conditionalFormatting sqref="G764">
    <cfRule type="cellIs" dxfId="6792" priority="6721" stopIfTrue="1" operator="equal">
      <formula>"Pass"</formula>
    </cfRule>
    <cfRule type="cellIs" dxfId="6791" priority="6722" stopIfTrue="1" operator="equal">
      <formula>"Fail"</formula>
    </cfRule>
  </conditionalFormatting>
  <conditionalFormatting sqref="H764:L764">
    <cfRule type="cellIs" dxfId="6790" priority="6719" stopIfTrue="1" operator="equal">
      <formula>"Pass"</formula>
    </cfRule>
    <cfRule type="cellIs" dxfId="6789" priority="6720" stopIfTrue="1" operator="equal">
      <formula>"Fail"</formula>
    </cfRule>
  </conditionalFormatting>
  <conditionalFormatting sqref="H764:L764">
    <cfRule type="cellIs" dxfId="6788" priority="6717" stopIfTrue="1" operator="equal">
      <formula>"Pass"</formula>
    </cfRule>
    <cfRule type="cellIs" dxfId="6787" priority="6718" stopIfTrue="1" operator="equal">
      <formula>"Fail"</formula>
    </cfRule>
  </conditionalFormatting>
  <conditionalFormatting sqref="I764:L764">
    <cfRule type="cellIs" dxfId="6786" priority="6715" stopIfTrue="1" operator="equal">
      <formula>"Pass"</formula>
    </cfRule>
    <cfRule type="cellIs" dxfId="6785" priority="6716" stopIfTrue="1" operator="equal">
      <formula>"Fail"</formula>
    </cfRule>
  </conditionalFormatting>
  <conditionalFormatting sqref="I764:L764">
    <cfRule type="cellIs" dxfId="6784" priority="6713" stopIfTrue="1" operator="equal">
      <formula>"Pass"</formula>
    </cfRule>
    <cfRule type="cellIs" dxfId="6783" priority="6714" stopIfTrue="1" operator="equal">
      <formula>"Fail"</formula>
    </cfRule>
  </conditionalFormatting>
  <conditionalFormatting sqref="I764:L764">
    <cfRule type="cellIs" dxfId="6782" priority="6711" stopIfTrue="1" operator="equal">
      <formula>"Pass"</formula>
    </cfRule>
    <cfRule type="cellIs" dxfId="6781" priority="6712" stopIfTrue="1" operator="equal">
      <formula>"Fail"</formula>
    </cfRule>
  </conditionalFormatting>
  <conditionalFormatting sqref="I764:L764">
    <cfRule type="cellIs" dxfId="6780" priority="6709" stopIfTrue="1" operator="equal">
      <formula>"Pass"</formula>
    </cfRule>
    <cfRule type="cellIs" dxfId="6779" priority="6710" stopIfTrue="1" operator="equal">
      <formula>"Fail"</formula>
    </cfRule>
  </conditionalFormatting>
  <conditionalFormatting sqref="G764">
    <cfRule type="cellIs" dxfId="6778" priority="6707" stopIfTrue="1" operator="equal">
      <formula>"Pass"</formula>
    </cfRule>
    <cfRule type="cellIs" dxfId="6777" priority="6708" stopIfTrue="1" operator="equal">
      <formula>"Fail"</formula>
    </cfRule>
  </conditionalFormatting>
  <conditionalFormatting sqref="G764">
    <cfRule type="cellIs" dxfId="6776" priority="6705" stopIfTrue="1" operator="equal">
      <formula>"Pass"</formula>
    </cfRule>
    <cfRule type="cellIs" dxfId="6775" priority="6706" stopIfTrue="1" operator="equal">
      <formula>"Fail"</formula>
    </cfRule>
  </conditionalFormatting>
  <conditionalFormatting sqref="G764">
    <cfRule type="cellIs" dxfId="6774" priority="6703" stopIfTrue="1" operator="equal">
      <formula>"Pass"</formula>
    </cfRule>
    <cfRule type="cellIs" dxfId="6773" priority="6704" stopIfTrue="1" operator="equal">
      <formula>"Fail"</formula>
    </cfRule>
  </conditionalFormatting>
  <conditionalFormatting sqref="G764">
    <cfRule type="cellIs" dxfId="6772" priority="6701" stopIfTrue="1" operator="equal">
      <formula>"Pass"</formula>
    </cfRule>
    <cfRule type="cellIs" dxfId="6771" priority="6702" stopIfTrue="1" operator="equal">
      <formula>"Fail"</formula>
    </cfRule>
  </conditionalFormatting>
  <conditionalFormatting sqref="G764">
    <cfRule type="cellIs" dxfId="6770" priority="6699" stopIfTrue="1" operator="equal">
      <formula>"Pass"</formula>
    </cfRule>
    <cfRule type="cellIs" dxfId="6769" priority="6700" stopIfTrue="1" operator="equal">
      <formula>"Fail"</formula>
    </cfRule>
  </conditionalFormatting>
  <conditionalFormatting sqref="G764">
    <cfRule type="cellIs" dxfId="6768" priority="6697" stopIfTrue="1" operator="equal">
      <formula>"Pass"</formula>
    </cfRule>
    <cfRule type="cellIs" dxfId="6767" priority="6698" stopIfTrue="1" operator="equal">
      <formula>"Fail"</formula>
    </cfRule>
  </conditionalFormatting>
  <conditionalFormatting sqref="H764:L764">
    <cfRule type="cellIs" dxfId="6766" priority="6695" stopIfTrue="1" operator="equal">
      <formula>"Pass"</formula>
    </cfRule>
    <cfRule type="cellIs" dxfId="6765" priority="6696" stopIfTrue="1" operator="equal">
      <formula>"Fail"</formula>
    </cfRule>
  </conditionalFormatting>
  <conditionalFormatting sqref="H764:L764">
    <cfRule type="cellIs" dxfId="6764" priority="6693" stopIfTrue="1" operator="equal">
      <formula>"Pass"</formula>
    </cfRule>
    <cfRule type="cellIs" dxfId="6763" priority="6694" stopIfTrue="1" operator="equal">
      <formula>"Fail"</formula>
    </cfRule>
  </conditionalFormatting>
  <conditionalFormatting sqref="I764:L764">
    <cfRule type="cellIs" dxfId="6762" priority="6691" stopIfTrue="1" operator="equal">
      <formula>"Pass"</formula>
    </cfRule>
    <cfRule type="cellIs" dxfId="6761" priority="6692" stopIfTrue="1" operator="equal">
      <formula>"Fail"</formula>
    </cfRule>
  </conditionalFormatting>
  <conditionalFormatting sqref="I764:L764">
    <cfRule type="cellIs" dxfId="6760" priority="6689" stopIfTrue="1" operator="equal">
      <formula>"Pass"</formula>
    </cfRule>
    <cfRule type="cellIs" dxfId="6759" priority="6690" stopIfTrue="1" operator="equal">
      <formula>"Fail"</formula>
    </cfRule>
  </conditionalFormatting>
  <conditionalFormatting sqref="I764:L764">
    <cfRule type="cellIs" dxfId="6758" priority="6687" stopIfTrue="1" operator="equal">
      <formula>"Pass"</formula>
    </cfRule>
    <cfRule type="cellIs" dxfId="6757" priority="6688" stopIfTrue="1" operator="equal">
      <formula>"Fail"</formula>
    </cfRule>
  </conditionalFormatting>
  <conditionalFormatting sqref="I764:L764">
    <cfRule type="cellIs" dxfId="6756" priority="6685" stopIfTrue="1" operator="equal">
      <formula>"Pass"</formula>
    </cfRule>
    <cfRule type="cellIs" dxfId="6755" priority="6686" stopIfTrue="1" operator="equal">
      <formula>"Fail"</formula>
    </cfRule>
  </conditionalFormatting>
  <conditionalFormatting sqref="G764">
    <cfRule type="cellIs" dxfId="6754" priority="6683" stopIfTrue="1" operator="equal">
      <formula>"Pass"</formula>
    </cfRule>
    <cfRule type="cellIs" dxfId="6753" priority="6684" stopIfTrue="1" operator="equal">
      <formula>"Fail"</formula>
    </cfRule>
  </conditionalFormatting>
  <conditionalFormatting sqref="G764">
    <cfRule type="cellIs" dxfId="6752" priority="6681" stopIfTrue="1" operator="equal">
      <formula>"Pass"</formula>
    </cfRule>
    <cfRule type="cellIs" dxfId="6751" priority="6682" stopIfTrue="1" operator="equal">
      <formula>"Fail"</formula>
    </cfRule>
  </conditionalFormatting>
  <conditionalFormatting sqref="G764">
    <cfRule type="cellIs" dxfId="6750" priority="6679" stopIfTrue="1" operator="equal">
      <formula>"Pass"</formula>
    </cfRule>
    <cfRule type="cellIs" dxfId="6749" priority="6680" stopIfTrue="1" operator="equal">
      <formula>"Fail"</formula>
    </cfRule>
  </conditionalFormatting>
  <conditionalFormatting sqref="G764">
    <cfRule type="cellIs" dxfId="6748" priority="6677" stopIfTrue="1" operator="equal">
      <formula>"Pass"</formula>
    </cfRule>
    <cfRule type="cellIs" dxfId="6747" priority="6678" stopIfTrue="1" operator="equal">
      <formula>"Fail"</formula>
    </cfRule>
  </conditionalFormatting>
  <conditionalFormatting sqref="G764">
    <cfRule type="cellIs" dxfId="6746" priority="6675" stopIfTrue="1" operator="equal">
      <formula>"Pass"</formula>
    </cfRule>
    <cfRule type="cellIs" dxfId="6745" priority="6676" stopIfTrue="1" operator="equal">
      <formula>"Fail"</formula>
    </cfRule>
  </conditionalFormatting>
  <conditionalFormatting sqref="G764">
    <cfRule type="cellIs" dxfId="6744" priority="6673" stopIfTrue="1" operator="equal">
      <formula>"Pass"</formula>
    </cfRule>
    <cfRule type="cellIs" dxfId="6743" priority="6674" stopIfTrue="1" operator="equal">
      <formula>"Fail"</formula>
    </cfRule>
  </conditionalFormatting>
  <conditionalFormatting sqref="H764:L764">
    <cfRule type="cellIs" dxfId="6742" priority="6671" stopIfTrue="1" operator="equal">
      <formula>"Pass"</formula>
    </cfRule>
    <cfRule type="cellIs" dxfId="6741" priority="6672" stopIfTrue="1" operator="equal">
      <formula>"Fail"</formula>
    </cfRule>
  </conditionalFormatting>
  <conditionalFormatting sqref="H764:L764">
    <cfRule type="cellIs" dxfId="6740" priority="6669" stopIfTrue="1" operator="equal">
      <formula>"Pass"</formula>
    </cfRule>
    <cfRule type="cellIs" dxfId="6739" priority="6670" stopIfTrue="1" operator="equal">
      <formula>"Fail"</formula>
    </cfRule>
  </conditionalFormatting>
  <conditionalFormatting sqref="I764:L764">
    <cfRule type="cellIs" dxfId="6738" priority="6667" stopIfTrue="1" operator="equal">
      <formula>"Pass"</formula>
    </cfRule>
    <cfRule type="cellIs" dxfId="6737" priority="6668" stopIfTrue="1" operator="equal">
      <formula>"Fail"</formula>
    </cfRule>
  </conditionalFormatting>
  <conditionalFormatting sqref="I764:L764">
    <cfRule type="cellIs" dxfId="6736" priority="6665" stopIfTrue="1" operator="equal">
      <formula>"Pass"</formula>
    </cfRule>
    <cfRule type="cellIs" dxfId="6735" priority="6666" stopIfTrue="1" operator="equal">
      <formula>"Fail"</formula>
    </cfRule>
  </conditionalFormatting>
  <conditionalFormatting sqref="I764:L764">
    <cfRule type="cellIs" dxfId="6734" priority="6663" stopIfTrue="1" operator="equal">
      <formula>"Pass"</formula>
    </cfRule>
    <cfRule type="cellIs" dxfId="6733" priority="6664" stopIfTrue="1" operator="equal">
      <formula>"Fail"</formula>
    </cfRule>
  </conditionalFormatting>
  <conditionalFormatting sqref="I764:L764">
    <cfRule type="cellIs" dxfId="6732" priority="6661" stopIfTrue="1" operator="equal">
      <formula>"Pass"</formula>
    </cfRule>
    <cfRule type="cellIs" dxfId="6731" priority="6662" stopIfTrue="1" operator="equal">
      <formula>"Fail"</formula>
    </cfRule>
  </conditionalFormatting>
  <conditionalFormatting sqref="G764">
    <cfRule type="cellIs" dxfId="6730" priority="6659" stopIfTrue="1" operator="equal">
      <formula>"Pass"</formula>
    </cfRule>
    <cfRule type="cellIs" dxfId="6729" priority="6660" stopIfTrue="1" operator="equal">
      <formula>"Fail"</formula>
    </cfRule>
  </conditionalFormatting>
  <conditionalFormatting sqref="G764">
    <cfRule type="cellIs" dxfId="6728" priority="6657" stopIfTrue="1" operator="equal">
      <formula>"Pass"</formula>
    </cfRule>
    <cfRule type="cellIs" dxfId="6727" priority="6658" stopIfTrue="1" operator="equal">
      <formula>"Fail"</formula>
    </cfRule>
  </conditionalFormatting>
  <conditionalFormatting sqref="G764">
    <cfRule type="cellIs" dxfId="6726" priority="6655" stopIfTrue="1" operator="equal">
      <formula>"Pass"</formula>
    </cfRule>
    <cfRule type="cellIs" dxfId="6725" priority="6656" stopIfTrue="1" operator="equal">
      <formula>"Fail"</formula>
    </cfRule>
  </conditionalFormatting>
  <conditionalFormatting sqref="G764">
    <cfRule type="cellIs" dxfId="6724" priority="6653" stopIfTrue="1" operator="equal">
      <formula>"Pass"</formula>
    </cfRule>
    <cfRule type="cellIs" dxfId="6723" priority="6654" stopIfTrue="1" operator="equal">
      <formula>"Fail"</formula>
    </cfRule>
  </conditionalFormatting>
  <conditionalFormatting sqref="G764">
    <cfRule type="cellIs" dxfId="6722" priority="6651" stopIfTrue="1" operator="equal">
      <formula>"Pass"</formula>
    </cfRule>
    <cfRule type="cellIs" dxfId="6721" priority="6652" stopIfTrue="1" operator="equal">
      <formula>"Fail"</formula>
    </cfRule>
  </conditionalFormatting>
  <conditionalFormatting sqref="G764">
    <cfRule type="cellIs" dxfId="6720" priority="6649" stopIfTrue="1" operator="equal">
      <formula>"Pass"</formula>
    </cfRule>
    <cfRule type="cellIs" dxfId="6719" priority="6650" stopIfTrue="1" operator="equal">
      <formula>"Fail"</formula>
    </cfRule>
  </conditionalFormatting>
  <conditionalFormatting sqref="H764:L764">
    <cfRule type="cellIs" dxfId="6718" priority="6647" stopIfTrue="1" operator="equal">
      <formula>"Pass"</formula>
    </cfRule>
    <cfRule type="cellIs" dxfId="6717" priority="6648" stopIfTrue="1" operator="equal">
      <formula>"Fail"</formula>
    </cfRule>
  </conditionalFormatting>
  <conditionalFormatting sqref="H764:L764">
    <cfRule type="cellIs" dxfId="6716" priority="6645" stopIfTrue="1" operator="equal">
      <formula>"Pass"</formula>
    </cfRule>
    <cfRule type="cellIs" dxfId="6715" priority="6646" stopIfTrue="1" operator="equal">
      <formula>"Fail"</formula>
    </cfRule>
  </conditionalFormatting>
  <conditionalFormatting sqref="I764:L764">
    <cfRule type="cellIs" dxfId="6714" priority="6643" stopIfTrue="1" operator="equal">
      <formula>"Pass"</formula>
    </cfRule>
    <cfRule type="cellIs" dxfId="6713" priority="6644" stopIfTrue="1" operator="equal">
      <formula>"Fail"</formula>
    </cfRule>
  </conditionalFormatting>
  <conditionalFormatting sqref="I764:L764">
    <cfRule type="cellIs" dxfId="6712" priority="6641" stopIfTrue="1" operator="equal">
      <formula>"Pass"</formula>
    </cfRule>
    <cfRule type="cellIs" dxfId="6711" priority="6642" stopIfTrue="1" operator="equal">
      <formula>"Fail"</formula>
    </cfRule>
  </conditionalFormatting>
  <conditionalFormatting sqref="I764:L764">
    <cfRule type="cellIs" dxfId="6710" priority="6639" stopIfTrue="1" operator="equal">
      <formula>"Pass"</formula>
    </cfRule>
    <cfRule type="cellIs" dxfId="6709" priority="6640" stopIfTrue="1" operator="equal">
      <formula>"Fail"</formula>
    </cfRule>
  </conditionalFormatting>
  <conditionalFormatting sqref="I764:L764">
    <cfRule type="cellIs" dxfId="6708" priority="6637" stopIfTrue="1" operator="equal">
      <formula>"Pass"</formula>
    </cfRule>
    <cfRule type="cellIs" dxfId="6707" priority="6638" stopIfTrue="1" operator="equal">
      <formula>"Fail"</formula>
    </cfRule>
  </conditionalFormatting>
  <conditionalFormatting sqref="G764">
    <cfRule type="cellIs" dxfId="6706" priority="6635" stopIfTrue="1" operator="equal">
      <formula>"Pass"</formula>
    </cfRule>
    <cfRule type="cellIs" dxfId="6705" priority="6636" stopIfTrue="1" operator="equal">
      <formula>"Fail"</formula>
    </cfRule>
  </conditionalFormatting>
  <conditionalFormatting sqref="G764">
    <cfRule type="cellIs" dxfId="6704" priority="6633" stopIfTrue="1" operator="equal">
      <formula>"Pass"</formula>
    </cfRule>
    <cfRule type="cellIs" dxfId="6703" priority="6634" stopIfTrue="1" operator="equal">
      <formula>"Fail"</formula>
    </cfRule>
  </conditionalFormatting>
  <conditionalFormatting sqref="G764">
    <cfRule type="cellIs" dxfId="6702" priority="6631" stopIfTrue="1" operator="equal">
      <formula>"Pass"</formula>
    </cfRule>
    <cfRule type="cellIs" dxfId="6701" priority="6632" stopIfTrue="1" operator="equal">
      <formula>"Fail"</formula>
    </cfRule>
  </conditionalFormatting>
  <conditionalFormatting sqref="G764">
    <cfRule type="cellIs" dxfId="6700" priority="6629" stopIfTrue="1" operator="equal">
      <formula>"Pass"</formula>
    </cfRule>
    <cfRule type="cellIs" dxfId="6699" priority="6630" stopIfTrue="1" operator="equal">
      <formula>"Fail"</formula>
    </cfRule>
  </conditionalFormatting>
  <conditionalFormatting sqref="G764">
    <cfRule type="cellIs" dxfId="6698" priority="6627" stopIfTrue="1" operator="equal">
      <formula>"Pass"</formula>
    </cfRule>
    <cfRule type="cellIs" dxfId="6697" priority="6628" stopIfTrue="1" operator="equal">
      <formula>"Fail"</formula>
    </cfRule>
  </conditionalFormatting>
  <conditionalFormatting sqref="G764">
    <cfRule type="cellIs" dxfId="6696" priority="6625" stopIfTrue="1" operator="equal">
      <formula>"Pass"</formula>
    </cfRule>
    <cfRule type="cellIs" dxfId="6695" priority="6626" stopIfTrue="1" operator="equal">
      <formula>"Fail"</formula>
    </cfRule>
  </conditionalFormatting>
  <conditionalFormatting sqref="H764:L764">
    <cfRule type="cellIs" dxfId="6694" priority="6623" stopIfTrue="1" operator="equal">
      <formula>"Pass"</formula>
    </cfRule>
    <cfRule type="cellIs" dxfId="6693" priority="6624" stopIfTrue="1" operator="equal">
      <formula>"Fail"</formula>
    </cfRule>
  </conditionalFormatting>
  <conditionalFormatting sqref="H764:L764">
    <cfRule type="cellIs" dxfId="6692" priority="6621" stopIfTrue="1" operator="equal">
      <formula>"Pass"</formula>
    </cfRule>
    <cfRule type="cellIs" dxfId="6691" priority="6622" stopIfTrue="1" operator="equal">
      <formula>"Fail"</formula>
    </cfRule>
  </conditionalFormatting>
  <conditionalFormatting sqref="I764:L764">
    <cfRule type="cellIs" dxfId="6690" priority="6619" stopIfTrue="1" operator="equal">
      <formula>"Pass"</formula>
    </cfRule>
    <cfRule type="cellIs" dxfId="6689" priority="6620" stopIfTrue="1" operator="equal">
      <formula>"Fail"</formula>
    </cfRule>
  </conditionalFormatting>
  <conditionalFormatting sqref="I764:L764">
    <cfRule type="cellIs" dxfId="6688" priority="6617" stopIfTrue="1" operator="equal">
      <formula>"Pass"</formula>
    </cfRule>
    <cfRule type="cellIs" dxfId="6687" priority="6618" stopIfTrue="1" operator="equal">
      <formula>"Fail"</formula>
    </cfRule>
  </conditionalFormatting>
  <conditionalFormatting sqref="I764:L764">
    <cfRule type="cellIs" dxfId="6686" priority="6615" stopIfTrue="1" operator="equal">
      <formula>"Pass"</formula>
    </cfRule>
    <cfRule type="cellIs" dxfId="6685" priority="6616" stopIfTrue="1" operator="equal">
      <formula>"Fail"</formula>
    </cfRule>
  </conditionalFormatting>
  <conditionalFormatting sqref="I764:L764">
    <cfRule type="cellIs" dxfId="6684" priority="6613" stopIfTrue="1" operator="equal">
      <formula>"Pass"</formula>
    </cfRule>
    <cfRule type="cellIs" dxfId="6683" priority="6614" stopIfTrue="1" operator="equal">
      <formula>"Fail"</formula>
    </cfRule>
  </conditionalFormatting>
  <conditionalFormatting sqref="G764">
    <cfRule type="cellIs" dxfId="6682" priority="6611" stopIfTrue="1" operator="equal">
      <formula>"Pass"</formula>
    </cfRule>
    <cfRule type="cellIs" dxfId="6681" priority="6612" stopIfTrue="1" operator="equal">
      <formula>"Fail"</formula>
    </cfRule>
  </conditionalFormatting>
  <conditionalFormatting sqref="G764">
    <cfRule type="cellIs" dxfId="6680" priority="6609" stopIfTrue="1" operator="equal">
      <formula>"Pass"</formula>
    </cfRule>
    <cfRule type="cellIs" dxfId="6679" priority="6610" stopIfTrue="1" operator="equal">
      <formula>"Fail"</formula>
    </cfRule>
  </conditionalFormatting>
  <conditionalFormatting sqref="G764">
    <cfRule type="cellIs" dxfId="6678" priority="6607" stopIfTrue="1" operator="equal">
      <formula>"Pass"</formula>
    </cfRule>
    <cfRule type="cellIs" dxfId="6677" priority="6608" stopIfTrue="1" operator="equal">
      <formula>"Fail"</formula>
    </cfRule>
  </conditionalFormatting>
  <conditionalFormatting sqref="G764">
    <cfRule type="cellIs" dxfId="6676" priority="6605" stopIfTrue="1" operator="equal">
      <formula>"Pass"</formula>
    </cfRule>
    <cfRule type="cellIs" dxfId="6675" priority="6606" stopIfTrue="1" operator="equal">
      <formula>"Fail"</formula>
    </cfRule>
  </conditionalFormatting>
  <conditionalFormatting sqref="G764">
    <cfRule type="cellIs" dxfId="6674" priority="6603" stopIfTrue="1" operator="equal">
      <formula>"Pass"</formula>
    </cfRule>
    <cfRule type="cellIs" dxfId="6673" priority="6604" stopIfTrue="1" operator="equal">
      <formula>"Fail"</formula>
    </cfRule>
  </conditionalFormatting>
  <conditionalFormatting sqref="G764">
    <cfRule type="cellIs" dxfId="6672" priority="6601" stopIfTrue="1" operator="equal">
      <formula>"Pass"</formula>
    </cfRule>
    <cfRule type="cellIs" dxfId="6671" priority="6602" stopIfTrue="1" operator="equal">
      <formula>"Fail"</formula>
    </cfRule>
  </conditionalFormatting>
  <conditionalFormatting sqref="H764:L764">
    <cfRule type="cellIs" dxfId="6670" priority="6599" stopIfTrue="1" operator="equal">
      <formula>"Pass"</formula>
    </cfRule>
    <cfRule type="cellIs" dxfId="6669" priority="6600" stopIfTrue="1" operator="equal">
      <formula>"Fail"</formula>
    </cfRule>
  </conditionalFormatting>
  <conditionalFormatting sqref="H764:L764">
    <cfRule type="cellIs" dxfId="6668" priority="6597" stopIfTrue="1" operator="equal">
      <formula>"Pass"</formula>
    </cfRule>
    <cfRule type="cellIs" dxfId="6667" priority="6598" stopIfTrue="1" operator="equal">
      <formula>"Fail"</formula>
    </cfRule>
  </conditionalFormatting>
  <conditionalFormatting sqref="I764:L764">
    <cfRule type="cellIs" dxfId="6666" priority="6595" stopIfTrue="1" operator="equal">
      <formula>"Pass"</formula>
    </cfRule>
    <cfRule type="cellIs" dxfId="6665" priority="6596" stopIfTrue="1" operator="equal">
      <formula>"Fail"</formula>
    </cfRule>
  </conditionalFormatting>
  <conditionalFormatting sqref="I764:L764">
    <cfRule type="cellIs" dxfId="6664" priority="6593" stopIfTrue="1" operator="equal">
      <formula>"Pass"</formula>
    </cfRule>
    <cfRule type="cellIs" dxfId="6663" priority="6594" stopIfTrue="1" operator="equal">
      <formula>"Fail"</formula>
    </cfRule>
  </conditionalFormatting>
  <conditionalFormatting sqref="I764:L764">
    <cfRule type="cellIs" dxfId="6662" priority="6591" stopIfTrue="1" operator="equal">
      <formula>"Pass"</formula>
    </cfRule>
    <cfRule type="cellIs" dxfId="6661" priority="6592" stopIfTrue="1" operator="equal">
      <formula>"Fail"</formula>
    </cfRule>
  </conditionalFormatting>
  <conditionalFormatting sqref="I764:L764">
    <cfRule type="cellIs" dxfId="6660" priority="6589" stopIfTrue="1" operator="equal">
      <formula>"Pass"</formula>
    </cfRule>
    <cfRule type="cellIs" dxfId="6659" priority="6590" stopIfTrue="1" operator="equal">
      <formula>"Fail"</formula>
    </cfRule>
  </conditionalFormatting>
  <conditionalFormatting sqref="G764">
    <cfRule type="cellIs" dxfId="6658" priority="6587" stopIfTrue="1" operator="equal">
      <formula>"Pass"</formula>
    </cfRule>
    <cfRule type="cellIs" dxfId="6657" priority="6588" stopIfTrue="1" operator="equal">
      <formula>"Fail"</formula>
    </cfRule>
  </conditionalFormatting>
  <conditionalFormatting sqref="G764">
    <cfRule type="cellIs" dxfId="6656" priority="6585" stopIfTrue="1" operator="equal">
      <formula>"Pass"</formula>
    </cfRule>
    <cfRule type="cellIs" dxfId="6655" priority="6586" stopIfTrue="1" operator="equal">
      <formula>"Fail"</formula>
    </cfRule>
  </conditionalFormatting>
  <conditionalFormatting sqref="G764">
    <cfRule type="cellIs" dxfId="6654" priority="6583" stopIfTrue="1" operator="equal">
      <formula>"Pass"</formula>
    </cfRule>
    <cfRule type="cellIs" dxfId="6653" priority="6584" stopIfTrue="1" operator="equal">
      <formula>"Fail"</formula>
    </cfRule>
  </conditionalFormatting>
  <conditionalFormatting sqref="G764">
    <cfRule type="cellIs" dxfId="6652" priority="6581" stopIfTrue="1" operator="equal">
      <formula>"Pass"</formula>
    </cfRule>
    <cfRule type="cellIs" dxfId="6651" priority="6582" stopIfTrue="1" operator="equal">
      <formula>"Fail"</formula>
    </cfRule>
  </conditionalFormatting>
  <conditionalFormatting sqref="G764">
    <cfRule type="cellIs" dxfId="6650" priority="6579" stopIfTrue="1" operator="equal">
      <formula>"Pass"</formula>
    </cfRule>
    <cfRule type="cellIs" dxfId="6649" priority="6580" stopIfTrue="1" operator="equal">
      <formula>"Fail"</formula>
    </cfRule>
  </conditionalFormatting>
  <conditionalFormatting sqref="G764">
    <cfRule type="cellIs" dxfId="6648" priority="6577" stopIfTrue="1" operator="equal">
      <formula>"Pass"</formula>
    </cfRule>
    <cfRule type="cellIs" dxfId="6647" priority="6578" stopIfTrue="1" operator="equal">
      <formula>"Fail"</formula>
    </cfRule>
  </conditionalFormatting>
  <conditionalFormatting sqref="H764:L764">
    <cfRule type="cellIs" dxfId="6646" priority="6575" stopIfTrue="1" operator="equal">
      <formula>"Pass"</formula>
    </cfRule>
    <cfRule type="cellIs" dxfId="6645" priority="6576" stopIfTrue="1" operator="equal">
      <formula>"Fail"</formula>
    </cfRule>
  </conditionalFormatting>
  <conditionalFormatting sqref="H764:L764">
    <cfRule type="cellIs" dxfId="6644" priority="6573" stopIfTrue="1" operator="equal">
      <formula>"Pass"</formula>
    </cfRule>
    <cfRule type="cellIs" dxfId="6643" priority="6574" stopIfTrue="1" operator="equal">
      <formula>"Fail"</formula>
    </cfRule>
  </conditionalFormatting>
  <conditionalFormatting sqref="I764:L764">
    <cfRule type="cellIs" dxfId="6642" priority="6571" stopIfTrue="1" operator="equal">
      <formula>"Pass"</formula>
    </cfRule>
    <cfRule type="cellIs" dxfId="6641" priority="6572" stopIfTrue="1" operator="equal">
      <formula>"Fail"</formula>
    </cfRule>
  </conditionalFormatting>
  <conditionalFormatting sqref="I764:L764">
    <cfRule type="cellIs" dxfId="6640" priority="6569" stopIfTrue="1" operator="equal">
      <formula>"Pass"</formula>
    </cfRule>
    <cfRule type="cellIs" dxfId="6639" priority="6570" stopIfTrue="1" operator="equal">
      <formula>"Fail"</formula>
    </cfRule>
  </conditionalFormatting>
  <conditionalFormatting sqref="I764:L764">
    <cfRule type="cellIs" dxfId="6638" priority="6567" stopIfTrue="1" operator="equal">
      <formula>"Pass"</formula>
    </cfRule>
    <cfRule type="cellIs" dxfId="6637" priority="6568" stopIfTrue="1" operator="equal">
      <formula>"Fail"</formula>
    </cfRule>
  </conditionalFormatting>
  <conditionalFormatting sqref="I764:L764">
    <cfRule type="cellIs" dxfId="6636" priority="6565" stopIfTrue="1" operator="equal">
      <formula>"Pass"</formula>
    </cfRule>
    <cfRule type="cellIs" dxfId="6635" priority="6566" stopIfTrue="1" operator="equal">
      <formula>"Fail"</formula>
    </cfRule>
  </conditionalFormatting>
  <conditionalFormatting sqref="G764">
    <cfRule type="cellIs" dxfId="6634" priority="6563" stopIfTrue="1" operator="equal">
      <formula>"Pass"</formula>
    </cfRule>
    <cfRule type="cellIs" dxfId="6633" priority="6564" stopIfTrue="1" operator="equal">
      <formula>"Fail"</formula>
    </cfRule>
  </conditionalFormatting>
  <conditionalFormatting sqref="G764">
    <cfRule type="cellIs" dxfId="6632" priority="6561" stopIfTrue="1" operator="equal">
      <formula>"Pass"</formula>
    </cfRule>
    <cfRule type="cellIs" dxfId="6631" priority="6562" stopIfTrue="1" operator="equal">
      <formula>"Fail"</formula>
    </cfRule>
  </conditionalFormatting>
  <conditionalFormatting sqref="G764">
    <cfRule type="cellIs" dxfId="6630" priority="6559" stopIfTrue="1" operator="equal">
      <formula>"Pass"</formula>
    </cfRule>
    <cfRule type="cellIs" dxfId="6629" priority="6560" stopIfTrue="1" operator="equal">
      <formula>"Fail"</formula>
    </cfRule>
  </conditionalFormatting>
  <conditionalFormatting sqref="G764">
    <cfRule type="cellIs" dxfId="6628" priority="6557" stopIfTrue="1" operator="equal">
      <formula>"Pass"</formula>
    </cfRule>
    <cfRule type="cellIs" dxfId="6627" priority="6558" stopIfTrue="1" operator="equal">
      <formula>"Fail"</formula>
    </cfRule>
  </conditionalFormatting>
  <conditionalFormatting sqref="G764">
    <cfRule type="cellIs" dxfId="6626" priority="6555" stopIfTrue="1" operator="equal">
      <formula>"Pass"</formula>
    </cfRule>
    <cfRule type="cellIs" dxfId="6625" priority="6556" stopIfTrue="1" operator="equal">
      <formula>"Fail"</formula>
    </cfRule>
  </conditionalFormatting>
  <conditionalFormatting sqref="G764">
    <cfRule type="cellIs" dxfId="6624" priority="6553" stopIfTrue="1" operator="equal">
      <formula>"Pass"</formula>
    </cfRule>
    <cfRule type="cellIs" dxfId="6623" priority="6554" stopIfTrue="1" operator="equal">
      <formula>"Fail"</formula>
    </cfRule>
  </conditionalFormatting>
  <conditionalFormatting sqref="H764:L764">
    <cfRule type="cellIs" dxfId="6622" priority="6551" stopIfTrue="1" operator="equal">
      <formula>"Pass"</formula>
    </cfRule>
    <cfRule type="cellIs" dxfId="6621" priority="6552" stopIfTrue="1" operator="equal">
      <formula>"Fail"</formula>
    </cfRule>
  </conditionalFormatting>
  <conditionalFormatting sqref="H764:L764">
    <cfRule type="cellIs" dxfId="6620" priority="6549" stopIfTrue="1" operator="equal">
      <formula>"Pass"</formula>
    </cfRule>
    <cfRule type="cellIs" dxfId="6619" priority="6550" stopIfTrue="1" operator="equal">
      <formula>"Fail"</formula>
    </cfRule>
  </conditionalFormatting>
  <conditionalFormatting sqref="I764:L764">
    <cfRule type="cellIs" dxfId="6618" priority="6547" stopIfTrue="1" operator="equal">
      <formula>"Pass"</formula>
    </cfRule>
    <cfRule type="cellIs" dxfId="6617" priority="6548" stopIfTrue="1" operator="equal">
      <formula>"Fail"</formula>
    </cfRule>
  </conditionalFormatting>
  <conditionalFormatting sqref="I764:L764">
    <cfRule type="cellIs" dxfId="6616" priority="6545" stopIfTrue="1" operator="equal">
      <formula>"Pass"</formula>
    </cfRule>
    <cfRule type="cellIs" dxfId="6615" priority="6546" stopIfTrue="1" operator="equal">
      <formula>"Fail"</formula>
    </cfRule>
  </conditionalFormatting>
  <conditionalFormatting sqref="I764:L764">
    <cfRule type="cellIs" dxfId="6614" priority="6543" stopIfTrue="1" operator="equal">
      <formula>"Pass"</formula>
    </cfRule>
    <cfRule type="cellIs" dxfId="6613" priority="6544" stopIfTrue="1" operator="equal">
      <formula>"Fail"</formula>
    </cfRule>
  </conditionalFormatting>
  <conditionalFormatting sqref="I764:L764">
    <cfRule type="cellIs" dxfId="6612" priority="6541" stopIfTrue="1" operator="equal">
      <formula>"Pass"</formula>
    </cfRule>
    <cfRule type="cellIs" dxfId="6611" priority="6542" stopIfTrue="1" operator="equal">
      <formula>"Fail"</formula>
    </cfRule>
  </conditionalFormatting>
  <conditionalFormatting sqref="G764">
    <cfRule type="cellIs" dxfId="6610" priority="6539" stopIfTrue="1" operator="equal">
      <formula>"Pass"</formula>
    </cfRule>
    <cfRule type="cellIs" dxfId="6609" priority="6540" stopIfTrue="1" operator="equal">
      <formula>"Fail"</formula>
    </cfRule>
  </conditionalFormatting>
  <conditionalFormatting sqref="G764">
    <cfRule type="cellIs" dxfId="6608" priority="6537" stopIfTrue="1" operator="equal">
      <formula>"Pass"</formula>
    </cfRule>
    <cfRule type="cellIs" dxfId="6607" priority="6538" stopIfTrue="1" operator="equal">
      <formula>"Fail"</formula>
    </cfRule>
  </conditionalFormatting>
  <conditionalFormatting sqref="G764">
    <cfRule type="cellIs" dxfId="6606" priority="6535" stopIfTrue="1" operator="equal">
      <formula>"Pass"</formula>
    </cfRule>
    <cfRule type="cellIs" dxfId="6605" priority="6536" stopIfTrue="1" operator="equal">
      <formula>"Fail"</formula>
    </cfRule>
  </conditionalFormatting>
  <conditionalFormatting sqref="G764">
    <cfRule type="cellIs" dxfId="6604" priority="6533" stopIfTrue="1" operator="equal">
      <formula>"Pass"</formula>
    </cfRule>
    <cfRule type="cellIs" dxfId="6603" priority="6534" stopIfTrue="1" operator="equal">
      <formula>"Fail"</formula>
    </cfRule>
  </conditionalFormatting>
  <conditionalFormatting sqref="G764">
    <cfRule type="cellIs" dxfId="6602" priority="6531" stopIfTrue="1" operator="equal">
      <formula>"Pass"</formula>
    </cfRule>
    <cfRule type="cellIs" dxfId="6601" priority="6532" stopIfTrue="1" operator="equal">
      <formula>"Fail"</formula>
    </cfRule>
  </conditionalFormatting>
  <conditionalFormatting sqref="G764">
    <cfRule type="cellIs" dxfId="6600" priority="6529" stopIfTrue="1" operator="equal">
      <formula>"Pass"</formula>
    </cfRule>
    <cfRule type="cellIs" dxfId="6599" priority="6530" stopIfTrue="1" operator="equal">
      <formula>"Fail"</formula>
    </cfRule>
  </conditionalFormatting>
  <conditionalFormatting sqref="H764:L764">
    <cfRule type="cellIs" dxfId="6598" priority="6527" stopIfTrue="1" operator="equal">
      <formula>"Pass"</formula>
    </cfRule>
    <cfRule type="cellIs" dxfId="6597" priority="6528" stopIfTrue="1" operator="equal">
      <formula>"Fail"</formula>
    </cfRule>
  </conditionalFormatting>
  <conditionalFormatting sqref="H764:L764">
    <cfRule type="cellIs" dxfId="6596" priority="6525" stopIfTrue="1" operator="equal">
      <formula>"Pass"</formula>
    </cfRule>
    <cfRule type="cellIs" dxfId="6595" priority="6526" stopIfTrue="1" operator="equal">
      <formula>"Fail"</formula>
    </cfRule>
  </conditionalFormatting>
  <conditionalFormatting sqref="I764:L764">
    <cfRule type="cellIs" dxfId="6594" priority="6523" stopIfTrue="1" operator="equal">
      <formula>"Pass"</formula>
    </cfRule>
    <cfRule type="cellIs" dxfId="6593" priority="6524" stopIfTrue="1" operator="equal">
      <formula>"Fail"</formula>
    </cfRule>
  </conditionalFormatting>
  <conditionalFormatting sqref="I764:L764">
    <cfRule type="cellIs" dxfId="6592" priority="6521" stopIfTrue="1" operator="equal">
      <formula>"Pass"</formula>
    </cfRule>
    <cfRule type="cellIs" dxfId="6591" priority="6522" stopIfTrue="1" operator="equal">
      <formula>"Fail"</formula>
    </cfRule>
  </conditionalFormatting>
  <conditionalFormatting sqref="I764:L764">
    <cfRule type="cellIs" dxfId="6590" priority="6519" stopIfTrue="1" operator="equal">
      <formula>"Pass"</formula>
    </cfRule>
    <cfRule type="cellIs" dxfId="6589" priority="6520" stopIfTrue="1" operator="equal">
      <formula>"Fail"</formula>
    </cfRule>
  </conditionalFormatting>
  <conditionalFormatting sqref="I764:L764">
    <cfRule type="cellIs" dxfId="6588" priority="6517" stopIfTrue="1" operator="equal">
      <formula>"Pass"</formula>
    </cfRule>
    <cfRule type="cellIs" dxfId="6587" priority="6518" stopIfTrue="1" operator="equal">
      <formula>"Fail"</formula>
    </cfRule>
  </conditionalFormatting>
  <conditionalFormatting sqref="G764">
    <cfRule type="cellIs" dxfId="6586" priority="6515" stopIfTrue="1" operator="equal">
      <formula>"Pass"</formula>
    </cfRule>
    <cfRule type="cellIs" dxfId="6585" priority="6516" stopIfTrue="1" operator="equal">
      <formula>"Fail"</formula>
    </cfRule>
  </conditionalFormatting>
  <conditionalFormatting sqref="G764">
    <cfRule type="cellIs" dxfId="6584" priority="6513" stopIfTrue="1" operator="equal">
      <formula>"Pass"</formula>
    </cfRule>
    <cfRule type="cellIs" dxfId="6583" priority="6514" stopIfTrue="1" operator="equal">
      <formula>"Fail"</formula>
    </cfRule>
  </conditionalFormatting>
  <conditionalFormatting sqref="G764">
    <cfRule type="cellIs" dxfId="6582" priority="6511" stopIfTrue="1" operator="equal">
      <formula>"Pass"</formula>
    </cfRule>
    <cfRule type="cellIs" dxfId="6581" priority="6512" stopIfTrue="1" operator="equal">
      <formula>"Fail"</formula>
    </cfRule>
  </conditionalFormatting>
  <conditionalFormatting sqref="G764">
    <cfRule type="cellIs" dxfId="6580" priority="6509" stopIfTrue="1" operator="equal">
      <formula>"Pass"</formula>
    </cfRule>
    <cfRule type="cellIs" dxfId="6579" priority="6510" stopIfTrue="1" operator="equal">
      <formula>"Fail"</formula>
    </cfRule>
  </conditionalFormatting>
  <conditionalFormatting sqref="G764">
    <cfRule type="cellIs" dxfId="6578" priority="6507" stopIfTrue="1" operator="equal">
      <formula>"Pass"</formula>
    </cfRule>
    <cfRule type="cellIs" dxfId="6577" priority="6508" stopIfTrue="1" operator="equal">
      <formula>"Fail"</formula>
    </cfRule>
  </conditionalFormatting>
  <conditionalFormatting sqref="G764">
    <cfRule type="cellIs" dxfId="6576" priority="6505" stopIfTrue="1" operator="equal">
      <formula>"Pass"</formula>
    </cfRule>
    <cfRule type="cellIs" dxfId="6575" priority="6506" stopIfTrue="1" operator="equal">
      <formula>"Fail"</formula>
    </cfRule>
  </conditionalFormatting>
  <conditionalFormatting sqref="H764:L764">
    <cfRule type="cellIs" dxfId="6574" priority="6503" stopIfTrue="1" operator="equal">
      <formula>"Pass"</formula>
    </cfRule>
    <cfRule type="cellIs" dxfId="6573" priority="6504" stopIfTrue="1" operator="equal">
      <formula>"Fail"</formula>
    </cfRule>
  </conditionalFormatting>
  <conditionalFormatting sqref="H764:L764">
    <cfRule type="cellIs" dxfId="6572" priority="6501" stopIfTrue="1" operator="equal">
      <formula>"Pass"</formula>
    </cfRule>
    <cfRule type="cellIs" dxfId="6571" priority="6502" stopIfTrue="1" operator="equal">
      <formula>"Fail"</formula>
    </cfRule>
  </conditionalFormatting>
  <conditionalFormatting sqref="I764:L764">
    <cfRule type="cellIs" dxfId="6570" priority="6499" stopIfTrue="1" operator="equal">
      <formula>"Pass"</formula>
    </cfRule>
    <cfRule type="cellIs" dxfId="6569" priority="6500" stopIfTrue="1" operator="equal">
      <formula>"Fail"</formula>
    </cfRule>
  </conditionalFormatting>
  <conditionalFormatting sqref="I764:L764">
    <cfRule type="cellIs" dxfId="6568" priority="6497" stopIfTrue="1" operator="equal">
      <formula>"Pass"</formula>
    </cfRule>
    <cfRule type="cellIs" dxfId="6567" priority="6498" stopIfTrue="1" operator="equal">
      <formula>"Fail"</formula>
    </cfRule>
  </conditionalFormatting>
  <conditionalFormatting sqref="I764:L764">
    <cfRule type="cellIs" dxfId="6566" priority="6495" stopIfTrue="1" operator="equal">
      <formula>"Pass"</formula>
    </cfRule>
    <cfRule type="cellIs" dxfId="6565" priority="6496" stopIfTrue="1" operator="equal">
      <formula>"Fail"</formula>
    </cfRule>
  </conditionalFormatting>
  <conditionalFormatting sqref="I764:L764">
    <cfRule type="cellIs" dxfId="6564" priority="6493" stopIfTrue="1" operator="equal">
      <formula>"Pass"</formula>
    </cfRule>
    <cfRule type="cellIs" dxfId="6563" priority="6494" stopIfTrue="1" operator="equal">
      <formula>"Fail"</formula>
    </cfRule>
  </conditionalFormatting>
  <conditionalFormatting sqref="G764">
    <cfRule type="cellIs" dxfId="6562" priority="6491" stopIfTrue="1" operator="equal">
      <formula>"Pass"</formula>
    </cfRule>
    <cfRule type="cellIs" dxfId="6561" priority="6492" stopIfTrue="1" operator="equal">
      <formula>"Fail"</formula>
    </cfRule>
  </conditionalFormatting>
  <conditionalFormatting sqref="G764">
    <cfRule type="cellIs" dxfId="6560" priority="6489" stopIfTrue="1" operator="equal">
      <formula>"Pass"</formula>
    </cfRule>
    <cfRule type="cellIs" dxfId="6559" priority="6490" stopIfTrue="1" operator="equal">
      <formula>"Fail"</formula>
    </cfRule>
  </conditionalFormatting>
  <conditionalFormatting sqref="G764">
    <cfRule type="cellIs" dxfId="6558" priority="6487" stopIfTrue="1" operator="equal">
      <formula>"Pass"</formula>
    </cfRule>
    <cfRule type="cellIs" dxfId="6557" priority="6488" stopIfTrue="1" operator="equal">
      <formula>"Fail"</formula>
    </cfRule>
  </conditionalFormatting>
  <conditionalFormatting sqref="G764">
    <cfRule type="cellIs" dxfId="6556" priority="6485" stopIfTrue="1" operator="equal">
      <formula>"Pass"</formula>
    </cfRule>
    <cfRule type="cellIs" dxfId="6555" priority="6486" stopIfTrue="1" operator="equal">
      <formula>"Fail"</formula>
    </cfRule>
  </conditionalFormatting>
  <conditionalFormatting sqref="G764">
    <cfRule type="cellIs" dxfId="6554" priority="6483" stopIfTrue="1" operator="equal">
      <formula>"Pass"</formula>
    </cfRule>
    <cfRule type="cellIs" dxfId="6553" priority="6484" stopIfTrue="1" operator="equal">
      <formula>"Fail"</formula>
    </cfRule>
  </conditionalFormatting>
  <conditionalFormatting sqref="G764">
    <cfRule type="cellIs" dxfId="6552" priority="6481" stopIfTrue="1" operator="equal">
      <formula>"Pass"</formula>
    </cfRule>
    <cfRule type="cellIs" dxfId="6551" priority="6482" stopIfTrue="1" operator="equal">
      <formula>"Fail"</formula>
    </cfRule>
  </conditionalFormatting>
  <conditionalFormatting sqref="H764:L764">
    <cfRule type="cellIs" dxfId="6550" priority="6479" stopIfTrue="1" operator="equal">
      <formula>"Pass"</formula>
    </cfRule>
    <cfRule type="cellIs" dxfId="6549" priority="6480" stopIfTrue="1" operator="equal">
      <formula>"Fail"</formula>
    </cfRule>
  </conditionalFormatting>
  <conditionalFormatting sqref="H764:L764">
    <cfRule type="cellIs" dxfId="6548" priority="6477" stopIfTrue="1" operator="equal">
      <formula>"Pass"</formula>
    </cfRule>
    <cfRule type="cellIs" dxfId="6547" priority="6478" stopIfTrue="1" operator="equal">
      <formula>"Fail"</formula>
    </cfRule>
  </conditionalFormatting>
  <conditionalFormatting sqref="I764:L764">
    <cfRule type="cellIs" dxfId="6546" priority="6475" stopIfTrue="1" operator="equal">
      <formula>"Pass"</formula>
    </cfRule>
    <cfRule type="cellIs" dxfId="6545" priority="6476" stopIfTrue="1" operator="equal">
      <formula>"Fail"</formula>
    </cfRule>
  </conditionalFormatting>
  <conditionalFormatting sqref="I764:L764">
    <cfRule type="cellIs" dxfId="6544" priority="6473" stopIfTrue="1" operator="equal">
      <formula>"Pass"</formula>
    </cfRule>
    <cfRule type="cellIs" dxfId="6543" priority="6474" stopIfTrue="1" operator="equal">
      <formula>"Fail"</formula>
    </cfRule>
  </conditionalFormatting>
  <conditionalFormatting sqref="I764:L764">
    <cfRule type="cellIs" dxfId="6542" priority="6471" stopIfTrue="1" operator="equal">
      <formula>"Pass"</formula>
    </cfRule>
    <cfRule type="cellIs" dxfId="6541" priority="6472" stopIfTrue="1" operator="equal">
      <formula>"Fail"</formula>
    </cfRule>
  </conditionalFormatting>
  <conditionalFormatting sqref="I764:L764">
    <cfRule type="cellIs" dxfId="6540" priority="6469" stopIfTrue="1" operator="equal">
      <formula>"Pass"</formula>
    </cfRule>
    <cfRule type="cellIs" dxfId="6539" priority="6470" stopIfTrue="1" operator="equal">
      <formula>"Fail"</formula>
    </cfRule>
  </conditionalFormatting>
  <conditionalFormatting sqref="G764">
    <cfRule type="cellIs" dxfId="6538" priority="6467" stopIfTrue="1" operator="equal">
      <formula>"Pass"</formula>
    </cfRule>
    <cfRule type="cellIs" dxfId="6537" priority="6468" stopIfTrue="1" operator="equal">
      <formula>"Fail"</formula>
    </cfRule>
  </conditionalFormatting>
  <conditionalFormatting sqref="G764">
    <cfRule type="cellIs" dxfId="6536" priority="6465" stopIfTrue="1" operator="equal">
      <formula>"Pass"</formula>
    </cfRule>
    <cfRule type="cellIs" dxfId="6535" priority="6466" stopIfTrue="1" operator="equal">
      <formula>"Fail"</formula>
    </cfRule>
  </conditionalFormatting>
  <conditionalFormatting sqref="G764">
    <cfRule type="cellIs" dxfId="6534" priority="6463" stopIfTrue="1" operator="equal">
      <formula>"Pass"</formula>
    </cfRule>
    <cfRule type="cellIs" dxfId="6533" priority="6464" stopIfTrue="1" operator="equal">
      <formula>"Fail"</formula>
    </cfRule>
  </conditionalFormatting>
  <conditionalFormatting sqref="G764">
    <cfRule type="cellIs" dxfId="6532" priority="6461" stopIfTrue="1" operator="equal">
      <formula>"Pass"</formula>
    </cfRule>
    <cfRule type="cellIs" dxfId="6531" priority="6462" stopIfTrue="1" operator="equal">
      <formula>"Fail"</formula>
    </cfRule>
  </conditionalFormatting>
  <conditionalFormatting sqref="G764">
    <cfRule type="cellIs" dxfId="6530" priority="6459" stopIfTrue="1" operator="equal">
      <formula>"Pass"</formula>
    </cfRule>
    <cfRule type="cellIs" dxfId="6529" priority="6460" stopIfTrue="1" operator="equal">
      <formula>"Fail"</formula>
    </cfRule>
  </conditionalFormatting>
  <conditionalFormatting sqref="G764">
    <cfRule type="cellIs" dxfId="6528" priority="6457" stopIfTrue="1" operator="equal">
      <formula>"Pass"</formula>
    </cfRule>
    <cfRule type="cellIs" dxfId="6527" priority="6458" stopIfTrue="1" operator="equal">
      <formula>"Fail"</formula>
    </cfRule>
  </conditionalFormatting>
  <conditionalFormatting sqref="G764:L764">
    <cfRule type="cellIs" dxfId="6526" priority="6455" stopIfTrue="1" operator="equal">
      <formula>"Pass"</formula>
    </cfRule>
    <cfRule type="cellIs" dxfId="6525" priority="6456" stopIfTrue="1" operator="equal">
      <formula>"Fail"</formula>
    </cfRule>
  </conditionalFormatting>
  <conditionalFormatting sqref="G764:L764">
    <cfRule type="cellIs" dxfId="6524" priority="6453" stopIfTrue="1" operator="equal">
      <formula>"Pass"</formula>
    </cfRule>
    <cfRule type="cellIs" dxfId="6523" priority="6454" stopIfTrue="1" operator="equal">
      <formula>"Fail"</formula>
    </cfRule>
  </conditionalFormatting>
  <conditionalFormatting sqref="G764:L764">
    <cfRule type="cellIs" dxfId="6522" priority="6451" stopIfTrue="1" operator="equal">
      <formula>"Pass"</formula>
    </cfRule>
    <cfRule type="cellIs" dxfId="6521" priority="6452" stopIfTrue="1" operator="equal">
      <formula>"Fail"</formula>
    </cfRule>
  </conditionalFormatting>
  <conditionalFormatting sqref="G764:L764">
    <cfRule type="cellIs" dxfId="6520" priority="6449" stopIfTrue="1" operator="equal">
      <formula>"Pass"</formula>
    </cfRule>
    <cfRule type="cellIs" dxfId="6519" priority="6450" stopIfTrue="1" operator="equal">
      <formula>"Fail"</formula>
    </cfRule>
  </conditionalFormatting>
  <conditionalFormatting sqref="G764:L764">
    <cfRule type="cellIs" dxfId="6518" priority="6447" stopIfTrue="1" operator="equal">
      <formula>"Pass"</formula>
    </cfRule>
    <cfRule type="cellIs" dxfId="6517" priority="6448" stopIfTrue="1" operator="equal">
      <formula>"Fail"</formula>
    </cfRule>
  </conditionalFormatting>
  <conditionalFormatting sqref="G764:L764">
    <cfRule type="cellIs" dxfId="6516" priority="6445" stopIfTrue="1" operator="equal">
      <formula>"Pass"</formula>
    </cfRule>
    <cfRule type="cellIs" dxfId="6515" priority="6446" stopIfTrue="1" operator="equal">
      <formula>"Fail"</formula>
    </cfRule>
  </conditionalFormatting>
  <conditionalFormatting sqref="G764:L764">
    <cfRule type="cellIs" dxfId="6514" priority="6443" stopIfTrue="1" operator="equal">
      <formula>"Pass"</formula>
    </cfRule>
    <cfRule type="cellIs" dxfId="6513" priority="6444" stopIfTrue="1" operator="equal">
      <formula>"Fail"</formula>
    </cfRule>
  </conditionalFormatting>
  <conditionalFormatting sqref="G764:L764">
    <cfRule type="cellIs" dxfId="6512" priority="6441" stopIfTrue="1" operator="equal">
      <formula>"Pass"</formula>
    </cfRule>
    <cfRule type="cellIs" dxfId="6511" priority="6442" stopIfTrue="1" operator="equal">
      <formula>"Fail"</formula>
    </cfRule>
  </conditionalFormatting>
  <conditionalFormatting sqref="G764:L764">
    <cfRule type="cellIs" dxfId="6510" priority="6439" stopIfTrue="1" operator="equal">
      <formula>"Pass"</formula>
    </cfRule>
    <cfRule type="cellIs" dxfId="6509" priority="6440" stopIfTrue="1" operator="equal">
      <formula>"Fail"</formula>
    </cfRule>
  </conditionalFormatting>
  <conditionalFormatting sqref="G764:L764">
    <cfRule type="cellIs" dxfId="6508" priority="6437" stopIfTrue="1" operator="equal">
      <formula>"Pass"</formula>
    </cfRule>
    <cfRule type="cellIs" dxfId="6507" priority="6438" stopIfTrue="1" operator="equal">
      <formula>"Fail"</formula>
    </cfRule>
  </conditionalFormatting>
  <conditionalFormatting sqref="G764:L764">
    <cfRule type="cellIs" dxfId="6506" priority="6435" stopIfTrue="1" operator="equal">
      <formula>"Pass"</formula>
    </cfRule>
    <cfRule type="cellIs" dxfId="6505" priority="6436" stopIfTrue="1" operator="equal">
      <formula>"Fail"</formula>
    </cfRule>
  </conditionalFormatting>
  <conditionalFormatting sqref="G764:L764">
    <cfRule type="cellIs" dxfId="6504" priority="6433" stopIfTrue="1" operator="equal">
      <formula>"Pass"</formula>
    </cfRule>
    <cfRule type="cellIs" dxfId="6503" priority="6434" stopIfTrue="1" operator="equal">
      <formula>"Fail"</formula>
    </cfRule>
  </conditionalFormatting>
  <conditionalFormatting sqref="G764:L764">
    <cfRule type="cellIs" dxfId="6502" priority="6431" stopIfTrue="1" operator="equal">
      <formula>"Pass"</formula>
    </cfRule>
    <cfRule type="cellIs" dxfId="6501" priority="6432" stopIfTrue="1" operator="equal">
      <formula>"Fail"</formula>
    </cfRule>
  </conditionalFormatting>
  <conditionalFormatting sqref="G764:L764">
    <cfRule type="cellIs" dxfId="6500" priority="6429" stopIfTrue="1" operator="equal">
      <formula>"Pass"</formula>
    </cfRule>
    <cfRule type="cellIs" dxfId="6499" priority="6430" stopIfTrue="1" operator="equal">
      <formula>"Fail"</formula>
    </cfRule>
  </conditionalFormatting>
  <conditionalFormatting sqref="G764:L764">
    <cfRule type="cellIs" dxfId="6498" priority="6427" stopIfTrue="1" operator="equal">
      <formula>"Pass"</formula>
    </cfRule>
    <cfRule type="cellIs" dxfId="6497" priority="6428" stopIfTrue="1" operator="equal">
      <formula>"Fail"</formula>
    </cfRule>
  </conditionalFormatting>
  <conditionalFormatting sqref="G764:L764">
    <cfRule type="cellIs" dxfId="6496" priority="6425" stopIfTrue="1" operator="equal">
      <formula>"Pass"</formula>
    </cfRule>
    <cfRule type="cellIs" dxfId="6495" priority="6426" stopIfTrue="1" operator="equal">
      <formula>"Fail"</formula>
    </cfRule>
  </conditionalFormatting>
  <conditionalFormatting sqref="G764:L764">
    <cfRule type="cellIs" dxfId="6494" priority="6423" stopIfTrue="1" operator="equal">
      <formula>"Pass"</formula>
    </cfRule>
    <cfRule type="cellIs" dxfId="6493" priority="6424" stopIfTrue="1" operator="equal">
      <formula>"Fail"</formula>
    </cfRule>
  </conditionalFormatting>
  <conditionalFormatting sqref="G764:L764">
    <cfRule type="cellIs" dxfId="6492" priority="6421" stopIfTrue="1" operator="equal">
      <formula>"Pass"</formula>
    </cfRule>
    <cfRule type="cellIs" dxfId="6491" priority="6422" stopIfTrue="1" operator="equal">
      <formula>"Fail"</formula>
    </cfRule>
  </conditionalFormatting>
  <conditionalFormatting sqref="G764:L764">
    <cfRule type="cellIs" dxfId="6490" priority="6419" stopIfTrue="1" operator="equal">
      <formula>"Pass"</formula>
    </cfRule>
    <cfRule type="cellIs" dxfId="6489" priority="6420" stopIfTrue="1" operator="equal">
      <formula>"Fail"</formula>
    </cfRule>
  </conditionalFormatting>
  <conditionalFormatting sqref="G764:L764">
    <cfRule type="cellIs" dxfId="6488" priority="6417" stopIfTrue="1" operator="equal">
      <formula>"Pass"</formula>
    </cfRule>
    <cfRule type="cellIs" dxfId="6487" priority="6418" stopIfTrue="1" operator="equal">
      <formula>"Fail"</formula>
    </cfRule>
  </conditionalFormatting>
  <conditionalFormatting sqref="G764:L764">
    <cfRule type="cellIs" dxfId="6486" priority="6415" stopIfTrue="1" operator="equal">
      <formula>"Pass"</formula>
    </cfRule>
    <cfRule type="cellIs" dxfId="6485" priority="6416" stopIfTrue="1" operator="equal">
      <formula>"Fail"</formula>
    </cfRule>
  </conditionalFormatting>
  <conditionalFormatting sqref="G764:L764">
    <cfRule type="cellIs" dxfId="6484" priority="6413" stopIfTrue="1" operator="equal">
      <formula>"Pass"</formula>
    </cfRule>
    <cfRule type="cellIs" dxfId="6483" priority="6414" stopIfTrue="1" operator="equal">
      <formula>"Fail"</formula>
    </cfRule>
  </conditionalFormatting>
  <conditionalFormatting sqref="G764:L764">
    <cfRule type="cellIs" dxfId="6482" priority="6411" stopIfTrue="1" operator="equal">
      <formula>"Pass"</formula>
    </cfRule>
    <cfRule type="cellIs" dxfId="6481" priority="6412" stopIfTrue="1" operator="equal">
      <formula>"Fail"</formula>
    </cfRule>
  </conditionalFormatting>
  <conditionalFormatting sqref="G764:L764">
    <cfRule type="cellIs" dxfId="6480" priority="6409" stopIfTrue="1" operator="equal">
      <formula>"Pass"</formula>
    </cfRule>
    <cfRule type="cellIs" dxfId="6479" priority="6410" stopIfTrue="1" operator="equal">
      <formula>"Fail"</formula>
    </cfRule>
  </conditionalFormatting>
  <conditionalFormatting sqref="G764:L764">
    <cfRule type="cellIs" dxfId="6478" priority="6407" stopIfTrue="1" operator="equal">
      <formula>"Pass"</formula>
    </cfRule>
    <cfRule type="cellIs" dxfId="6477" priority="6408" stopIfTrue="1" operator="equal">
      <formula>"Fail"</formula>
    </cfRule>
  </conditionalFormatting>
  <conditionalFormatting sqref="G764:L764">
    <cfRule type="cellIs" dxfId="6476" priority="6405" stopIfTrue="1" operator="equal">
      <formula>"Pass"</formula>
    </cfRule>
    <cfRule type="cellIs" dxfId="6475" priority="6406" stopIfTrue="1" operator="equal">
      <formula>"Fail"</formula>
    </cfRule>
  </conditionalFormatting>
  <conditionalFormatting sqref="G764:L764">
    <cfRule type="cellIs" dxfId="6474" priority="6403" stopIfTrue="1" operator="equal">
      <formula>"Pass"</formula>
    </cfRule>
    <cfRule type="cellIs" dxfId="6473" priority="6404" stopIfTrue="1" operator="equal">
      <formula>"Fail"</formula>
    </cfRule>
  </conditionalFormatting>
  <conditionalFormatting sqref="G764:L764">
    <cfRule type="cellIs" dxfId="6472" priority="6401" stopIfTrue="1" operator="equal">
      <formula>"Pass"</formula>
    </cfRule>
    <cfRule type="cellIs" dxfId="6471" priority="6402" stopIfTrue="1" operator="equal">
      <formula>"Fail"</formula>
    </cfRule>
  </conditionalFormatting>
  <conditionalFormatting sqref="G764:L764">
    <cfRule type="cellIs" dxfId="6470" priority="6399" stopIfTrue="1" operator="equal">
      <formula>"Pass"</formula>
    </cfRule>
    <cfRule type="cellIs" dxfId="6469" priority="6400" stopIfTrue="1" operator="equal">
      <formula>"Fail"</formula>
    </cfRule>
  </conditionalFormatting>
  <conditionalFormatting sqref="G764:L764">
    <cfRule type="cellIs" dxfId="6468" priority="6397" stopIfTrue="1" operator="equal">
      <formula>"Pass"</formula>
    </cfRule>
    <cfRule type="cellIs" dxfId="6467" priority="6398" stopIfTrue="1" operator="equal">
      <formula>"Fail"</formula>
    </cfRule>
  </conditionalFormatting>
  <conditionalFormatting sqref="D764:E764">
    <cfRule type="cellIs" dxfId="6466" priority="6395" stopIfTrue="1" operator="equal">
      <formula>"Pass"</formula>
    </cfRule>
    <cfRule type="cellIs" dxfId="6465" priority="6396" stopIfTrue="1" operator="equal">
      <formula>"Fail"</formula>
    </cfRule>
  </conditionalFormatting>
  <conditionalFormatting sqref="G764:L764">
    <cfRule type="cellIs" dxfId="6464" priority="6393" stopIfTrue="1" operator="equal">
      <formula>"Pass"</formula>
    </cfRule>
    <cfRule type="cellIs" dxfId="6463" priority="6394" stopIfTrue="1" operator="equal">
      <formula>"Fail"</formula>
    </cfRule>
  </conditionalFormatting>
  <conditionalFormatting sqref="G765:L765">
    <cfRule type="cellIs" dxfId="6462" priority="6391" stopIfTrue="1" operator="equal">
      <formula>"Pass"</formula>
    </cfRule>
    <cfRule type="cellIs" dxfId="6461" priority="6392" stopIfTrue="1" operator="equal">
      <formula>"Fail"</formula>
    </cfRule>
  </conditionalFormatting>
  <conditionalFormatting sqref="H765:L765">
    <cfRule type="cellIs" dxfId="6460" priority="6389" stopIfTrue="1" operator="equal">
      <formula>"Pass"</formula>
    </cfRule>
    <cfRule type="cellIs" dxfId="6459" priority="6390" stopIfTrue="1" operator="equal">
      <formula>"Fail"</formula>
    </cfRule>
  </conditionalFormatting>
  <conditionalFormatting sqref="H765:L765">
    <cfRule type="cellIs" dxfId="6458" priority="6387" stopIfTrue="1" operator="equal">
      <formula>"Pass"</formula>
    </cfRule>
    <cfRule type="cellIs" dxfId="6457" priority="6388" stopIfTrue="1" operator="equal">
      <formula>"Fail"</formula>
    </cfRule>
  </conditionalFormatting>
  <conditionalFormatting sqref="I765:L765">
    <cfRule type="cellIs" dxfId="6456" priority="6385" stopIfTrue="1" operator="equal">
      <formula>"Pass"</formula>
    </cfRule>
    <cfRule type="cellIs" dxfId="6455" priority="6386" stopIfTrue="1" operator="equal">
      <formula>"Fail"</formula>
    </cfRule>
  </conditionalFormatting>
  <conditionalFormatting sqref="I765:L765">
    <cfRule type="cellIs" dxfId="6454" priority="6383" stopIfTrue="1" operator="equal">
      <formula>"Pass"</formula>
    </cfRule>
    <cfRule type="cellIs" dxfId="6453" priority="6384" stopIfTrue="1" operator="equal">
      <formula>"Fail"</formula>
    </cfRule>
  </conditionalFormatting>
  <conditionalFormatting sqref="I765:L765">
    <cfRule type="cellIs" dxfId="6452" priority="6381" stopIfTrue="1" operator="equal">
      <formula>"Pass"</formula>
    </cfRule>
    <cfRule type="cellIs" dxfId="6451" priority="6382" stopIfTrue="1" operator="equal">
      <formula>"Fail"</formula>
    </cfRule>
  </conditionalFormatting>
  <conditionalFormatting sqref="I765:L765">
    <cfRule type="cellIs" dxfId="6450" priority="6379" stopIfTrue="1" operator="equal">
      <formula>"Pass"</formula>
    </cfRule>
    <cfRule type="cellIs" dxfId="6449" priority="6380" stopIfTrue="1" operator="equal">
      <formula>"Fail"</formula>
    </cfRule>
  </conditionalFormatting>
  <conditionalFormatting sqref="G765">
    <cfRule type="cellIs" dxfId="6448" priority="6377" stopIfTrue="1" operator="equal">
      <formula>"Pass"</formula>
    </cfRule>
    <cfRule type="cellIs" dxfId="6447" priority="6378" stopIfTrue="1" operator="equal">
      <formula>"Fail"</formula>
    </cfRule>
  </conditionalFormatting>
  <conditionalFormatting sqref="G765">
    <cfRule type="cellIs" dxfId="6446" priority="6375" stopIfTrue="1" operator="equal">
      <formula>"Pass"</formula>
    </cfRule>
    <cfRule type="cellIs" dxfId="6445" priority="6376" stopIfTrue="1" operator="equal">
      <formula>"Fail"</formula>
    </cfRule>
  </conditionalFormatting>
  <conditionalFormatting sqref="G765">
    <cfRule type="cellIs" dxfId="6444" priority="6373" stopIfTrue="1" operator="equal">
      <formula>"Pass"</formula>
    </cfRule>
    <cfRule type="cellIs" dxfId="6443" priority="6374" stopIfTrue="1" operator="equal">
      <formula>"Fail"</formula>
    </cfRule>
  </conditionalFormatting>
  <conditionalFormatting sqref="G765">
    <cfRule type="cellIs" dxfId="6442" priority="6371" stopIfTrue="1" operator="equal">
      <formula>"Pass"</formula>
    </cfRule>
    <cfRule type="cellIs" dxfId="6441" priority="6372" stopIfTrue="1" operator="equal">
      <formula>"Fail"</formula>
    </cfRule>
  </conditionalFormatting>
  <conditionalFormatting sqref="G765">
    <cfRule type="cellIs" dxfId="6440" priority="6369" stopIfTrue="1" operator="equal">
      <formula>"Pass"</formula>
    </cfRule>
    <cfRule type="cellIs" dxfId="6439" priority="6370" stopIfTrue="1" operator="equal">
      <formula>"Fail"</formula>
    </cfRule>
  </conditionalFormatting>
  <conditionalFormatting sqref="G765">
    <cfRule type="cellIs" dxfId="6438" priority="6367" stopIfTrue="1" operator="equal">
      <formula>"Pass"</formula>
    </cfRule>
    <cfRule type="cellIs" dxfId="6437" priority="6368" stopIfTrue="1" operator="equal">
      <formula>"Fail"</formula>
    </cfRule>
  </conditionalFormatting>
  <conditionalFormatting sqref="H765:L765">
    <cfRule type="cellIs" dxfId="6436" priority="6365" stopIfTrue="1" operator="equal">
      <formula>"Pass"</formula>
    </cfRule>
    <cfRule type="cellIs" dxfId="6435" priority="6366" stopIfTrue="1" operator="equal">
      <formula>"Fail"</formula>
    </cfRule>
  </conditionalFormatting>
  <conditionalFormatting sqref="H765:L765">
    <cfRule type="cellIs" dxfId="6434" priority="6363" stopIfTrue="1" operator="equal">
      <formula>"Pass"</formula>
    </cfRule>
    <cfRule type="cellIs" dxfId="6433" priority="6364" stopIfTrue="1" operator="equal">
      <formula>"Fail"</formula>
    </cfRule>
  </conditionalFormatting>
  <conditionalFormatting sqref="I765:L765">
    <cfRule type="cellIs" dxfId="6432" priority="6361" stopIfTrue="1" operator="equal">
      <formula>"Pass"</formula>
    </cfRule>
    <cfRule type="cellIs" dxfId="6431" priority="6362" stopIfTrue="1" operator="equal">
      <formula>"Fail"</formula>
    </cfRule>
  </conditionalFormatting>
  <conditionalFormatting sqref="I765:L765">
    <cfRule type="cellIs" dxfId="6430" priority="6359" stopIfTrue="1" operator="equal">
      <formula>"Pass"</formula>
    </cfRule>
    <cfRule type="cellIs" dxfId="6429" priority="6360" stopIfTrue="1" operator="equal">
      <formula>"Fail"</formula>
    </cfRule>
  </conditionalFormatting>
  <conditionalFormatting sqref="I765:L765">
    <cfRule type="cellIs" dxfId="6428" priority="6357" stopIfTrue="1" operator="equal">
      <formula>"Pass"</formula>
    </cfRule>
    <cfRule type="cellIs" dxfId="6427" priority="6358" stopIfTrue="1" operator="equal">
      <formula>"Fail"</formula>
    </cfRule>
  </conditionalFormatting>
  <conditionalFormatting sqref="I765:L765">
    <cfRule type="cellIs" dxfId="6426" priority="6355" stopIfTrue="1" operator="equal">
      <formula>"Pass"</formula>
    </cfRule>
    <cfRule type="cellIs" dxfId="6425" priority="6356" stopIfTrue="1" operator="equal">
      <formula>"Fail"</formula>
    </cfRule>
  </conditionalFormatting>
  <conditionalFormatting sqref="G765">
    <cfRule type="cellIs" dxfId="6424" priority="6353" stopIfTrue="1" operator="equal">
      <formula>"Pass"</formula>
    </cfRule>
    <cfRule type="cellIs" dxfId="6423" priority="6354" stopIfTrue="1" operator="equal">
      <formula>"Fail"</formula>
    </cfRule>
  </conditionalFormatting>
  <conditionalFormatting sqref="G765">
    <cfRule type="cellIs" dxfId="6422" priority="6351" stopIfTrue="1" operator="equal">
      <formula>"Pass"</formula>
    </cfRule>
    <cfRule type="cellIs" dxfId="6421" priority="6352" stopIfTrue="1" operator="equal">
      <formula>"Fail"</formula>
    </cfRule>
  </conditionalFormatting>
  <conditionalFormatting sqref="G765">
    <cfRule type="cellIs" dxfId="6420" priority="6349" stopIfTrue="1" operator="equal">
      <formula>"Pass"</formula>
    </cfRule>
    <cfRule type="cellIs" dxfId="6419" priority="6350" stopIfTrue="1" operator="equal">
      <formula>"Fail"</formula>
    </cfRule>
  </conditionalFormatting>
  <conditionalFormatting sqref="G765">
    <cfRule type="cellIs" dxfId="6418" priority="6347" stopIfTrue="1" operator="equal">
      <formula>"Pass"</formula>
    </cfRule>
    <cfRule type="cellIs" dxfId="6417" priority="6348" stopIfTrue="1" operator="equal">
      <formula>"Fail"</formula>
    </cfRule>
  </conditionalFormatting>
  <conditionalFormatting sqref="G765">
    <cfRule type="cellIs" dxfId="6416" priority="6345" stopIfTrue="1" operator="equal">
      <formula>"Pass"</formula>
    </cfRule>
    <cfRule type="cellIs" dxfId="6415" priority="6346" stopIfTrue="1" operator="equal">
      <formula>"Fail"</formula>
    </cfRule>
  </conditionalFormatting>
  <conditionalFormatting sqref="G765">
    <cfRule type="cellIs" dxfId="6414" priority="6343" stopIfTrue="1" operator="equal">
      <formula>"Pass"</formula>
    </cfRule>
    <cfRule type="cellIs" dxfId="6413" priority="6344" stopIfTrue="1" operator="equal">
      <formula>"Fail"</formula>
    </cfRule>
  </conditionalFormatting>
  <conditionalFormatting sqref="H765:L765">
    <cfRule type="cellIs" dxfId="6412" priority="6341" stopIfTrue="1" operator="equal">
      <formula>"Pass"</formula>
    </cfRule>
    <cfRule type="cellIs" dxfId="6411" priority="6342" stopIfTrue="1" operator="equal">
      <formula>"Fail"</formula>
    </cfRule>
  </conditionalFormatting>
  <conditionalFormatting sqref="H765:L765">
    <cfRule type="cellIs" dxfId="6410" priority="6339" stopIfTrue="1" operator="equal">
      <formula>"Pass"</formula>
    </cfRule>
    <cfRule type="cellIs" dxfId="6409" priority="6340" stopIfTrue="1" operator="equal">
      <formula>"Fail"</formula>
    </cfRule>
  </conditionalFormatting>
  <conditionalFormatting sqref="I765:L765">
    <cfRule type="cellIs" dxfId="6408" priority="6337" stopIfTrue="1" operator="equal">
      <formula>"Pass"</formula>
    </cfRule>
    <cfRule type="cellIs" dxfId="6407" priority="6338" stopIfTrue="1" operator="equal">
      <formula>"Fail"</formula>
    </cfRule>
  </conditionalFormatting>
  <conditionalFormatting sqref="I765:L765">
    <cfRule type="cellIs" dxfId="6406" priority="6335" stopIfTrue="1" operator="equal">
      <formula>"Pass"</formula>
    </cfRule>
    <cfRule type="cellIs" dxfId="6405" priority="6336" stopIfTrue="1" operator="equal">
      <formula>"Fail"</formula>
    </cfRule>
  </conditionalFormatting>
  <conditionalFormatting sqref="I765:L765">
    <cfRule type="cellIs" dxfId="6404" priority="6333" stopIfTrue="1" operator="equal">
      <formula>"Pass"</formula>
    </cfRule>
    <cfRule type="cellIs" dxfId="6403" priority="6334" stopIfTrue="1" operator="equal">
      <formula>"Fail"</formula>
    </cfRule>
  </conditionalFormatting>
  <conditionalFormatting sqref="I765:L765">
    <cfRule type="cellIs" dxfId="6402" priority="6331" stopIfTrue="1" operator="equal">
      <formula>"Pass"</formula>
    </cfRule>
    <cfRule type="cellIs" dxfId="6401" priority="6332" stopIfTrue="1" operator="equal">
      <formula>"Fail"</formula>
    </cfRule>
  </conditionalFormatting>
  <conditionalFormatting sqref="G765">
    <cfRule type="cellIs" dxfId="6400" priority="6329" stopIfTrue="1" operator="equal">
      <formula>"Pass"</formula>
    </cfRule>
    <cfRule type="cellIs" dxfId="6399" priority="6330" stopIfTrue="1" operator="equal">
      <formula>"Fail"</formula>
    </cfRule>
  </conditionalFormatting>
  <conditionalFormatting sqref="G765">
    <cfRule type="cellIs" dxfId="6398" priority="6327" stopIfTrue="1" operator="equal">
      <formula>"Pass"</formula>
    </cfRule>
    <cfRule type="cellIs" dxfId="6397" priority="6328" stopIfTrue="1" operator="equal">
      <formula>"Fail"</formula>
    </cfRule>
  </conditionalFormatting>
  <conditionalFormatting sqref="G765">
    <cfRule type="cellIs" dxfId="6396" priority="6325" stopIfTrue="1" operator="equal">
      <formula>"Pass"</formula>
    </cfRule>
    <cfRule type="cellIs" dxfId="6395" priority="6326" stopIfTrue="1" operator="equal">
      <formula>"Fail"</formula>
    </cfRule>
  </conditionalFormatting>
  <conditionalFormatting sqref="G765">
    <cfRule type="cellIs" dxfId="6394" priority="6323" stopIfTrue="1" operator="equal">
      <formula>"Pass"</formula>
    </cfRule>
    <cfRule type="cellIs" dxfId="6393" priority="6324" stopIfTrue="1" operator="equal">
      <formula>"Fail"</formula>
    </cfRule>
  </conditionalFormatting>
  <conditionalFormatting sqref="G765">
    <cfRule type="cellIs" dxfId="6392" priority="6321" stopIfTrue="1" operator="equal">
      <formula>"Pass"</formula>
    </cfRule>
    <cfRule type="cellIs" dxfId="6391" priority="6322" stopIfTrue="1" operator="equal">
      <formula>"Fail"</formula>
    </cfRule>
  </conditionalFormatting>
  <conditionalFormatting sqref="G765">
    <cfRule type="cellIs" dxfId="6390" priority="6319" stopIfTrue="1" operator="equal">
      <formula>"Pass"</formula>
    </cfRule>
    <cfRule type="cellIs" dxfId="6389" priority="6320" stopIfTrue="1" operator="equal">
      <formula>"Fail"</formula>
    </cfRule>
  </conditionalFormatting>
  <conditionalFormatting sqref="H765:L765">
    <cfRule type="cellIs" dxfId="6388" priority="6317" stopIfTrue="1" operator="equal">
      <formula>"Pass"</formula>
    </cfRule>
    <cfRule type="cellIs" dxfId="6387" priority="6318" stopIfTrue="1" operator="equal">
      <formula>"Fail"</formula>
    </cfRule>
  </conditionalFormatting>
  <conditionalFormatting sqref="H765:L765">
    <cfRule type="cellIs" dxfId="6386" priority="6315" stopIfTrue="1" operator="equal">
      <formula>"Pass"</formula>
    </cfRule>
    <cfRule type="cellIs" dxfId="6385" priority="6316" stopIfTrue="1" operator="equal">
      <formula>"Fail"</formula>
    </cfRule>
  </conditionalFormatting>
  <conditionalFormatting sqref="I765:L765">
    <cfRule type="cellIs" dxfId="6384" priority="6313" stopIfTrue="1" operator="equal">
      <formula>"Pass"</formula>
    </cfRule>
    <cfRule type="cellIs" dxfId="6383" priority="6314" stopIfTrue="1" operator="equal">
      <formula>"Fail"</formula>
    </cfRule>
  </conditionalFormatting>
  <conditionalFormatting sqref="I765:L765">
    <cfRule type="cellIs" dxfId="6382" priority="6311" stopIfTrue="1" operator="equal">
      <formula>"Pass"</formula>
    </cfRule>
    <cfRule type="cellIs" dxfId="6381" priority="6312" stopIfTrue="1" operator="equal">
      <formula>"Fail"</formula>
    </cfRule>
  </conditionalFormatting>
  <conditionalFormatting sqref="I765:L765">
    <cfRule type="cellIs" dxfId="6380" priority="6309" stopIfTrue="1" operator="equal">
      <formula>"Pass"</formula>
    </cfRule>
    <cfRule type="cellIs" dxfId="6379" priority="6310" stopIfTrue="1" operator="equal">
      <formula>"Fail"</formula>
    </cfRule>
  </conditionalFormatting>
  <conditionalFormatting sqref="I765:L765">
    <cfRule type="cellIs" dxfId="6378" priority="6307" stopIfTrue="1" operator="equal">
      <formula>"Pass"</formula>
    </cfRule>
    <cfRule type="cellIs" dxfId="6377" priority="6308" stopIfTrue="1" operator="equal">
      <formula>"Fail"</formula>
    </cfRule>
  </conditionalFormatting>
  <conditionalFormatting sqref="G765">
    <cfRule type="cellIs" dxfId="6376" priority="6305" stopIfTrue="1" operator="equal">
      <formula>"Pass"</formula>
    </cfRule>
    <cfRule type="cellIs" dxfId="6375" priority="6306" stopIfTrue="1" operator="equal">
      <formula>"Fail"</formula>
    </cfRule>
  </conditionalFormatting>
  <conditionalFormatting sqref="G765">
    <cfRule type="cellIs" dxfId="6374" priority="6303" stopIfTrue="1" operator="equal">
      <formula>"Pass"</formula>
    </cfRule>
    <cfRule type="cellIs" dxfId="6373" priority="6304" stopIfTrue="1" operator="equal">
      <formula>"Fail"</formula>
    </cfRule>
  </conditionalFormatting>
  <conditionalFormatting sqref="G765">
    <cfRule type="cellIs" dxfId="6372" priority="6301" stopIfTrue="1" operator="equal">
      <formula>"Pass"</formula>
    </cfRule>
    <cfRule type="cellIs" dxfId="6371" priority="6302" stopIfTrue="1" operator="equal">
      <formula>"Fail"</formula>
    </cfRule>
  </conditionalFormatting>
  <conditionalFormatting sqref="G765">
    <cfRule type="cellIs" dxfId="6370" priority="6299" stopIfTrue="1" operator="equal">
      <formula>"Pass"</formula>
    </cfRule>
    <cfRule type="cellIs" dxfId="6369" priority="6300" stopIfTrue="1" operator="equal">
      <formula>"Fail"</formula>
    </cfRule>
  </conditionalFormatting>
  <conditionalFormatting sqref="G765">
    <cfRule type="cellIs" dxfId="6368" priority="6297" stopIfTrue="1" operator="equal">
      <formula>"Pass"</formula>
    </cfRule>
    <cfRule type="cellIs" dxfId="6367" priority="6298" stopIfTrue="1" operator="equal">
      <formula>"Fail"</formula>
    </cfRule>
  </conditionalFormatting>
  <conditionalFormatting sqref="G765">
    <cfRule type="cellIs" dxfId="6366" priority="6295" stopIfTrue="1" operator="equal">
      <formula>"Pass"</formula>
    </cfRule>
    <cfRule type="cellIs" dxfId="6365" priority="6296" stopIfTrue="1" operator="equal">
      <formula>"Fail"</formula>
    </cfRule>
  </conditionalFormatting>
  <conditionalFormatting sqref="H765:L765">
    <cfRule type="cellIs" dxfId="6364" priority="6293" stopIfTrue="1" operator="equal">
      <formula>"Pass"</formula>
    </cfRule>
    <cfRule type="cellIs" dxfId="6363" priority="6294" stopIfTrue="1" operator="equal">
      <formula>"Fail"</formula>
    </cfRule>
  </conditionalFormatting>
  <conditionalFormatting sqref="H765:L765">
    <cfRule type="cellIs" dxfId="6362" priority="6291" stopIfTrue="1" operator="equal">
      <formula>"Pass"</formula>
    </cfRule>
    <cfRule type="cellIs" dxfId="6361" priority="6292" stopIfTrue="1" operator="equal">
      <formula>"Fail"</formula>
    </cfRule>
  </conditionalFormatting>
  <conditionalFormatting sqref="I765:L765">
    <cfRule type="cellIs" dxfId="6360" priority="6289" stopIfTrue="1" operator="equal">
      <formula>"Pass"</formula>
    </cfRule>
    <cfRule type="cellIs" dxfId="6359" priority="6290" stopIfTrue="1" operator="equal">
      <formula>"Fail"</formula>
    </cfRule>
  </conditionalFormatting>
  <conditionalFormatting sqref="I765:L765">
    <cfRule type="cellIs" dxfId="6358" priority="6287" stopIfTrue="1" operator="equal">
      <formula>"Pass"</formula>
    </cfRule>
    <cfRule type="cellIs" dxfId="6357" priority="6288" stopIfTrue="1" operator="equal">
      <formula>"Fail"</formula>
    </cfRule>
  </conditionalFormatting>
  <conditionalFormatting sqref="I765:L765">
    <cfRule type="cellIs" dxfId="6356" priority="6285" stopIfTrue="1" operator="equal">
      <formula>"Pass"</formula>
    </cfRule>
    <cfRule type="cellIs" dxfId="6355" priority="6286" stopIfTrue="1" operator="equal">
      <formula>"Fail"</formula>
    </cfRule>
  </conditionalFormatting>
  <conditionalFormatting sqref="I765:L765">
    <cfRule type="cellIs" dxfId="6354" priority="6283" stopIfTrue="1" operator="equal">
      <formula>"Pass"</formula>
    </cfRule>
    <cfRule type="cellIs" dxfId="6353" priority="6284" stopIfTrue="1" operator="equal">
      <formula>"Fail"</formula>
    </cfRule>
  </conditionalFormatting>
  <conditionalFormatting sqref="G765">
    <cfRule type="cellIs" dxfId="6352" priority="6281" stopIfTrue="1" operator="equal">
      <formula>"Pass"</formula>
    </cfRule>
    <cfRule type="cellIs" dxfId="6351" priority="6282" stopIfTrue="1" operator="equal">
      <formula>"Fail"</formula>
    </cfRule>
  </conditionalFormatting>
  <conditionalFormatting sqref="G765">
    <cfRule type="cellIs" dxfId="6350" priority="6279" stopIfTrue="1" operator="equal">
      <formula>"Pass"</formula>
    </cfRule>
    <cfRule type="cellIs" dxfId="6349" priority="6280" stopIfTrue="1" operator="equal">
      <formula>"Fail"</formula>
    </cfRule>
  </conditionalFormatting>
  <conditionalFormatting sqref="G765">
    <cfRule type="cellIs" dxfId="6348" priority="6277" stopIfTrue="1" operator="equal">
      <formula>"Pass"</formula>
    </cfRule>
    <cfRule type="cellIs" dxfId="6347" priority="6278" stopIfTrue="1" operator="equal">
      <formula>"Fail"</formula>
    </cfRule>
  </conditionalFormatting>
  <conditionalFormatting sqref="G765">
    <cfRule type="cellIs" dxfId="6346" priority="6275" stopIfTrue="1" operator="equal">
      <formula>"Pass"</formula>
    </cfRule>
    <cfRule type="cellIs" dxfId="6345" priority="6276" stopIfTrue="1" operator="equal">
      <formula>"Fail"</formula>
    </cfRule>
  </conditionalFormatting>
  <conditionalFormatting sqref="G765">
    <cfRule type="cellIs" dxfId="6344" priority="6273" stopIfTrue="1" operator="equal">
      <formula>"Pass"</formula>
    </cfRule>
    <cfRule type="cellIs" dxfId="6343" priority="6274" stopIfTrue="1" operator="equal">
      <formula>"Fail"</formula>
    </cfRule>
  </conditionalFormatting>
  <conditionalFormatting sqref="G765">
    <cfRule type="cellIs" dxfId="6342" priority="6271" stopIfTrue="1" operator="equal">
      <formula>"Pass"</formula>
    </cfRule>
    <cfRule type="cellIs" dxfId="6341" priority="6272" stopIfTrue="1" operator="equal">
      <formula>"Fail"</formula>
    </cfRule>
  </conditionalFormatting>
  <conditionalFormatting sqref="H765:L765">
    <cfRule type="cellIs" dxfId="6340" priority="6269" stopIfTrue="1" operator="equal">
      <formula>"Pass"</formula>
    </cfRule>
    <cfRule type="cellIs" dxfId="6339" priority="6270" stopIfTrue="1" operator="equal">
      <formula>"Fail"</formula>
    </cfRule>
  </conditionalFormatting>
  <conditionalFormatting sqref="H765:L765">
    <cfRule type="cellIs" dxfId="6338" priority="6267" stopIfTrue="1" operator="equal">
      <formula>"Pass"</formula>
    </cfRule>
    <cfRule type="cellIs" dxfId="6337" priority="6268" stopIfTrue="1" operator="equal">
      <formula>"Fail"</formula>
    </cfRule>
  </conditionalFormatting>
  <conditionalFormatting sqref="I765:L765">
    <cfRule type="cellIs" dxfId="6336" priority="6265" stopIfTrue="1" operator="equal">
      <formula>"Pass"</formula>
    </cfRule>
    <cfRule type="cellIs" dxfId="6335" priority="6266" stopIfTrue="1" operator="equal">
      <formula>"Fail"</formula>
    </cfRule>
  </conditionalFormatting>
  <conditionalFormatting sqref="I765:L765">
    <cfRule type="cellIs" dxfId="6334" priority="6263" stopIfTrue="1" operator="equal">
      <formula>"Pass"</formula>
    </cfRule>
    <cfRule type="cellIs" dxfId="6333" priority="6264" stopIfTrue="1" operator="equal">
      <formula>"Fail"</formula>
    </cfRule>
  </conditionalFormatting>
  <conditionalFormatting sqref="I765:L765">
    <cfRule type="cellIs" dxfId="6332" priority="6261" stopIfTrue="1" operator="equal">
      <formula>"Pass"</formula>
    </cfRule>
    <cfRule type="cellIs" dxfId="6331" priority="6262" stopIfTrue="1" operator="equal">
      <formula>"Fail"</formula>
    </cfRule>
  </conditionalFormatting>
  <conditionalFormatting sqref="I765:L765">
    <cfRule type="cellIs" dxfId="6330" priority="6259" stopIfTrue="1" operator="equal">
      <formula>"Pass"</formula>
    </cfRule>
    <cfRule type="cellIs" dxfId="6329" priority="6260" stopIfTrue="1" operator="equal">
      <formula>"Fail"</formula>
    </cfRule>
  </conditionalFormatting>
  <conditionalFormatting sqref="G765">
    <cfRule type="cellIs" dxfId="6328" priority="6257" stopIfTrue="1" operator="equal">
      <formula>"Pass"</formula>
    </cfRule>
    <cfRule type="cellIs" dxfId="6327" priority="6258" stopIfTrue="1" operator="equal">
      <formula>"Fail"</formula>
    </cfRule>
  </conditionalFormatting>
  <conditionalFormatting sqref="G765">
    <cfRule type="cellIs" dxfId="6326" priority="6255" stopIfTrue="1" operator="equal">
      <formula>"Pass"</formula>
    </cfRule>
    <cfRule type="cellIs" dxfId="6325" priority="6256" stopIfTrue="1" operator="equal">
      <formula>"Fail"</formula>
    </cfRule>
  </conditionalFormatting>
  <conditionalFormatting sqref="G765">
    <cfRule type="cellIs" dxfId="6324" priority="6253" stopIfTrue="1" operator="equal">
      <formula>"Pass"</formula>
    </cfRule>
    <cfRule type="cellIs" dxfId="6323" priority="6254" stopIfTrue="1" operator="equal">
      <formula>"Fail"</formula>
    </cfRule>
  </conditionalFormatting>
  <conditionalFormatting sqref="G765">
    <cfRule type="cellIs" dxfId="6322" priority="6251" stopIfTrue="1" operator="equal">
      <formula>"Pass"</formula>
    </cfRule>
    <cfRule type="cellIs" dxfId="6321" priority="6252" stopIfTrue="1" operator="equal">
      <formula>"Fail"</formula>
    </cfRule>
  </conditionalFormatting>
  <conditionalFormatting sqref="G765">
    <cfRule type="cellIs" dxfId="6320" priority="6249" stopIfTrue="1" operator="equal">
      <formula>"Pass"</formula>
    </cfRule>
    <cfRule type="cellIs" dxfId="6319" priority="6250" stopIfTrue="1" operator="equal">
      <formula>"Fail"</formula>
    </cfRule>
  </conditionalFormatting>
  <conditionalFormatting sqref="G765">
    <cfRule type="cellIs" dxfId="6318" priority="6247" stopIfTrue="1" operator="equal">
      <formula>"Pass"</formula>
    </cfRule>
    <cfRule type="cellIs" dxfId="6317" priority="6248" stopIfTrue="1" operator="equal">
      <formula>"Fail"</formula>
    </cfRule>
  </conditionalFormatting>
  <conditionalFormatting sqref="H765:L765">
    <cfRule type="cellIs" dxfId="6316" priority="6245" stopIfTrue="1" operator="equal">
      <formula>"Pass"</formula>
    </cfRule>
    <cfRule type="cellIs" dxfId="6315" priority="6246" stopIfTrue="1" operator="equal">
      <formula>"Fail"</formula>
    </cfRule>
  </conditionalFormatting>
  <conditionalFormatting sqref="H765:L765">
    <cfRule type="cellIs" dxfId="6314" priority="6243" stopIfTrue="1" operator="equal">
      <formula>"Pass"</formula>
    </cfRule>
    <cfRule type="cellIs" dxfId="6313" priority="6244" stopIfTrue="1" operator="equal">
      <formula>"Fail"</formula>
    </cfRule>
  </conditionalFormatting>
  <conditionalFormatting sqref="I765:L765">
    <cfRule type="cellIs" dxfId="6312" priority="6241" stopIfTrue="1" operator="equal">
      <formula>"Pass"</formula>
    </cfRule>
    <cfRule type="cellIs" dxfId="6311" priority="6242" stopIfTrue="1" operator="equal">
      <formula>"Fail"</formula>
    </cfRule>
  </conditionalFormatting>
  <conditionalFormatting sqref="I765:L765">
    <cfRule type="cellIs" dxfId="6310" priority="6239" stopIfTrue="1" operator="equal">
      <formula>"Pass"</formula>
    </cfRule>
    <cfRule type="cellIs" dxfId="6309" priority="6240" stopIfTrue="1" operator="equal">
      <formula>"Fail"</formula>
    </cfRule>
  </conditionalFormatting>
  <conditionalFormatting sqref="I765:L765">
    <cfRule type="cellIs" dxfId="6308" priority="6237" stopIfTrue="1" operator="equal">
      <formula>"Pass"</formula>
    </cfRule>
    <cfRule type="cellIs" dxfId="6307" priority="6238" stopIfTrue="1" operator="equal">
      <formula>"Fail"</formula>
    </cfRule>
  </conditionalFormatting>
  <conditionalFormatting sqref="I765:L765">
    <cfRule type="cellIs" dxfId="6306" priority="6235" stopIfTrue="1" operator="equal">
      <formula>"Pass"</formula>
    </cfRule>
    <cfRule type="cellIs" dxfId="6305" priority="6236" stopIfTrue="1" operator="equal">
      <formula>"Fail"</formula>
    </cfRule>
  </conditionalFormatting>
  <conditionalFormatting sqref="G765">
    <cfRule type="cellIs" dxfId="6304" priority="6233" stopIfTrue="1" operator="equal">
      <formula>"Pass"</formula>
    </cfRule>
    <cfRule type="cellIs" dxfId="6303" priority="6234" stopIfTrue="1" operator="equal">
      <formula>"Fail"</formula>
    </cfRule>
  </conditionalFormatting>
  <conditionalFormatting sqref="G765">
    <cfRule type="cellIs" dxfId="6302" priority="6231" stopIfTrue="1" operator="equal">
      <formula>"Pass"</formula>
    </cfRule>
    <cfRule type="cellIs" dxfId="6301" priority="6232" stopIfTrue="1" operator="equal">
      <formula>"Fail"</formula>
    </cfRule>
  </conditionalFormatting>
  <conditionalFormatting sqref="G765">
    <cfRule type="cellIs" dxfId="6300" priority="6229" stopIfTrue="1" operator="equal">
      <formula>"Pass"</formula>
    </cfRule>
    <cfRule type="cellIs" dxfId="6299" priority="6230" stopIfTrue="1" operator="equal">
      <formula>"Fail"</formula>
    </cfRule>
  </conditionalFormatting>
  <conditionalFormatting sqref="G765">
    <cfRule type="cellIs" dxfId="6298" priority="6227" stopIfTrue="1" operator="equal">
      <formula>"Pass"</formula>
    </cfRule>
    <cfRule type="cellIs" dxfId="6297" priority="6228" stopIfTrue="1" operator="equal">
      <formula>"Fail"</formula>
    </cfRule>
  </conditionalFormatting>
  <conditionalFormatting sqref="G765">
    <cfRule type="cellIs" dxfId="6296" priority="6225" stopIfTrue="1" operator="equal">
      <formula>"Pass"</formula>
    </cfRule>
    <cfRule type="cellIs" dxfId="6295" priority="6226" stopIfTrue="1" operator="equal">
      <formula>"Fail"</formula>
    </cfRule>
  </conditionalFormatting>
  <conditionalFormatting sqref="G765">
    <cfRule type="cellIs" dxfId="6294" priority="6223" stopIfTrue="1" operator="equal">
      <formula>"Pass"</formula>
    </cfRule>
    <cfRule type="cellIs" dxfId="6293" priority="6224" stopIfTrue="1" operator="equal">
      <formula>"Fail"</formula>
    </cfRule>
  </conditionalFormatting>
  <conditionalFormatting sqref="H765:L765">
    <cfRule type="cellIs" dxfId="6292" priority="6221" stopIfTrue="1" operator="equal">
      <formula>"Pass"</formula>
    </cfRule>
    <cfRule type="cellIs" dxfId="6291" priority="6222" stopIfTrue="1" operator="equal">
      <formula>"Fail"</formula>
    </cfRule>
  </conditionalFormatting>
  <conditionalFormatting sqref="H765:L765">
    <cfRule type="cellIs" dxfId="6290" priority="6219" stopIfTrue="1" operator="equal">
      <formula>"Pass"</formula>
    </cfRule>
    <cfRule type="cellIs" dxfId="6289" priority="6220" stopIfTrue="1" operator="equal">
      <formula>"Fail"</formula>
    </cfRule>
  </conditionalFormatting>
  <conditionalFormatting sqref="I765:L765">
    <cfRule type="cellIs" dxfId="6288" priority="6217" stopIfTrue="1" operator="equal">
      <formula>"Pass"</formula>
    </cfRule>
    <cfRule type="cellIs" dxfId="6287" priority="6218" stopIfTrue="1" operator="equal">
      <formula>"Fail"</formula>
    </cfRule>
  </conditionalFormatting>
  <conditionalFormatting sqref="I765:L765">
    <cfRule type="cellIs" dxfId="6286" priority="6215" stopIfTrue="1" operator="equal">
      <formula>"Pass"</formula>
    </cfRule>
    <cfRule type="cellIs" dxfId="6285" priority="6216" stopIfTrue="1" operator="equal">
      <formula>"Fail"</formula>
    </cfRule>
  </conditionalFormatting>
  <conditionalFormatting sqref="I765:L765">
    <cfRule type="cellIs" dxfId="6284" priority="6213" stopIfTrue="1" operator="equal">
      <formula>"Pass"</formula>
    </cfRule>
    <cfRule type="cellIs" dxfId="6283" priority="6214" stopIfTrue="1" operator="equal">
      <formula>"Fail"</formula>
    </cfRule>
  </conditionalFormatting>
  <conditionalFormatting sqref="I765:L765">
    <cfRule type="cellIs" dxfId="6282" priority="6211" stopIfTrue="1" operator="equal">
      <formula>"Pass"</formula>
    </cfRule>
    <cfRule type="cellIs" dxfId="6281" priority="6212" stopIfTrue="1" operator="equal">
      <formula>"Fail"</formula>
    </cfRule>
  </conditionalFormatting>
  <conditionalFormatting sqref="G765">
    <cfRule type="cellIs" dxfId="6280" priority="6209" stopIfTrue="1" operator="equal">
      <formula>"Pass"</formula>
    </cfRule>
    <cfRule type="cellIs" dxfId="6279" priority="6210" stopIfTrue="1" operator="equal">
      <formula>"Fail"</formula>
    </cfRule>
  </conditionalFormatting>
  <conditionalFormatting sqref="G765">
    <cfRule type="cellIs" dxfId="6278" priority="6207" stopIfTrue="1" operator="equal">
      <formula>"Pass"</formula>
    </cfRule>
    <cfRule type="cellIs" dxfId="6277" priority="6208" stopIfTrue="1" operator="equal">
      <formula>"Fail"</formula>
    </cfRule>
  </conditionalFormatting>
  <conditionalFormatting sqref="G765">
    <cfRule type="cellIs" dxfId="6276" priority="6205" stopIfTrue="1" operator="equal">
      <formula>"Pass"</formula>
    </cfRule>
    <cfRule type="cellIs" dxfId="6275" priority="6206" stopIfTrue="1" operator="equal">
      <formula>"Fail"</formula>
    </cfRule>
  </conditionalFormatting>
  <conditionalFormatting sqref="G765">
    <cfRule type="cellIs" dxfId="6274" priority="6203" stopIfTrue="1" operator="equal">
      <formula>"Pass"</formula>
    </cfRule>
    <cfRule type="cellIs" dxfId="6273" priority="6204" stopIfTrue="1" operator="equal">
      <formula>"Fail"</formula>
    </cfRule>
  </conditionalFormatting>
  <conditionalFormatting sqref="G765">
    <cfRule type="cellIs" dxfId="6272" priority="6201" stopIfTrue="1" operator="equal">
      <formula>"Pass"</formula>
    </cfRule>
    <cfRule type="cellIs" dxfId="6271" priority="6202" stopIfTrue="1" operator="equal">
      <formula>"Fail"</formula>
    </cfRule>
  </conditionalFormatting>
  <conditionalFormatting sqref="G765">
    <cfRule type="cellIs" dxfId="6270" priority="6199" stopIfTrue="1" operator="equal">
      <formula>"Pass"</formula>
    </cfRule>
    <cfRule type="cellIs" dxfId="6269" priority="6200" stopIfTrue="1" operator="equal">
      <formula>"Fail"</formula>
    </cfRule>
  </conditionalFormatting>
  <conditionalFormatting sqref="H765:L765">
    <cfRule type="cellIs" dxfId="6268" priority="6197" stopIfTrue="1" operator="equal">
      <formula>"Pass"</formula>
    </cfRule>
    <cfRule type="cellIs" dxfId="6267" priority="6198" stopIfTrue="1" operator="equal">
      <formula>"Fail"</formula>
    </cfRule>
  </conditionalFormatting>
  <conditionalFormatting sqref="H765:L765">
    <cfRule type="cellIs" dxfId="6266" priority="6195" stopIfTrue="1" operator="equal">
      <formula>"Pass"</formula>
    </cfRule>
    <cfRule type="cellIs" dxfId="6265" priority="6196" stopIfTrue="1" operator="equal">
      <formula>"Fail"</formula>
    </cfRule>
  </conditionalFormatting>
  <conditionalFormatting sqref="I765:L765">
    <cfRule type="cellIs" dxfId="6264" priority="6193" stopIfTrue="1" operator="equal">
      <formula>"Pass"</formula>
    </cfRule>
    <cfRule type="cellIs" dxfId="6263" priority="6194" stopIfTrue="1" operator="equal">
      <formula>"Fail"</formula>
    </cfRule>
  </conditionalFormatting>
  <conditionalFormatting sqref="I765:L765">
    <cfRule type="cellIs" dxfId="6262" priority="6191" stopIfTrue="1" operator="equal">
      <formula>"Pass"</formula>
    </cfRule>
    <cfRule type="cellIs" dxfId="6261" priority="6192" stopIfTrue="1" operator="equal">
      <formula>"Fail"</formula>
    </cfRule>
  </conditionalFormatting>
  <conditionalFormatting sqref="I765:L765">
    <cfRule type="cellIs" dxfId="6260" priority="6189" stopIfTrue="1" operator="equal">
      <formula>"Pass"</formula>
    </cfRule>
    <cfRule type="cellIs" dxfId="6259" priority="6190" stopIfTrue="1" operator="equal">
      <formula>"Fail"</formula>
    </cfRule>
  </conditionalFormatting>
  <conditionalFormatting sqref="I765:L765">
    <cfRule type="cellIs" dxfId="6258" priority="6187" stopIfTrue="1" operator="equal">
      <formula>"Pass"</formula>
    </cfRule>
    <cfRule type="cellIs" dxfId="6257" priority="6188" stopIfTrue="1" operator="equal">
      <formula>"Fail"</formula>
    </cfRule>
  </conditionalFormatting>
  <conditionalFormatting sqref="G765">
    <cfRule type="cellIs" dxfId="6256" priority="6185" stopIfTrue="1" operator="equal">
      <formula>"Pass"</formula>
    </cfRule>
    <cfRule type="cellIs" dxfId="6255" priority="6186" stopIfTrue="1" operator="equal">
      <formula>"Fail"</formula>
    </cfRule>
  </conditionalFormatting>
  <conditionalFormatting sqref="G765">
    <cfRule type="cellIs" dxfId="6254" priority="6183" stopIfTrue="1" operator="equal">
      <formula>"Pass"</formula>
    </cfRule>
    <cfRule type="cellIs" dxfId="6253" priority="6184" stopIfTrue="1" operator="equal">
      <formula>"Fail"</formula>
    </cfRule>
  </conditionalFormatting>
  <conditionalFormatting sqref="G765">
    <cfRule type="cellIs" dxfId="6252" priority="6181" stopIfTrue="1" operator="equal">
      <formula>"Pass"</formula>
    </cfRule>
    <cfRule type="cellIs" dxfId="6251" priority="6182" stopIfTrue="1" operator="equal">
      <formula>"Fail"</formula>
    </cfRule>
  </conditionalFormatting>
  <conditionalFormatting sqref="G765">
    <cfRule type="cellIs" dxfId="6250" priority="6179" stopIfTrue="1" operator="equal">
      <formula>"Pass"</formula>
    </cfRule>
    <cfRule type="cellIs" dxfId="6249" priority="6180" stopIfTrue="1" operator="equal">
      <formula>"Fail"</formula>
    </cfRule>
  </conditionalFormatting>
  <conditionalFormatting sqref="G765">
    <cfRule type="cellIs" dxfId="6248" priority="6177" stopIfTrue="1" operator="equal">
      <formula>"Pass"</formula>
    </cfRule>
    <cfRule type="cellIs" dxfId="6247" priority="6178" stopIfTrue="1" operator="equal">
      <formula>"Fail"</formula>
    </cfRule>
  </conditionalFormatting>
  <conditionalFormatting sqref="G765">
    <cfRule type="cellIs" dxfId="6246" priority="6175" stopIfTrue="1" operator="equal">
      <formula>"Pass"</formula>
    </cfRule>
    <cfRule type="cellIs" dxfId="6245" priority="6176" stopIfTrue="1" operator="equal">
      <formula>"Fail"</formula>
    </cfRule>
  </conditionalFormatting>
  <conditionalFormatting sqref="H765:L765">
    <cfRule type="cellIs" dxfId="6244" priority="6173" stopIfTrue="1" operator="equal">
      <formula>"Pass"</formula>
    </cfRule>
    <cfRule type="cellIs" dxfId="6243" priority="6174" stopIfTrue="1" operator="equal">
      <formula>"Fail"</formula>
    </cfRule>
  </conditionalFormatting>
  <conditionalFormatting sqref="H765:L765">
    <cfRule type="cellIs" dxfId="6242" priority="6171" stopIfTrue="1" operator="equal">
      <formula>"Pass"</formula>
    </cfRule>
    <cfRule type="cellIs" dxfId="6241" priority="6172" stopIfTrue="1" operator="equal">
      <formula>"Fail"</formula>
    </cfRule>
  </conditionalFormatting>
  <conditionalFormatting sqref="I765:L765">
    <cfRule type="cellIs" dxfId="6240" priority="6169" stopIfTrue="1" operator="equal">
      <formula>"Pass"</formula>
    </cfRule>
    <cfRule type="cellIs" dxfId="6239" priority="6170" stopIfTrue="1" operator="equal">
      <formula>"Fail"</formula>
    </cfRule>
  </conditionalFormatting>
  <conditionalFormatting sqref="I765:L765">
    <cfRule type="cellIs" dxfId="6238" priority="6167" stopIfTrue="1" operator="equal">
      <formula>"Pass"</formula>
    </cfRule>
    <cfRule type="cellIs" dxfId="6237" priority="6168" stopIfTrue="1" operator="equal">
      <formula>"Fail"</formula>
    </cfRule>
  </conditionalFormatting>
  <conditionalFormatting sqref="I765:L765">
    <cfRule type="cellIs" dxfId="6236" priority="6165" stopIfTrue="1" operator="equal">
      <formula>"Pass"</formula>
    </cfRule>
    <cfRule type="cellIs" dxfId="6235" priority="6166" stopIfTrue="1" operator="equal">
      <formula>"Fail"</formula>
    </cfRule>
  </conditionalFormatting>
  <conditionalFormatting sqref="I765:L765">
    <cfRule type="cellIs" dxfId="6234" priority="6163" stopIfTrue="1" operator="equal">
      <formula>"Pass"</formula>
    </cfRule>
    <cfRule type="cellIs" dxfId="6233" priority="6164" stopIfTrue="1" operator="equal">
      <formula>"Fail"</formula>
    </cfRule>
  </conditionalFormatting>
  <conditionalFormatting sqref="G765">
    <cfRule type="cellIs" dxfId="6232" priority="6161" stopIfTrue="1" operator="equal">
      <formula>"Pass"</formula>
    </cfRule>
    <cfRule type="cellIs" dxfId="6231" priority="6162" stopIfTrue="1" operator="equal">
      <formula>"Fail"</formula>
    </cfRule>
  </conditionalFormatting>
  <conditionalFormatting sqref="G765">
    <cfRule type="cellIs" dxfId="6230" priority="6159" stopIfTrue="1" operator="equal">
      <formula>"Pass"</formula>
    </cfRule>
    <cfRule type="cellIs" dxfId="6229" priority="6160" stopIfTrue="1" operator="equal">
      <formula>"Fail"</formula>
    </cfRule>
  </conditionalFormatting>
  <conditionalFormatting sqref="G765">
    <cfRule type="cellIs" dxfId="6228" priority="6157" stopIfTrue="1" operator="equal">
      <formula>"Pass"</formula>
    </cfRule>
    <cfRule type="cellIs" dxfId="6227" priority="6158" stopIfTrue="1" operator="equal">
      <formula>"Fail"</formula>
    </cfRule>
  </conditionalFormatting>
  <conditionalFormatting sqref="G765">
    <cfRule type="cellIs" dxfId="6226" priority="6155" stopIfTrue="1" operator="equal">
      <formula>"Pass"</formula>
    </cfRule>
    <cfRule type="cellIs" dxfId="6225" priority="6156" stopIfTrue="1" operator="equal">
      <formula>"Fail"</formula>
    </cfRule>
  </conditionalFormatting>
  <conditionalFormatting sqref="G765">
    <cfRule type="cellIs" dxfId="6224" priority="6153" stopIfTrue="1" operator="equal">
      <formula>"Pass"</formula>
    </cfRule>
    <cfRule type="cellIs" dxfId="6223" priority="6154" stopIfTrue="1" operator="equal">
      <formula>"Fail"</formula>
    </cfRule>
  </conditionalFormatting>
  <conditionalFormatting sqref="G765">
    <cfRule type="cellIs" dxfId="6222" priority="6151" stopIfTrue="1" operator="equal">
      <formula>"Pass"</formula>
    </cfRule>
    <cfRule type="cellIs" dxfId="6221" priority="6152" stopIfTrue="1" operator="equal">
      <formula>"Fail"</formula>
    </cfRule>
  </conditionalFormatting>
  <conditionalFormatting sqref="H765:L765">
    <cfRule type="cellIs" dxfId="6220" priority="6149" stopIfTrue="1" operator="equal">
      <formula>"Pass"</formula>
    </cfRule>
    <cfRule type="cellIs" dxfId="6219" priority="6150" stopIfTrue="1" operator="equal">
      <formula>"Fail"</formula>
    </cfRule>
  </conditionalFormatting>
  <conditionalFormatting sqref="H765:L765">
    <cfRule type="cellIs" dxfId="6218" priority="6147" stopIfTrue="1" operator="equal">
      <formula>"Pass"</formula>
    </cfRule>
    <cfRule type="cellIs" dxfId="6217" priority="6148" stopIfTrue="1" operator="equal">
      <formula>"Fail"</formula>
    </cfRule>
  </conditionalFormatting>
  <conditionalFormatting sqref="I765:L765">
    <cfRule type="cellIs" dxfId="6216" priority="6145" stopIfTrue="1" operator="equal">
      <formula>"Pass"</formula>
    </cfRule>
    <cfRule type="cellIs" dxfId="6215" priority="6146" stopIfTrue="1" operator="equal">
      <formula>"Fail"</formula>
    </cfRule>
  </conditionalFormatting>
  <conditionalFormatting sqref="I765:L765">
    <cfRule type="cellIs" dxfId="6214" priority="6143" stopIfTrue="1" operator="equal">
      <formula>"Pass"</formula>
    </cfRule>
    <cfRule type="cellIs" dxfId="6213" priority="6144" stopIfTrue="1" operator="equal">
      <formula>"Fail"</formula>
    </cfRule>
  </conditionalFormatting>
  <conditionalFormatting sqref="I765:L765">
    <cfRule type="cellIs" dxfId="6212" priority="6141" stopIfTrue="1" operator="equal">
      <formula>"Pass"</formula>
    </cfRule>
    <cfRule type="cellIs" dxfId="6211" priority="6142" stopIfTrue="1" operator="equal">
      <formula>"Fail"</formula>
    </cfRule>
  </conditionalFormatting>
  <conditionalFormatting sqref="I765:L765">
    <cfRule type="cellIs" dxfId="6210" priority="6139" stopIfTrue="1" operator="equal">
      <formula>"Pass"</formula>
    </cfRule>
    <cfRule type="cellIs" dxfId="6209" priority="6140" stopIfTrue="1" operator="equal">
      <formula>"Fail"</formula>
    </cfRule>
  </conditionalFormatting>
  <conditionalFormatting sqref="G765">
    <cfRule type="cellIs" dxfId="6208" priority="6137" stopIfTrue="1" operator="equal">
      <formula>"Pass"</formula>
    </cfRule>
    <cfRule type="cellIs" dxfId="6207" priority="6138" stopIfTrue="1" operator="equal">
      <formula>"Fail"</formula>
    </cfRule>
  </conditionalFormatting>
  <conditionalFormatting sqref="G765">
    <cfRule type="cellIs" dxfId="6206" priority="6135" stopIfTrue="1" operator="equal">
      <formula>"Pass"</formula>
    </cfRule>
    <cfRule type="cellIs" dxfId="6205" priority="6136" stopIfTrue="1" operator="equal">
      <formula>"Fail"</formula>
    </cfRule>
  </conditionalFormatting>
  <conditionalFormatting sqref="G765">
    <cfRule type="cellIs" dxfId="6204" priority="6133" stopIfTrue="1" operator="equal">
      <formula>"Pass"</formula>
    </cfRule>
    <cfRule type="cellIs" dxfId="6203" priority="6134" stopIfTrue="1" operator="equal">
      <formula>"Fail"</formula>
    </cfRule>
  </conditionalFormatting>
  <conditionalFormatting sqref="G765">
    <cfRule type="cellIs" dxfId="6202" priority="6131" stopIfTrue="1" operator="equal">
      <formula>"Pass"</formula>
    </cfRule>
    <cfRule type="cellIs" dxfId="6201" priority="6132" stopIfTrue="1" operator="equal">
      <formula>"Fail"</formula>
    </cfRule>
  </conditionalFormatting>
  <conditionalFormatting sqref="G765">
    <cfRule type="cellIs" dxfId="6200" priority="6129" stopIfTrue="1" operator="equal">
      <formula>"Pass"</formula>
    </cfRule>
    <cfRule type="cellIs" dxfId="6199" priority="6130" stopIfTrue="1" operator="equal">
      <formula>"Fail"</formula>
    </cfRule>
  </conditionalFormatting>
  <conditionalFormatting sqref="G765">
    <cfRule type="cellIs" dxfId="6198" priority="6127" stopIfTrue="1" operator="equal">
      <formula>"Pass"</formula>
    </cfRule>
    <cfRule type="cellIs" dxfId="6197" priority="6128" stopIfTrue="1" operator="equal">
      <formula>"Fail"</formula>
    </cfRule>
  </conditionalFormatting>
  <conditionalFormatting sqref="H765:L765">
    <cfRule type="cellIs" dxfId="6196" priority="6125" stopIfTrue="1" operator="equal">
      <formula>"Pass"</formula>
    </cfRule>
    <cfRule type="cellIs" dxfId="6195" priority="6126" stopIfTrue="1" operator="equal">
      <formula>"Fail"</formula>
    </cfRule>
  </conditionalFormatting>
  <conditionalFormatting sqref="H765:L765">
    <cfRule type="cellIs" dxfId="6194" priority="6123" stopIfTrue="1" operator="equal">
      <formula>"Pass"</formula>
    </cfRule>
    <cfRule type="cellIs" dxfId="6193" priority="6124" stopIfTrue="1" operator="equal">
      <formula>"Fail"</formula>
    </cfRule>
  </conditionalFormatting>
  <conditionalFormatting sqref="I765:L765">
    <cfRule type="cellIs" dxfId="6192" priority="6121" stopIfTrue="1" operator="equal">
      <formula>"Pass"</formula>
    </cfRule>
    <cfRule type="cellIs" dxfId="6191" priority="6122" stopIfTrue="1" operator="equal">
      <formula>"Fail"</formula>
    </cfRule>
  </conditionalFormatting>
  <conditionalFormatting sqref="I765:L765">
    <cfRule type="cellIs" dxfId="6190" priority="6119" stopIfTrue="1" operator="equal">
      <formula>"Pass"</formula>
    </cfRule>
    <cfRule type="cellIs" dxfId="6189" priority="6120" stopIfTrue="1" operator="equal">
      <formula>"Fail"</formula>
    </cfRule>
  </conditionalFormatting>
  <conditionalFormatting sqref="I765:L765">
    <cfRule type="cellIs" dxfId="6188" priority="6117" stopIfTrue="1" operator="equal">
      <formula>"Pass"</formula>
    </cfRule>
    <cfRule type="cellIs" dxfId="6187" priority="6118" stopIfTrue="1" operator="equal">
      <formula>"Fail"</formula>
    </cfRule>
  </conditionalFormatting>
  <conditionalFormatting sqref="I765:L765">
    <cfRule type="cellIs" dxfId="6186" priority="6115" stopIfTrue="1" operator="equal">
      <formula>"Pass"</formula>
    </cfRule>
    <cfRule type="cellIs" dxfId="6185" priority="6116" stopIfTrue="1" operator="equal">
      <formula>"Fail"</formula>
    </cfRule>
  </conditionalFormatting>
  <conditionalFormatting sqref="G765">
    <cfRule type="cellIs" dxfId="6184" priority="6113" stopIfTrue="1" operator="equal">
      <formula>"Pass"</formula>
    </cfRule>
    <cfRule type="cellIs" dxfId="6183" priority="6114" stopIfTrue="1" operator="equal">
      <formula>"Fail"</formula>
    </cfRule>
  </conditionalFormatting>
  <conditionalFormatting sqref="G765">
    <cfRule type="cellIs" dxfId="6182" priority="6111" stopIfTrue="1" operator="equal">
      <formula>"Pass"</formula>
    </cfRule>
    <cfRule type="cellIs" dxfId="6181" priority="6112" stopIfTrue="1" operator="equal">
      <formula>"Fail"</formula>
    </cfRule>
  </conditionalFormatting>
  <conditionalFormatting sqref="G765">
    <cfRule type="cellIs" dxfId="6180" priority="6109" stopIfTrue="1" operator="equal">
      <formula>"Pass"</formula>
    </cfRule>
    <cfRule type="cellIs" dxfId="6179" priority="6110" stopIfTrue="1" operator="equal">
      <formula>"Fail"</formula>
    </cfRule>
  </conditionalFormatting>
  <conditionalFormatting sqref="G765">
    <cfRule type="cellIs" dxfId="6178" priority="6107" stopIfTrue="1" operator="equal">
      <formula>"Pass"</formula>
    </cfRule>
    <cfRule type="cellIs" dxfId="6177" priority="6108" stopIfTrue="1" operator="equal">
      <formula>"Fail"</formula>
    </cfRule>
  </conditionalFormatting>
  <conditionalFormatting sqref="G765">
    <cfRule type="cellIs" dxfId="6176" priority="6105" stopIfTrue="1" operator="equal">
      <formula>"Pass"</formula>
    </cfRule>
    <cfRule type="cellIs" dxfId="6175" priority="6106" stopIfTrue="1" operator="equal">
      <formula>"Fail"</formula>
    </cfRule>
  </conditionalFormatting>
  <conditionalFormatting sqref="G765">
    <cfRule type="cellIs" dxfId="6174" priority="6103" stopIfTrue="1" operator="equal">
      <formula>"Pass"</formula>
    </cfRule>
    <cfRule type="cellIs" dxfId="6173" priority="6104" stopIfTrue="1" operator="equal">
      <formula>"Fail"</formula>
    </cfRule>
  </conditionalFormatting>
  <conditionalFormatting sqref="H765:L765">
    <cfRule type="cellIs" dxfId="6172" priority="6101" stopIfTrue="1" operator="equal">
      <formula>"Pass"</formula>
    </cfRule>
    <cfRule type="cellIs" dxfId="6171" priority="6102" stopIfTrue="1" operator="equal">
      <formula>"Fail"</formula>
    </cfRule>
  </conditionalFormatting>
  <conditionalFormatting sqref="H765:L765">
    <cfRule type="cellIs" dxfId="6170" priority="6099" stopIfTrue="1" operator="equal">
      <formula>"Pass"</formula>
    </cfRule>
    <cfRule type="cellIs" dxfId="6169" priority="6100" stopIfTrue="1" operator="equal">
      <formula>"Fail"</formula>
    </cfRule>
  </conditionalFormatting>
  <conditionalFormatting sqref="I765:L765">
    <cfRule type="cellIs" dxfId="6168" priority="6097" stopIfTrue="1" operator="equal">
      <formula>"Pass"</formula>
    </cfRule>
    <cfRule type="cellIs" dxfId="6167" priority="6098" stopIfTrue="1" operator="equal">
      <formula>"Fail"</formula>
    </cfRule>
  </conditionalFormatting>
  <conditionalFormatting sqref="I765:L765">
    <cfRule type="cellIs" dxfId="6166" priority="6095" stopIfTrue="1" operator="equal">
      <formula>"Pass"</formula>
    </cfRule>
    <cfRule type="cellIs" dxfId="6165" priority="6096" stopIfTrue="1" operator="equal">
      <formula>"Fail"</formula>
    </cfRule>
  </conditionalFormatting>
  <conditionalFormatting sqref="I765:L765">
    <cfRule type="cellIs" dxfId="6164" priority="6093" stopIfTrue="1" operator="equal">
      <formula>"Pass"</formula>
    </cfRule>
    <cfRule type="cellIs" dxfId="6163" priority="6094" stopIfTrue="1" operator="equal">
      <formula>"Fail"</formula>
    </cfRule>
  </conditionalFormatting>
  <conditionalFormatting sqref="I765:L765">
    <cfRule type="cellIs" dxfId="6162" priority="6091" stopIfTrue="1" operator="equal">
      <formula>"Pass"</formula>
    </cfRule>
    <cfRule type="cellIs" dxfId="6161" priority="6092" stopIfTrue="1" operator="equal">
      <formula>"Fail"</formula>
    </cfRule>
  </conditionalFormatting>
  <conditionalFormatting sqref="G765">
    <cfRule type="cellIs" dxfId="6160" priority="6089" stopIfTrue="1" operator="equal">
      <formula>"Pass"</formula>
    </cfRule>
    <cfRule type="cellIs" dxfId="6159" priority="6090" stopIfTrue="1" operator="equal">
      <formula>"Fail"</formula>
    </cfRule>
  </conditionalFormatting>
  <conditionalFormatting sqref="G765">
    <cfRule type="cellIs" dxfId="6158" priority="6087" stopIfTrue="1" operator="equal">
      <formula>"Pass"</formula>
    </cfRule>
    <cfRule type="cellIs" dxfId="6157" priority="6088" stopIfTrue="1" operator="equal">
      <formula>"Fail"</formula>
    </cfRule>
  </conditionalFormatting>
  <conditionalFormatting sqref="G765">
    <cfRule type="cellIs" dxfId="6156" priority="6085" stopIfTrue="1" operator="equal">
      <formula>"Pass"</formula>
    </cfRule>
    <cfRule type="cellIs" dxfId="6155" priority="6086" stopIfTrue="1" operator="equal">
      <formula>"Fail"</formula>
    </cfRule>
  </conditionalFormatting>
  <conditionalFormatting sqref="G765">
    <cfRule type="cellIs" dxfId="6154" priority="6083" stopIfTrue="1" operator="equal">
      <formula>"Pass"</formula>
    </cfRule>
    <cfRule type="cellIs" dxfId="6153" priority="6084" stopIfTrue="1" operator="equal">
      <formula>"Fail"</formula>
    </cfRule>
  </conditionalFormatting>
  <conditionalFormatting sqref="G765">
    <cfRule type="cellIs" dxfId="6152" priority="6081" stopIfTrue="1" operator="equal">
      <formula>"Pass"</formula>
    </cfRule>
    <cfRule type="cellIs" dxfId="6151" priority="6082" stopIfTrue="1" operator="equal">
      <formula>"Fail"</formula>
    </cfRule>
  </conditionalFormatting>
  <conditionalFormatting sqref="G765">
    <cfRule type="cellIs" dxfId="6150" priority="6079" stopIfTrue="1" operator="equal">
      <formula>"Pass"</formula>
    </cfRule>
    <cfRule type="cellIs" dxfId="6149" priority="6080" stopIfTrue="1" operator="equal">
      <formula>"Fail"</formula>
    </cfRule>
  </conditionalFormatting>
  <conditionalFormatting sqref="H765:L765">
    <cfRule type="cellIs" dxfId="6148" priority="6077" stopIfTrue="1" operator="equal">
      <formula>"Pass"</formula>
    </cfRule>
    <cfRule type="cellIs" dxfId="6147" priority="6078" stopIfTrue="1" operator="equal">
      <formula>"Fail"</formula>
    </cfRule>
  </conditionalFormatting>
  <conditionalFormatting sqref="H765:L765">
    <cfRule type="cellIs" dxfId="6146" priority="6075" stopIfTrue="1" operator="equal">
      <formula>"Pass"</formula>
    </cfRule>
    <cfRule type="cellIs" dxfId="6145" priority="6076" stopIfTrue="1" operator="equal">
      <formula>"Fail"</formula>
    </cfRule>
  </conditionalFormatting>
  <conditionalFormatting sqref="I765:L765">
    <cfRule type="cellIs" dxfId="6144" priority="6073" stopIfTrue="1" operator="equal">
      <formula>"Pass"</formula>
    </cfRule>
    <cfRule type="cellIs" dxfId="6143" priority="6074" stopIfTrue="1" operator="equal">
      <formula>"Fail"</formula>
    </cfRule>
  </conditionalFormatting>
  <conditionalFormatting sqref="I765:L765">
    <cfRule type="cellIs" dxfId="6142" priority="6071" stopIfTrue="1" operator="equal">
      <formula>"Pass"</formula>
    </cfRule>
    <cfRule type="cellIs" dxfId="6141" priority="6072" stopIfTrue="1" operator="equal">
      <formula>"Fail"</formula>
    </cfRule>
  </conditionalFormatting>
  <conditionalFormatting sqref="I765:L765">
    <cfRule type="cellIs" dxfId="6140" priority="6069" stopIfTrue="1" operator="equal">
      <formula>"Pass"</formula>
    </cfRule>
    <cfRule type="cellIs" dxfId="6139" priority="6070" stopIfTrue="1" operator="equal">
      <formula>"Fail"</formula>
    </cfRule>
  </conditionalFormatting>
  <conditionalFormatting sqref="I765:L765">
    <cfRule type="cellIs" dxfId="6138" priority="6067" stopIfTrue="1" operator="equal">
      <formula>"Pass"</formula>
    </cfRule>
    <cfRule type="cellIs" dxfId="6137" priority="6068" stopIfTrue="1" operator="equal">
      <formula>"Fail"</formula>
    </cfRule>
  </conditionalFormatting>
  <conditionalFormatting sqref="G765">
    <cfRule type="cellIs" dxfId="6136" priority="6065" stopIfTrue="1" operator="equal">
      <formula>"Pass"</formula>
    </cfRule>
    <cfRule type="cellIs" dxfId="6135" priority="6066" stopIfTrue="1" operator="equal">
      <formula>"Fail"</formula>
    </cfRule>
  </conditionalFormatting>
  <conditionalFormatting sqref="G765">
    <cfRule type="cellIs" dxfId="6134" priority="6063" stopIfTrue="1" operator="equal">
      <formula>"Pass"</formula>
    </cfRule>
    <cfRule type="cellIs" dxfId="6133" priority="6064" stopIfTrue="1" operator="equal">
      <formula>"Fail"</formula>
    </cfRule>
  </conditionalFormatting>
  <conditionalFormatting sqref="G765">
    <cfRule type="cellIs" dxfId="6132" priority="6061" stopIfTrue="1" operator="equal">
      <formula>"Pass"</formula>
    </cfRule>
    <cfRule type="cellIs" dxfId="6131" priority="6062" stopIfTrue="1" operator="equal">
      <formula>"Fail"</formula>
    </cfRule>
  </conditionalFormatting>
  <conditionalFormatting sqref="G765">
    <cfRule type="cellIs" dxfId="6130" priority="6059" stopIfTrue="1" operator="equal">
      <formula>"Pass"</formula>
    </cfRule>
    <cfRule type="cellIs" dxfId="6129" priority="6060" stopIfTrue="1" operator="equal">
      <formula>"Fail"</formula>
    </cfRule>
  </conditionalFormatting>
  <conditionalFormatting sqref="G765">
    <cfRule type="cellIs" dxfId="6128" priority="6057" stopIfTrue="1" operator="equal">
      <formula>"Pass"</formula>
    </cfRule>
    <cfRule type="cellIs" dxfId="6127" priority="6058" stopIfTrue="1" operator="equal">
      <formula>"Fail"</formula>
    </cfRule>
  </conditionalFormatting>
  <conditionalFormatting sqref="G765">
    <cfRule type="cellIs" dxfId="6126" priority="6055" stopIfTrue="1" operator="equal">
      <formula>"Pass"</formula>
    </cfRule>
    <cfRule type="cellIs" dxfId="6125" priority="6056" stopIfTrue="1" operator="equal">
      <formula>"Fail"</formula>
    </cfRule>
  </conditionalFormatting>
  <conditionalFormatting sqref="H765:L765">
    <cfRule type="cellIs" dxfId="6124" priority="6053" stopIfTrue="1" operator="equal">
      <formula>"Pass"</formula>
    </cfRule>
    <cfRule type="cellIs" dxfId="6123" priority="6054" stopIfTrue="1" operator="equal">
      <formula>"Fail"</formula>
    </cfRule>
  </conditionalFormatting>
  <conditionalFormatting sqref="H765:L765">
    <cfRule type="cellIs" dxfId="6122" priority="6051" stopIfTrue="1" operator="equal">
      <formula>"Pass"</formula>
    </cfRule>
    <cfRule type="cellIs" dxfId="6121" priority="6052" stopIfTrue="1" operator="equal">
      <formula>"Fail"</formula>
    </cfRule>
  </conditionalFormatting>
  <conditionalFormatting sqref="I765:L765">
    <cfRule type="cellIs" dxfId="6120" priority="6049" stopIfTrue="1" operator="equal">
      <formula>"Pass"</formula>
    </cfRule>
    <cfRule type="cellIs" dxfId="6119" priority="6050" stopIfTrue="1" operator="equal">
      <formula>"Fail"</formula>
    </cfRule>
  </conditionalFormatting>
  <conditionalFormatting sqref="I765:L765">
    <cfRule type="cellIs" dxfId="6118" priority="6047" stopIfTrue="1" operator="equal">
      <formula>"Pass"</formula>
    </cfRule>
    <cfRule type="cellIs" dxfId="6117" priority="6048" stopIfTrue="1" operator="equal">
      <formula>"Fail"</formula>
    </cfRule>
  </conditionalFormatting>
  <conditionalFormatting sqref="I765:L765">
    <cfRule type="cellIs" dxfId="6116" priority="6045" stopIfTrue="1" operator="equal">
      <formula>"Pass"</formula>
    </cfRule>
    <cfRule type="cellIs" dxfId="6115" priority="6046" stopIfTrue="1" operator="equal">
      <formula>"Fail"</formula>
    </cfRule>
  </conditionalFormatting>
  <conditionalFormatting sqref="I765:L765">
    <cfRule type="cellIs" dxfId="6114" priority="6043" stopIfTrue="1" operator="equal">
      <formula>"Pass"</formula>
    </cfRule>
    <cfRule type="cellIs" dxfId="6113" priority="6044" stopIfTrue="1" operator="equal">
      <formula>"Fail"</formula>
    </cfRule>
  </conditionalFormatting>
  <conditionalFormatting sqref="G765">
    <cfRule type="cellIs" dxfId="6112" priority="6041" stopIfTrue="1" operator="equal">
      <formula>"Pass"</formula>
    </cfRule>
    <cfRule type="cellIs" dxfId="6111" priority="6042" stopIfTrue="1" operator="equal">
      <formula>"Fail"</formula>
    </cfRule>
  </conditionalFormatting>
  <conditionalFormatting sqref="G765">
    <cfRule type="cellIs" dxfId="6110" priority="6039" stopIfTrue="1" operator="equal">
      <formula>"Pass"</formula>
    </cfRule>
    <cfRule type="cellIs" dxfId="6109" priority="6040" stopIfTrue="1" operator="equal">
      <formula>"Fail"</formula>
    </cfRule>
  </conditionalFormatting>
  <conditionalFormatting sqref="G765">
    <cfRule type="cellIs" dxfId="6108" priority="6037" stopIfTrue="1" operator="equal">
      <formula>"Pass"</formula>
    </cfRule>
    <cfRule type="cellIs" dxfId="6107" priority="6038" stopIfTrue="1" operator="equal">
      <formula>"Fail"</formula>
    </cfRule>
  </conditionalFormatting>
  <conditionalFormatting sqref="G765">
    <cfRule type="cellIs" dxfId="6106" priority="6035" stopIfTrue="1" operator="equal">
      <formula>"Pass"</formula>
    </cfRule>
    <cfRule type="cellIs" dxfId="6105" priority="6036" stopIfTrue="1" operator="equal">
      <formula>"Fail"</formula>
    </cfRule>
  </conditionalFormatting>
  <conditionalFormatting sqref="G765">
    <cfRule type="cellIs" dxfId="6104" priority="6033" stopIfTrue="1" operator="equal">
      <formula>"Pass"</formula>
    </cfRule>
    <cfRule type="cellIs" dxfId="6103" priority="6034" stopIfTrue="1" operator="equal">
      <formula>"Fail"</formula>
    </cfRule>
  </conditionalFormatting>
  <conditionalFormatting sqref="G765">
    <cfRule type="cellIs" dxfId="6102" priority="6031" stopIfTrue="1" operator="equal">
      <formula>"Pass"</formula>
    </cfRule>
    <cfRule type="cellIs" dxfId="6101" priority="6032" stopIfTrue="1" operator="equal">
      <formula>"Fail"</formula>
    </cfRule>
  </conditionalFormatting>
  <conditionalFormatting sqref="H765:L765">
    <cfRule type="cellIs" dxfId="6100" priority="6029" stopIfTrue="1" operator="equal">
      <formula>"Pass"</formula>
    </cfRule>
    <cfRule type="cellIs" dxfId="6099" priority="6030" stopIfTrue="1" operator="equal">
      <formula>"Fail"</formula>
    </cfRule>
  </conditionalFormatting>
  <conditionalFormatting sqref="H765:L765">
    <cfRule type="cellIs" dxfId="6098" priority="6027" stopIfTrue="1" operator="equal">
      <formula>"Pass"</formula>
    </cfRule>
    <cfRule type="cellIs" dxfId="6097" priority="6028" stopIfTrue="1" operator="equal">
      <formula>"Fail"</formula>
    </cfRule>
  </conditionalFormatting>
  <conditionalFormatting sqref="I765:L765">
    <cfRule type="cellIs" dxfId="6096" priority="6025" stopIfTrue="1" operator="equal">
      <formula>"Pass"</formula>
    </cfRule>
    <cfRule type="cellIs" dxfId="6095" priority="6026" stopIfTrue="1" operator="equal">
      <formula>"Fail"</formula>
    </cfRule>
  </conditionalFormatting>
  <conditionalFormatting sqref="I765:L765">
    <cfRule type="cellIs" dxfId="6094" priority="6023" stopIfTrue="1" operator="equal">
      <formula>"Pass"</formula>
    </cfRule>
    <cfRule type="cellIs" dxfId="6093" priority="6024" stopIfTrue="1" operator="equal">
      <formula>"Fail"</formula>
    </cfRule>
  </conditionalFormatting>
  <conditionalFormatting sqref="I765:L765">
    <cfRule type="cellIs" dxfId="6092" priority="6021" stopIfTrue="1" operator="equal">
      <formula>"Pass"</formula>
    </cfRule>
    <cfRule type="cellIs" dxfId="6091" priority="6022" stopIfTrue="1" operator="equal">
      <formula>"Fail"</formula>
    </cfRule>
  </conditionalFormatting>
  <conditionalFormatting sqref="I765:L765">
    <cfRule type="cellIs" dxfId="6090" priority="6019" stopIfTrue="1" operator="equal">
      <formula>"Pass"</formula>
    </cfRule>
    <cfRule type="cellIs" dxfId="6089" priority="6020" stopIfTrue="1" operator="equal">
      <formula>"Fail"</formula>
    </cfRule>
  </conditionalFormatting>
  <conditionalFormatting sqref="G765">
    <cfRule type="cellIs" dxfId="6088" priority="6017" stopIfTrue="1" operator="equal">
      <formula>"Pass"</formula>
    </cfRule>
    <cfRule type="cellIs" dxfId="6087" priority="6018" stopIfTrue="1" operator="equal">
      <formula>"Fail"</formula>
    </cfRule>
  </conditionalFormatting>
  <conditionalFormatting sqref="G765">
    <cfRule type="cellIs" dxfId="6086" priority="6015" stopIfTrue="1" operator="equal">
      <formula>"Pass"</formula>
    </cfRule>
    <cfRule type="cellIs" dxfId="6085" priority="6016" stopIfTrue="1" operator="equal">
      <formula>"Fail"</formula>
    </cfRule>
  </conditionalFormatting>
  <conditionalFormatting sqref="G765">
    <cfRule type="cellIs" dxfId="6084" priority="6013" stopIfTrue="1" operator="equal">
      <formula>"Pass"</formula>
    </cfRule>
    <cfRule type="cellIs" dxfId="6083" priority="6014" stopIfTrue="1" operator="equal">
      <formula>"Fail"</formula>
    </cfRule>
  </conditionalFormatting>
  <conditionalFormatting sqref="G765">
    <cfRule type="cellIs" dxfId="6082" priority="6011" stopIfTrue="1" operator="equal">
      <formula>"Pass"</formula>
    </cfRule>
    <cfRule type="cellIs" dxfId="6081" priority="6012" stopIfTrue="1" operator="equal">
      <formula>"Fail"</formula>
    </cfRule>
  </conditionalFormatting>
  <conditionalFormatting sqref="G765">
    <cfRule type="cellIs" dxfId="6080" priority="6009" stopIfTrue="1" operator="equal">
      <formula>"Pass"</formula>
    </cfRule>
    <cfRule type="cellIs" dxfId="6079" priority="6010" stopIfTrue="1" operator="equal">
      <formula>"Fail"</formula>
    </cfRule>
  </conditionalFormatting>
  <conditionalFormatting sqref="G765">
    <cfRule type="cellIs" dxfId="6078" priority="6007" stopIfTrue="1" operator="equal">
      <formula>"Pass"</formula>
    </cfRule>
    <cfRule type="cellIs" dxfId="6077" priority="6008" stopIfTrue="1" operator="equal">
      <formula>"Fail"</formula>
    </cfRule>
  </conditionalFormatting>
  <conditionalFormatting sqref="H765:L765">
    <cfRule type="cellIs" dxfId="6076" priority="6005" stopIfTrue="1" operator="equal">
      <formula>"Pass"</formula>
    </cfRule>
    <cfRule type="cellIs" dxfId="6075" priority="6006" stopIfTrue="1" operator="equal">
      <formula>"Fail"</formula>
    </cfRule>
  </conditionalFormatting>
  <conditionalFormatting sqref="H765:L765">
    <cfRule type="cellIs" dxfId="6074" priority="6003" stopIfTrue="1" operator="equal">
      <formula>"Pass"</formula>
    </cfRule>
    <cfRule type="cellIs" dxfId="6073" priority="6004" stopIfTrue="1" operator="equal">
      <formula>"Fail"</formula>
    </cfRule>
  </conditionalFormatting>
  <conditionalFormatting sqref="I765:L765">
    <cfRule type="cellIs" dxfId="6072" priority="6001" stopIfTrue="1" operator="equal">
      <formula>"Pass"</formula>
    </cfRule>
    <cfRule type="cellIs" dxfId="6071" priority="6002" stopIfTrue="1" operator="equal">
      <formula>"Fail"</formula>
    </cfRule>
  </conditionalFormatting>
  <conditionalFormatting sqref="I765:L765">
    <cfRule type="cellIs" dxfId="6070" priority="5999" stopIfTrue="1" operator="equal">
      <formula>"Pass"</formula>
    </cfRule>
    <cfRule type="cellIs" dxfId="6069" priority="6000" stopIfTrue="1" operator="equal">
      <formula>"Fail"</formula>
    </cfRule>
  </conditionalFormatting>
  <conditionalFormatting sqref="I765:L765">
    <cfRule type="cellIs" dxfId="6068" priority="5997" stopIfTrue="1" operator="equal">
      <formula>"Pass"</formula>
    </cfRule>
    <cfRule type="cellIs" dxfId="6067" priority="5998" stopIfTrue="1" operator="equal">
      <formula>"Fail"</formula>
    </cfRule>
  </conditionalFormatting>
  <conditionalFormatting sqref="I765:L765">
    <cfRule type="cellIs" dxfId="6066" priority="5995" stopIfTrue="1" operator="equal">
      <formula>"Pass"</formula>
    </cfRule>
    <cfRule type="cellIs" dxfId="6065" priority="5996" stopIfTrue="1" operator="equal">
      <formula>"Fail"</formula>
    </cfRule>
  </conditionalFormatting>
  <conditionalFormatting sqref="G765">
    <cfRule type="cellIs" dxfId="6064" priority="5993" stopIfTrue="1" operator="equal">
      <formula>"Pass"</formula>
    </cfRule>
    <cfRule type="cellIs" dxfId="6063" priority="5994" stopIfTrue="1" operator="equal">
      <formula>"Fail"</formula>
    </cfRule>
  </conditionalFormatting>
  <conditionalFormatting sqref="G765">
    <cfRule type="cellIs" dxfId="6062" priority="5991" stopIfTrue="1" operator="equal">
      <formula>"Pass"</formula>
    </cfRule>
    <cfRule type="cellIs" dxfId="6061" priority="5992" stopIfTrue="1" operator="equal">
      <formula>"Fail"</formula>
    </cfRule>
  </conditionalFormatting>
  <conditionalFormatting sqref="G765">
    <cfRule type="cellIs" dxfId="6060" priority="5989" stopIfTrue="1" operator="equal">
      <formula>"Pass"</formula>
    </cfRule>
    <cfRule type="cellIs" dxfId="6059" priority="5990" stopIfTrue="1" operator="equal">
      <formula>"Fail"</formula>
    </cfRule>
  </conditionalFormatting>
  <conditionalFormatting sqref="G765">
    <cfRule type="cellIs" dxfId="6058" priority="5987" stopIfTrue="1" operator="equal">
      <formula>"Pass"</formula>
    </cfRule>
    <cfRule type="cellIs" dxfId="6057" priority="5988" stopIfTrue="1" operator="equal">
      <formula>"Fail"</formula>
    </cfRule>
  </conditionalFormatting>
  <conditionalFormatting sqref="G765">
    <cfRule type="cellIs" dxfId="6056" priority="5985" stopIfTrue="1" operator="equal">
      <formula>"Pass"</formula>
    </cfRule>
    <cfRule type="cellIs" dxfId="6055" priority="5986" stopIfTrue="1" operator="equal">
      <formula>"Fail"</formula>
    </cfRule>
  </conditionalFormatting>
  <conditionalFormatting sqref="G765">
    <cfRule type="cellIs" dxfId="6054" priority="5983" stopIfTrue="1" operator="equal">
      <formula>"Pass"</formula>
    </cfRule>
    <cfRule type="cellIs" dxfId="6053" priority="5984" stopIfTrue="1" operator="equal">
      <formula>"Fail"</formula>
    </cfRule>
  </conditionalFormatting>
  <conditionalFormatting sqref="H765:L765">
    <cfRule type="cellIs" dxfId="6052" priority="5981" stopIfTrue="1" operator="equal">
      <formula>"Pass"</formula>
    </cfRule>
    <cfRule type="cellIs" dxfId="6051" priority="5982" stopIfTrue="1" operator="equal">
      <formula>"Fail"</formula>
    </cfRule>
  </conditionalFormatting>
  <conditionalFormatting sqref="H765:L765">
    <cfRule type="cellIs" dxfId="6050" priority="5979" stopIfTrue="1" operator="equal">
      <formula>"Pass"</formula>
    </cfRule>
    <cfRule type="cellIs" dxfId="6049" priority="5980" stopIfTrue="1" operator="equal">
      <formula>"Fail"</formula>
    </cfRule>
  </conditionalFormatting>
  <conditionalFormatting sqref="I765:L765">
    <cfRule type="cellIs" dxfId="6048" priority="5977" stopIfTrue="1" operator="equal">
      <formula>"Pass"</formula>
    </cfRule>
    <cfRule type="cellIs" dxfId="6047" priority="5978" stopIfTrue="1" operator="equal">
      <formula>"Fail"</formula>
    </cfRule>
  </conditionalFormatting>
  <conditionalFormatting sqref="I765:L765">
    <cfRule type="cellIs" dxfId="6046" priority="5975" stopIfTrue="1" operator="equal">
      <formula>"Pass"</formula>
    </cfRule>
    <cfRule type="cellIs" dxfId="6045" priority="5976" stopIfTrue="1" operator="equal">
      <formula>"Fail"</formula>
    </cfRule>
  </conditionalFormatting>
  <conditionalFormatting sqref="I765:L765">
    <cfRule type="cellIs" dxfId="6044" priority="5973" stopIfTrue="1" operator="equal">
      <formula>"Pass"</formula>
    </cfRule>
    <cfRule type="cellIs" dxfId="6043" priority="5974" stopIfTrue="1" operator="equal">
      <formula>"Fail"</formula>
    </cfRule>
  </conditionalFormatting>
  <conditionalFormatting sqref="I765:L765">
    <cfRule type="cellIs" dxfId="6042" priority="5971" stopIfTrue="1" operator="equal">
      <formula>"Pass"</formula>
    </cfRule>
    <cfRule type="cellIs" dxfId="6041" priority="5972" stopIfTrue="1" operator="equal">
      <formula>"Fail"</formula>
    </cfRule>
  </conditionalFormatting>
  <conditionalFormatting sqref="G765">
    <cfRule type="cellIs" dxfId="6040" priority="5969" stopIfTrue="1" operator="equal">
      <formula>"Pass"</formula>
    </cfRule>
    <cfRule type="cellIs" dxfId="6039" priority="5970" stopIfTrue="1" operator="equal">
      <formula>"Fail"</formula>
    </cfRule>
  </conditionalFormatting>
  <conditionalFormatting sqref="G765">
    <cfRule type="cellIs" dxfId="6038" priority="5967" stopIfTrue="1" operator="equal">
      <formula>"Pass"</formula>
    </cfRule>
    <cfRule type="cellIs" dxfId="6037" priority="5968" stopIfTrue="1" operator="equal">
      <formula>"Fail"</formula>
    </cfRule>
  </conditionalFormatting>
  <conditionalFormatting sqref="G765">
    <cfRule type="cellIs" dxfId="6036" priority="5965" stopIfTrue="1" operator="equal">
      <formula>"Pass"</formula>
    </cfRule>
    <cfRule type="cellIs" dxfId="6035" priority="5966" stopIfTrue="1" operator="equal">
      <formula>"Fail"</formula>
    </cfRule>
  </conditionalFormatting>
  <conditionalFormatting sqref="G765">
    <cfRule type="cellIs" dxfId="6034" priority="5963" stopIfTrue="1" operator="equal">
      <formula>"Pass"</formula>
    </cfRule>
    <cfRule type="cellIs" dxfId="6033" priority="5964" stopIfTrue="1" operator="equal">
      <formula>"Fail"</formula>
    </cfRule>
  </conditionalFormatting>
  <conditionalFormatting sqref="G765">
    <cfRule type="cellIs" dxfId="6032" priority="5961" stopIfTrue="1" operator="equal">
      <formula>"Pass"</formula>
    </cfRule>
    <cfRule type="cellIs" dxfId="6031" priority="5962" stopIfTrue="1" operator="equal">
      <formula>"Fail"</formula>
    </cfRule>
  </conditionalFormatting>
  <conditionalFormatting sqref="G765">
    <cfRule type="cellIs" dxfId="6030" priority="5959" stopIfTrue="1" operator="equal">
      <formula>"Pass"</formula>
    </cfRule>
    <cfRule type="cellIs" dxfId="6029" priority="5960" stopIfTrue="1" operator="equal">
      <formula>"Fail"</formula>
    </cfRule>
  </conditionalFormatting>
  <conditionalFormatting sqref="H765:L765">
    <cfRule type="cellIs" dxfId="6028" priority="5957" stopIfTrue="1" operator="equal">
      <formula>"Pass"</formula>
    </cfRule>
    <cfRule type="cellIs" dxfId="6027" priority="5958" stopIfTrue="1" operator="equal">
      <formula>"Fail"</formula>
    </cfRule>
  </conditionalFormatting>
  <conditionalFormatting sqref="H765:L765">
    <cfRule type="cellIs" dxfId="6026" priority="5955" stopIfTrue="1" operator="equal">
      <formula>"Pass"</formula>
    </cfRule>
    <cfRule type="cellIs" dxfId="6025" priority="5956" stopIfTrue="1" operator="equal">
      <formula>"Fail"</formula>
    </cfRule>
  </conditionalFormatting>
  <conditionalFormatting sqref="I765:L765">
    <cfRule type="cellIs" dxfId="6024" priority="5953" stopIfTrue="1" operator="equal">
      <formula>"Pass"</formula>
    </cfRule>
    <cfRule type="cellIs" dxfId="6023" priority="5954" stopIfTrue="1" operator="equal">
      <formula>"Fail"</formula>
    </cfRule>
  </conditionalFormatting>
  <conditionalFormatting sqref="I765:L765">
    <cfRule type="cellIs" dxfId="6022" priority="5951" stopIfTrue="1" operator="equal">
      <formula>"Pass"</formula>
    </cfRule>
    <cfRule type="cellIs" dxfId="6021" priority="5952" stopIfTrue="1" operator="equal">
      <formula>"Fail"</formula>
    </cfRule>
  </conditionalFormatting>
  <conditionalFormatting sqref="I765:L765">
    <cfRule type="cellIs" dxfId="6020" priority="5949" stopIfTrue="1" operator="equal">
      <formula>"Pass"</formula>
    </cfRule>
    <cfRule type="cellIs" dxfId="6019" priority="5950" stopIfTrue="1" operator="equal">
      <formula>"Fail"</formula>
    </cfRule>
  </conditionalFormatting>
  <conditionalFormatting sqref="I765:L765">
    <cfRule type="cellIs" dxfId="6018" priority="5947" stopIfTrue="1" operator="equal">
      <formula>"Pass"</formula>
    </cfRule>
    <cfRule type="cellIs" dxfId="6017" priority="5948" stopIfTrue="1" operator="equal">
      <formula>"Fail"</formula>
    </cfRule>
  </conditionalFormatting>
  <conditionalFormatting sqref="G765">
    <cfRule type="cellIs" dxfId="6016" priority="5945" stopIfTrue="1" operator="equal">
      <formula>"Pass"</formula>
    </cfRule>
    <cfRule type="cellIs" dxfId="6015" priority="5946" stopIfTrue="1" operator="equal">
      <formula>"Fail"</formula>
    </cfRule>
  </conditionalFormatting>
  <conditionalFormatting sqref="G765">
    <cfRule type="cellIs" dxfId="6014" priority="5943" stopIfTrue="1" operator="equal">
      <formula>"Pass"</formula>
    </cfRule>
    <cfRule type="cellIs" dxfId="6013" priority="5944" stopIfTrue="1" operator="equal">
      <formula>"Fail"</formula>
    </cfRule>
  </conditionalFormatting>
  <conditionalFormatting sqref="G765">
    <cfRule type="cellIs" dxfId="6012" priority="5941" stopIfTrue="1" operator="equal">
      <formula>"Pass"</formula>
    </cfRule>
    <cfRule type="cellIs" dxfId="6011" priority="5942" stopIfTrue="1" operator="equal">
      <formula>"Fail"</formula>
    </cfRule>
  </conditionalFormatting>
  <conditionalFormatting sqref="G765">
    <cfRule type="cellIs" dxfId="6010" priority="5939" stopIfTrue="1" operator="equal">
      <formula>"Pass"</formula>
    </cfRule>
    <cfRule type="cellIs" dxfId="6009" priority="5940" stopIfTrue="1" operator="equal">
      <formula>"Fail"</formula>
    </cfRule>
  </conditionalFormatting>
  <conditionalFormatting sqref="G765">
    <cfRule type="cellIs" dxfId="6008" priority="5937" stopIfTrue="1" operator="equal">
      <formula>"Pass"</formula>
    </cfRule>
    <cfRule type="cellIs" dxfId="6007" priority="5938" stopIfTrue="1" operator="equal">
      <formula>"Fail"</formula>
    </cfRule>
  </conditionalFormatting>
  <conditionalFormatting sqref="G765">
    <cfRule type="cellIs" dxfId="6006" priority="5935" stopIfTrue="1" operator="equal">
      <formula>"Pass"</formula>
    </cfRule>
    <cfRule type="cellIs" dxfId="6005" priority="5936" stopIfTrue="1" operator="equal">
      <formula>"Fail"</formula>
    </cfRule>
  </conditionalFormatting>
  <conditionalFormatting sqref="G765:L765">
    <cfRule type="cellIs" dxfId="6004" priority="5933" stopIfTrue="1" operator="equal">
      <formula>"Pass"</formula>
    </cfRule>
    <cfRule type="cellIs" dxfId="6003" priority="5934" stopIfTrue="1" operator="equal">
      <formula>"Fail"</formula>
    </cfRule>
  </conditionalFormatting>
  <conditionalFormatting sqref="G765:L765">
    <cfRule type="cellIs" dxfId="6002" priority="5931" stopIfTrue="1" operator="equal">
      <formula>"Pass"</formula>
    </cfRule>
    <cfRule type="cellIs" dxfId="6001" priority="5932" stopIfTrue="1" operator="equal">
      <formula>"Fail"</formula>
    </cfRule>
  </conditionalFormatting>
  <conditionalFormatting sqref="G765:L765">
    <cfRule type="cellIs" dxfId="6000" priority="5929" stopIfTrue="1" operator="equal">
      <formula>"Pass"</formula>
    </cfRule>
    <cfRule type="cellIs" dxfId="5999" priority="5930" stopIfTrue="1" operator="equal">
      <formula>"Fail"</formula>
    </cfRule>
  </conditionalFormatting>
  <conditionalFormatting sqref="G765:L765">
    <cfRule type="cellIs" dxfId="5998" priority="5927" stopIfTrue="1" operator="equal">
      <formula>"Pass"</formula>
    </cfRule>
    <cfRule type="cellIs" dxfId="5997" priority="5928" stopIfTrue="1" operator="equal">
      <formula>"Fail"</formula>
    </cfRule>
  </conditionalFormatting>
  <conditionalFormatting sqref="G765:L765">
    <cfRule type="cellIs" dxfId="5996" priority="5925" stopIfTrue="1" operator="equal">
      <formula>"Pass"</formula>
    </cfRule>
    <cfRule type="cellIs" dxfId="5995" priority="5926" stopIfTrue="1" operator="equal">
      <formula>"Fail"</formula>
    </cfRule>
  </conditionalFormatting>
  <conditionalFormatting sqref="G765:L765">
    <cfRule type="cellIs" dxfId="5994" priority="5923" stopIfTrue="1" operator="equal">
      <formula>"Pass"</formula>
    </cfRule>
    <cfRule type="cellIs" dxfId="5993" priority="5924" stopIfTrue="1" operator="equal">
      <formula>"Fail"</formula>
    </cfRule>
  </conditionalFormatting>
  <conditionalFormatting sqref="G765:L765">
    <cfRule type="cellIs" dxfId="5992" priority="5921" stopIfTrue="1" operator="equal">
      <formula>"Pass"</formula>
    </cfRule>
    <cfRule type="cellIs" dxfId="5991" priority="5922" stopIfTrue="1" operator="equal">
      <formula>"Fail"</formula>
    </cfRule>
  </conditionalFormatting>
  <conditionalFormatting sqref="G765:L765">
    <cfRule type="cellIs" dxfId="5990" priority="5919" stopIfTrue="1" operator="equal">
      <formula>"Pass"</formula>
    </cfRule>
    <cfRule type="cellIs" dxfId="5989" priority="5920" stopIfTrue="1" operator="equal">
      <formula>"Fail"</formula>
    </cfRule>
  </conditionalFormatting>
  <conditionalFormatting sqref="G765:L765">
    <cfRule type="cellIs" dxfId="5988" priority="5917" stopIfTrue="1" operator="equal">
      <formula>"Pass"</formula>
    </cfRule>
    <cfRule type="cellIs" dxfId="5987" priority="5918" stopIfTrue="1" operator="equal">
      <formula>"Fail"</formula>
    </cfRule>
  </conditionalFormatting>
  <conditionalFormatting sqref="G765:L765">
    <cfRule type="cellIs" dxfId="5986" priority="5915" stopIfTrue="1" operator="equal">
      <formula>"Pass"</formula>
    </cfRule>
    <cfRule type="cellIs" dxfId="5985" priority="5916" stopIfTrue="1" operator="equal">
      <formula>"Fail"</formula>
    </cfRule>
  </conditionalFormatting>
  <conditionalFormatting sqref="G765:L765">
    <cfRule type="cellIs" dxfId="5984" priority="5913" stopIfTrue="1" operator="equal">
      <formula>"Pass"</formula>
    </cfRule>
    <cfRule type="cellIs" dxfId="5983" priority="5914" stopIfTrue="1" operator="equal">
      <formula>"Fail"</formula>
    </cfRule>
  </conditionalFormatting>
  <conditionalFormatting sqref="G765:L765">
    <cfRule type="cellIs" dxfId="5982" priority="5911" stopIfTrue="1" operator="equal">
      <formula>"Pass"</formula>
    </cfRule>
    <cfRule type="cellIs" dxfId="5981" priority="5912" stopIfTrue="1" operator="equal">
      <formula>"Fail"</formula>
    </cfRule>
  </conditionalFormatting>
  <conditionalFormatting sqref="G765:L765">
    <cfRule type="cellIs" dxfId="5980" priority="5909" stopIfTrue="1" operator="equal">
      <formula>"Pass"</formula>
    </cfRule>
    <cfRule type="cellIs" dxfId="5979" priority="5910" stopIfTrue="1" operator="equal">
      <formula>"Fail"</formula>
    </cfRule>
  </conditionalFormatting>
  <conditionalFormatting sqref="G765:L765">
    <cfRule type="cellIs" dxfId="5978" priority="5907" stopIfTrue="1" operator="equal">
      <formula>"Pass"</formula>
    </cfRule>
    <cfRule type="cellIs" dxfId="5977" priority="5908" stopIfTrue="1" operator="equal">
      <formula>"Fail"</formula>
    </cfRule>
  </conditionalFormatting>
  <conditionalFormatting sqref="G765:L765">
    <cfRule type="cellIs" dxfId="5976" priority="5905" stopIfTrue="1" operator="equal">
      <formula>"Pass"</formula>
    </cfRule>
    <cfRule type="cellIs" dxfId="5975" priority="5906" stopIfTrue="1" operator="equal">
      <formula>"Fail"</formula>
    </cfRule>
  </conditionalFormatting>
  <conditionalFormatting sqref="G765:L765">
    <cfRule type="cellIs" dxfId="5974" priority="5903" stopIfTrue="1" operator="equal">
      <formula>"Pass"</formula>
    </cfRule>
    <cfRule type="cellIs" dxfId="5973" priority="5904" stopIfTrue="1" operator="equal">
      <formula>"Fail"</formula>
    </cfRule>
  </conditionalFormatting>
  <conditionalFormatting sqref="G765:L765">
    <cfRule type="cellIs" dxfId="5972" priority="5901" stopIfTrue="1" operator="equal">
      <formula>"Pass"</formula>
    </cfRule>
    <cfRule type="cellIs" dxfId="5971" priority="5902" stopIfTrue="1" operator="equal">
      <formula>"Fail"</formula>
    </cfRule>
  </conditionalFormatting>
  <conditionalFormatting sqref="G765:L765">
    <cfRule type="cellIs" dxfId="5970" priority="5899" stopIfTrue="1" operator="equal">
      <formula>"Pass"</formula>
    </cfRule>
    <cfRule type="cellIs" dxfId="5969" priority="5900" stopIfTrue="1" operator="equal">
      <formula>"Fail"</formula>
    </cfRule>
  </conditionalFormatting>
  <conditionalFormatting sqref="G765:L765">
    <cfRule type="cellIs" dxfId="5968" priority="5897" stopIfTrue="1" operator="equal">
      <formula>"Pass"</formula>
    </cfRule>
    <cfRule type="cellIs" dxfId="5967" priority="5898" stopIfTrue="1" operator="equal">
      <formula>"Fail"</formula>
    </cfRule>
  </conditionalFormatting>
  <conditionalFormatting sqref="G765:L765">
    <cfRule type="cellIs" dxfId="5966" priority="5895" stopIfTrue="1" operator="equal">
      <formula>"Pass"</formula>
    </cfRule>
    <cfRule type="cellIs" dxfId="5965" priority="5896" stopIfTrue="1" operator="equal">
      <formula>"Fail"</formula>
    </cfRule>
  </conditionalFormatting>
  <conditionalFormatting sqref="G765:L765">
    <cfRule type="cellIs" dxfId="5964" priority="5893" stopIfTrue="1" operator="equal">
      <formula>"Pass"</formula>
    </cfRule>
    <cfRule type="cellIs" dxfId="5963" priority="5894" stopIfTrue="1" operator="equal">
      <formula>"Fail"</formula>
    </cfRule>
  </conditionalFormatting>
  <conditionalFormatting sqref="G765:L765">
    <cfRule type="cellIs" dxfId="5962" priority="5891" stopIfTrue="1" operator="equal">
      <formula>"Pass"</formula>
    </cfRule>
    <cfRule type="cellIs" dxfId="5961" priority="5892" stopIfTrue="1" operator="equal">
      <formula>"Fail"</formula>
    </cfRule>
  </conditionalFormatting>
  <conditionalFormatting sqref="G765:L765">
    <cfRule type="cellIs" dxfId="5960" priority="5889" stopIfTrue="1" operator="equal">
      <formula>"Pass"</formula>
    </cfRule>
    <cfRule type="cellIs" dxfId="5959" priority="5890" stopIfTrue="1" operator="equal">
      <formula>"Fail"</formula>
    </cfRule>
  </conditionalFormatting>
  <conditionalFormatting sqref="G765:L765">
    <cfRule type="cellIs" dxfId="5958" priority="5887" stopIfTrue="1" operator="equal">
      <formula>"Pass"</formula>
    </cfRule>
    <cfRule type="cellIs" dxfId="5957" priority="5888" stopIfTrue="1" operator="equal">
      <formula>"Fail"</formula>
    </cfRule>
  </conditionalFormatting>
  <conditionalFormatting sqref="G765:L765">
    <cfRule type="cellIs" dxfId="5956" priority="5885" stopIfTrue="1" operator="equal">
      <formula>"Pass"</formula>
    </cfRule>
    <cfRule type="cellIs" dxfId="5955" priority="5886" stopIfTrue="1" operator="equal">
      <formula>"Fail"</formula>
    </cfRule>
  </conditionalFormatting>
  <conditionalFormatting sqref="G765:L765">
    <cfRule type="cellIs" dxfId="5954" priority="5883" stopIfTrue="1" operator="equal">
      <formula>"Pass"</formula>
    </cfRule>
    <cfRule type="cellIs" dxfId="5953" priority="5884" stopIfTrue="1" operator="equal">
      <formula>"Fail"</formula>
    </cfRule>
  </conditionalFormatting>
  <conditionalFormatting sqref="G765:L765">
    <cfRule type="cellIs" dxfId="5952" priority="5881" stopIfTrue="1" operator="equal">
      <formula>"Pass"</formula>
    </cfRule>
    <cfRule type="cellIs" dxfId="5951" priority="5882" stopIfTrue="1" operator="equal">
      <formula>"Fail"</formula>
    </cfRule>
  </conditionalFormatting>
  <conditionalFormatting sqref="G765:L765">
    <cfRule type="cellIs" dxfId="5950" priority="5879" stopIfTrue="1" operator="equal">
      <formula>"Pass"</formula>
    </cfRule>
    <cfRule type="cellIs" dxfId="5949" priority="5880" stopIfTrue="1" operator="equal">
      <formula>"Fail"</formula>
    </cfRule>
  </conditionalFormatting>
  <conditionalFormatting sqref="G765:L765">
    <cfRule type="cellIs" dxfId="5948" priority="5877" stopIfTrue="1" operator="equal">
      <formula>"Pass"</formula>
    </cfRule>
    <cfRule type="cellIs" dxfId="5947" priority="5878" stopIfTrue="1" operator="equal">
      <formula>"Fail"</formula>
    </cfRule>
  </conditionalFormatting>
  <conditionalFormatting sqref="G765:L765">
    <cfRule type="cellIs" dxfId="5946" priority="5875" stopIfTrue="1" operator="equal">
      <formula>"Pass"</formula>
    </cfRule>
    <cfRule type="cellIs" dxfId="5945" priority="5876" stopIfTrue="1" operator="equal">
      <formula>"Fail"</formula>
    </cfRule>
  </conditionalFormatting>
  <conditionalFormatting sqref="D765:E765">
    <cfRule type="cellIs" dxfId="5944" priority="5873" stopIfTrue="1" operator="equal">
      <formula>"Pass"</formula>
    </cfRule>
    <cfRule type="cellIs" dxfId="5943" priority="5874" stopIfTrue="1" operator="equal">
      <formula>"Fail"</formula>
    </cfRule>
  </conditionalFormatting>
  <conditionalFormatting sqref="G765:L765">
    <cfRule type="cellIs" dxfId="5942" priority="5871" stopIfTrue="1" operator="equal">
      <formula>"Pass"</formula>
    </cfRule>
    <cfRule type="cellIs" dxfId="5941" priority="5872" stopIfTrue="1" operator="equal">
      <formula>"Fail"</formula>
    </cfRule>
  </conditionalFormatting>
  <conditionalFormatting sqref="D770:E771">
    <cfRule type="cellIs" dxfId="5940" priority="5869" stopIfTrue="1" operator="equal">
      <formula>"Pass"</formula>
    </cfRule>
    <cfRule type="cellIs" dxfId="5939" priority="5870" stopIfTrue="1" operator="equal">
      <formula>"Fail"</formula>
    </cfRule>
  </conditionalFormatting>
  <conditionalFormatting sqref="D774:E775 G774:H775 E773 G770:P771 H773 I773:P774">
    <cfRule type="cellIs" dxfId="5938" priority="5867" stopIfTrue="1" operator="equal">
      <formula>"Pass"</formula>
    </cfRule>
    <cfRule type="cellIs" dxfId="5937" priority="5868" stopIfTrue="1" operator="equal">
      <formula>"Fail"</formula>
    </cfRule>
  </conditionalFormatting>
  <conditionalFormatting sqref="U770:V775">
    <cfRule type="cellIs" dxfId="5936" priority="5865" stopIfTrue="1" operator="equal">
      <formula>"Fail"</formula>
    </cfRule>
    <cfRule type="cellIs" dxfId="5935" priority="5866" stopIfTrue="1" operator="equal">
      <formula>"Pass"</formula>
    </cfRule>
  </conditionalFormatting>
  <conditionalFormatting sqref="H773:P773">
    <cfRule type="cellIs" dxfId="5934" priority="5863" stopIfTrue="1" operator="equal">
      <formula>"Pass"</formula>
    </cfRule>
    <cfRule type="cellIs" dxfId="5933" priority="5864" stopIfTrue="1" operator="equal">
      <formula>"Fail"</formula>
    </cfRule>
  </conditionalFormatting>
  <conditionalFormatting sqref="H773:P773">
    <cfRule type="cellIs" dxfId="5932" priority="5861" stopIfTrue="1" operator="equal">
      <formula>"Pass"</formula>
    </cfRule>
    <cfRule type="cellIs" dxfId="5931" priority="5862" stopIfTrue="1" operator="equal">
      <formula>"Fail"</formula>
    </cfRule>
  </conditionalFormatting>
  <conditionalFormatting sqref="H773:P773">
    <cfRule type="cellIs" dxfId="5930" priority="5859" stopIfTrue="1" operator="equal">
      <formula>"Pass"</formula>
    </cfRule>
    <cfRule type="cellIs" dxfId="5929" priority="5860" stopIfTrue="1" operator="equal">
      <formula>"Fail"</formula>
    </cfRule>
  </conditionalFormatting>
  <conditionalFormatting sqref="I773:P773">
    <cfRule type="cellIs" dxfId="5928" priority="5857" stopIfTrue="1" operator="equal">
      <formula>"Pass"</formula>
    </cfRule>
    <cfRule type="cellIs" dxfId="5927" priority="5858" stopIfTrue="1" operator="equal">
      <formula>"Fail"</formula>
    </cfRule>
  </conditionalFormatting>
  <conditionalFormatting sqref="I773:P773">
    <cfRule type="cellIs" dxfId="5926" priority="5855" stopIfTrue="1" operator="equal">
      <formula>"Pass"</formula>
    </cfRule>
    <cfRule type="cellIs" dxfId="5925" priority="5856" stopIfTrue="1" operator="equal">
      <formula>"Fail"</formula>
    </cfRule>
  </conditionalFormatting>
  <conditionalFormatting sqref="I773:P773">
    <cfRule type="cellIs" dxfId="5924" priority="5853" stopIfTrue="1" operator="equal">
      <formula>"Pass"</formula>
    </cfRule>
    <cfRule type="cellIs" dxfId="5923" priority="5854" stopIfTrue="1" operator="equal">
      <formula>"Fail"</formula>
    </cfRule>
  </conditionalFormatting>
  <conditionalFormatting sqref="I773:P773">
    <cfRule type="cellIs" dxfId="5922" priority="5851" stopIfTrue="1" operator="equal">
      <formula>"Pass"</formula>
    </cfRule>
    <cfRule type="cellIs" dxfId="5921" priority="5852" stopIfTrue="1" operator="equal">
      <formula>"Fail"</formula>
    </cfRule>
  </conditionalFormatting>
  <conditionalFormatting sqref="H773:P773">
    <cfRule type="cellIs" dxfId="5920" priority="5849" stopIfTrue="1" operator="equal">
      <formula>"Pass"</formula>
    </cfRule>
    <cfRule type="cellIs" dxfId="5919" priority="5850" stopIfTrue="1" operator="equal">
      <formula>"Fail"</formula>
    </cfRule>
  </conditionalFormatting>
  <conditionalFormatting sqref="H773:P773">
    <cfRule type="cellIs" dxfId="5918" priority="5847" stopIfTrue="1" operator="equal">
      <formula>"Pass"</formula>
    </cfRule>
    <cfRule type="cellIs" dxfId="5917" priority="5848" stopIfTrue="1" operator="equal">
      <formula>"Fail"</formula>
    </cfRule>
  </conditionalFormatting>
  <conditionalFormatting sqref="I773:P773">
    <cfRule type="cellIs" dxfId="5916" priority="5845" stopIfTrue="1" operator="equal">
      <formula>"Pass"</formula>
    </cfRule>
    <cfRule type="cellIs" dxfId="5915" priority="5846" stopIfTrue="1" operator="equal">
      <formula>"Fail"</formula>
    </cfRule>
  </conditionalFormatting>
  <conditionalFormatting sqref="I773:P773">
    <cfRule type="cellIs" dxfId="5914" priority="5843" stopIfTrue="1" operator="equal">
      <formula>"Pass"</formula>
    </cfRule>
    <cfRule type="cellIs" dxfId="5913" priority="5844" stopIfTrue="1" operator="equal">
      <formula>"Fail"</formula>
    </cfRule>
  </conditionalFormatting>
  <conditionalFormatting sqref="I773:P773">
    <cfRule type="cellIs" dxfId="5912" priority="5841" stopIfTrue="1" operator="equal">
      <formula>"Pass"</formula>
    </cfRule>
    <cfRule type="cellIs" dxfId="5911" priority="5842" stopIfTrue="1" operator="equal">
      <formula>"Fail"</formula>
    </cfRule>
  </conditionalFormatting>
  <conditionalFormatting sqref="I773:P773">
    <cfRule type="cellIs" dxfId="5910" priority="5839" stopIfTrue="1" operator="equal">
      <formula>"Pass"</formula>
    </cfRule>
    <cfRule type="cellIs" dxfId="5909" priority="5840" stopIfTrue="1" operator="equal">
      <formula>"Fail"</formula>
    </cfRule>
  </conditionalFormatting>
  <conditionalFormatting sqref="H773:P773">
    <cfRule type="cellIs" dxfId="5908" priority="5837" stopIfTrue="1" operator="equal">
      <formula>"Pass"</formula>
    </cfRule>
    <cfRule type="cellIs" dxfId="5907" priority="5838" stopIfTrue="1" operator="equal">
      <formula>"Fail"</formula>
    </cfRule>
  </conditionalFormatting>
  <conditionalFormatting sqref="H773:P773">
    <cfRule type="cellIs" dxfId="5906" priority="5835" stopIfTrue="1" operator="equal">
      <formula>"Pass"</formula>
    </cfRule>
    <cfRule type="cellIs" dxfId="5905" priority="5836" stopIfTrue="1" operator="equal">
      <formula>"Fail"</formula>
    </cfRule>
  </conditionalFormatting>
  <conditionalFormatting sqref="I773:P773">
    <cfRule type="cellIs" dxfId="5904" priority="5833" stopIfTrue="1" operator="equal">
      <formula>"Pass"</formula>
    </cfRule>
    <cfRule type="cellIs" dxfId="5903" priority="5834" stopIfTrue="1" operator="equal">
      <formula>"Fail"</formula>
    </cfRule>
  </conditionalFormatting>
  <conditionalFormatting sqref="I773:P773">
    <cfRule type="cellIs" dxfId="5902" priority="5831" stopIfTrue="1" operator="equal">
      <formula>"Pass"</formula>
    </cfRule>
    <cfRule type="cellIs" dxfId="5901" priority="5832" stopIfTrue="1" operator="equal">
      <formula>"Fail"</formula>
    </cfRule>
  </conditionalFormatting>
  <conditionalFormatting sqref="I773:P773">
    <cfRule type="cellIs" dxfId="5900" priority="5829" stopIfTrue="1" operator="equal">
      <formula>"Pass"</formula>
    </cfRule>
    <cfRule type="cellIs" dxfId="5899" priority="5830" stopIfTrue="1" operator="equal">
      <formula>"Fail"</formula>
    </cfRule>
  </conditionalFormatting>
  <conditionalFormatting sqref="I773:P773">
    <cfRule type="cellIs" dxfId="5898" priority="5827" stopIfTrue="1" operator="equal">
      <formula>"Pass"</formula>
    </cfRule>
    <cfRule type="cellIs" dxfId="5897" priority="5828" stopIfTrue="1" operator="equal">
      <formula>"Fail"</formula>
    </cfRule>
  </conditionalFormatting>
  <conditionalFormatting sqref="H773:P773">
    <cfRule type="cellIs" dxfId="5896" priority="5825" stopIfTrue="1" operator="equal">
      <formula>"Pass"</formula>
    </cfRule>
    <cfRule type="cellIs" dxfId="5895" priority="5826" stopIfTrue="1" operator="equal">
      <formula>"Fail"</formula>
    </cfRule>
  </conditionalFormatting>
  <conditionalFormatting sqref="H773:P773">
    <cfRule type="cellIs" dxfId="5894" priority="5823" stopIfTrue="1" operator="equal">
      <formula>"Pass"</formula>
    </cfRule>
    <cfRule type="cellIs" dxfId="5893" priority="5824" stopIfTrue="1" operator="equal">
      <formula>"Fail"</formula>
    </cfRule>
  </conditionalFormatting>
  <conditionalFormatting sqref="I773:P773">
    <cfRule type="cellIs" dxfId="5892" priority="5821" stopIfTrue="1" operator="equal">
      <formula>"Pass"</formula>
    </cfRule>
    <cfRule type="cellIs" dxfId="5891" priority="5822" stopIfTrue="1" operator="equal">
      <formula>"Fail"</formula>
    </cfRule>
  </conditionalFormatting>
  <conditionalFormatting sqref="I773:P773">
    <cfRule type="cellIs" dxfId="5890" priority="5819" stopIfTrue="1" operator="equal">
      <formula>"Pass"</formula>
    </cfRule>
    <cfRule type="cellIs" dxfId="5889" priority="5820" stopIfTrue="1" operator="equal">
      <formula>"Fail"</formula>
    </cfRule>
  </conditionalFormatting>
  <conditionalFormatting sqref="I773:P773">
    <cfRule type="cellIs" dxfId="5888" priority="5817" stopIfTrue="1" operator="equal">
      <formula>"Pass"</formula>
    </cfRule>
    <cfRule type="cellIs" dxfId="5887" priority="5818" stopIfTrue="1" operator="equal">
      <formula>"Fail"</formula>
    </cfRule>
  </conditionalFormatting>
  <conditionalFormatting sqref="I773:P773">
    <cfRule type="cellIs" dxfId="5886" priority="5815" stopIfTrue="1" operator="equal">
      <formula>"Pass"</formula>
    </cfRule>
    <cfRule type="cellIs" dxfId="5885" priority="5816" stopIfTrue="1" operator="equal">
      <formula>"Fail"</formula>
    </cfRule>
  </conditionalFormatting>
  <conditionalFormatting sqref="H773:P773">
    <cfRule type="cellIs" dxfId="5884" priority="5813" stopIfTrue="1" operator="equal">
      <formula>"Pass"</formula>
    </cfRule>
    <cfRule type="cellIs" dxfId="5883" priority="5814" stopIfTrue="1" operator="equal">
      <formula>"Fail"</formula>
    </cfRule>
  </conditionalFormatting>
  <conditionalFormatting sqref="H773:P773">
    <cfRule type="cellIs" dxfId="5882" priority="5811" stopIfTrue="1" operator="equal">
      <formula>"Pass"</formula>
    </cfRule>
    <cfRule type="cellIs" dxfId="5881" priority="5812" stopIfTrue="1" operator="equal">
      <formula>"Fail"</formula>
    </cfRule>
  </conditionalFormatting>
  <conditionalFormatting sqref="I773:P773">
    <cfRule type="cellIs" dxfId="5880" priority="5809" stopIfTrue="1" operator="equal">
      <formula>"Pass"</formula>
    </cfRule>
    <cfRule type="cellIs" dxfId="5879" priority="5810" stopIfTrue="1" operator="equal">
      <formula>"Fail"</formula>
    </cfRule>
  </conditionalFormatting>
  <conditionalFormatting sqref="I773:P773">
    <cfRule type="cellIs" dxfId="5878" priority="5807" stopIfTrue="1" operator="equal">
      <formula>"Pass"</formula>
    </cfRule>
    <cfRule type="cellIs" dxfId="5877" priority="5808" stopIfTrue="1" operator="equal">
      <formula>"Fail"</formula>
    </cfRule>
  </conditionalFormatting>
  <conditionalFormatting sqref="I773:P773">
    <cfRule type="cellIs" dxfId="5876" priority="5805" stopIfTrue="1" operator="equal">
      <formula>"Pass"</formula>
    </cfRule>
    <cfRule type="cellIs" dxfId="5875" priority="5806" stopIfTrue="1" operator="equal">
      <formula>"Fail"</formula>
    </cfRule>
  </conditionalFormatting>
  <conditionalFormatting sqref="I773:P773">
    <cfRule type="cellIs" dxfId="5874" priority="5803" stopIfTrue="1" operator="equal">
      <formula>"Pass"</formula>
    </cfRule>
    <cfRule type="cellIs" dxfId="5873" priority="5804" stopIfTrue="1" operator="equal">
      <formula>"Fail"</formula>
    </cfRule>
  </conditionalFormatting>
  <conditionalFormatting sqref="H773:P773">
    <cfRule type="cellIs" dxfId="5872" priority="5801" stopIfTrue="1" operator="equal">
      <formula>"Pass"</formula>
    </cfRule>
    <cfRule type="cellIs" dxfId="5871" priority="5802" stopIfTrue="1" operator="equal">
      <formula>"Fail"</formula>
    </cfRule>
  </conditionalFormatting>
  <conditionalFormatting sqref="H773:P773">
    <cfRule type="cellIs" dxfId="5870" priority="5799" stopIfTrue="1" operator="equal">
      <formula>"Pass"</formula>
    </cfRule>
    <cfRule type="cellIs" dxfId="5869" priority="5800" stopIfTrue="1" operator="equal">
      <formula>"Fail"</formula>
    </cfRule>
  </conditionalFormatting>
  <conditionalFormatting sqref="I773:P773">
    <cfRule type="cellIs" dxfId="5868" priority="5797" stopIfTrue="1" operator="equal">
      <formula>"Pass"</formula>
    </cfRule>
    <cfRule type="cellIs" dxfId="5867" priority="5798" stopIfTrue="1" operator="equal">
      <formula>"Fail"</formula>
    </cfRule>
  </conditionalFormatting>
  <conditionalFormatting sqref="I773:P773">
    <cfRule type="cellIs" dxfId="5866" priority="5795" stopIfTrue="1" operator="equal">
      <formula>"Pass"</formula>
    </cfRule>
    <cfRule type="cellIs" dxfId="5865" priority="5796" stopIfTrue="1" operator="equal">
      <formula>"Fail"</formula>
    </cfRule>
  </conditionalFormatting>
  <conditionalFormatting sqref="I773:P773">
    <cfRule type="cellIs" dxfId="5864" priority="5793" stopIfTrue="1" operator="equal">
      <formula>"Pass"</formula>
    </cfRule>
    <cfRule type="cellIs" dxfId="5863" priority="5794" stopIfTrue="1" operator="equal">
      <formula>"Fail"</formula>
    </cfRule>
  </conditionalFormatting>
  <conditionalFormatting sqref="I773:P773">
    <cfRule type="cellIs" dxfId="5862" priority="5791" stopIfTrue="1" operator="equal">
      <formula>"Pass"</formula>
    </cfRule>
    <cfRule type="cellIs" dxfId="5861" priority="5792" stopIfTrue="1" operator="equal">
      <formula>"Fail"</formula>
    </cfRule>
  </conditionalFormatting>
  <conditionalFormatting sqref="H773:P773">
    <cfRule type="cellIs" dxfId="5860" priority="5789" stopIfTrue="1" operator="equal">
      <formula>"Pass"</formula>
    </cfRule>
    <cfRule type="cellIs" dxfId="5859" priority="5790" stopIfTrue="1" operator="equal">
      <formula>"Fail"</formula>
    </cfRule>
  </conditionalFormatting>
  <conditionalFormatting sqref="H773:P773">
    <cfRule type="cellIs" dxfId="5858" priority="5787" stopIfTrue="1" operator="equal">
      <formula>"Pass"</formula>
    </cfRule>
    <cfRule type="cellIs" dxfId="5857" priority="5788" stopIfTrue="1" operator="equal">
      <formula>"Fail"</formula>
    </cfRule>
  </conditionalFormatting>
  <conditionalFormatting sqref="I773:P773">
    <cfRule type="cellIs" dxfId="5856" priority="5785" stopIfTrue="1" operator="equal">
      <formula>"Pass"</formula>
    </cfRule>
    <cfRule type="cellIs" dxfId="5855" priority="5786" stopIfTrue="1" operator="equal">
      <formula>"Fail"</formula>
    </cfRule>
  </conditionalFormatting>
  <conditionalFormatting sqref="I773:P773">
    <cfRule type="cellIs" dxfId="5854" priority="5783" stopIfTrue="1" operator="equal">
      <formula>"Pass"</formula>
    </cfRule>
    <cfRule type="cellIs" dxfId="5853" priority="5784" stopIfTrue="1" operator="equal">
      <formula>"Fail"</formula>
    </cfRule>
  </conditionalFormatting>
  <conditionalFormatting sqref="I773:P773">
    <cfRule type="cellIs" dxfId="5852" priority="5781" stopIfTrue="1" operator="equal">
      <formula>"Pass"</formula>
    </cfRule>
    <cfRule type="cellIs" dxfId="5851" priority="5782" stopIfTrue="1" operator="equal">
      <formula>"Fail"</formula>
    </cfRule>
  </conditionalFormatting>
  <conditionalFormatting sqref="I773:P773">
    <cfRule type="cellIs" dxfId="5850" priority="5779" stopIfTrue="1" operator="equal">
      <formula>"Pass"</formula>
    </cfRule>
    <cfRule type="cellIs" dxfId="5849" priority="5780" stopIfTrue="1" operator="equal">
      <formula>"Fail"</formula>
    </cfRule>
  </conditionalFormatting>
  <conditionalFormatting sqref="H773:P773">
    <cfRule type="cellIs" dxfId="5848" priority="5777" stopIfTrue="1" operator="equal">
      <formula>"Pass"</formula>
    </cfRule>
    <cfRule type="cellIs" dxfId="5847" priority="5778" stopIfTrue="1" operator="equal">
      <formula>"Fail"</formula>
    </cfRule>
  </conditionalFormatting>
  <conditionalFormatting sqref="H773:P773">
    <cfRule type="cellIs" dxfId="5846" priority="5775" stopIfTrue="1" operator="equal">
      <formula>"Pass"</formula>
    </cfRule>
    <cfRule type="cellIs" dxfId="5845" priority="5776" stopIfTrue="1" operator="equal">
      <formula>"Fail"</formula>
    </cfRule>
  </conditionalFormatting>
  <conditionalFormatting sqref="I773:P773">
    <cfRule type="cellIs" dxfId="5844" priority="5773" stopIfTrue="1" operator="equal">
      <formula>"Pass"</formula>
    </cfRule>
    <cfRule type="cellIs" dxfId="5843" priority="5774" stopIfTrue="1" operator="equal">
      <formula>"Fail"</formula>
    </cfRule>
  </conditionalFormatting>
  <conditionalFormatting sqref="I773:P773">
    <cfRule type="cellIs" dxfId="5842" priority="5771" stopIfTrue="1" operator="equal">
      <formula>"Pass"</formula>
    </cfRule>
    <cfRule type="cellIs" dxfId="5841" priority="5772" stopIfTrue="1" operator="equal">
      <formula>"Fail"</formula>
    </cfRule>
  </conditionalFormatting>
  <conditionalFormatting sqref="I773:P773">
    <cfRule type="cellIs" dxfId="5840" priority="5769" stopIfTrue="1" operator="equal">
      <formula>"Pass"</formula>
    </cfRule>
    <cfRule type="cellIs" dxfId="5839" priority="5770" stopIfTrue="1" operator="equal">
      <formula>"Fail"</formula>
    </cfRule>
  </conditionalFormatting>
  <conditionalFormatting sqref="I773:P773">
    <cfRule type="cellIs" dxfId="5838" priority="5767" stopIfTrue="1" operator="equal">
      <formula>"Pass"</formula>
    </cfRule>
    <cfRule type="cellIs" dxfId="5837" priority="5768" stopIfTrue="1" operator="equal">
      <formula>"Fail"</formula>
    </cfRule>
  </conditionalFormatting>
  <conditionalFormatting sqref="H773:O773">
    <cfRule type="cellIs" dxfId="5836" priority="5765" stopIfTrue="1" operator="equal">
      <formula>"Pass"</formula>
    </cfRule>
    <cfRule type="cellIs" dxfId="5835" priority="5766" stopIfTrue="1" operator="equal">
      <formula>"Fail"</formula>
    </cfRule>
  </conditionalFormatting>
  <conditionalFormatting sqref="H773:O773">
    <cfRule type="cellIs" dxfId="5834" priority="5763" stopIfTrue="1" operator="equal">
      <formula>"Pass"</formula>
    </cfRule>
    <cfRule type="cellIs" dxfId="5833" priority="5764" stopIfTrue="1" operator="equal">
      <formula>"Fail"</formula>
    </cfRule>
  </conditionalFormatting>
  <conditionalFormatting sqref="I773:P773">
    <cfRule type="cellIs" dxfId="5832" priority="5761" stopIfTrue="1" operator="equal">
      <formula>"Pass"</formula>
    </cfRule>
    <cfRule type="cellIs" dxfId="5831" priority="5762" stopIfTrue="1" operator="equal">
      <formula>"Fail"</formula>
    </cfRule>
  </conditionalFormatting>
  <conditionalFormatting sqref="I773:P773">
    <cfRule type="cellIs" dxfId="5830" priority="5759" stopIfTrue="1" operator="equal">
      <formula>"Pass"</formula>
    </cfRule>
    <cfRule type="cellIs" dxfId="5829" priority="5760" stopIfTrue="1" operator="equal">
      <formula>"Fail"</formula>
    </cfRule>
  </conditionalFormatting>
  <conditionalFormatting sqref="I773:P773">
    <cfRule type="cellIs" dxfId="5828" priority="5757" stopIfTrue="1" operator="equal">
      <formula>"Pass"</formula>
    </cfRule>
    <cfRule type="cellIs" dxfId="5827" priority="5758" stopIfTrue="1" operator="equal">
      <formula>"Fail"</formula>
    </cfRule>
  </conditionalFormatting>
  <conditionalFormatting sqref="I773:P773">
    <cfRule type="cellIs" dxfId="5826" priority="5755" stopIfTrue="1" operator="equal">
      <formula>"Pass"</formula>
    </cfRule>
    <cfRule type="cellIs" dxfId="5825" priority="5756" stopIfTrue="1" operator="equal">
      <formula>"Fail"</formula>
    </cfRule>
  </conditionalFormatting>
  <conditionalFormatting sqref="H773:O773">
    <cfRule type="cellIs" dxfId="5824" priority="5753" stopIfTrue="1" operator="equal">
      <formula>"Pass"</formula>
    </cfRule>
    <cfRule type="cellIs" dxfId="5823" priority="5754" stopIfTrue="1" operator="equal">
      <formula>"Fail"</formula>
    </cfRule>
  </conditionalFormatting>
  <conditionalFormatting sqref="H773:O773">
    <cfRule type="cellIs" dxfId="5822" priority="5751" stopIfTrue="1" operator="equal">
      <formula>"Pass"</formula>
    </cfRule>
    <cfRule type="cellIs" dxfId="5821" priority="5752" stopIfTrue="1" operator="equal">
      <formula>"Fail"</formula>
    </cfRule>
  </conditionalFormatting>
  <conditionalFormatting sqref="I773:P773">
    <cfRule type="cellIs" dxfId="5820" priority="5749" stopIfTrue="1" operator="equal">
      <formula>"Pass"</formula>
    </cfRule>
    <cfRule type="cellIs" dxfId="5819" priority="5750" stopIfTrue="1" operator="equal">
      <formula>"Fail"</formula>
    </cfRule>
  </conditionalFormatting>
  <conditionalFormatting sqref="I773:P773">
    <cfRule type="cellIs" dxfId="5818" priority="5747" stopIfTrue="1" operator="equal">
      <formula>"Pass"</formula>
    </cfRule>
    <cfRule type="cellIs" dxfId="5817" priority="5748" stopIfTrue="1" operator="equal">
      <formula>"Fail"</formula>
    </cfRule>
  </conditionalFormatting>
  <conditionalFormatting sqref="I773:P773">
    <cfRule type="cellIs" dxfId="5816" priority="5745" stopIfTrue="1" operator="equal">
      <formula>"Pass"</formula>
    </cfRule>
    <cfRule type="cellIs" dxfId="5815" priority="5746" stopIfTrue="1" operator="equal">
      <formula>"Fail"</formula>
    </cfRule>
  </conditionalFormatting>
  <conditionalFormatting sqref="I773:P773">
    <cfRule type="cellIs" dxfId="5814" priority="5743" stopIfTrue="1" operator="equal">
      <formula>"Pass"</formula>
    </cfRule>
    <cfRule type="cellIs" dxfId="5813" priority="5744" stopIfTrue="1" operator="equal">
      <formula>"Fail"</formula>
    </cfRule>
  </conditionalFormatting>
  <conditionalFormatting sqref="H773:P773">
    <cfRule type="cellIs" dxfId="5812" priority="5741" stopIfTrue="1" operator="equal">
      <formula>"Pass"</formula>
    </cfRule>
    <cfRule type="cellIs" dxfId="5811" priority="5742" stopIfTrue="1" operator="equal">
      <formula>"Fail"</formula>
    </cfRule>
  </conditionalFormatting>
  <conditionalFormatting sqref="H773:P773">
    <cfRule type="cellIs" dxfId="5810" priority="5739" stopIfTrue="1" operator="equal">
      <formula>"Pass"</formula>
    </cfRule>
    <cfRule type="cellIs" dxfId="5809" priority="5740" stopIfTrue="1" operator="equal">
      <formula>"Fail"</formula>
    </cfRule>
  </conditionalFormatting>
  <conditionalFormatting sqref="I773:P773">
    <cfRule type="cellIs" dxfId="5808" priority="5737" stopIfTrue="1" operator="equal">
      <formula>"Pass"</formula>
    </cfRule>
    <cfRule type="cellIs" dxfId="5807" priority="5738" stopIfTrue="1" operator="equal">
      <formula>"Fail"</formula>
    </cfRule>
  </conditionalFormatting>
  <conditionalFormatting sqref="I773:P773">
    <cfRule type="cellIs" dxfId="5806" priority="5735" stopIfTrue="1" operator="equal">
      <formula>"Pass"</formula>
    </cfRule>
    <cfRule type="cellIs" dxfId="5805" priority="5736" stopIfTrue="1" operator="equal">
      <formula>"Fail"</formula>
    </cfRule>
  </conditionalFormatting>
  <conditionalFormatting sqref="I773:P773">
    <cfRule type="cellIs" dxfId="5804" priority="5733" stopIfTrue="1" operator="equal">
      <formula>"Pass"</formula>
    </cfRule>
    <cfRule type="cellIs" dxfId="5803" priority="5734" stopIfTrue="1" operator="equal">
      <formula>"Fail"</formula>
    </cfRule>
  </conditionalFormatting>
  <conditionalFormatting sqref="I773:P773">
    <cfRule type="cellIs" dxfId="5802" priority="5731" stopIfTrue="1" operator="equal">
      <formula>"Pass"</formula>
    </cfRule>
    <cfRule type="cellIs" dxfId="5801" priority="5732" stopIfTrue="1" operator="equal">
      <formula>"Fail"</formula>
    </cfRule>
  </conditionalFormatting>
  <conditionalFormatting sqref="H773:P773">
    <cfRule type="cellIs" dxfId="5800" priority="5729" stopIfTrue="1" operator="equal">
      <formula>"Pass"</formula>
    </cfRule>
    <cfRule type="cellIs" dxfId="5799" priority="5730" stopIfTrue="1" operator="equal">
      <formula>"Fail"</formula>
    </cfRule>
  </conditionalFormatting>
  <conditionalFormatting sqref="H773:P773">
    <cfRule type="cellIs" dxfId="5798" priority="5727" stopIfTrue="1" operator="equal">
      <formula>"Pass"</formula>
    </cfRule>
    <cfRule type="cellIs" dxfId="5797" priority="5728" stopIfTrue="1" operator="equal">
      <formula>"Fail"</formula>
    </cfRule>
  </conditionalFormatting>
  <conditionalFormatting sqref="I773:P773">
    <cfRule type="cellIs" dxfId="5796" priority="5725" stopIfTrue="1" operator="equal">
      <formula>"Pass"</formula>
    </cfRule>
    <cfRule type="cellIs" dxfId="5795" priority="5726" stopIfTrue="1" operator="equal">
      <formula>"Fail"</formula>
    </cfRule>
  </conditionalFormatting>
  <conditionalFormatting sqref="I773:P773">
    <cfRule type="cellIs" dxfId="5794" priority="5723" stopIfTrue="1" operator="equal">
      <formula>"Pass"</formula>
    </cfRule>
    <cfRule type="cellIs" dxfId="5793" priority="5724" stopIfTrue="1" operator="equal">
      <formula>"Fail"</formula>
    </cfRule>
  </conditionalFormatting>
  <conditionalFormatting sqref="I773:P773">
    <cfRule type="cellIs" dxfId="5792" priority="5721" stopIfTrue="1" operator="equal">
      <formula>"Pass"</formula>
    </cfRule>
    <cfRule type="cellIs" dxfId="5791" priority="5722" stopIfTrue="1" operator="equal">
      <formula>"Fail"</formula>
    </cfRule>
  </conditionalFormatting>
  <conditionalFormatting sqref="I773:P773">
    <cfRule type="cellIs" dxfId="5790" priority="5719" stopIfTrue="1" operator="equal">
      <formula>"Pass"</formula>
    </cfRule>
    <cfRule type="cellIs" dxfId="5789" priority="5720" stopIfTrue="1" operator="equal">
      <formula>"Fail"</formula>
    </cfRule>
  </conditionalFormatting>
  <conditionalFormatting sqref="H773:P773">
    <cfRule type="cellIs" dxfId="5788" priority="5717" stopIfTrue="1" operator="equal">
      <formula>"Pass"</formula>
    </cfRule>
    <cfRule type="cellIs" dxfId="5787" priority="5718" stopIfTrue="1" operator="equal">
      <formula>"Fail"</formula>
    </cfRule>
  </conditionalFormatting>
  <conditionalFormatting sqref="H773:P773">
    <cfRule type="cellIs" dxfId="5786" priority="5715" stopIfTrue="1" operator="equal">
      <formula>"Pass"</formula>
    </cfRule>
    <cfRule type="cellIs" dxfId="5785" priority="5716" stopIfTrue="1" operator="equal">
      <formula>"Fail"</formula>
    </cfRule>
  </conditionalFormatting>
  <conditionalFormatting sqref="I773:P773">
    <cfRule type="cellIs" dxfId="5784" priority="5713" stopIfTrue="1" operator="equal">
      <formula>"Pass"</formula>
    </cfRule>
    <cfRule type="cellIs" dxfId="5783" priority="5714" stopIfTrue="1" operator="equal">
      <formula>"Fail"</formula>
    </cfRule>
  </conditionalFormatting>
  <conditionalFormatting sqref="I773:P773">
    <cfRule type="cellIs" dxfId="5782" priority="5711" stopIfTrue="1" operator="equal">
      <formula>"Pass"</formula>
    </cfRule>
    <cfRule type="cellIs" dxfId="5781" priority="5712" stopIfTrue="1" operator="equal">
      <formula>"Fail"</formula>
    </cfRule>
  </conditionalFormatting>
  <conditionalFormatting sqref="I773:P773">
    <cfRule type="cellIs" dxfId="5780" priority="5709" stopIfTrue="1" operator="equal">
      <formula>"Pass"</formula>
    </cfRule>
    <cfRule type="cellIs" dxfId="5779" priority="5710" stopIfTrue="1" operator="equal">
      <formula>"Fail"</formula>
    </cfRule>
  </conditionalFormatting>
  <conditionalFormatting sqref="I773:P773">
    <cfRule type="cellIs" dxfId="5778" priority="5707" stopIfTrue="1" operator="equal">
      <formula>"Pass"</formula>
    </cfRule>
    <cfRule type="cellIs" dxfId="5777" priority="5708" stopIfTrue="1" operator="equal">
      <formula>"Fail"</formula>
    </cfRule>
  </conditionalFormatting>
  <conditionalFormatting sqref="H773:P773">
    <cfRule type="cellIs" dxfId="5776" priority="5705" stopIfTrue="1" operator="equal">
      <formula>"Pass"</formula>
    </cfRule>
    <cfRule type="cellIs" dxfId="5775" priority="5706" stopIfTrue="1" operator="equal">
      <formula>"Fail"</formula>
    </cfRule>
  </conditionalFormatting>
  <conditionalFormatting sqref="H773:P773">
    <cfRule type="cellIs" dxfId="5774" priority="5703" stopIfTrue="1" operator="equal">
      <formula>"Pass"</formula>
    </cfRule>
    <cfRule type="cellIs" dxfId="5773" priority="5704" stopIfTrue="1" operator="equal">
      <formula>"Fail"</formula>
    </cfRule>
  </conditionalFormatting>
  <conditionalFormatting sqref="I773:P773">
    <cfRule type="cellIs" dxfId="5772" priority="5701" stopIfTrue="1" operator="equal">
      <formula>"Pass"</formula>
    </cfRule>
    <cfRule type="cellIs" dxfId="5771" priority="5702" stopIfTrue="1" operator="equal">
      <formula>"Fail"</formula>
    </cfRule>
  </conditionalFormatting>
  <conditionalFormatting sqref="I773:P773">
    <cfRule type="cellIs" dxfId="5770" priority="5699" stopIfTrue="1" operator="equal">
      <formula>"Pass"</formula>
    </cfRule>
    <cfRule type="cellIs" dxfId="5769" priority="5700" stopIfTrue="1" operator="equal">
      <formula>"Fail"</formula>
    </cfRule>
  </conditionalFormatting>
  <conditionalFormatting sqref="I773:P773">
    <cfRule type="cellIs" dxfId="5768" priority="5697" stopIfTrue="1" operator="equal">
      <formula>"Pass"</formula>
    </cfRule>
    <cfRule type="cellIs" dxfId="5767" priority="5698" stopIfTrue="1" operator="equal">
      <formula>"Fail"</formula>
    </cfRule>
  </conditionalFormatting>
  <conditionalFormatting sqref="I773:P773">
    <cfRule type="cellIs" dxfId="5766" priority="5695" stopIfTrue="1" operator="equal">
      <formula>"Pass"</formula>
    </cfRule>
    <cfRule type="cellIs" dxfId="5765" priority="5696" stopIfTrue="1" operator="equal">
      <formula>"Fail"</formula>
    </cfRule>
  </conditionalFormatting>
  <conditionalFormatting sqref="H773:P773">
    <cfRule type="cellIs" dxfId="5764" priority="5693" stopIfTrue="1" operator="equal">
      <formula>"Pass"</formula>
    </cfRule>
    <cfRule type="cellIs" dxfId="5763" priority="5694" stopIfTrue="1" operator="equal">
      <formula>"Fail"</formula>
    </cfRule>
  </conditionalFormatting>
  <conditionalFormatting sqref="H773:P773">
    <cfRule type="cellIs" dxfId="5762" priority="5691" stopIfTrue="1" operator="equal">
      <formula>"Pass"</formula>
    </cfRule>
    <cfRule type="cellIs" dxfId="5761" priority="5692" stopIfTrue="1" operator="equal">
      <formula>"Fail"</formula>
    </cfRule>
  </conditionalFormatting>
  <conditionalFormatting sqref="I773:P773">
    <cfRule type="cellIs" dxfId="5760" priority="5689" stopIfTrue="1" operator="equal">
      <formula>"Pass"</formula>
    </cfRule>
    <cfRule type="cellIs" dxfId="5759" priority="5690" stopIfTrue="1" operator="equal">
      <formula>"Fail"</formula>
    </cfRule>
  </conditionalFormatting>
  <conditionalFormatting sqref="I773:P773">
    <cfRule type="cellIs" dxfId="5758" priority="5687" stopIfTrue="1" operator="equal">
      <formula>"Pass"</formula>
    </cfRule>
    <cfRule type="cellIs" dxfId="5757" priority="5688" stopIfTrue="1" operator="equal">
      <formula>"Fail"</formula>
    </cfRule>
  </conditionalFormatting>
  <conditionalFormatting sqref="I773:P773">
    <cfRule type="cellIs" dxfId="5756" priority="5685" stopIfTrue="1" operator="equal">
      <formula>"Pass"</formula>
    </cfRule>
    <cfRule type="cellIs" dxfId="5755" priority="5686" stopIfTrue="1" operator="equal">
      <formula>"Fail"</formula>
    </cfRule>
  </conditionalFormatting>
  <conditionalFormatting sqref="I773:P773">
    <cfRule type="cellIs" dxfId="5754" priority="5683" stopIfTrue="1" operator="equal">
      <formula>"Pass"</formula>
    </cfRule>
    <cfRule type="cellIs" dxfId="5753" priority="5684" stopIfTrue="1" operator="equal">
      <formula>"Fail"</formula>
    </cfRule>
  </conditionalFormatting>
  <conditionalFormatting sqref="H773:P773">
    <cfRule type="cellIs" dxfId="5752" priority="5681" stopIfTrue="1" operator="equal">
      <formula>"Pass"</formula>
    </cfRule>
    <cfRule type="cellIs" dxfId="5751" priority="5682" stopIfTrue="1" operator="equal">
      <formula>"Fail"</formula>
    </cfRule>
  </conditionalFormatting>
  <conditionalFormatting sqref="H773:P773">
    <cfRule type="cellIs" dxfId="5750" priority="5679" stopIfTrue="1" operator="equal">
      <formula>"Pass"</formula>
    </cfRule>
    <cfRule type="cellIs" dxfId="5749" priority="5680" stopIfTrue="1" operator="equal">
      <formula>"Fail"</formula>
    </cfRule>
  </conditionalFormatting>
  <conditionalFormatting sqref="I773:P773">
    <cfRule type="cellIs" dxfId="5748" priority="5677" stopIfTrue="1" operator="equal">
      <formula>"Pass"</formula>
    </cfRule>
    <cfRule type="cellIs" dxfId="5747" priority="5678" stopIfTrue="1" operator="equal">
      <formula>"Fail"</formula>
    </cfRule>
  </conditionalFormatting>
  <conditionalFormatting sqref="I773:P773">
    <cfRule type="cellIs" dxfId="5746" priority="5675" stopIfTrue="1" operator="equal">
      <formula>"Pass"</formula>
    </cfRule>
    <cfRule type="cellIs" dxfId="5745" priority="5676" stopIfTrue="1" operator="equal">
      <formula>"Fail"</formula>
    </cfRule>
  </conditionalFormatting>
  <conditionalFormatting sqref="I773:P773">
    <cfRule type="cellIs" dxfId="5744" priority="5673" stopIfTrue="1" operator="equal">
      <formula>"Pass"</formula>
    </cfRule>
    <cfRule type="cellIs" dxfId="5743" priority="5674" stopIfTrue="1" operator="equal">
      <formula>"Fail"</formula>
    </cfRule>
  </conditionalFormatting>
  <conditionalFormatting sqref="I773:P773">
    <cfRule type="cellIs" dxfId="5742" priority="5671" stopIfTrue="1" operator="equal">
      <formula>"Pass"</formula>
    </cfRule>
    <cfRule type="cellIs" dxfId="5741" priority="5672" stopIfTrue="1" operator="equal">
      <formula>"Fail"</formula>
    </cfRule>
  </conditionalFormatting>
  <conditionalFormatting sqref="H773:P773">
    <cfRule type="cellIs" dxfId="5740" priority="5669" stopIfTrue="1" operator="equal">
      <formula>"Pass"</formula>
    </cfRule>
    <cfRule type="cellIs" dxfId="5739" priority="5670" stopIfTrue="1" operator="equal">
      <formula>"Fail"</formula>
    </cfRule>
  </conditionalFormatting>
  <conditionalFormatting sqref="H773:P773">
    <cfRule type="cellIs" dxfId="5738" priority="5667" stopIfTrue="1" operator="equal">
      <formula>"Pass"</formula>
    </cfRule>
    <cfRule type="cellIs" dxfId="5737" priority="5668" stopIfTrue="1" operator="equal">
      <formula>"Fail"</formula>
    </cfRule>
  </conditionalFormatting>
  <conditionalFormatting sqref="I773:P773">
    <cfRule type="cellIs" dxfId="5736" priority="5665" stopIfTrue="1" operator="equal">
      <formula>"Pass"</formula>
    </cfRule>
    <cfRule type="cellIs" dxfId="5735" priority="5666" stopIfTrue="1" operator="equal">
      <formula>"Fail"</formula>
    </cfRule>
  </conditionalFormatting>
  <conditionalFormatting sqref="I773:P773">
    <cfRule type="cellIs" dxfId="5734" priority="5663" stopIfTrue="1" operator="equal">
      <formula>"Pass"</formula>
    </cfRule>
    <cfRule type="cellIs" dxfId="5733" priority="5664" stopIfTrue="1" operator="equal">
      <formula>"Fail"</formula>
    </cfRule>
  </conditionalFormatting>
  <conditionalFormatting sqref="I773:P773">
    <cfRule type="cellIs" dxfId="5732" priority="5661" stopIfTrue="1" operator="equal">
      <formula>"Pass"</formula>
    </cfRule>
    <cfRule type="cellIs" dxfId="5731" priority="5662" stopIfTrue="1" operator="equal">
      <formula>"Fail"</formula>
    </cfRule>
  </conditionalFormatting>
  <conditionalFormatting sqref="I773:P773">
    <cfRule type="cellIs" dxfId="5730" priority="5659" stopIfTrue="1" operator="equal">
      <formula>"Pass"</formula>
    </cfRule>
    <cfRule type="cellIs" dxfId="5729" priority="5660" stopIfTrue="1" operator="equal">
      <formula>"Fail"</formula>
    </cfRule>
  </conditionalFormatting>
  <conditionalFormatting sqref="H773:P773">
    <cfRule type="cellIs" dxfId="5728" priority="5657" stopIfTrue="1" operator="equal">
      <formula>"Pass"</formula>
    </cfRule>
    <cfRule type="cellIs" dxfId="5727" priority="5658" stopIfTrue="1" operator="equal">
      <formula>"Fail"</formula>
    </cfRule>
  </conditionalFormatting>
  <conditionalFormatting sqref="H773:P773">
    <cfRule type="cellIs" dxfId="5726" priority="5655" stopIfTrue="1" operator="equal">
      <formula>"Pass"</formula>
    </cfRule>
    <cfRule type="cellIs" dxfId="5725" priority="5656" stopIfTrue="1" operator="equal">
      <formula>"Fail"</formula>
    </cfRule>
  </conditionalFormatting>
  <conditionalFormatting sqref="I773:P773">
    <cfRule type="cellIs" dxfId="5724" priority="5653" stopIfTrue="1" operator="equal">
      <formula>"Pass"</formula>
    </cfRule>
    <cfRule type="cellIs" dxfId="5723" priority="5654" stopIfTrue="1" operator="equal">
      <formula>"Fail"</formula>
    </cfRule>
  </conditionalFormatting>
  <conditionalFormatting sqref="I773:P773">
    <cfRule type="cellIs" dxfId="5722" priority="5651" stopIfTrue="1" operator="equal">
      <formula>"Pass"</formula>
    </cfRule>
    <cfRule type="cellIs" dxfId="5721" priority="5652" stopIfTrue="1" operator="equal">
      <formula>"Fail"</formula>
    </cfRule>
  </conditionalFormatting>
  <conditionalFormatting sqref="I773:P773">
    <cfRule type="cellIs" dxfId="5720" priority="5649" stopIfTrue="1" operator="equal">
      <formula>"Pass"</formula>
    </cfRule>
    <cfRule type="cellIs" dxfId="5719" priority="5650" stopIfTrue="1" operator="equal">
      <formula>"Fail"</formula>
    </cfRule>
  </conditionalFormatting>
  <conditionalFormatting sqref="I773:P773">
    <cfRule type="cellIs" dxfId="5718" priority="5647" stopIfTrue="1" operator="equal">
      <formula>"Pass"</formula>
    </cfRule>
    <cfRule type="cellIs" dxfId="5717" priority="5648" stopIfTrue="1" operator="equal">
      <formula>"Fail"</formula>
    </cfRule>
  </conditionalFormatting>
  <conditionalFormatting sqref="H773:P773">
    <cfRule type="cellIs" dxfId="5716" priority="5645" stopIfTrue="1" operator="equal">
      <formula>"Pass"</formula>
    </cfRule>
    <cfRule type="cellIs" dxfId="5715" priority="5646" stopIfTrue="1" operator="equal">
      <formula>"Fail"</formula>
    </cfRule>
  </conditionalFormatting>
  <conditionalFormatting sqref="H773:P773">
    <cfRule type="cellIs" dxfId="5714" priority="5643" stopIfTrue="1" operator="equal">
      <formula>"Pass"</formula>
    </cfRule>
    <cfRule type="cellIs" dxfId="5713" priority="5644" stopIfTrue="1" operator="equal">
      <formula>"Fail"</formula>
    </cfRule>
  </conditionalFormatting>
  <conditionalFormatting sqref="I773:P773">
    <cfRule type="cellIs" dxfId="5712" priority="5641" stopIfTrue="1" operator="equal">
      <formula>"Pass"</formula>
    </cfRule>
    <cfRule type="cellIs" dxfId="5711" priority="5642" stopIfTrue="1" operator="equal">
      <formula>"Fail"</formula>
    </cfRule>
  </conditionalFormatting>
  <conditionalFormatting sqref="I773:P773">
    <cfRule type="cellIs" dxfId="5710" priority="5639" stopIfTrue="1" operator="equal">
      <formula>"Pass"</formula>
    </cfRule>
    <cfRule type="cellIs" dxfId="5709" priority="5640" stopIfTrue="1" operator="equal">
      <formula>"Fail"</formula>
    </cfRule>
  </conditionalFormatting>
  <conditionalFormatting sqref="I773:P773">
    <cfRule type="cellIs" dxfId="5708" priority="5637" stopIfTrue="1" operator="equal">
      <formula>"Pass"</formula>
    </cfRule>
    <cfRule type="cellIs" dxfId="5707" priority="5638" stopIfTrue="1" operator="equal">
      <formula>"Fail"</formula>
    </cfRule>
  </conditionalFormatting>
  <conditionalFormatting sqref="I773:P773">
    <cfRule type="cellIs" dxfId="5706" priority="5635" stopIfTrue="1" operator="equal">
      <formula>"Pass"</formula>
    </cfRule>
    <cfRule type="cellIs" dxfId="5705" priority="5636" stopIfTrue="1" operator="equal">
      <formula>"Fail"</formula>
    </cfRule>
  </conditionalFormatting>
  <conditionalFormatting sqref="H773:P773">
    <cfRule type="cellIs" dxfId="5704" priority="5633" stopIfTrue="1" operator="equal">
      <formula>"Pass"</formula>
    </cfRule>
    <cfRule type="cellIs" dxfId="5703" priority="5634" stopIfTrue="1" operator="equal">
      <formula>"Fail"</formula>
    </cfRule>
  </conditionalFormatting>
  <conditionalFormatting sqref="H773:P773">
    <cfRule type="cellIs" dxfId="5702" priority="5631" stopIfTrue="1" operator="equal">
      <formula>"Pass"</formula>
    </cfRule>
    <cfRule type="cellIs" dxfId="5701" priority="5632" stopIfTrue="1" operator="equal">
      <formula>"Fail"</formula>
    </cfRule>
  </conditionalFormatting>
  <conditionalFormatting sqref="I773:P773">
    <cfRule type="cellIs" dxfId="5700" priority="5629" stopIfTrue="1" operator="equal">
      <formula>"Pass"</formula>
    </cfRule>
    <cfRule type="cellIs" dxfId="5699" priority="5630" stopIfTrue="1" operator="equal">
      <formula>"Fail"</formula>
    </cfRule>
  </conditionalFormatting>
  <conditionalFormatting sqref="I773:P773">
    <cfRule type="cellIs" dxfId="5698" priority="5627" stopIfTrue="1" operator="equal">
      <formula>"Pass"</formula>
    </cfRule>
    <cfRule type="cellIs" dxfId="5697" priority="5628" stopIfTrue="1" operator="equal">
      <formula>"Fail"</formula>
    </cfRule>
  </conditionalFormatting>
  <conditionalFormatting sqref="I773:P773">
    <cfRule type="cellIs" dxfId="5696" priority="5625" stopIfTrue="1" operator="equal">
      <formula>"Pass"</formula>
    </cfRule>
    <cfRule type="cellIs" dxfId="5695" priority="5626" stopIfTrue="1" operator="equal">
      <formula>"Fail"</formula>
    </cfRule>
  </conditionalFormatting>
  <conditionalFormatting sqref="I773:P773">
    <cfRule type="cellIs" dxfId="5694" priority="5623" stopIfTrue="1" operator="equal">
      <formula>"Pass"</formula>
    </cfRule>
    <cfRule type="cellIs" dxfId="5693" priority="5624" stopIfTrue="1" operator="equal">
      <formula>"Fail"</formula>
    </cfRule>
  </conditionalFormatting>
  <conditionalFormatting sqref="H773:P773">
    <cfRule type="cellIs" dxfId="5692" priority="5621" stopIfTrue="1" operator="equal">
      <formula>"Pass"</formula>
    </cfRule>
    <cfRule type="cellIs" dxfId="5691" priority="5622" stopIfTrue="1" operator="equal">
      <formula>"Fail"</formula>
    </cfRule>
  </conditionalFormatting>
  <conditionalFormatting sqref="H773:P773">
    <cfRule type="cellIs" dxfId="5690" priority="5619" stopIfTrue="1" operator="equal">
      <formula>"Pass"</formula>
    </cfRule>
    <cfRule type="cellIs" dxfId="5689" priority="5620" stopIfTrue="1" operator="equal">
      <formula>"Fail"</formula>
    </cfRule>
  </conditionalFormatting>
  <conditionalFormatting sqref="I773:P773">
    <cfRule type="cellIs" dxfId="5688" priority="5617" stopIfTrue="1" operator="equal">
      <formula>"Pass"</formula>
    </cfRule>
    <cfRule type="cellIs" dxfId="5687" priority="5618" stopIfTrue="1" operator="equal">
      <formula>"Fail"</formula>
    </cfRule>
  </conditionalFormatting>
  <conditionalFormatting sqref="I773:P773">
    <cfRule type="cellIs" dxfId="5686" priority="5615" stopIfTrue="1" operator="equal">
      <formula>"Pass"</formula>
    </cfRule>
    <cfRule type="cellIs" dxfId="5685" priority="5616" stopIfTrue="1" operator="equal">
      <formula>"Fail"</formula>
    </cfRule>
  </conditionalFormatting>
  <conditionalFormatting sqref="I773:P773">
    <cfRule type="cellIs" dxfId="5684" priority="5613" stopIfTrue="1" operator="equal">
      <formula>"Pass"</formula>
    </cfRule>
    <cfRule type="cellIs" dxfId="5683" priority="5614" stopIfTrue="1" operator="equal">
      <formula>"Fail"</formula>
    </cfRule>
  </conditionalFormatting>
  <conditionalFormatting sqref="I773:P773">
    <cfRule type="cellIs" dxfId="5682" priority="5611" stopIfTrue="1" operator="equal">
      <formula>"Pass"</formula>
    </cfRule>
    <cfRule type="cellIs" dxfId="5681" priority="5612" stopIfTrue="1" operator="equal">
      <formula>"Fail"</formula>
    </cfRule>
  </conditionalFormatting>
  <conditionalFormatting sqref="H773:P773">
    <cfRule type="cellIs" dxfId="5680" priority="5609" stopIfTrue="1" operator="equal">
      <formula>"Pass"</formula>
    </cfRule>
    <cfRule type="cellIs" dxfId="5679" priority="5610" stopIfTrue="1" operator="equal">
      <formula>"Fail"</formula>
    </cfRule>
  </conditionalFormatting>
  <conditionalFormatting sqref="H773:P773">
    <cfRule type="cellIs" dxfId="5678" priority="5607" stopIfTrue="1" operator="equal">
      <formula>"Pass"</formula>
    </cfRule>
    <cfRule type="cellIs" dxfId="5677" priority="5608" stopIfTrue="1" operator="equal">
      <formula>"Fail"</formula>
    </cfRule>
  </conditionalFormatting>
  <conditionalFormatting sqref="I773:P773">
    <cfRule type="cellIs" dxfId="5676" priority="5605" stopIfTrue="1" operator="equal">
      <formula>"Pass"</formula>
    </cfRule>
    <cfRule type="cellIs" dxfId="5675" priority="5606" stopIfTrue="1" operator="equal">
      <formula>"Fail"</formula>
    </cfRule>
  </conditionalFormatting>
  <conditionalFormatting sqref="I773:P773">
    <cfRule type="cellIs" dxfId="5674" priority="5603" stopIfTrue="1" operator="equal">
      <formula>"Pass"</formula>
    </cfRule>
    <cfRule type="cellIs" dxfId="5673" priority="5604" stopIfTrue="1" operator="equal">
      <formula>"Fail"</formula>
    </cfRule>
  </conditionalFormatting>
  <conditionalFormatting sqref="I773:P773">
    <cfRule type="cellIs" dxfId="5672" priority="5601" stopIfTrue="1" operator="equal">
      <formula>"Pass"</formula>
    </cfRule>
    <cfRule type="cellIs" dxfId="5671" priority="5602" stopIfTrue="1" operator="equal">
      <formula>"Fail"</formula>
    </cfRule>
  </conditionalFormatting>
  <conditionalFormatting sqref="I773:P773">
    <cfRule type="cellIs" dxfId="5670" priority="5599" stopIfTrue="1" operator="equal">
      <formula>"Pass"</formula>
    </cfRule>
    <cfRule type="cellIs" dxfId="5669" priority="5600" stopIfTrue="1" operator="equal">
      <formula>"Fail"</formula>
    </cfRule>
  </conditionalFormatting>
  <conditionalFormatting sqref="E773">
    <cfRule type="cellIs" dxfId="5668" priority="5597" stopIfTrue="1" operator="equal">
      <formula>"Pass"</formula>
    </cfRule>
    <cfRule type="cellIs" dxfId="5667" priority="5598" stopIfTrue="1" operator="equal">
      <formula>"Fail"</formula>
    </cfRule>
  </conditionalFormatting>
  <conditionalFormatting sqref="E773">
    <cfRule type="cellIs" dxfId="5666" priority="5595" stopIfTrue="1" operator="equal">
      <formula>"Pass"</formula>
    </cfRule>
    <cfRule type="cellIs" dxfId="5665" priority="5596" stopIfTrue="1" operator="equal">
      <formula>"Fail"</formula>
    </cfRule>
  </conditionalFormatting>
  <conditionalFormatting sqref="E773">
    <cfRule type="cellIs" dxfId="5664" priority="5593" stopIfTrue="1" operator="equal">
      <formula>"Pass"</formula>
    </cfRule>
    <cfRule type="cellIs" dxfId="5663" priority="5594" stopIfTrue="1" operator="equal">
      <formula>"Fail"</formula>
    </cfRule>
  </conditionalFormatting>
  <conditionalFormatting sqref="E773">
    <cfRule type="cellIs" dxfId="5662" priority="5591" stopIfTrue="1" operator="equal">
      <formula>"Pass"</formula>
    </cfRule>
    <cfRule type="cellIs" dxfId="5661" priority="5592" stopIfTrue="1" operator="equal">
      <formula>"Fail"</formula>
    </cfRule>
  </conditionalFormatting>
  <conditionalFormatting sqref="E773">
    <cfRule type="cellIs" dxfId="5660" priority="5589" stopIfTrue="1" operator="equal">
      <formula>"Pass"</formula>
    </cfRule>
    <cfRule type="cellIs" dxfId="5659" priority="5590" stopIfTrue="1" operator="equal">
      <formula>"Fail"</formula>
    </cfRule>
  </conditionalFormatting>
  <conditionalFormatting sqref="E773">
    <cfRule type="cellIs" dxfId="5658" priority="5587" stopIfTrue="1" operator="equal">
      <formula>"Pass"</formula>
    </cfRule>
    <cfRule type="cellIs" dxfId="5657" priority="5588" stopIfTrue="1" operator="equal">
      <formula>"Fail"</formula>
    </cfRule>
  </conditionalFormatting>
  <conditionalFormatting sqref="H773:P773">
    <cfRule type="cellIs" dxfId="5656" priority="5585" stopIfTrue="1" operator="equal">
      <formula>"Pass"</formula>
    </cfRule>
    <cfRule type="cellIs" dxfId="5655" priority="5586" stopIfTrue="1" operator="equal">
      <formula>"Fail"</formula>
    </cfRule>
  </conditionalFormatting>
  <conditionalFormatting sqref="H773:P773">
    <cfRule type="cellIs" dxfId="5654" priority="5583" stopIfTrue="1" operator="equal">
      <formula>"Pass"</formula>
    </cfRule>
    <cfRule type="cellIs" dxfId="5653" priority="5584" stopIfTrue="1" operator="equal">
      <formula>"Fail"</formula>
    </cfRule>
  </conditionalFormatting>
  <conditionalFormatting sqref="I773:P773">
    <cfRule type="cellIs" dxfId="5652" priority="5581" stopIfTrue="1" operator="equal">
      <formula>"Pass"</formula>
    </cfRule>
    <cfRule type="cellIs" dxfId="5651" priority="5582" stopIfTrue="1" operator="equal">
      <formula>"Fail"</formula>
    </cfRule>
  </conditionalFormatting>
  <conditionalFormatting sqref="I773:P773">
    <cfRule type="cellIs" dxfId="5650" priority="5579" stopIfTrue="1" operator="equal">
      <formula>"Pass"</formula>
    </cfRule>
    <cfRule type="cellIs" dxfId="5649" priority="5580" stopIfTrue="1" operator="equal">
      <formula>"Fail"</formula>
    </cfRule>
  </conditionalFormatting>
  <conditionalFormatting sqref="I773:P773">
    <cfRule type="cellIs" dxfId="5648" priority="5577" stopIfTrue="1" operator="equal">
      <formula>"Pass"</formula>
    </cfRule>
    <cfRule type="cellIs" dxfId="5647" priority="5578" stopIfTrue="1" operator="equal">
      <formula>"Fail"</formula>
    </cfRule>
  </conditionalFormatting>
  <conditionalFormatting sqref="I773:P773">
    <cfRule type="cellIs" dxfId="5646" priority="5575" stopIfTrue="1" operator="equal">
      <formula>"Pass"</formula>
    </cfRule>
    <cfRule type="cellIs" dxfId="5645" priority="5576" stopIfTrue="1" operator="equal">
      <formula>"Fail"</formula>
    </cfRule>
  </conditionalFormatting>
  <conditionalFormatting sqref="H773:P773">
    <cfRule type="cellIs" dxfId="5644" priority="5573" stopIfTrue="1" operator="equal">
      <formula>"Pass"</formula>
    </cfRule>
    <cfRule type="cellIs" dxfId="5643" priority="5574" stopIfTrue="1" operator="equal">
      <formula>"Fail"</formula>
    </cfRule>
  </conditionalFormatting>
  <conditionalFormatting sqref="H773:P773">
    <cfRule type="cellIs" dxfId="5642" priority="5571" stopIfTrue="1" operator="equal">
      <formula>"Pass"</formula>
    </cfRule>
    <cfRule type="cellIs" dxfId="5641" priority="5572" stopIfTrue="1" operator="equal">
      <formula>"Fail"</formula>
    </cfRule>
  </conditionalFormatting>
  <conditionalFormatting sqref="I773:P773">
    <cfRule type="cellIs" dxfId="5640" priority="5569" stopIfTrue="1" operator="equal">
      <formula>"Pass"</formula>
    </cfRule>
    <cfRule type="cellIs" dxfId="5639" priority="5570" stopIfTrue="1" operator="equal">
      <formula>"Fail"</formula>
    </cfRule>
  </conditionalFormatting>
  <conditionalFormatting sqref="I773:P773">
    <cfRule type="cellIs" dxfId="5638" priority="5567" stopIfTrue="1" operator="equal">
      <formula>"Pass"</formula>
    </cfRule>
    <cfRule type="cellIs" dxfId="5637" priority="5568" stopIfTrue="1" operator="equal">
      <formula>"Fail"</formula>
    </cfRule>
  </conditionalFormatting>
  <conditionalFormatting sqref="I773:P773">
    <cfRule type="cellIs" dxfId="5636" priority="5565" stopIfTrue="1" operator="equal">
      <formula>"Pass"</formula>
    </cfRule>
    <cfRule type="cellIs" dxfId="5635" priority="5566" stopIfTrue="1" operator="equal">
      <formula>"Fail"</formula>
    </cfRule>
  </conditionalFormatting>
  <conditionalFormatting sqref="I773:P773">
    <cfRule type="cellIs" dxfId="5634" priority="5563" stopIfTrue="1" operator="equal">
      <formula>"Pass"</formula>
    </cfRule>
    <cfRule type="cellIs" dxfId="5633" priority="5564" stopIfTrue="1" operator="equal">
      <formula>"Fail"</formula>
    </cfRule>
  </conditionalFormatting>
  <conditionalFormatting sqref="H773:P773">
    <cfRule type="cellIs" dxfId="5632" priority="5561" stopIfTrue="1" operator="equal">
      <formula>"Pass"</formula>
    </cfRule>
    <cfRule type="cellIs" dxfId="5631" priority="5562" stopIfTrue="1" operator="equal">
      <formula>"Fail"</formula>
    </cfRule>
  </conditionalFormatting>
  <conditionalFormatting sqref="H773:P773">
    <cfRule type="cellIs" dxfId="5630" priority="5559" stopIfTrue="1" operator="equal">
      <formula>"Pass"</formula>
    </cfRule>
    <cfRule type="cellIs" dxfId="5629" priority="5560" stopIfTrue="1" operator="equal">
      <formula>"Fail"</formula>
    </cfRule>
  </conditionalFormatting>
  <conditionalFormatting sqref="I773:P773">
    <cfRule type="cellIs" dxfId="5628" priority="5557" stopIfTrue="1" operator="equal">
      <formula>"Pass"</formula>
    </cfRule>
    <cfRule type="cellIs" dxfId="5627" priority="5558" stopIfTrue="1" operator="equal">
      <formula>"Fail"</formula>
    </cfRule>
  </conditionalFormatting>
  <conditionalFormatting sqref="I773:P773">
    <cfRule type="cellIs" dxfId="5626" priority="5555" stopIfTrue="1" operator="equal">
      <formula>"Pass"</formula>
    </cfRule>
    <cfRule type="cellIs" dxfId="5625" priority="5556" stopIfTrue="1" operator="equal">
      <formula>"Fail"</formula>
    </cfRule>
  </conditionalFormatting>
  <conditionalFormatting sqref="I773:P773">
    <cfRule type="cellIs" dxfId="5624" priority="5553" stopIfTrue="1" operator="equal">
      <formula>"Pass"</formula>
    </cfRule>
    <cfRule type="cellIs" dxfId="5623" priority="5554" stopIfTrue="1" operator="equal">
      <formula>"Fail"</formula>
    </cfRule>
  </conditionalFormatting>
  <conditionalFormatting sqref="I773:P773">
    <cfRule type="cellIs" dxfId="5622" priority="5551" stopIfTrue="1" operator="equal">
      <formula>"Pass"</formula>
    </cfRule>
    <cfRule type="cellIs" dxfId="5621" priority="5552" stopIfTrue="1" operator="equal">
      <formula>"Fail"</formula>
    </cfRule>
  </conditionalFormatting>
  <conditionalFormatting sqref="H773:P773">
    <cfRule type="cellIs" dxfId="5620" priority="5549" stopIfTrue="1" operator="equal">
      <formula>"Pass"</formula>
    </cfRule>
    <cfRule type="cellIs" dxfId="5619" priority="5550" stopIfTrue="1" operator="equal">
      <formula>"Fail"</formula>
    </cfRule>
  </conditionalFormatting>
  <conditionalFormatting sqref="H773:P773">
    <cfRule type="cellIs" dxfId="5618" priority="5547" stopIfTrue="1" operator="equal">
      <formula>"Pass"</formula>
    </cfRule>
    <cfRule type="cellIs" dxfId="5617" priority="5548" stopIfTrue="1" operator="equal">
      <formula>"Fail"</formula>
    </cfRule>
  </conditionalFormatting>
  <conditionalFormatting sqref="I773:P773">
    <cfRule type="cellIs" dxfId="5616" priority="5545" stopIfTrue="1" operator="equal">
      <formula>"Pass"</formula>
    </cfRule>
    <cfRule type="cellIs" dxfId="5615" priority="5546" stopIfTrue="1" operator="equal">
      <formula>"Fail"</formula>
    </cfRule>
  </conditionalFormatting>
  <conditionalFormatting sqref="I773:P773">
    <cfRule type="cellIs" dxfId="5614" priority="5543" stopIfTrue="1" operator="equal">
      <formula>"Pass"</formula>
    </cfRule>
    <cfRule type="cellIs" dxfId="5613" priority="5544" stopIfTrue="1" operator="equal">
      <formula>"Fail"</formula>
    </cfRule>
  </conditionalFormatting>
  <conditionalFormatting sqref="I773:P773">
    <cfRule type="cellIs" dxfId="5612" priority="5541" stopIfTrue="1" operator="equal">
      <formula>"Pass"</formula>
    </cfRule>
    <cfRule type="cellIs" dxfId="5611" priority="5542" stopIfTrue="1" operator="equal">
      <formula>"Fail"</formula>
    </cfRule>
  </conditionalFormatting>
  <conditionalFormatting sqref="I773:P773">
    <cfRule type="cellIs" dxfId="5610" priority="5539" stopIfTrue="1" operator="equal">
      <formula>"Pass"</formula>
    </cfRule>
    <cfRule type="cellIs" dxfId="5609" priority="5540" stopIfTrue="1" operator="equal">
      <formula>"Fail"</formula>
    </cfRule>
  </conditionalFormatting>
  <conditionalFormatting sqref="H773:P773">
    <cfRule type="cellIs" dxfId="5608" priority="5537" stopIfTrue="1" operator="equal">
      <formula>"Pass"</formula>
    </cfRule>
    <cfRule type="cellIs" dxfId="5607" priority="5538" stopIfTrue="1" operator="equal">
      <formula>"Fail"</formula>
    </cfRule>
  </conditionalFormatting>
  <conditionalFormatting sqref="H773:P773">
    <cfRule type="cellIs" dxfId="5606" priority="5535" stopIfTrue="1" operator="equal">
      <formula>"Pass"</formula>
    </cfRule>
    <cfRule type="cellIs" dxfId="5605" priority="5536" stopIfTrue="1" operator="equal">
      <formula>"Fail"</formula>
    </cfRule>
  </conditionalFormatting>
  <conditionalFormatting sqref="I773:P773">
    <cfRule type="cellIs" dxfId="5604" priority="5533" stopIfTrue="1" operator="equal">
      <formula>"Pass"</formula>
    </cfRule>
    <cfRule type="cellIs" dxfId="5603" priority="5534" stopIfTrue="1" operator="equal">
      <formula>"Fail"</formula>
    </cfRule>
  </conditionalFormatting>
  <conditionalFormatting sqref="I773:P773">
    <cfRule type="cellIs" dxfId="5602" priority="5531" stopIfTrue="1" operator="equal">
      <formula>"Pass"</formula>
    </cfRule>
    <cfRule type="cellIs" dxfId="5601" priority="5532" stopIfTrue="1" operator="equal">
      <formula>"Fail"</formula>
    </cfRule>
  </conditionalFormatting>
  <conditionalFormatting sqref="I773:P773">
    <cfRule type="cellIs" dxfId="5600" priority="5529" stopIfTrue="1" operator="equal">
      <formula>"Pass"</formula>
    </cfRule>
    <cfRule type="cellIs" dxfId="5599" priority="5530" stopIfTrue="1" operator="equal">
      <formula>"Fail"</formula>
    </cfRule>
  </conditionalFormatting>
  <conditionalFormatting sqref="I773:P773">
    <cfRule type="cellIs" dxfId="5598" priority="5527" stopIfTrue="1" operator="equal">
      <formula>"Pass"</formula>
    </cfRule>
    <cfRule type="cellIs" dxfId="5597" priority="5528" stopIfTrue="1" operator="equal">
      <formula>"Fail"</formula>
    </cfRule>
  </conditionalFormatting>
  <conditionalFormatting sqref="H773:P773">
    <cfRule type="cellIs" dxfId="5596" priority="5525" stopIfTrue="1" operator="equal">
      <formula>"Pass"</formula>
    </cfRule>
    <cfRule type="cellIs" dxfId="5595" priority="5526" stopIfTrue="1" operator="equal">
      <formula>"Fail"</formula>
    </cfRule>
  </conditionalFormatting>
  <conditionalFormatting sqref="H773:P773">
    <cfRule type="cellIs" dxfId="5594" priority="5523" stopIfTrue="1" operator="equal">
      <formula>"Pass"</formula>
    </cfRule>
    <cfRule type="cellIs" dxfId="5593" priority="5524" stopIfTrue="1" operator="equal">
      <formula>"Fail"</formula>
    </cfRule>
  </conditionalFormatting>
  <conditionalFormatting sqref="I773:P773">
    <cfRule type="cellIs" dxfId="5592" priority="5521" stopIfTrue="1" operator="equal">
      <formula>"Pass"</formula>
    </cfRule>
    <cfRule type="cellIs" dxfId="5591" priority="5522" stopIfTrue="1" operator="equal">
      <formula>"Fail"</formula>
    </cfRule>
  </conditionalFormatting>
  <conditionalFormatting sqref="I773:P773">
    <cfRule type="cellIs" dxfId="5590" priority="5519" stopIfTrue="1" operator="equal">
      <formula>"Pass"</formula>
    </cfRule>
    <cfRule type="cellIs" dxfId="5589" priority="5520" stopIfTrue="1" operator="equal">
      <formula>"Fail"</formula>
    </cfRule>
  </conditionalFormatting>
  <conditionalFormatting sqref="I773:P773">
    <cfRule type="cellIs" dxfId="5588" priority="5517" stopIfTrue="1" operator="equal">
      <formula>"Pass"</formula>
    </cfRule>
    <cfRule type="cellIs" dxfId="5587" priority="5518" stopIfTrue="1" operator="equal">
      <formula>"Fail"</formula>
    </cfRule>
  </conditionalFormatting>
  <conditionalFormatting sqref="I773:P773">
    <cfRule type="cellIs" dxfId="5586" priority="5515" stopIfTrue="1" operator="equal">
      <formula>"Pass"</formula>
    </cfRule>
    <cfRule type="cellIs" dxfId="5585" priority="5516" stopIfTrue="1" operator="equal">
      <formula>"Fail"</formula>
    </cfRule>
  </conditionalFormatting>
  <conditionalFormatting sqref="H773:P773">
    <cfRule type="cellIs" dxfId="5584" priority="5513" stopIfTrue="1" operator="equal">
      <formula>"Pass"</formula>
    </cfRule>
    <cfRule type="cellIs" dxfId="5583" priority="5514" stopIfTrue="1" operator="equal">
      <formula>"Fail"</formula>
    </cfRule>
  </conditionalFormatting>
  <conditionalFormatting sqref="H773:P773">
    <cfRule type="cellIs" dxfId="5582" priority="5511" stopIfTrue="1" operator="equal">
      <formula>"Pass"</formula>
    </cfRule>
    <cfRule type="cellIs" dxfId="5581" priority="5512" stopIfTrue="1" operator="equal">
      <formula>"Fail"</formula>
    </cfRule>
  </conditionalFormatting>
  <conditionalFormatting sqref="I773:P773">
    <cfRule type="cellIs" dxfId="5580" priority="5509" stopIfTrue="1" operator="equal">
      <formula>"Pass"</formula>
    </cfRule>
    <cfRule type="cellIs" dxfId="5579" priority="5510" stopIfTrue="1" operator="equal">
      <formula>"Fail"</formula>
    </cfRule>
  </conditionalFormatting>
  <conditionalFormatting sqref="I773:P773">
    <cfRule type="cellIs" dxfId="5578" priority="5507" stopIfTrue="1" operator="equal">
      <formula>"Pass"</formula>
    </cfRule>
    <cfRule type="cellIs" dxfId="5577" priority="5508" stopIfTrue="1" operator="equal">
      <formula>"Fail"</formula>
    </cfRule>
  </conditionalFormatting>
  <conditionalFormatting sqref="I773:P773">
    <cfRule type="cellIs" dxfId="5576" priority="5505" stopIfTrue="1" operator="equal">
      <formula>"Pass"</formula>
    </cfRule>
    <cfRule type="cellIs" dxfId="5575" priority="5506" stopIfTrue="1" operator="equal">
      <formula>"Fail"</formula>
    </cfRule>
  </conditionalFormatting>
  <conditionalFormatting sqref="I773:P773">
    <cfRule type="cellIs" dxfId="5574" priority="5503" stopIfTrue="1" operator="equal">
      <formula>"Pass"</formula>
    </cfRule>
    <cfRule type="cellIs" dxfId="5573" priority="5504" stopIfTrue="1" operator="equal">
      <formula>"Fail"</formula>
    </cfRule>
  </conditionalFormatting>
  <conditionalFormatting sqref="H773:P773">
    <cfRule type="cellIs" dxfId="5572" priority="5501" stopIfTrue="1" operator="equal">
      <formula>"Pass"</formula>
    </cfRule>
    <cfRule type="cellIs" dxfId="5571" priority="5502" stopIfTrue="1" operator="equal">
      <formula>"Fail"</formula>
    </cfRule>
  </conditionalFormatting>
  <conditionalFormatting sqref="H773:P773">
    <cfRule type="cellIs" dxfId="5570" priority="5499" stopIfTrue="1" operator="equal">
      <formula>"Pass"</formula>
    </cfRule>
    <cfRule type="cellIs" dxfId="5569" priority="5500" stopIfTrue="1" operator="equal">
      <formula>"Fail"</formula>
    </cfRule>
  </conditionalFormatting>
  <conditionalFormatting sqref="I773:P773">
    <cfRule type="cellIs" dxfId="5568" priority="5497" stopIfTrue="1" operator="equal">
      <formula>"Pass"</formula>
    </cfRule>
    <cfRule type="cellIs" dxfId="5567" priority="5498" stopIfTrue="1" operator="equal">
      <formula>"Fail"</formula>
    </cfRule>
  </conditionalFormatting>
  <conditionalFormatting sqref="I773:P773">
    <cfRule type="cellIs" dxfId="5566" priority="5495" stopIfTrue="1" operator="equal">
      <formula>"Pass"</formula>
    </cfRule>
    <cfRule type="cellIs" dxfId="5565" priority="5496" stopIfTrue="1" operator="equal">
      <formula>"Fail"</formula>
    </cfRule>
  </conditionalFormatting>
  <conditionalFormatting sqref="I773:P773">
    <cfRule type="cellIs" dxfId="5564" priority="5493" stopIfTrue="1" operator="equal">
      <formula>"Pass"</formula>
    </cfRule>
    <cfRule type="cellIs" dxfId="5563" priority="5494" stopIfTrue="1" operator="equal">
      <formula>"Fail"</formula>
    </cfRule>
  </conditionalFormatting>
  <conditionalFormatting sqref="I773:P773">
    <cfRule type="cellIs" dxfId="5562" priority="5491" stopIfTrue="1" operator="equal">
      <formula>"Pass"</formula>
    </cfRule>
    <cfRule type="cellIs" dxfId="5561" priority="5492" stopIfTrue="1" operator="equal">
      <formula>"Fail"</formula>
    </cfRule>
  </conditionalFormatting>
  <conditionalFormatting sqref="H773:O773">
    <cfRule type="cellIs" dxfId="5560" priority="5489" stopIfTrue="1" operator="equal">
      <formula>"Pass"</formula>
    </cfRule>
    <cfRule type="cellIs" dxfId="5559" priority="5490" stopIfTrue="1" operator="equal">
      <formula>"Fail"</formula>
    </cfRule>
  </conditionalFormatting>
  <conditionalFormatting sqref="H773:O773">
    <cfRule type="cellIs" dxfId="5558" priority="5487" stopIfTrue="1" operator="equal">
      <formula>"Pass"</formula>
    </cfRule>
    <cfRule type="cellIs" dxfId="5557" priority="5488" stopIfTrue="1" operator="equal">
      <formula>"Fail"</formula>
    </cfRule>
  </conditionalFormatting>
  <conditionalFormatting sqref="I773:P773">
    <cfRule type="cellIs" dxfId="5556" priority="5485" stopIfTrue="1" operator="equal">
      <formula>"Pass"</formula>
    </cfRule>
    <cfRule type="cellIs" dxfId="5555" priority="5486" stopIfTrue="1" operator="equal">
      <formula>"Fail"</formula>
    </cfRule>
  </conditionalFormatting>
  <conditionalFormatting sqref="I773:P773">
    <cfRule type="cellIs" dxfId="5554" priority="5483" stopIfTrue="1" operator="equal">
      <formula>"Pass"</formula>
    </cfRule>
    <cfRule type="cellIs" dxfId="5553" priority="5484" stopIfTrue="1" operator="equal">
      <formula>"Fail"</formula>
    </cfRule>
  </conditionalFormatting>
  <conditionalFormatting sqref="I773:P773">
    <cfRule type="cellIs" dxfId="5552" priority="5481" stopIfTrue="1" operator="equal">
      <formula>"Pass"</formula>
    </cfRule>
    <cfRule type="cellIs" dxfId="5551" priority="5482" stopIfTrue="1" operator="equal">
      <formula>"Fail"</formula>
    </cfRule>
  </conditionalFormatting>
  <conditionalFormatting sqref="I773:P773">
    <cfRule type="cellIs" dxfId="5550" priority="5479" stopIfTrue="1" operator="equal">
      <formula>"Pass"</formula>
    </cfRule>
    <cfRule type="cellIs" dxfId="5549" priority="5480" stopIfTrue="1" operator="equal">
      <formula>"Fail"</formula>
    </cfRule>
  </conditionalFormatting>
  <conditionalFormatting sqref="H773:O773">
    <cfRule type="cellIs" dxfId="5548" priority="5477" stopIfTrue="1" operator="equal">
      <formula>"Pass"</formula>
    </cfRule>
    <cfRule type="cellIs" dxfId="5547" priority="5478" stopIfTrue="1" operator="equal">
      <formula>"Fail"</formula>
    </cfRule>
  </conditionalFormatting>
  <conditionalFormatting sqref="H773:O773">
    <cfRule type="cellIs" dxfId="5546" priority="5475" stopIfTrue="1" operator="equal">
      <formula>"Pass"</formula>
    </cfRule>
    <cfRule type="cellIs" dxfId="5545" priority="5476" stopIfTrue="1" operator="equal">
      <formula>"Fail"</formula>
    </cfRule>
  </conditionalFormatting>
  <conditionalFormatting sqref="I773:P773">
    <cfRule type="cellIs" dxfId="5544" priority="5473" stopIfTrue="1" operator="equal">
      <formula>"Pass"</formula>
    </cfRule>
    <cfRule type="cellIs" dxfId="5543" priority="5474" stopIfTrue="1" operator="equal">
      <formula>"Fail"</formula>
    </cfRule>
  </conditionalFormatting>
  <conditionalFormatting sqref="I773:P773">
    <cfRule type="cellIs" dxfId="5542" priority="5471" stopIfTrue="1" operator="equal">
      <formula>"Pass"</formula>
    </cfRule>
    <cfRule type="cellIs" dxfId="5541" priority="5472" stopIfTrue="1" operator="equal">
      <formula>"Fail"</formula>
    </cfRule>
  </conditionalFormatting>
  <conditionalFormatting sqref="I773:P773">
    <cfRule type="cellIs" dxfId="5540" priority="5469" stopIfTrue="1" operator="equal">
      <formula>"Pass"</formula>
    </cfRule>
    <cfRule type="cellIs" dxfId="5539" priority="5470" stopIfTrue="1" operator="equal">
      <formula>"Fail"</formula>
    </cfRule>
  </conditionalFormatting>
  <conditionalFormatting sqref="I773:P773">
    <cfRule type="cellIs" dxfId="5538" priority="5467" stopIfTrue="1" operator="equal">
      <formula>"Pass"</formula>
    </cfRule>
    <cfRule type="cellIs" dxfId="5537" priority="5468" stopIfTrue="1" operator="equal">
      <formula>"Fail"</formula>
    </cfRule>
  </conditionalFormatting>
  <conditionalFormatting sqref="H773:P773">
    <cfRule type="cellIs" dxfId="5536" priority="5465" stopIfTrue="1" operator="equal">
      <formula>"Pass"</formula>
    </cfRule>
    <cfRule type="cellIs" dxfId="5535" priority="5466" stopIfTrue="1" operator="equal">
      <formula>"Fail"</formula>
    </cfRule>
  </conditionalFormatting>
  <conditionalFormatting sqref="H773:P773">
    <cfRule type="cellIs" dxfId="5534" priority="5463" stopIfTrue="1" operator="equal">
      <formula>"Pass"</formula>
    </cfRule>
    <cfRule type="cellIs" dxfId="5533" priority="5464" stopIfTrue="1" operator="equal">
      <formula>"Fail"</formula>
    </cfRule>
  </conditionalFormatting>
  <conditionalFormatting sqref="I773:P773">
    <cfRule type="cellIs" dxfId="5532" priority="5461" stopIfTrue="1" operator="equal">
      <formula>"Pass"</formula>
    </cfRule>
    <cfRule type="cellIs" dxfId="5531" priority="5462" stopIfTrue="1" operator="equal">
      <formula>"Fail"</formula>
    </cfRule>
  </conditionalFormatting>
  <conditionalFormatting sqref="I773:P773">
    <cfRule type="cellIs" dxfId="5530" priority="5459" stopIfTrue="1" operator="equal">
      <formula>"Pass"</formula>
    </cfRule>
    <cfRule type="cellIs" dxfId="5529" priority="5460" stopIfTrue="1" operator="equal">
      <formula>"Fail"</formula>
    </cfRule>
  </conditionalFormatting>
  <conditionalFormatting sqref="I773:P773">
    <cfRule type="cellIs" dxfId="5528" priority="5457" stopIfTrue="1" operator="equal">
      <formula>"Pass"</formula>
    </cfRule>
    <cfRule type="cellIs" dxfId="5527" priority="5458" stopIfTrue="1" operator="equal">
      <formula>"Fail"</formula>
    </cfRule>
  </conditionalFormatting>
  <conditionalFormatting sqref="I773:P773">
    <cfRule type="cellIs" dxfId="5526" priority="5455" stopIfTrue="1" operator="equal">
      <formula>"Pass"</formula>
    </cfRule>
    <cfRule type="cellIs" dxfId="5525" priority="5456" stopIfTrue="1" operator="equal">
      <formula>"Fail"</formula>
    </cfRule>
  </conditionalFormatting>
  <conditionalFormatting sqref="H773:P773">
    <cfRule type="cellIs" dxfId="5524" priority="5453" stopIfTrue="1" operator="equal">
      <formula>"Pass"</formula>
    </cfRule>
    <cfRule type="cellIs" dxfId="5523" priority="5454" stopIfTrue="1" operator="equal">
      <formula>"Fail"</formula>
    </cfRule>
  </conditionalFormatting>
  <conditionalFormatting sqref="H773:P773">
    <cfRule type="cellIs" dxfId="5522" priority="5451" stopIfTrue="1" operator="equal">
      <formula>"Pass"</formula>
    </cfRule>
    <cfRule type="cellIs" dxfId="5521" priority="5452" stopIfTrue="1" operator="equal">
      <formula>"Fail"</formula>
    </cfRule>
  </conditionalFormatting>
  <conditionalFormatting sqref="I773:P773">
    <cfRule type="cellIs" dxfId="5520" priority="5449" stopIfTrue="1" operator="equal">
      <formula>"Pass"</formula>
    </cfRule>
    <cfRule type="cellIs" dxfId="5519" priority="5450" stopIfTrue="1" operator="equal">
      <formula>"Fail"</formula>
    </cfRule>
  </conditionalFormatting>
  <conditionalFormatting sqref="I773:P773">
    <cfRule type="cellIs" dxfId="5518" priority="5447" stopIfTrue="1" operator="equal">
      <formula>"Pass"</formula>
    </cfRule>
    <cfRule type="cellIs" dxfId="5517" priority="5448" stopIfTrue="1" operator="equal">
      <formula>"Fail"</formula>
    </cfRule>
  </conditionalFormatting>
  <conditionalFormatting sqref="I773:P773">
    <cfRule type="cellIs" dxfId="5516" priority="5445" stopIfTrue="1" operator="equal">
      <formula>"Pass"</formula>
    </cfRule>
    <cfRule type="cellIs" dxfId="5515" priority="5446" stopIfTrue="1" operator="equal">
      <formula>"Fail"</formula>
    </cfRule>
  </conditionalFormatting>
  <conditionalFormatting sqref="I773:P773">
    <cfRule type="cellIs" dxfId="5514" priority="5443" stopIfTrue="1" operator="equal">
      <formula>"Pass"</formula>
    </cfRule>
    <cfRule type="cellIs" dxfId="5513" priority="5444" stopIfTrue="1" operator="equal">
      <formula>"Fail"</formula>
    </cfRule>
  </conditionalFormatting>
  <conditionalFormatting sqref="H773:P773">
    <cfRule type="cellIs" dxfId="5512" priority="5441" stopIfTrue="1" operator="equal">
      <formula>"Pass"</formula>
    </cfRule>
    <cfRule type="cellIs" dxfId="5511" priority="5442" stopIfTrue="1" operator="equal">
      <formula>"Fail"</formula>
    </cfRule>
  </conditionalFormatting>
  <conditionalFormatting sqref="H773:P773">
    <cfRule type="cellIs" dxfId="5510" priority="5439" stopIfTrue="1" operator="equal">
      <formula>"Pass"</formula>
    </cfRule>
    <cfRule type="cellIs" dxfId="5509" priority="5440" stopIfTrue="1" operator="equal">
      <formula>"Fail"</formula>
    </cfRule>
  </conditionalFormatting>
  <conditionalFormatting sqref="I773:P773">
    <cfRule type="cellIs" dxfId="5508" priority="5437" stopIfTrue="1" operator="equal">
      <formula>"Pass"</formula>
    </cfRule>
    <cfRule type="cellIs" dxfId="5507" priority="5438" stopIfTrue="1" operator="equal">
      <formula>"Fail"</formula>
    </cfRule>
  </conditionalFormatting>
  <conditionalFormatting sqref="I773:P773">
    <cfRule type="cellIs" dxfId="5506" priority="5435" stopIfTrue="1" operator="equal">
      <formula>"Pass"</formula>
    </cfRule>
    <cfRule type="cellIs" dxfId="5505" priority="5436" stopIfTrue="1" operator="equal">
      <formula>"Fail"</formula>
    </cfRule>
  </conditionalFormatting>
  <conditionalFormatting sqref="I773:P773">
    <cfRule type="cellIs" dxfId="5504" priority="5433" stopIfTrue="1" operator="equal">
      <formula>"Pass"</formula>
    </cfRule>
    <cfRule type="cellIs" dxfId="5503" priority="5434" stopIfTrue="1" operator="equal">
      <formula>"Fail"</formula>
    </cfRule>
  </conditionalFormatting>
  <conditionalFormatting sqref="I773:P773">
    <cfRule type="cellIs" dxfId="5502" priority="5431" stopIfTrue="1" operator="equal">
      <formula>"Pass"</formula>
    </cfRule>
    <cfRule type="cellIs" dxfId="5501" priority="5432" stopIfTrue="1" operator="equal">
      <formula>"Fail"</formula>
    </cfRule>
  </conditionalFormatting>
  <conditionalFormatting sqref="H773:P773">
    <cfRule type="cellIs" dxfId="5500" priority="5429" stopIfTrue="1" operator="equal">
      <formula>"Pass"</formula>
    </cfRule>
    <cfRule type="cellIs" dxfId="5499" priority="5430" stopIfTrue="1" operator="equal">
      <formula>"Fail"</formula>
    </cfRule>
  </conditionalFormatting>
  <conditionalFormatting sqref="H773:P773">
    <cfRule type="cellIs" dxfId="5498" priority="5427" stopIfTrue="1" operator="equal">
      <formula>"Pass"</formula>
    </cfRule>
    <cfRule type="cellIs" dxfId="5497" priority="5428" stopIfTrue="1" operator="equal">
      <formula>"Fail"</formula>
    </cfRule>
  </conditionalFormatting>
  <conditionalFormatting sqref="I773:P773">
    <cfRule type="cellIs" dxfId="5496" priority="5425" stopIfTrue="1" operator="equal">
      <formula>"Pass"</formula>
    </cfRule>
    <cfRule type="cellIs" dxfId="5495" priority="5426" stopIfTrue="1" operator="equal">
      <formula>"Fail"</formula>
    </cfRule>
  </conditionalFormatting>
  <conditionalFormatting sqref="I773:P773">
    <cfRule type="cellIs" dxfId="5494" priority="5423" stopIfTrue="1" operator="equal">
      <formula>"Pass"</formula>
    </cfRule>
    <cfRule type="cellIs" dxfId="5493" priority="5424" stopIfTrue="1" operator="equal">
      <formula>"Fail"</formula>
    </cfRule>
  </conditionalFormatting>
  <conditionalFormatting sqref="I773:P773">
    <cfRule type="cellIs" dxfId="5492" priority="5421" stopIfTrue="1" operator="equal">
      <formula>"Pass"</formula>
    </cfRule>
    <cfRule type="cellIs" dxfId="5491" priority="5422" stopIfTrue="1" operator="equal">
      <formula>"Fail"</formula>
    </cfRule>
  </conditionalFormatting>
  <conditionalFormatting sqref="I773:P773">
    <cfRule type="cellIs" dxfId="5490" priority="5419" stopIfTrue="1" operator="equal">
      <formula>"Pass"</formula>
    </cfRule>
    <cfRule type="cellIs" dxfId="5489" priority="5420" stopIfTrue="1" operator="equal">
      <formula>"Fail"</formula>
    </cfRule>
  </conditionalFormatting>
  <conditionalFormatting sqref="E773 H773:P773">
    <cfRule type="cellIs" dxfId="5488" priority="5417" stopIfTrue="1" operator="equal">
      <formula>"Pass"</formula>
    </cfRule>
    <cfRule type="cellIs" dxfId="5487" priority="5418" stopIfTrue="1" operator="equal">
      <formula>"Fail"</formula>
    </cfRule>
  </conditionalFormatting>
  <conditionalFormatting sqref="H773:O773">
    <cfRule type="cellIs" dxfId="5486" priority="5415" stopIfTrue="1" operator="equal">
      <formula>"Pass"</formula>
    </cfRule>
    <cfRule type="cellIs" dxfId="5485" priority="5416" stopIfTrue="1" operator="equal">
      <formula>"Fail"</formula>
    </cfRule>
  </conditionalFormatting>
  <conditionalFormatting sqref="H773:O773">
    <cfRule type="cellIs" dxfId="5484" priority="5413" stopIfTrue="1" operator="equal">
      <formula>"Pass"</formula>
    </cfRule>
    <cfRule type="cellIs" dxfId="5483" priority="5414" stopIfTrue="1" operator="equal">
      <formula>"Fail"</formula>
    </cfRule>
  </conditionalFormatting>
  <conditionalFormatting sqref="I773:P773">
    <cfRule type="cellIs" dxfId="5482" priority="5411" stopIfTrue="1" operator="equal">
      <formula>"Pass"</formula>
    </cfRule>
    <cfRule type="cellIs" dxfId="5481" priority="5412" stopIfTrue="1" operator="equal">
      <formula>"Fail"</formula>
    </cfRule>
  </conditionalFormatting>
  <conditionalFormatting sqref="I773:P773">
    <cfRule type="cellIs" dxfId="5480" priority="5409" stopIfTrue="1" operator="equal">
      <formula>"Pass"</formula>
    </cfRule>
    <cfRule type="cellIs" dxfId="5479" priority="5410" stopIfTrue="1" operator="equal">
      <formula>"Fail"</formula>
    </cfRule>
  </conditionalFormatting>
  <conditionalFormatting sqref="I773:P773">
    <cfRule type="cellIs" dxfId="5478" priority="5407" stopIfTrue="1" operator="equal">
      <formula>"Pass"</formula>
    </cfRule>
    <cfRule type="cellIs" dxfId="5477" priority="5408" stopIfTrue="1" operator="equal">
      <formula>"Fail"</formula>
    </cfRule>
  </conditionalFormatting>
  <conditionalFormatting sqref="I773:P773">
    <cfRule type="cellIs" dxfId="5476" priority="5405" stopIfTrue="1" operator="equal">
      <formula>"Pass"</formula>
    </cfRule>
    <cfRule type="cellIs" dxfId="5475" priority="5406" stopIfTrue="1" operator="equal">
      <formula>"Fail"</formula>
    </cfRule>
  </conditionalFormatting>
  <conditionalFormatting sqref="H773:O773">
    <cfRule type="cellIs" dxfId="5474" priority="5403" stopIfTrue="1" operator="equal">
      <formula>"Pass"</formula>
    </cfRule>
    <cfRule type="cellIs" dxfId="5473" priority="5404" stopIfTrue="1" operator="equal">
      <formula>"Fail"</formula>
    </cfRule>
  </conditionalFormatting>
  <conditionalFormatting sqref="H773:O773">
    <cfRule type="cellIs" dxfId="5472" priority="5401" stopIfTrue="1" operator="equal">
      <formula>"Pass"</formula>
    </cfRule>
    <cfRule type="cellIs" dxfId="5471" priority="5402" stopIfTrue="1" operator="equal">
      <formula>"Fail"</formula>
    </cfRule>
  </conditionalFormatting>
  <conditionalFormatting sqref="I773:P773">
    <cfRule type="cellIs" dxfId="5470" priority="5399" stopIfTrue="1" operator="equal">
      <formula>"Pass"</formula>
    </cfRule>
    <cfRule type="cellIs" dxfId="5469" priority="5400" stopIfTrue="1" operator="equal">
      <formula>"Fail"</formula>
    </cfRule>
  </conditionalFormatting>
  <conditionalFormatting sqref="I773:P773">
    <cfRule type="cellIs" dxfId="5468" priority="5397" stopIfTrue="1" operator="equal">
      <formula>"Pass"</formula>
    </cfRule>
    <cfRule type="cellIs" dxfId="5467" priority="5398" stopIfTrue="1" operator="equal">
      <formula>"Fail"</formula>
    </cfRule>
  </conditionalFormatting>
  <conditionalFormatting sqref="I773:P773">
    <cfRule type="cellIs" dxfId="5466" priority="5395" stopIfTrue="1" operator="equal">
      <formula>"Pass"</formula>
    </cfRule>
    <cfRule type="cellIs" dxfId="5465" priority="5396" stopIfTrue="1" operator="equal">
      <formula>"Fail"</formula>
    </cfRule>
  </conditionalFormatting>
  <conditionalFormatting sqref="I773:P773">
    <cfRule type="cellIs" dxfId="5464" priority="5393" stopIfTrue="1" operator="equal">
      <formula>"Pass"</formula>
    </cfRule>
    <cfRule type="cellIs" dxfId="5463" priority="5394" stopIfTrue="1" operator="equal">
      <formula>"Fail"</formula>
    </cfRule>
  </conditionalFormatting>
  <conditionalFormatting sqref="H773:O773">
    <cfRule type="cellIs" dxfId="5462" priority="5391" stopIfTrue="1" operator="equal">
      <formula>"Pass"</formula>
    </cfRule>
    <cfRule type="cellIs" dxfId="5461" priority="5392" stopIfTrue="1" operator="equal">
      <formula>"Fail"</formula>
    </cfRule>
  </conditionalFormatting>
  <conditionalFormatting sqref="H773:O773">
    <cfRule type="cellIs" dxfId="5460" priority="5389" stopIfTrue="1" operator="equal">
      <formula>"Pass"</formula>
    </cfRule>
    <cfRule type="cellIs" dxfId="5459" priority="5390" stopIfTrue="1" operator="equal">
      <formula>"Fail"</formula>
    </cfRule>
  </conditionalFormatting>
  <conditionalFormatting sqref="I773:P773">
    <cfRule type="cellIs" dxfId="5458" priority="5387" stopIfTrue="1" operator="equal">
      <formula>"Pass"</formula>
    </cfRule>
    <cfRule type="cellIs" dxfId="5457" priority="5388" stopIfTrue="1" operator="equal">
      <formula>"Fail"</formula>
    </cfRule>
  </conditionalFormatting>
  <conditionalFormatting sqref="I773:P773">
    <cfRule type="cellIs" dxfId="5456" priority="5385" stopIfTrue="1" operator="equal">
      <formula>"Pass"</formula>
    </cfRule>
    <cfRule type="cellIs" dxfId="5455" priority="5386" stopIfTrue="1" operator="equal">
      <formula>"Fail"</formula>
    </cfRule>
  </conditionalFormatting>
  <conditionalFormatting sqref="I773:P773">
    <cfRule type="cellIs" dxfId="5454" priority="5383" stopIfTrue="1" operator="equal">
      <formula>"Pass"</formula>
    </cfRule>
    <cfRule type="cellIs" dxfId="5453" priority="5384" stopIfTrue="1" operator="equal">
      <formula>"Fail"</formula>
    </cfRule>
  </conditionalFormatting>
  <conditionalFormatting sqref="I773:P773">
    <cfRule type="cellIs" dxfId="5452" priority="5381" stopIfTrue="1" operator="equal">
      <formula>"Pass"</formula>
    </cfRule>
    <cfRule type="cellIs" dxfId="5451" priority="5382" stopIfTrue="1" operator="equal">
      <formula>"Fail"</formula>
    </cfRule>
  </conditionalFormatting>
  <conditionalFormatting sqref="H773:O773">
    <cfRule type="cellIs" dxfId="5450" priority="5379" stopIfTrue="1" operator="equal">
      <formula>"Pass"</formula>
    </cfRule>
    <cfRule type="cellIs" dxfId="5449" priority="5380" stopIfTrue="1" operator="equal">
      <formula>"Fail"</formula>
    </cfRule>
  </conditionalFormatting>
  <conditionalFormatting sqref="H773:O773">
    <cfRule type="cellIs" dxfId="5448" priority="5377" stopIfTrue="1" operator="equal">
      <formula>"Pass"</formula>
    </cfRule>
    <cfRule type="cellIs" dxfId="5447" priority="5378" stopIfTrue="1" operator="equal">
      <formula>"Fail"</formula>
    </cfRule>
  </conditionalFormatting>
  <conditionalFormatting sqref="I773:P773">
    <cfRule type="cellIs" dxfId="5446" priority="5375" stopIfTrue="1" operator="equal">
      <formula>"Pass"</formula>
    </cfRule>
    <cfRule type="cellIs" dxfId="5445" priority="5376" stopIfTrue="1" operator="equal">
      <formula>"Fail"</formula>
    </cfRule>
  </conditionalFormatting>
  <conditionalFormatting sqref="I773:P773">
    <cfRule type="cellIs" dxfId="5444" priority="5373" stopIfTrue="1" operator="equal">
      <formula>"Pass"</formula>
    </cfRule>
    <cfRule type="cellIs" dxfId="5443" priority="5374" stopIfTrue="1" operator="equal">
      <formula>"Fail"</formula>
    </cfRule>
  </conditionalFormatting>
  <conditionalFormatting sqref="I773:P773">
    <cfRule type="cellIs" dxfId="5442" priority="5371" stopIfTrue="1" operator="equal">
      <formula>"Pass"</formula>
    </cfRule>
    <cfRule type="cellIs" dxfId="5441" priority="5372" stopIfTrue="1" operator="equal">
      <formula>"Fail"</formula>
    </cfRule>
  </conditionalFormatting>
  <conditionalFormatting sqref="I773:P773">
    <cfRule type="cellIs" dxfId="5440" priority="5369" stopIfTrue="1" operator="equal">
      <formula>"Pass"</formula>
    </cfRule>
    <cfRule type="cellIs" dxfId="5439" priority="5370" stopIfTrue="1" operator="equal">
      <formula>"Fail"</formula>
    </cfRule>
  </conditionalFormatting>
  <conditionalFormatting sqref="H773:O773">
    <cfRule type="cellIs" dxfId="5438" priority="5367" stopIfTrue="1" operator="equal">
      <formula>"Pass"</formula>
    </cfRule>
    <cfRule type="cellIs" dxfId="5437" priority="5368" stopIfTrue="1" operator="equal">
      <formula>"Fail"</formula>
    </cfRule>
  </conditionalFormatting>
  <conditionalFormatting sqref="H773:O773">
    <cfRule type="cellIs" dxfId="5436" priority="5365" stopIfTrue="1" operator="equal">
      <formula>"Pass"</formula>
    </cfRule>
    <cfRule type="cellIs" dxfId="5435" priority="5366" stopIfTrue="1" operator="equal">
      <formula>"Fail"</formula>
    </cfRule>
  </conditionalFormatting>
  <conditionalFormatting sqref="I773:P773">
    <cfRule type="cellIs" dxfId="5434" priority="5363" stopIfTrue="1" operator="equal">
      <formula>"Pass"</formula>
    </cfRule>
    <cfRule type="cellIs" dxfId="5433" priority="5364" stopIfTrue="1" operator="equal">
      <formula>"Fail"</formula>
    </cfRule>
  </conditionalFormatting>
  <conditionalFormatting sqref="I773:P773">
    <cfRule type="cellIs" dxfId="5432" priority="5361" stopIfTrue="1" operator="equal">
      <formula>"Pass"</formula>
    </cfRule>
    <cfRule type="cellIs" dxfId="5431" priority="5362" stopIfTrue="1" operator="equal">
      <formula>"Fail"</formula>
    </cfRule>
  </conditionalFormatting>
  <conditionalFormatting sqref="I773:P773">
    <cfRule type="cellIs" dxfId="5430" priority="5359" stopIfTrue="1" operator="equal">
      <formula>"Pass"</formula>
    </cfRule>
    <cfRule type="cellIs" dxfId="5429" priority="5360" stopIfTrue="1" operator="equal">
      <formula>"Fail"</formula>
    </cfRule>
  </conditionalFormatting>
  <conditionalFormatting sqref="I773:P773">
    <cfRule type="cellIs" dxfId="5428" priority="5357" stopIfTrue="1" operator="equal">
      <formula>"Pass"</formula>
    </cfRule>
    <cfRule type="cellIs" dxfId="5427" priority="5358" stopIfTrue="1" operator="equal">
      <formula>"Fail"</formula>
    </cfRule>
  </conditionalFormatting>
  <conditionalFormatting sqref="H773:O773">
    <cfRule type="cellIs" dxfId="5426" priority="5355" stopIfTrue="1" operator="equal">
      <formula>"Pass"</formula>
    </cfRule>
    <cfRule type="cellIs" dxfId="5425" priority="5356" stopIfTrue="1" operator="equal">
      <formula>"Fail"</formula>
    </cfRule>
  </conditionalFormatting>
  <conditionalFormatting sqref="H773:O773">
    <cfRule type="cellIs" dxfId="5424" priority="5353" stopIfTrue="1" operator="equal">
      <formula>"Pass"</formula>
    </cfRule>
    <cfRule type="cellIs" dxfId="5423" priority="5354" stopIfTrue="1" operator="equal">
      <formula>"Fail"</formula>
    </cfRule>
  </conditionalFormatting>
  <conditionalFormatting sqref="I773:P773">
    <cfRule type="cellIs" dxfId="5422" priority="5351" stopIfTrue="1" operator="equal">
      <formula>"Pass"</formula>
    </cfRule>
    <cfRule type="cellIs" dxfId="5421" priority="5352" stopIfTrue="1" operator="equal">
      <formula>"Fail"</formula>
    </cfRule>
  </conditionalFormatting>
  <conditionalFormatting sqref="I773:P773">
    <cfRule type="cellIs" dxfId="5420" priority="5349" stopIfTrue="1" operator="equal">
      <formula>"Pass"</formula>
    </cfRule>
    <cfRule type="cellIs" dxfId="5419" priority="5350" stopIfTrue="1" operator="equal">
      <formula>"Fail"</formula>
    </cfRule>
  </conditionalFormatting>
  <conditionalFormatting sqref="I773:P773">
    <cfRule type="cellIs" dxfId="5418" priority="5347" stopIfTrue="1" operator="equal">
      <formula>"Pass"</formula>
    </cfRule>
    <cfRule type="cellIs" dxfId="5417" priority="5348" stopIfTrue="1" operator="equal">
      <formula>"Fail"</formula>
    </cfRule>
  </conditionalFormatting>
  <conditionalFormatting sqref="I773:P773">
    <cfRule type="cellIs" dxfId="5416" priority="5345" stopIfTrue="1" operator="equal">
      <formula>"Pass"</formula>
    </cfRule>
    <cfRule type="cellIs" dxfId="5415" priority="5346" stopIfTrue="1" operator="equal">
      <formula>"Fail"</formula>
    </cfRule>
  </conditionalFormatting>
  <conditionalFormatting sqref="H773:O773">
    <cfRule type="cellIs" dxfId="5414" priority="5343" stopIfTrue="1" operator="equal">
      <formula>"Pass"</formula>
    </cfRule>
    <cfRule type="cellIs" dxfId="5413" priority="5344" stopIfTrue="1" operator="equal">
      <formula>"Fail"</formula>
    </cfRule>
  </conditionalFormatting>
  <conditionalFormatting sqref="H773:O773">
    <cfRule type="cellIs" dxfId="5412" priority="5341" stopIfTrue="1" operator="equal">
      <formula>"Pass"</formula>
    </cfRule>
    <cfRule type="cellIs" dxfId="5411" priority="5342" stopIfTrue="1" operator="equal">
      <formula>"Fail"</formula>
    </cfRule>
  </conditionalFormatting>
  <conditionalFormatting sqref="I773:P773">
    <cfRule type="cellIs" dxfId="5410" priority="5339" stopIfTrue="1" operator="equal">
      <formula>"Pass"</formula>
    </cfRule>
    <cfRule type="cellIs" dxfId="5409" priority="5340" stopIfTrue="1" operator="equal">
      <formula>"Fail"</formula>
    </cfRule>
  </conditionalFormatting>
  <conditionalFormatting sqref="I773:P773">
    <cfRule type="cellIs" dxfId="5408" priority="5337" stopIfTrue="1" operator="equal">
      <formula>"Pass"</formula>
    </cfRule>
    <cfRule type="cellIs" dxfId="5407" priority="5338" stopIfTrue="1" operator="equal">
      <formula>"Fail"</formula>
    </cfRule>
  </conditionalFormatting>
  <conditionalFormatting sqref="I773:P773">
    <cfRule type="cellIs" dxfId="5406" priority="5335" stopIfTrue="1" operator="equal">
      <formula>"Pass"</formula>
    </cfRule>
    <cfRule type="cellIs" dxfId="5405" priority="5336" stopIfTrue="1" operator="equal">
      <formula>"Fail"</formula>
    </cfRule>
  </conditionalFormatting>
  <conditionalFormatting sqref="I773:P773">
    <cfRule type="cellIs" dxfId="5404" priority="5333" stopIfTrue="1" operator="equal">
      <formula>"Pass"</formula>
    </cfRule>
    <cfRule type="cellIs" dxfId="5403" priority="5334" stopIfTrue="1" operator="equal">
      <formula>"Fail"</formula>
    </cfRule>
  </conditionalFormatting>
  <conditionalFormatting sqref="H773:O773">
    <cfRule type="cellIs" dxfId="5402" priority="5331" stopIfTrue="1" operator="equal">
      <formula>"Pass"</formula>
    </cfRule>
    <cfRule type="cellIs" dxfId="5401" priority="5332" stopIfTrue="1" operator="equal">
      <formula>"Fail"</formula>
    </cfRule>
  </conditionalFormatting>
  <conditionalFormatting sqref="H773:O773">
    <cfRule type="cellIs" dxfId="5400" priority="5329" stopIfTrue="1" operator="equal">
      <formula>"Pass"</formula>
    </cfRule>
    <cfRule type="cellIs" dxfId="5399" priority="5330" stopIfTrue="1" operator="equal">
      <formula>"Fail"</formula>
    </cfRule>
  </conditionalFormatting>
  <conditionalFormatting sqref="I773:P773">
    <cfRule type="cellIs" dxfId="5398" priority="5327" stopIfTrue="1" operator="equal">
      <formula>"Pass"</formula>
    </cfRule>
    <cfRule type="cellIs" dxfId="5397" priority="5328" stopIfTrue="1" operator="equal">
      <formula>"Fail"</formula>
    </cfRule>
  </conditionalFormatting>
  <conditionalFormatting sqref="I773:P773">
    <cfRule type="cellIs" dxfId="5396" priority="5325" stopIfTrue="1" operator="equal">
      <formula>"Pass"</formula>
    </cfRule>
    <cfRule type="cellIs" dxfId="5395" priority="5326" stopIfTrue="1" operator="equal">
      <formula>"Fail"</formula>
    </cfRule>
  </conditionalFormatting>
  <conditionalFormatting sqref="I773:P773">
    <cfRule type="cellIs" dxfId="5394" priority="5323" stopIfTrue="1" operator="equal">
      <formula>"Pass"</formula>
    </cfRule>
    <cfRule type="cellIs" dxfId="5393" priority="5324" stopIfTrue="1" operator="equal">
      <formula>"Fail"</formula>
    </cfRule>
  </conditionalFormatting>
  <conditionalFormatting sqref="I773:P773">
    <cfRule type="cellIs" dxfId="5392" priority="5321" stopIfTrue="1" operator="equal">
      <formula>"Pass"</formula>
    </cfRule>
    <cfRule type="cellIs" dxfId="5391" priority="5322" stopIfTrue="1" operator="equal">
      <formula>"Fail"</formula>
    </cfRule>
  </conditionalFormatting>
  <conditionalFormatting sqref="H773:O773">
    <cfRule type="cellIs" dxfId="5390" priority="5319" stopIfTrue="1" operator="equal">
      <formula>"Pass"</formula>
    </cfRule>
    <cfRule type="cellIs" dxfId="5389" priority="5320" stopIfTrue="1" operator="equal">
      <formula>"Fail"</formula>
    </cfRule>
  </conditionalFormatting>
  <conditionalFormatting sqref="H773:O773">
    <cfRule type="cellIs" dxfId="5388" priority="5317" stopIfTrue="1" operator="equal">
      <formula>"Pass"</formula>
    </cfRule>
    <cfRule type="cellIs" dxfId="5387" priority="5318" stopIfTrue="1" operator="equal">
      <formula>"Fail"</formula>
    </cfRule>
  </conditionalFormatting>
  <conditionalFormatting sqref="I773:P773">
    <cfRule type="cellIs" dxfId="5386" priority="5315" stopIfTrue="1" operator="equal">
      <formula>"Pass"</formula>
    </cfRule>
    <cfRule type="cellIs" dxfId="5385" priority="5316" stopIfTrue="1" operator="equal">
      <formula>"Fail"</formula>
    </cfRule>
  </conditionalFormatting>
  <conditionalFormatting sqref="I773:P773">
    <cfRule type="cellIs" dxfId="5384" priority="5313" stopIfTrue="1" operator="equal">
      <formula>"Pass"</formula>
    </cfRule>
    <cfRule type="cellIs" dxfId="5383" priority="5314" stopIfTrue="1" operator="equal">
      <formula>"Fail"</formula>
    </cfRule>
  </conditionalFormatting>
  <conditionalFormatting sqref="I773:P773">
    <cfRule type="cellIs" dxfId="5382" priority="5311" stopIfTrue="1" operator="equal">
      <formula>"Pass"</formula>
    </cfRule>
    <cfRule type="cellIs" dxfId="5381" priority="5312" stopIfTrue="1" operator="equal">
      <formula>"Fail"</formula>
    </cfRule>
  </conditionalFormatting>
  <conditionalFormatting sqref="I773:P773">
    <cfRule type="cellIs" dxfId="5380" priority="5309" stopIfTrue="1" operator="equal">
      <formula>"Pass"</formula>
    </cfRule>
    <cfRule type="cellIs" dxfId="5379" priority="5310" stopIfTrue="1" operator="equal">
      <formula>"Fail"</formula>
    </cfRule>
  </conditionalFormatting>
  <conditionalFormatting sqref="H773:O773">
    <cfRule type="cellIs" dxfId="5378" priority="5307" stopIfTrue="1" operator="equal">
      <formula>"Pass"</formula>
    </cfRule>
    <cfRule type="cellIs" dxfId="5377" priority="5308" stopIfTrue="1" operator="equal">
      <formula>"Fail"</formula>
    </cfRule>
  </conditionalFormatting>
  <conditionalFormatting sqref="H773:O773">
    <cfRule type="cellIs" dxfId="5376" priority="5305" stopIfTrue="1" operator="equal">
      <formula>"Pass"</formula>
    </cfRule>
    <cfRule type="cellIs" dxfId="5375" priority="5306" stopIfTrue="1" operator="equal">
      <formula>"Fail"</formula>
    </cfRule>
  </conditionalFormatting>
  <conditionalFormatting sqref="I773:P773">
    <cfRule type="cellIs" dxfId="5374" priority="5303" stopIfTrue="1" operator="equal">
      <formula>"Pass"</formula>
    </cfRule>
    <cfRule type="cellIs" dxfId="5373" priority="5304" stopIfTrue="1" operator="equal">
      <formula>"Fail"</formula>
    </cfRule>
  </conditionalFormatting>
  <conditionalFormatting sqref="I773:P773">
    <cfRule type="cellIs" dxfId="5372" priority="5301" stopIfTrue="1" operator="equal">
      <formula>"Pass"</formula>
    </cfRule>
    <cfRule type="cellIs" dxfId="5371" priority="5302" stopIfTrue="1" operator="equal">
      <formula>"Fail"</formula>
    </cfRule>
  </conditionalFormatting>
  <conditionalFormatting sqref="I773:P773">
    <cfRule type="cellIs" dxfId="5370" priority="5299" stopIfTrue="1" operator="equal">
      <formula>"Pass"</formula>
    </cfRule>
    <cfRule type="cellIs" dxfId="5369" priority="5300" stopIfTrue="1" operator="equal">
      <formula>"Fail"</formula>
    </cfRule>
  </conditionalFormatting>
  <conditionalFormatting sqref="I773:P773">
    <cfRule type="cellIs" dxfId="5368" priority="5297" stopIfTrue="1" operator="equal">
      <formula>"Pass"</formula>
    </cfRule>
    <cfRule type="cellIs" dxfId="5367" priority="5298" stopIfTrue="1" operator="equal">
      <formula>"Fail"</formula>
    </cfRule>
  </conditionalFormatting>
  <conditionalFormatting sqref="H773:O773">
    <cfRule type="cellIs" dxfId="5366" priority="5295" stopIfTrue="1" operator="equal">
      <formula>"Pass"</formula>
    </cfRule>
    <cfRule type="cellIs" dxfId="5365" priority="5296" stopIfTrue="1" operator="equal">
      <formula>"Fail"</formula>
    </cfRule>
  </conditionalFormatting>
  <conditionalFormatting sqref="H773:O773">
    <cfRule type="cellIs" dxfId="5364" priority="5293" stopIfTrue="1" operator="equal">
      <formula>"Pass"</formula>
    </cfRule>
    <cfRule type="cellIs" dxfId="5363" priority="5294" stopIfTrue="1" operator="equal">
      <formula>"Fail"</formula>
    </cfRule>
  </conditionalFormatting>
  <conditionalFormatting sqref="I773:P773">
    <cfRule type="cellIs" dxfId="5362" priority="5291" stopIfTrue="1" operator="equal">
      <formula>"Pass"</formula>
    </cfRule>
    <cfRule type="cellIs" dxfId="5361" priority="5292" stopIfTrue="1" operator="equal">
      <formula>"Fail"</formula>
    </cfRule>
  </conditionalFormatting>
  <conditionalFormatting sqref="I773:P773">
    <cfRule type="cellIs" dxfId="5360" priority="5289" stopIfTrue="1" operator="equal">
      <formula>"Pass"</formula>
    </cfRule>
    <cfRule type="cellIs" dxfId="5359" priority="5290" stopIfTrue="1" operator="equal">
      <formula>"Fail"</formula>
    </cfRule>
  </conditionalFormatting>
  <conditionalFormatting sqref="I773:P773">
    <cfRule type="cellIs" dxfId="5358" priority="5287" stopIfTrue="1" operator="equal">
      <formula>"Pass"</formula>
    </cfRule>
    <cfRule type="cellIs" dxfId="5357" priority="5288" stopIfTrue="1" operator="equal">
      <formula>"Fail"</formula>
    </cfRule>
  </conditionalFormatting>
  <conditionalFormatting sqref="I773:P773">
    <cfRule type="cellIs" dxfId="5356" priority="5285" stopIfTrue="1" operator="equal">
      <formula>"Pass"</formula>
    </cfRule>
    <cfRule type="cellIs" dxfId="5355" priority="5286" stopIfTrue="1" operator="equal">
      <formula>"Fail"</formula>
    </cfRule>
  </conditionalFormatting>
  <conditionalFormatting sqref="H773:O773">
    <cfRule type="cellIs" dxfId="5354" priority="5283" stopIfTrue="1" operator="equal">
      <formula>"Pass"</formula>
    </cfRule>
    <cfRule type="cellIs" dxfId="5353" priority="5284" stopIfTrue="1" operator="equal">
      <formula>"Fail"</formula>
    </cfRule>
  </conditionalFormatting>
  <conditionalFormatting sqref="H773:O773">
    <cfRule type="cellIs" dxfId="5352" priority="5281" stopIfTrue="1" operator="equal">
      <formula>"Pass"</formula>
    </cfRule>
    <cfRule type="cellIs" dxfId="5351" priority="5282" stopIfTrue="1" operator="equal">
      <formula>"Fail"</formula>
    </cfRule>
  </conditionalFormatting>
  <conditionalFormatting sqref="I773:P773">
    <cfRule type="cellIs" dxfId="5350" priority="5279" stopIfTrue="1" operator="equal">
      <formula>"Pass"</formula>
    </cfRule>
    <cfRule type="cellIs" dxfId="5349" priority="5280" stopIfTrue="1" operator="equal">
      <formula>"Fail"</formula>
    </cfRule>
  </conditionalFormatting>
  <conditionalFormatting sqref="I773:P773">
    <cfRule type="cellIs" dxfId="5348" priority="5277" stopIfTrue="1" operator="equal">
      <formula>"Pass"</formula>
    </cfRule>
    <cfRule type="cellIs" dxfId="5347" priority="5278" stopIfTrue="1" operator="equal">
      <formula>"Fail"</formula>
    </cfRule>
  </conditionalFormatting>
  <conditionalFormatting sqref="I773:P773">
    <cfRule type="cellIs" dxfId="5346" priority="5275" stopIfTrue="1" operator="equal">
      <formula>"Pass"</formula>
    </cfRule>
    <cfRule type="cellIs" dxfId="5345" priority="5276" stopIfTrue="1" operator="equal">
      <formula>"Fail"</formula>
    </cfRule>
  </conditionalFormatting>
  <conditionalFormatting sqref="I773:P773">
    <cfRule type="cellIs" dxfId="5344" priority="5273" stopIfTrue="1" operator="equal">
      <formula>"Pass"</formula>
    </cfRule>
    <cfRule type="cellIs" dxfId="5343" priority="5274" stopIfTrue="1" operator="equal">
      <formula>"Fail"</formula>
    </cfRule>
  </conditionalFormatting>
  <conditionalFormatting sqref="H773:O773">
    <cfRule type="cellIs" dxfId="5342" priority="5271" stopIfTrue="1" operator="equal">
      <formula>"Pass"</formula>
    </cfRule>
    <cfRule type="cellIs" dxfId="5341" priority="5272" stopIfTrue="1" operator="equal">
      <formula>"Fail"</formula>
    </cfRule>
  </conditionalFormatting>
  <conditionalFormatting sqref="H773:O773">
    <cfRule type="cellIs" dxfId="5340" priority="5269" stopIfTrue="1" operator="equal">
      <formula>"Pass"</formula>
    </cfRule>
    <cfRule type="cellIs" dxfId="5339" priority="5270" stopIfTrue="1" operator="equal">
      <formula>"Fail"</formula>
    </cfRule>
  </conditionalFormatting>
  <conditionalFormatting sqref="I773:P773">
    <cfRule type="cellIs" dxfId="5338" priority="5267" stopIfTrue="1" operator="equal">
      <formula>"Pass"</formula>
    </cfRule>
    <cfRule type="cellIs" dxfId="5337" priority="5268" stopIfTrue="1" operator="equal">
      <formula>"Fail"</formula>
    </cfRule>
  </conditionalFormatting>
  <conditionalFormatting sqref="I773:P773">
    <cfRule type="cellIs" dxfId="5336" priority="5265" stopIfTrue="1" operator="equal">
      <formula>"Pass"</formula>
    </cfRule>
    <cfRule type="cellIs" dxfId="5335" priority="5266" stopIfTrue="1" operator="equal">
      <formula>"Fail"</formula>
    </cfRule>
  </conditionalFormatting>
  <conditionalFormatting sqref="I773:P773">
    <cfRule type="cellIs" dxfId="5334" priority="5263" stopIfTrue="1" operator="equal">
      <formula>"Pass"</formula>
    </cfRule>
    <cfRule type="cellIs" dxfId="5333" priority="5264" stopIfTrue="1" operator="equal">
      <formula>"Fail"</formula>
    </cfRule>
  </conditionalFormatting>
  <conditionalFormatting sqref="I773:P773">
    <cfRule type="cellIs" dxfId="5332" priority="5261" stopIfTrue="1" operator="equal">
      <formula>"Pass"</formula>
    </cfRule>
    <cfRule type="cellIs" dxfId="5331" priority="5262" stopIfTrue="1" operator="equal">
      <formula>"Fail"</formula>
    </cfRule>
  </conditionalFormatting>
  <conditionalFormatting sqref="H773:O773">
    <cfRule type="cellIs" dxfId="5330" priority="5259" stopIfTrue="1" operator="equal">
      <formula>"Pass"</formula>
    </cfRule>
    <cfRule type="cellIs" dxfId="5329" priority="5260" stopIfTrue="1" operator="equal">
      <formula>"Fail"</formula>
    </cfRule>
  </conditionalFormatting>
  <conditionalFormatting sqref="H773:O773">
    <cfRule type="cellIs" dxfId="5328" priority="5257" stopIfTrue="1" operator="equal">
      <formula>"Pass"</formula>
    </cfRule>
    <cfRule type="cellIs" dxfId="5327" priority="5258" stopIfTrue="1" operator="equal">
      <formula>"Fail"</formula>
    </cfRule>
  </conditionalFormatting>
  <conditionalFormatting sqref="I773:P773">
    <cfRule type="cellIs" dxfId="5326" priority="5255" stopIfTrue="1" operator="equal">
      <formula>"Pass"</formula>
    </cfRule>
    <cfRule type="cellIs" dxfId="5325" priority="5256" stopIfTrue="1" operator="equal">
      <formula>"Fail"</formula>
    </cfRule>
  </conditionalFormatting>
  <conditionalFormatting sqref="I773:P773">
    <cfRule type="cellIs" dxfId="5324" priority="5253" stopIfTrue="1" operator="equal">
      <formula>"Pass"</formula>
    </cfRule>
    <cfRule type="cellIs" dxfId="5323" priority="5254" stopIfTrue="1" operator="equal">
      <formula>"Fail"</formula>
    </cfRule>
  </conditionalFormatting>
  <conditionalFormatting sqref="I773:P773">
    <cfRule type="cellIs" dxfId="5322" priority="5251" stopIfTrue="1" operator="equal">
      <formula>"Pass"</formula>
    </cfRule>
    <cfRule type="cellIs" dxfId="5321" priority="5252" stopIfTrue="1" operator="equal">
      <formula>"Fail"</formula>
    </cfRule>
  </conditionalFormatting>
  <conditionalFormatting sqref="I773:P773">
    <cfRule type="cellIs" dxfId="5320" priority="5249" stopIfTrue="1" operator="equal">
      <formula>"Pass"</formula>
    </cfRule>
    <cfRule type="cellIs" dxfId="5319" priority="5250" stopIfTrue="1" operator="equal">
      <formula>"Fail"</formula>
    </cfRule>
  </conditionalFormatting>
  <conditionalFormatting sqref="H773:O773">
    <cfRule type="cellIs" dxfId="5318" priority="5247" stopIfTrue="1" operator="equal">
      <formula>"Pass"</formula>
    </cfRule>
    <cfRule type="cellIs" dxfId="5317" priority="5248" stopIfTrue="1" operator="equal">
      <formula>"Fail"</formula>
    </cfRule>
  </conditionalFormatting>
  <conditionalFormatting sqref="H773:O773">
    <cfRule type="cellIs" dxfId="5316" priority="5245" stopIfTrue="1" operator="equal">
      <formula>"Pass"</formula>
    </cfRule>
    <cfRule type="cellIs" dxfId="5315" priority="5246" stopIfTrue="1" operator="equal">
      <formula>"Fail"</formula>
    </cfRule>
  </conditionalFormatting>
  <conditionalFormatting sqref="I773:P773">
    <cfRule type="cellIs" dxfId="5314" priority="5243" stopIfTrue="1" operator="equal">
      <formula>"Pass"</formula>
    </cfRule>
    <cfRule type="cellIs" dxfId="5313" priority="5244" stopIfTrue="1" operator="equal">
      <formula>"Fail"</formula>
    </cfRule>
  </conditionalFormatting>
  <conditionalFormatting sqref="I773:P773">
    <cfRule type="cellIs" dxfId="5312" priority="5241" stopIfTrue="1" operator="equal">
      <formula>"Pass"</formula>
    </cfRule>
    <cfRule type="cellIs" dxfId="5311" priority="5242" stopIfTrue="1" operator="equal">
      <formula>"Fail"</formula>
    </cfRule>
  </conditionalFormatting>
  <conditionalFormatting sqref="I773:P773">
    <cfRule type="cellIs" dxfId="5310" priority="5239" stopIfTrue="1" operator="equal">
      <formula>"Pass"</formula>
    </cfRule>
    <cfRule type="cellIs" dxfId="5309" priority="5240" stopIfTrue="1" operator="equal">
      <formula>"Fail"</formula>
    </cfRule>
  </conditionalFormatting>
  <conditionalFormatting sqref="I773:P773">
    <cfRule type="cellIs" dxfId="5308" priority="5237" stopIfTrue="1" operator="equal">
      <formula>"Pass"</formula>
    </cfRule>
    <cfRule type="cellIs" dxfId="5307" priority="5238" stopIfTrue="1" operator="equal">
      <formula>"Fail"</formula>
    </cfRule>
  </conditionalFormatting>
  <conditionalFormatting sqref="H773:O773">
    <cfRule type="cellIs" dxfId="5306" priority="5235" stopIfTrue="1" operator="equal">
      <formula>"Pass"</formula>
    </cfRule>
    <cfRule type="cellIs" dxfId="5305" priority="5236" stopIfTrue="1" operator="equal">
      <formula>"Fail"</formula>
    </cfRule>
  </conditionalFormatting>
  <conditionalFormatting sqref="H773:O773">
    <cfRule type="cellIs" dxfId="5304" priority="5233" stopIfTrue="1" operator="equal">
      <formula>"Pass"</formula>
    </cfRule>
    <cfRule type="cellIs" dxfId="5303" priority="5234" stopIfTrue="1" operator="equal">
      <formula>"Fail"</formula>
    </cfRule>
  </conditionalFormatting>
  <conditionalFormatting sqref="I773:P773">
    <cfRule type="cellIs" dxfId="5302" priority="5231" stopIfTrue="1" operator="equal">
      <formula>"Pass"</formula>
    </cfRule>
    <cfRule type="cellIs" dxfId="5301" priority="5232" stopIfTrue="1" operator="equal">
      <formula>"Fail"</formula>
    </cfRule>
  </conditionalFormatting>
  <conditionalFormatting sqref="I773:P773">
    <cfRule type="cellIs" dxfId="5300" priority="5229" stopIfTrue="1" operator="equal">
      <formula>"Pass"</formula>
    </cfRule>
    <cfRule type="cellIs" dxfId="5299" priority="5230" stopIfTrue="1" operator="equal">
      <formula>"Fail"</formula>
    </cfRule>
  </conditionalFormatting>
  <conditionalFormatting sqref="I773:P773">
    <cfRule type="cellIs" dxfId="5298" priority="5227" stopIfTrue="1" operator="equal">
      <formula>"Pass"</formula>
    </cfRule>
    <cfRule type="cellIs" dxfId="5297" priority="5228" stopIfTrue="1" operator="equal">
      <formula>"Fail"</formula>
    </cfRule>
  </conditionalFormatting>
  <conditionalFormatting sqref="I773:P773">
    <cfRule type="cellIs" dxfId="5296" priority="5225" stopIfTrue="1" operator="equal">
      <formula>"Pass"</formula>
    </cfRule>
    <cfRule type="cellIs" dxfId="5295" priority="5226" stopIfTrue="1" operator="equal">
      <formula>"Fail"</formula>
    </cfRule>
  </conditionalFormatting>
  <conditionalFormatting sqref="H773:O773">
    <cfRule type="cellIs" dxfId="5294" priority="5223" stopIfTrue="1" operator="equal">
      <formula>"Pass"</formula>
    </cfRule>
    <cfRule type="cellIs" dxfId="5293" priority="5224" stopIfTrue="1" operator="equal">
      <formula>"Fail"</formula>
    </cfRule>
  </conditionalFormatting>
  <conditionalFormatting sqref="H773:O773">
    <cfRule type="cellIs" dxfId="5292" priority="5221" stopIfTrue="1" operator="equal">
      <formula>"Pass"</formula>
    </cfRule>
    <cfRule type="cellIs" dxfId="5291" priority="5222" stopIfTrue="1" operator="equal">
      <formula>"Fail"</formula>
    </cfRule>
  </conditionalFormatting>
  <conditionalFormatting sqref="I773:P773">
    <cfRule type="cellIs" dxfId="5290" priority="5219" stopIfTrue="1" operator="equal">
      <formula>"Pass"</formula>
    </cfRule>
    <cfRule type="cellIs" dxfId="5289" priority="5220" stopIfTrue="1" operator="equal">
      <formula>"Fail"</formula>
    </cfRule>
  </conditionalFormatting>
  <conditionalFormatting sqref="I773:P773">
    <cfRule type="cellIs" dxfId="5288" priority="5217" stopIfTrue="1" operator="equal">
      <formula>"Pass"</formula>
    </cfRule>
    <cfRule type="cellIs" dxfId="5287" priority="5218" stopIfTrue="1" operator="equal">
      <formula>"Fail"</formula>
    </cfRule>
  </conditionalFormatting>
  <conditionalFormatting sqref="I773:P773">
    <cfRule type="cellIs" dxfId="5286" priority="5215" stopIfTrue="1" operator="equal">
      <formula>"Pass"</formula>
    </cfRule>
    <cfRule type="cellIs" dxfId="5285" priority="5216" stopIfTrue="1" operator="equal">
      <formula>"Fail"</formula>
    </cfRule>
  </conditionalFormatting>
  <conditionalFormatting sqref="I773:P773">
    <cfRule type="cellIs" dxfId="5284" priority="5213" stopIfTrue="1" operator="equal">
      <formula>"Pass"</formula>
    </cfRule>
    <cfRule type="cellIs" dxfId="5283" priority="5214" stopIfTrue="1" operator="equal">
      <formula>"Fail"</formula>
    </cfRule>
  </conditionalFormatting>
  <conditionalFormatting sqref="H773:O773">
    <cfRule type="cellIs" dxfId="5282" priority="5211" stopIfTrue="1" operator="equal">
      <formula>"Pass"</formula>
    </cfRule>
    <cfRule type="cellIs" dxfId="5281" priority="5212" stopIfTrue="1" operator="equal">
      <formula>"Fail"</formula>
    </cfRule>
  </conditionalFormatting>
  <conditionalFormatting sqref="H773:O773">
    <cfRule type="cellIs" dxfId="5280" priority="5209" stopIfTrue="1" operator="equal">
      <formula>"Pass"</formula>
    </cfRule>
    <cfRule type="cellIs" dxfId="5279" priority="5210" stopIfTrue="1" operator="equal">
      <formula>"Fail"</formula>
    </cfRule>
  </conditionalFormatting>
  <conditionalFormatting sqref="I773:P773">
    <cfRule type="cellIs" dxfId="5278" priority="5207" stopIfTrue="1" operator="equal">
      <formula>"Pass"</formula>
    </cfRule>
    <cfRule type="cellIs" dxfId="5277" priority="5208" stopIfTrue="1" operator="equal">
      <formula>"Fail"</formula>
    </cfRule>
  </conditionalFormatting>
  <conditionalFormatting sqref="I773:P773">
    <cfRule type="cellIs" dxfId="5276" priority="5205" stopIfTrue="1" operator="equal">
      <formula>"Pass"</formula>
    </cfRule>
    <cfRule type="cellIs" dxfId="5275" priority="5206" stopIfTrue="1" operator="equal">
      <formula>"Fail"</formula>
    </cfRule>
  </conditionalFormatting>
  <conditionalFormatting sqref="I773:P773">
    <cfRule type="cellIs" dxfId="5274" priority="5203" stopIfTrue="1" operator="equal">
      <formula>"Pass"</formula>
    </cfRule>
    <cfRule type="cellIs" dxfId="5273" priority="5204" stopIfTrue="1" operator="equal">
      <formula>"Fail"</formula>
    </cfRule>
  </conditionalFormatting>
  <conditionalFormatting sqref="I773:P773">
    <cfRule type="cellIs" dxfId="5272" priority="5201" stopIfTrue="1" operator="equal">
      <formula>"Pass"</formula>
    </cfRule>
    <cfRule type="cellIs" dxfId="5271" priority="5202" stopIfTrue="1" operator="equal">
      <formula>"Fail"</formula>
    </cfRule>
  </conditionalFormatting>
  <conditionalFormatting sqref="H773:O773">
    <cfRule type="cellIs" dxfId="5270" priority="5199" stopIfTrue="1" operator="equal">
      <formula>"Pass"</formula>
    </cfRule>
    <cfRule type="cellIs" dxfId="5269" priority="5200" stopIfTrue="1" operator="equal">
      <formula>"Fail"</formula>
    </cfRule>
  </conditionalFormatting>
  <conditionalFormatting sqref="H773:O773">
    <cfRule type="cellIs" dxfId="5268" priority="5197" stopIfTrue="1" operator="equal">
      <formula>"Pass"</formula>
    </cfRule>
    <cfRule type="cellIs" dxfId="5267" priority="5198" stopIfTrue="1" operator="equal">
      <formula>"Fail"</formula>
    </cfRule>
  </conditionalFormatting>
  <conditionalFormatting sqref="I773:P773">
    <cfRule type="cellIs" dxfId="5266" priority="5195" stopIfTrue="1" operator="equal">
      <formula>"Pass"</formula>
    </cfRule>
    <cfRule type="cellIs" dxfId="5265" priority="5196" stopIfTrue="1" operator="equal">
      <formula>"Fail"</formula>
    </cfRule>
  </conditionalFormatting>
  <conditionalFormatting sqref="I773:P773">
    <cfRule type="cellIs" dxfId="5264" priority="5193" stopIfTrue="1" operator="equal">
      <formula>"Pass"</formula>
    </cfRule>
    <cfRule type="cellIs" dxfId="5263" priority="5194" stopIfTrue="1" operator="equal">
      <formula>"Fail"</formula>
    </cfRule>
  </conditionalFormatting>
  <conditionalFormatting sqref="I773:P773">
    <cfRule type="cellIs" dxfId="5262" priority="5191" stopIfTrue="1" operator="equal">
      <formula>"Pass"</formula>
    </cfRule>
    <cfRule type="cellIs" dxfId="5261" priority="5192" stopIfTrue="1" operator="equal">
      <formula>"Fail"</formula>
    </cfRule>
  </conditionalFormatting>
  <conditionalFormatting sqref="I773:P773">
    <cfRule type="cellIs" dxfId="5260" priority="5189" stopIfTrue="1" operator="equal">
      <formula>"Pass"</formula>
    </cfRule>
    <cfRule type="cellIs" dxfId="5259" priority="5190" stopIfTrue="1" operator="equal">
      <formula>"Fail"</formula>
    </cfRule>
  </conditionalFormatting>
  <conditionalFormatting sqref="H773:O773">
    <cfRule type="cellIs" dxfId="5258" priority="5187" stopIfTrue="1" operator="equal">
      <formula>"Pass"</formula>
    </cfRule>
    <cfRule type="cellIs" dxfId="5257" priority="5188" stopIfTrue="1" operator="equal">
      <formula>"Fail"</formula>
    </cfRule>
  </conditionalFormatting>
  <conditionalFormatting sqref="H773:O773">
    <cfRule type="cellIs" dxfId="5256" priority="5185" stopIfTrue="1" operator="equal">
      <formula>"Pass"</formula>
    </cfRule>
    <cfRule type="cellIs" dxfId="5255" priority="5186" stopIfTrue="1" operator="equal">
      <formula>"Fail"</formula>
    </cfRule>
  </conditionalFormatting>
  <conditionalFormatting sqref="I773:P773">
    <cfRule type="cellIs" dxfId="5254" priority="5183" stopIfTrue="1" operator="equal">
      <formula>"Pass"</formula>
    </cfRule>
    <cfRule type="cellIs" dxfId="5253" priority="5184" stopIfTrue="1" operator="equal">
      <formula>"Fail"</formula>
    </cfRule>
  </conditionalFormatting>
  <conditionalFormatting sqref="I773:P773">
    <cfRule type="cellIs" dxfId="5252" priority="5181" stopIfTrue="1" operator="equal">
      <formula>"Pass"</formula>
    </cfRule>
    <cfRule type="cellIs" dxfId="5251" priority="5182" stopIfTrue="1" operator="equal">
      <formula>"Fail"</formula>
    </cfRule>
  </conditionalFormatting>
  <conditionalFormatting sqref="I773:P773">
    <cfRule type="cellIs" dxfId="5250" priority="5179" stopIfTrue="1" operator="equal">
      <formula>"Pass"</formula>
    </cfRule>
    <cfRule type="cellIs" dxfId="5249" priority="5180" stopIfTrue="1" operator="equal">
      <formula>"Fail"</formula>
    </cfRule>
  </conditionalFormatting>
  <conditionalFormatting sqref="I773:P773">
    <cfRule type="cellIs" dxfId="5248" priority="5177" stopIfTrue="1" operator="equal">
      <formula>"Pass"</formula>
    </cfRule>
    <cfRule type="cellIs" dxfId="5247" priority="5178" stopIfTrue="1" operator="equal">
      <formula>"Fail"</formula>
    </cfRule>
  </conditionalFormatting>
  <conditionalFormatting sqref="D773:E773">
    <cfRule type="cellIs" dxfId="5246" priority="5175" stopIfTrue="1" operator="equal">
      <formula>"Pass"</formula>
    </cfRule>
    <cfRule type="cellIs" dxfId="5245" priority="5176" stopIfTrue="1" operator="equal">
      <formula>"Fail"</formula>
    </cfRule>
  </conditionalFormatting>
  <conditionalFormatting sqref="D773:E773">
    <cfRule type="cellIs" dxfId="5244" priority="5173" stopIfTrue="1" operator="equal">
      <formula>"Pass"</formula>
    </cfRule>
    <cfRule type="cellIs" dxfId="5243" priority="5174" stopIfTrue="1" operator="equal">
      <formula>"Fail"</formula>
    </cfRule>
  </conditionalFormatting>
  <conditionalFormatting sqref="G773:H773">
    <cfRule type="cellIs" dxfId="5242" priority="5171" stopIfTrue="1" operator="equal">
      <formula>"Pass"</formula>
    </cfRule>
    <cfRule type="cellIs" dxfId="5241" priority="5172" stopIfTrue="1" operator="equal">
      <formula>"Fail"</formula>
    </cfRule>
  </conditionalFormatting>
  <conditionalFormatting sqref="G773:H773">
    <cfRule type="cellIs" dxfId="5240" priority="5169" stopIfTrue="1" operator="equal">
      <formula>"Pass"</formula>
    </cfRule>
    <cfRule type="cellIs" dxfId="5239" priority="5170" stopIfTrue="1" operator="equal">
      <formula>"Fail"</formula>
    </cfRule>
  </conditionalFormatting>
  <conditionalFormatting sqref="G773:H773">
    <cfRule type="cellIs" dxfId="5238" priority="5167" stopIfTrue="1" operator="equal">
      <formula>"Pass"</formula>
    </cfRule>
    <cfRule type="cellIs" dxfId="5237" priority="5168" stopIfTrue="1" operator="equal">
      <formula>"Fail"</formula>
    </cfRule>
  </conditionalFormatting>
  <conditionalFormatting sqref="G773:H773">
    <cfRule type="cellIs" dxfId="5236" priority="5165" stopIfTrue="1" operator="equal">
      <formula>"Pass"</formula>
    </cfRule>
    <cfRule type="cellIs" dxfId="5235" priority="5166" stopIfTrue="1" operator="equal">
      <formula>"Fail"</formula>
    </cfRule>
  </conditionalFormatting>
  <conditionalFormatting sqref="H773:O773">
    <cfRule type="cellIs" dxfId="5234" priority="5163" stopIfTrue="1" operator="equal">
      <formula>"Pass"</formula>
    </cfRule>
    <cfRule type="cellIs" dxfId="5233" priority="5164" stopIfTrue="1" operator="equal">
      <formula>"Fail"</formula>
    </cfRule>
  </conditionalFormatting>
  <conditionalFormatting sqref="H773:O773">
    <cfRule type="cellIs" dxfId="5232" priority="5161" stopIfTrue="1" operator="equal">
      <formula>"Pass"</formula>
    </cfRule>
    <cfRule type="cellIs" dxfId="5231" priority="5162" stopIfTrue="1" operator="equal">
      <formula>"Fail"</formula>
    </cfRule>
  </conditionalFormatting>
  <conditionalFormatting sqref="I773:P773">
    <cfRule type="cellIs" dxfId="5230" priority="5159" stopIfTrue="1" operator="equal">
      <formula>"Pass"</formula>
    </cfRule>
    <cfRule type="cellIs" dxfId="5229" priority="5160" stopIfTrue="1" operator="equal">
      <formula>"Fail"</formula>
    </cfRule>
  </conditionalFormatting>
  <conditionalFormatting sqref="I773:P773">
    <cfRule type="cellIs" dxfId="5228" priority="5157" stopIfTrue="1" operator="equal">
      <formula>"Pass"</formula>
    </cfRule>
    <cfRule type="cellIs" dxfId="5227" priority="5158" stopIfTrue="1" operator="equal">
      <formula>"Fail"</formula>
    </cfRule>
  </conditionalFormatting>
  <conditionalFormatting sqref="I773:P773">
    <cfRule type="cellIs" dxfId="5226" priority="5155" stopIfTrue="1" operator="equal">
      <formula>"Pass"</formula>
    </cfRule>
    <cfRule type="cellIs" dxfId="5225" priority="5156" stopIfTrue="1" operator="equal">
      <formula>"Fail"</formula>
    </cfRule>
  </conditionalFormatting>
  <conditionalFormatting sqref="I773:P773">
    <cfRule type="cellIs" dxfId="5224" priority="5153" stopIfTrue="1" operator="equal">
      <formula>"Pass"</formula>
    </cfRule>
    <cfRule type="cellIs" dxfId="5223" priority="5154" stopIfTrue="1" operator="equal">
      <formula>"Fail"</formula>
    </cfRule>
  </conditionalFormatting>
  <conditionalFormatting sqref="H773:O773">
    <cfRule type="cellIs" dxfId="5222" priority="5151" stopIfTrue="1" operator="equal">
      <formula>"Pass"</formula>
    </cfRule>
    <cfRule type="cellIs" dxfId="5221" priority="5152" stopIfTrue="1" operator="equal">
      <formula>"Fail"</formula>
    </cfRule>
  </conditionalFormatting>
  <conditionalFormatting sqref="H773:O773">
    <cfRule type="cellIs" dxfId="5220" priority="5149" stopIfTrue="1" operator="equal">
      <formula>"Pass"</formula>
    </cfRule>
    <cfRule type="cellIs" dxfId="5219" priority="5150" stopIfTrue="1" operator="equal">
      <formula>"Fail"</formula>
    </cfRule>
  </conditionalFormatting>
  <conditionalFormatting sqref="I773:P773">
    <cfRule type="cellIs" dxfId="5218" priority="5147" stopIfTrue="1" operator="equal">
      <formula>"Pass"</formula>
    </cfRule>
    <cfRule type="cellIs" dxfId="5217" priority="5148" stopIfTrue="1" operator="equal">
      <formula>"Fail"</formula>
    </cfRule>
  </conditionalFormatting>
  <conditionalFormatting sqref="I773:P773">
    <cfRule type="cellIs" dxfId="5216" priority="5145" stopIfTrue="1" operator="equal">
      <formula>"Pass"</formula>
    </cfRule>
    <cfRule type="cellIs" dxfId="5215" priority="5146" stopIfTrue="1" operator="equal">
      <formula>"Fail"</formula>
    </cfRule>
  </conditionalFormatting>
  <conditionalFormatting sqref="I773:P773">
    <cfRule type="cellIs" dxfId="5214" priority="5143" stopIfTrue="1" operator="equal">
      <formula>"Pass"</formula>
    </cfRule>
    <cfRule type="cellIs" dxfId="5213" priority="5144" stopIfTrue="1" operator="equal">
      <formula>"Fail"</formula>
    </cfRule>
  </conditionalFormatting>
  <conditionalFormatting sqref="I773:P773">
    <cfRule type="cellIs" dxfId="5212" priority="5141" stopIfTrue="1" operator="equal">
      <formula>"Pass"</formula>
    </cfRule>
    <cfRule type="cellIs" dxfId="5211" priority="5142" stopIfTrue="1" operator="equal">
      <formula>"Fail"</formula>
    </cfRule>
  </conditionalFormatting>
  <conditionalFormatting sqref="H773:O773">
    <cfRule type="cellIs" dxfId="5210" priority="5139" stopIfTrue="1" operator="equal">
      <formula>"Pass"</formula>
    </cfRule>
    <cfRule type="cellIs" dxfId="5209" priority="5140" stopIfTrue="1" operator="equal">
      <formula>"Fail"</formula>
    </cfRule>
  </conditionalFormatting>
  <conditionalFormatting sqref="H773:O773">
    <cfRule type="cellIs" dxfId="5208" priority="5137" stopIfTrue="1" operator="equal">
      <formula>"Pass"</formula>
    </cfRule>
    <cfRule type="cellIs" dxfId="5207" priority="5138" stopIfTrue="1" operator="equal">
      <formula>"Fail"</formula>
    </cfRule>
  </conditionalFormatting>
  <conditionalFormatting sqref="I773:P773">
    <cfRule type="cellIs" dxfId="5206" priority="5135" stopIfTrue="1" operator="equal">
      <formula>"Pass"</formula>
    </cfRule>
    <cfRule type="cellIs" dxfId="5205" priority="5136" stopIfTrue="1" operator="equal">
      <formula>"Fail"</formula>
    </cfRule>
  </conditionalFormatting>
  <conditionalFormatting sqref="I773:P773">
    <cfRule type="cellIs" dxfId="5204" priority="5133" stopIfTrue="1" operator="equal">
      <formula>"Pass"</formula>
    </cfRule>
    <cfRule type="cellIs" dxfId="5203" priority="5134" stopIfTrue="1" operator="equal">
      <formula>"Fail"</formula>
    </cfRule>
  </conditionalFormatting>
  <conditionalFormatting sqref="I773:P773">
    <cfRule type="cellIs" dxfId="5202" priority="5131" stopIfTrue="1" operator="equal">
      <formula>"Pass"</formula>
    </cfRule>
    <cfRule type="cellIs" dxfId="5201" priority="5132" stopIfTrue="1" operator="equal">
      <formula>"Fail"</formula>
    </cfRule>
  </conditionalFormatting>
  <conditionalFormatting sqref="I773:P773">
    <cfRule type="cellIs" dxfId="5200" priority="5129" stopIfTrue="1" operator="equal">
      <formula>"Pass"</formula>
    </cfRule>
    <cfRule type="cellIs" dxfId="5199" priority="5130" stopIfTrue="1" operator="equal">
      <formula>"Fail"</formula>
    </cfRule>
  </conditionalFormatting>
  <conditionalFormatting sqref="H773:O773">
    <cfRule type="cellIs" dxfId="5198" priority="5127" stopIfTrue="1" operator="equal">
      <formula>"Pass"</formula>
    </cfRule>
    <cfRule type="cellIs" dxfId="5197" priority="5128" stopIfTrue="1" operator="equal">
      <formula>"Fail"</formula>
    </cfRule>
  </conditionalFormatting>
  <conditionalFormatting sqref="H773:O773">
    <cfRule type="cellIs" dxfId="5196" priority="5125" stopIfTrue="1" operator="equal">
      <formula>"Pass"</formula>
    </cfRule>
    <cfRule type="cellIs" dxfId="5195" priority="5126" stopIfTrue="1" operator="equal">
      <formula>"Fail"</formula>
    </cfRule>
  </conditionalFormatting>
  <conditionalFormatting sqref="I773:P773">
    <cfRule type="cellIs" dxfId="5194" priority="5123" stopIfTrue="1" operator="equal">
      <formula>"Pass"</formula>
    </cfRule>
    <cfRule type="cellIs" dxfId="5193" priority="5124" stopIfTrue="1" operator="equal">
      <formula>"Fail"</formula>
    </cfRule>
  </conditionalFormatting>
  <conditionalFormatting sqref="I773:P773">
    <cfRule type="cellIs" dxfId="5192" priority="5121" stopIfTrue="1" operator="equal">
      <formula>"Pass"</formula>
    </cfRule>
    <cfRule type="cellIs" dxfId="5191" priority="5122" stopIfTrue="1" operator="equal">
      <formula>"Fail"</formula>
    </cfRule>
  </conditionalFormatting>
  <conditionalFormatting sqref="I773:P773">
    <cfRule type="cellIs" dxfId="5190" priority="5119" stopIfTrue="1" operator="equal">
      <formula>"Pass"</formula>
    </cfRule>
    <cfRule type="cellIs" dxfId="5189" priority="5120" stopIfTrue="1" operator="equal">
      <formula>"Fail"</formula>
    </cfRule>
  </conditionalFormatting>
  <conditionalFormatting sqref="I773:P773">
    <cfRule type="cellIs" dxfId="5188" priority="5117" stopIfTrue="1" operator="equal">
      <formula>"Pass"</formula>
    </cfRule>
    <cfRule type="cellIs" dxfId="5187" priority="5118" stopIfTrue="1" operator="equal">
      <formula>"Fail"</formula>
    </cfRule>
  </conditionalFormatting>
  <conditionalFormatting sqref="H773:O773">
    <cfRule type="cellIs" dxfId="5186" priority="5115" stopIfTrue="1" operator="equal">
      <formula>"Pass"</formula>
    </cfRule>
    <cfRule type="cellIs" dxfId="5185" priority="5116" stopIfTrue="1" operator="equal">
      <formula>"Fail"</formula>
    </cfRule>
  </conditionalFormatting>
  <conditionalFormatting sqref="H773:O773">
    <cfRule type="cellIs" dxfId="5184" priority="5113" stopIfTrue="1" operator="equal">
      <formula>"Pass"</formula>
    </cfRule>
    <cfRule type="cellIs" dxfId="5183" priority="5114" stopIfTrue="1" operator="equal">
      <formula>"Fail"</formula>
    </cfRule>
  </conditionalFormatting>
  <conditionalFormatting sqref="I773:P773">
    <cfRule type="cellIs" dxfId="5182" priority="5111" stopIfTrue="1" operator="equal">
      <formula>"Pass"</formula>
    </cfRule>
    <cfRule type="cellIs" dxfId="5181" priority="5112" stopIfTrue="1" operator="equal">
      <formula>"Fail"</formula>
    </cfRule>
  </conditionalFormatting>
  <conditionalFormatting sqref="I773:P773">
    <cfRule type="cellIs" dxfId="5180" priority="5109" stopIfTrue="1" operator="equal">
      <formula>"Pass"</formula>
    </cfRule>
    <cfRule type="cellIs" dxfId="5179" priority="5110" stopIfTrue="1" operator="equal">
      <formula>"Fail"</formula>
    </cfRule>
  </conditionalFormatting>
  <conditionalFormatting sqref="I773:P773">
    <cfRule type="cellIs" dxfId="5178" priority="5107" stopIfTrue="1" operator="equal">
      <formula>"Pass"</formula>
    </cfRule>
    <cfRule type="cellIs" dxfId="5177" priority="5108" stopIfTrue="1" operator="equal">
      <formula>"Fail"</formula>
    </cfRule>
  </conditionalFormatting>
  <conditionalFormatting sqref="I773:P773">
    <cfRule type="cellIs" dxfId="5176" priority="5105" stopIfTrue="1" operator="equal">
      <formula>"Pass"</formula>
    </cfRule>
    <cfRule type="cellIs" dxfId="5175" priority="5106" stopIfTrue="1" operator="equal">
      <formula>"Fail"</formula>
    </cfRule>
  </conditionalFormatting>
  <conditionalFormatting sqref="H773:O773">
    <cfRule type="cellIs" dxfId="5174" priority="5103" stopIfTrue="1" operator="equal">
      <formula>"Pass"</formula>
    </cfRule>
    <cfRule type="cellIs" dxfId="5173" priority="5104" stopIfTrue="1" operator="equal">
      <formula>"Fail"</formula>
    </cfRule>
  </conditionalFormatting>
  <conditionalFormatting sqref="H773:O773">
    <cfRule type="cellIs" dxfId="5172" priority="5101" stopIfTrue="1" operator="equal">
      <formula>"Pass"</formula>
    </cfRule>
    <cfRule type="cellIs" dxfId="5171" priority="5102" stopIfTrue="1" operator="equal">
      <formula>"Fail"</formula>
    </cfRule>
  </conditionalFormatting>
  <conditionalFormatting sqref="I773:P773">
    <cfRule type="cellIs" dxfId="5170" priority="5099" stopIfTrue="1" operator="equal">
      <formula>"Pass"</formula>
    </cfRule>
    <cfRule type="cellIs" dxfId="5169" priority="5100" stopIfTrue="1" operator="equal">
      <formula>"Fail"</formula>
    </cfRule>
  </conditionalFormatting>
  <conditionalFormatting sqref="I773:P773">
    <cfRule type="cellIs" dxfId="5168" priority="5097" stopIfTrue="1" operator="equal">
      <formula>"Pass"</formula>
    </cfRule>
    <cfRule type="cellIs" dxfId="5167" priority="5098" stopIfTrue="1" operator="equal">
      <formula>"Fail"</formula>
    </cfRule>
  </conditionalFormatting>
  <conditionalFormatting sqref="I773:P773">
    <cfRule type="cellIs" dxfId="5166" priority="5095" stopIfTrue="1" operator="equal">
      <formula>"Pass"</formula>
    </cfRule>
    <cfRule type="cellIs" dxfId="5165" priority="5096" stopIfTrue="1" operator="equal">
      <formula>"Fail"</formula>
    </cfRule>
  </conditionalFormatting>
  <conditionalFormatting sqref="I773:P773">
    <cfRule type="cellIs" dxfId="5164" priority="5093" stopIfTrue="1" operator="equal">
      <formula>"Pass"</formula>
    </cfRule>
    <cfRule type="cellIs" dxfId="5163" priority="5094" stopIfTrue="1" operator="equal">
      <formula>"Fail"</formula>
    </cfRule>
  </conditionalFormatting>
  <conditionalFormatting sqref="H773:O773">
    <cfRule type="cellIs" dxfId="5162" priority="5091" stopIfTrue="1" operator="equal">
      <formula>"Pass"</formula>
    </cfRule>
    <cfRule type="cellIs" dxfId="5161" priority="5092" stopIfTrue="1" operator="equal">
      <formula>"Fail"</formula>
    </cfRule>
  </conditionalFormatting>
  <conditionalFormatting sqref="H773:O773">
    <cfRule type="cellIs" dxfId="5160" priority="5089" stopIfTrue="1" operator="equal">
      <formula>"Pass"</formula>
    </cfRule>
    <cfRule type="cellIs" dxfId="5159" priority="5090" stopIfTrue="1" operator="equal">
      <formula>"Fail"</formula>
    </cfRule>
  </conditionalFormatting>
  <conditionalFormatting sqref="I773:P773">
    <cfRule type="cellIs" dxfId="5158" priority="5087" stopIfTrue="1" operator="equal">
      <formula>"Pass"</formula>
    </cfRule>
    <cfRule type="cellIs" dxfId="5157" priority="5088" stopIfTrue="1" operator="equal">
      <formula>"Fail"</formula>
    </cfRule>
  </conditionalFormatting>
  <conditionalFormatting sqref="I773:P773">
    <cfRule type="cellIs" dxfId="5156" priority="5085" stopIfTrue="1" operator="equal">
      <formula>"Pass"</formula>
    </cfRule>
    <cfRule type="cellIs" dxfId="5155" priority="5086" stopIfTrue="1" operator="equal">
      <formula>"Fail"</formula>
    </cfRule>
  </conditionalFormatting>
  <conditionalFormatting sqref="I773:P773">
    <cfRule type="cellIs" dxfId="5154" priority="5083" stopIfTrue="1" operator="equal">
      <formula>"Pass"</formula>
    </cfRule>
    <cfRule type="cellIs" dxfId="5153" priority="5084" stopIfTrue="1" operator="equal">
      <formula>"Fail"</formula>
    </cfRule>
  </conditionalFormatting>
  <conditionalFormatting sqref="I773:P773">
    <cfRule type="cellIs" dxfId="5152" priority="5081" stopIfTrue="1" operator="equal">
      <formula>"Pass"</formula>
    </cfRule>
    <cfRule type="cellIs" dxfId="5151" priority="5082" stopIfTrue="1" operator="equal">
      <formula>"Fail"</formula>
    </cfRule>
  </conditionalFormatting>
  <conditionalFormatting sqref="H773:O773">
    <cfRule type="cellIs" dxfId="5150" priority="5079" stopIfTrue="1" operator="equal">
      <formula>"Pass"</formula>
    </cfRule>
    <cfRule type="cellIs" dxfId="5149" priority="5080" stopIfTrue="1" operator="equal">
      <formula>"Fail"</formula>
    </cfRule>
  </conditionalFormatting>
  <conditionalFormatting sqref="H773:O773">
    <cfRule type="cellIs" dxfId="5148" priority="5077" stopIfTrue="1" operator="equal">
      <formula>"Pass"</formula>
    </cfRule>
    <cfRule type="cellIs" dxfId="5147" priority="5078" stopIfTrue="1" operator="equal">
      <formula>"Fail"</formula>
    </cfRule>
  </conditionalFormatting>
  <conditionalFormatting sqref="I773:P773">
    <cfRule type="cellIs" dxfId="5146" priority="5075" stopIfTrue="1" operator="equal">
      <formula>"Pass"</formula>
    </cfRule>
    <cfRule type="cellIs" dxfId="5145" priority="5076" stopIfTrue="1" operator="equal">
      <formula>"Fail"</formula>
    </cfRule>
  </conditionalFormatting>
  <conditionalFormatting sqref="I773:P773">
    <cfRule type="cellIs" dxfId="5144" priority="5073" stopIfTrue="1" operator="equal">
      <formula>"Pass"</formula>
    </cfRule>
    <cfRule type="cellIs" dxfId="5143" priority="5074" stopIfTrue="1" operator="equal">
      <formula>"Fail"</formula>
    </cfRule>
  </conditionalFormatting>
  <conditionalFormatting sqref="I773:P773">
    <cfRule type="cellIs" dxfId="5142" priority="5071" stopIfTrue="1" operator="equal">
      <formula>"Pass"</formula>
    </cfRule>
    <cfRule type="cellIs" dxfId="5141" priority="5072" stopIfTrue="1" operator="equal">
      <formula>"Fail"</formula>
    </cfRule>
  </conditionalFormatting>
  <conditionalFormatting sqref="I773:P773">
    <cfRule type="cellIs" dxfId="5140" priority="5069" stopIfTrue="1" operator="equal">
      <formula>"Pass"</formula>
    </cfRule>
    <cfRule type="cellIs" dxfId="5139" priority="5070" stopIfTrue="1" operator="equal">
      <formula>"Fail"</formula>
    </cfRule>
  </conditionalFormatting>
  <conditionalFormatting sqref="H773:O773">
    <cfRule type="cellIs" dxfId="5138" priority="5067" stopIfTrue="1" operator="equal">
      <formula>"Pass"</formula>
    </cfRule>
    <cfRule type="cellIs" dxfId="5137" priority="5068" stopIfTrue="1" operator="equal">
      <formula>"Fail"</formula>
    </cfRule>
  </conditionalFormatting>
  <conditionalFormatting sqref="H773:O773">
    <cfRule type="cellIs" dxfId="5136" priority="5065" stopIfTrue="1" operator="equal">
      <formula>"Pass"</formula>
    </cfRule>
    <cfRule type="cellIs" dxfId="5135" priority="5066" stopIfTrue="1" operator="equal">
      <formula>"Fail"</formula>
    </cfRule>
  </conditionalFormatting>
  <conditionalFormatting sqref="I773:P773">
    <cfRule type="cellIs" dxfId="5134" priority="5063" stopIfTrue="1" operator="equal">
      <formula>"Pass"</formula>
    </cfRule>
    <cfRule type="cellIs" dxfId="5133" priority="5064" stopIfTrue="1" operator="equal">
      <formula>"Fail"</formula>
    </cfRule>
  </conditionalFormatting>
  <conditionalFormatting sqref="I773:P773">
    <cfRule type="cellIs" dxfId="5132" priority="5061" stopIfTrue="1" operator="equal">
      <formula>"Pass"</formula>
    </cfRule>
    <cfRule type="cellIs" dxfId="5131" priority="5062" stopIfTrue="1" operator="equal">
      <formula>"Fail"</formula>
    </cfRule>
  </conditionalFormatting>
  <conditionalFormatting sqref="I773:P773">
    <cfRule type="cellIs" dxfId="5130" priority="5059" stopIfTrue="1" operator="equal">
      <formula>"Pass"</formula>
    </cfRule>
    <cfRule type="cellIs" dxfId="5129" priority="5060" stopIfTrue="1" operator="equal">
      <formula>"Fail"</formula>
    </cfRule>
  </conditionalFormatting>
  <conditionalFormatting sqref="I773:P773">
    <cfRule type="cellIs" dxfId="5128" priority="5057" stopIfTrue="1" operator="equal">
      <formula>"Pass"</formula>
    </cfRule>
    <cfRule type="cellIs" dxfId="5127" priority="5058" stopIfTrue="1" operator="equal">
      <formula>"Fail"</formula>
    </cfRule>
  </conditionalFormatting>
  <conditionalFormatting sqref="H773:O773">
    <cfRule type="cellIs" dxfId="5126" priority="5055" stopIfTrue="1" operator="equal">
      <formula>"Pass"</formula>
    </cfRule>
    <cfRule type="cellIs" dxfId="5125" priority="5056" stopIfTrue="1" operator="equal">
      <formula>"Fail"</formula>
    </cfRule>
  </conditionalFormatting>
  <conditionalFormatting sqref="H773:O773">
    <cfRule type="cellIs" dxfId="5124" priority="5053" stopIfTrue="1" operator="equal">
      <formula>"Pass"</formula>
    </cfRule>
    <cfRule type="cellIs" dxfId="5123" priority="5054" stopIfTrue="1" operator="equal">
      <formula>"Fail"</formula>
    </cfRule>
  </conditionalFormatting>
  <conditionalFormatting sqref="I773:P773">
    <cfRule type="cellIs" dxfId="5122" priority="5051" stopIfTrue="1" operator="equal">
      <formula>"Pass"</formula>
    </cfRule>
    <cfRule type="cellIs" dxfId="5121" priority="5052" stopIfTrue="1" operator="equal">
      <formula>"Fail"</formula>
    </cfRule>
  </conditionalFormatting>
  <conditionalFormatting sqref="I773:P773">
    <cfRule type="cellIs" dxfId="5120" priority="5049" stopIfTrue="1" operator="equal">
      <formula>"Pass"</formula>
    </cfRule>
    <cfRule type="cellIs" dxfId="5119" priority="5050" stopIfTrue="1" operator="equal">
      <formula>"Fail"</formula>
    </cfRule>
  </conditionalFormatting>
  <conditionalFormatting sqref="I773:P773">
    <cfRule type="cellIs" dxfId="5118" priority="5047" stopIfTrue="1" operator="equal">
      <formula>"Pass"</formula>
    </cfRule>
    <cfRule type="cellIs" dxfId="5117" priority="5048" stopIfTrue="1" operator="equal">
      <formula>"Fail"</formula>
    </cfRule>
  </conditionalFormatting>
  <conditionalFormatting sqref="I773:P773">
    <cfRule type="cellIs" dxfId="5116" priority="5045" stopIfTrue="1" operator="equal">
      <formula>"Pass"</formula>
    </cfRule>
    <cfRule type="cellIs" dxfId="5115" priority="5046" stopIfTrue="1" operator="equal">
      <formula>"Fail"</formula>
    </cfRule>
  </conditionalFormatting>
  <conditionalFormatting sqref="H773:O773">
    <cfRule type="cellIs" dxfId="5114" priority="5043" stopIfTrue="1" operator="equal">
      <formula>"Pass"</formula>
    </cfRule>
    <cfRule type="cellIs" dxfId="5113" priority="5044" stopIfTrue="1" operator="equal">
      <formula>"Fail"</formula>
    </cfRule>
  </conditionalFormatting>
  <conditionalFormatting sqref="H773:O773">
    <cfRule type="cellIs" dxfId="5112" priority="5041" stopIfTrue="1" operator="equal">
      <formula>"Pass"</formula>
    </cfRule>
    <cfRule type="cellIs" dxfId="5111" priority="5042" stopIfTrue="1" operator="equal">
      <formula>"Fail"</formula>
    </cfRule>
  </conditionalFormatting>
  <conditionalFormatting sqref="I773:P773">
    <cfRule type="cellIs" dxfId="5110" priority="5039" stopIfTrue="1" operator="equal">
      <formula>"Pass"</formula>
    </cfRule>
    <cfRule type="cellIs" dxfId="5109" priority="5040" stopIfTrue="1" operator="equal">
      <formula>"Fail"</formula>
    </cfRule>
  </conditionalFormatting>
  <conditionalFormatting sqref="I773:P773">
    <cfRule type="cellIs" dxfId="5108" priority="5037" stopIfTrue="1" operator="equal">
      <formula>"Pass"</formula>
    </cfRule>
    <cfRule type="cellIs" dxfId="5107" priority="5038" stopIfTrue="1" operator="equal">
      <formula>"Fail"</formula>
    </cfRule>
  </conditionalFormatting>
  <conditionalFormatting sqref="I773:P773">
    <cfRule type="cellIs" dxfId="5106" priority="5035" stopIfTrue="1" operator="equal">
      <formula>"Pass"</formula>
    </cfRule>
    <cfRule type="cellIs" dxfId="5105" priority="5036" stopIfTrue="1" operator="equal">
      <formula>"Fail"</formula>
    </cfRule>
  </conditionalFormatting>
  <conditionalFormatting sqref="I773:P773">
    <cfRule type="cellIs" dxfId="5104" priority="5033" stopIfTrue="1" operator="equal">
      <formula>"Pass"</formula>
    </cfRule>
    <cfRule type="cellIs" dxfId="5103" priority="5034" stopIfTrue="1" operator="equal">
      <formula>"Fail"</formula>
    </cfRule>
  </conditionalFormatting>
  <conditionalFormatting sqref="H773:O773">
    <cfRule type="cellIs" dxfId="5102" priority="5031" stopIfTrue="1" operator="equal">
      <formula>"Pass"</formula>
    </cfRule>
    <cfRule type="cellIs" dxfId="5101" priority="5032" stopIfTrue="1" operator="equal">
      <formula>"Fail"</formula>
    </cfRule>
  </conditionalFormatting>
  <conditionalFormatting sqref="H773:O773">
    <cfRule type="cellIs" dxfId="5100" priority="5029" stopIfTrue="1" operator="equal">
      <formula>"Pass"</formula>
    </cfRule>
    <cfRule type="cellIs" dxfId="5099" priority="5030" stopIfTrue="1" operator="equal">
      <formula>"Fail"</formula>
    </cfRule>
  </conditionalFormatting>
  <conditionalFormatting sqref="I773:P773">
    <cfRule type="cellIs" dxfId="5098" priority="5027" stopIfTrue="1" operator="equal">
      <formula>"Pass"</formula>
    </cfRule>
    <cfRule type="cellIs" dxfId="5097" priority="5028" stopIfTrue="1" operator="equal">
      <formula>"Fail"</formula>
    </cfRule>
  </conditionalFormatting>
  <conditionalFormatting sqref="I773:P773">
    <cfRule type="cellIs" dxfId="5096" priority="5025" stopIfTrue="1" operator="equal">
      <formula>"Pass"</formula>
    </cfRule>
    <cfRule type="cellIs" dxfId="5095" priority="5026" stopIfTrue="1" operator="equal">
      <formula>"Fail"</formula>
    </cfRule>
  </conditionalFormatting>
  <conditionalFormatting sqref="I773:P773">
    <cfRule type="cellIs" dxfId="5094" priority="5023" stopIfTrue="1" operator="equal">
      <formula>"Pass"</formula>
    </cfRule>
    <cfRule type="cellIs" dxfId="5093" priority="5024" stopIfTrue="1" operator="equal">
      <formula>"Fail"</formula>
    </cfRule>
  </conditionalFormatting>
  <conditionalFormatting sqref="I773:P773">
    <cfRule type="cellIs" dxfId="5092" priority="5021" stopIfTrue="1" operator="equal">
      <formula>"Pass"</formula>
    </cfRule>
    <cfRule type="cellIs" dxfId="5091" priority="5022" stopIfTrue="1" operator="equal">
      <formula>"Fail"</formula>
    </cfRule>
  </conditionalFormatting>
  <conditionalFormatting sqref="D773:E773 G773:P773">
    <cfRule type="cellIs" dxfId="5090" priority="5019" stopIfTrue="1" operator="equal">
      <formula>"Pass"</formula>
    </cfRule>
    <cfRule type="cellIs" dxfId="5089" priority="5020" stopIfTrue="1" operator="equal">
      <formula>"Fail"</formula>
    </cfRule>
  </conditionalFormatting>
  <conditionalFormatting sqref="E773 H773:P773">
    <cfRule type="cellIs" dxfId="5088" priority="5017" stopIfTrue="1" operator="equal">
      <formula>"Pass"</formula>
    </cfRule>
    <cfRule type="cellIs" dxfId="5087" priority="5018" stopIfTrue="1" operator="equal">
      <formula>"Fail"</formula>
    </cfRule>
  </conditionalFormatting>
  <conditionalFormatting sqref="E773 H773:P773">
    <cfRule type="cellIs" dxfId="5086" priority="5015" stopIfTrue="1" operator="equal">
      <formula>"Pass"</formula>
    </cfRule>
    <cfRule type="cellIs" dxfId="5085" priority="5016" stopIfTrue="1" operator="equal">
      <formula>"Fail"</formula>
    </cfRule>
  </conditionalFormatting>
  <conditionalFormatting sqref="E773 H773:P773">
    <cfRule type="cellIs" dxfId="5084" priority="5013" stopIfTrue="1" operator="equal">
      <formula>"Pass"</formula>
    </cfRule>
    <cfRule type="cellIs" dxfId="5083" priority="5014" stopIfTrue="1" operator="equal">
      <formula>"Fail"</formula>
    </cfRule>
  </conditionalFormatting>
  <conditionalFormatting sqref="E773 H773:P773">
    <cfRule type="cellIs" dxfId="5082" priority="5011" stopIfTrue="1" operator="equal">
      <formula>"Pass"</formula>
    </cfRule>
    <cfRule type="cellIs" dxfId="5081" priority="5012" stopIfTrue="1" operator="equal">
      <formula>"Fail"</formula>
    </cfRule>
  </conditionalFormatting>
  <conditionalFormatting sqref="E773 H773:P773">
    <cfRule type="cellIs" dxfId="5080" priority="5009" stopIfTrue="1" operator="equal">
      <formula>"Pass"</formula>
    </cfRule>
    <cfRule type="cellIs" dxfId="5079" priority="5010" stopIfTrue="1" operator="equal">
      <formula>"Fail"</formula>
    </cfRule>
  </conditionalFormatting>
  <conditionalFormatting sqref="E773 H773:P773">
    <cfRule type="cellIs" dxfId="5078" priority="5007" stopIfTrue="1" operator="equal">
      <formula>"Pass"</formula>
    </cfRule>
    <cfRule type="cellIs" dxfId="5077" priority="5008" stopIfTrue="1" operator="equal">
      <formula>"Fail"</formula>
    </cfRule>
  </conditionalFormatting>
  <conditionalFormatting sqref="E773 H773:P773">
    <cfRule type="cellIs" dxfId="5076" priority="5005" stopIfTrue="1" operator="equal">
      <formula>"Pass"</formula>
    </cfRule>
    <cfRule type="cellIs" dxfId="5075" priority="5006" stopIfTrue="1" operator="equal">
      <formula>"Fail"</formula>
    </cfRule>
  </conditionalFormatting>
  <conditionalFormatting sqref="E773 H773:P773">
    <cfRule type="cellIs" dxfId="5074" priority="5003" stopIfTrue="1" operator="equal">
      <formula>"Pass"</formula>
    </cfRule>
    <cfRule type="cellIs" dxfId="5073" priority="5004" stopIfTrue="1" operator="equal">
      <formula>"Fail"</formula>
    </cfRule>
  </conditionalFormatting>
  <conditionalFormatting sqref="E773 H773:P773">
    <cfRule type="cellIs" dxfId="5072" priority="5001" stopIfTrue="1" operator="equal">
      <formula>"Pass"</formula>
    </cfRule>
    <cfRule type="cellIs" dxfId="5071" priority="5002" stopIfTrue="1" operator="equal">
      <formula>"Fail"</formula>
    </cfRule>
  </conditionalFormatting>
  <conditionalFormatting sqref="E773 H773:P773">
    <cfRule type="cellIs" dxfId="5070" priority="4999" stopIfTrue="1" operator="equal">
      <formula>"Pass"</formula>
    </cfRule>
    <cfRule type="cellIs" dxfId="5069" priority="5000" stopIfTrue="1" operator="equal">
      <formula>"Fail"</formula>
    </cfRule>
  </conditionalFormatting>
  <conditionalFormatting sqref="E773 H773:P773">
    <cfRule type="cellIs" dxfId="5068" priority="4997" stopIfTrue="1" operator="equal">
      <formula>"Pass"</formula>
    </cfRule>
    <cfRule type="cellIs" dxfId="5067" priority="4998" stopIfTrue="1" operator="equal">
      <formula>"Fail"</formula>
    </cfRule>
  </conditionalFormatting>
  <conditionalFormatting sqref="E773 H773:P773">
    <cfRule type="cellIs" dxfId="5066" priority="4995" stopIfTrue="1" operator="equal">
      <formula>"Pass"</formula>
    </cfRule>
    <cfRule type="cellIs" dxfId="5065" priority="4996" stopIfTrue="1" operator="equal">
      <formula>"Fail"</formula>
    </cfRule>
  </conditionalFormatting>
  <conditionalFormatting sqref="E773 H773:P773">
    <cfRule type="cellIs" dxfId="5064" priority="4993" stopIfTrue="1" operator="equal">
      <formula>"Pass"</formula>
    </cfRule>
    <cfRule type="cellIs" dxfId="5063" priority="4994" stopIfTrue="1" operator="equal">
      <formula>"Fail"</formula>
    </cfRule>
  </conditionalFormatting>
  <conditionalFormatting sqref="E773 H773:P773">
    <cfRule type="cellIs" dxfId="5062" priority="4991" stopIfTrue="1" operator="equal">
      <formula>"Pass"</formula>
    </cfRule>
    <cfRule type="cellIs" dxfId="5061" priority="4992" stopIfTrue="1" operator="equal">
      <formula>"Fail"</formula>
    </cfRule>
  </conditionalFormatting>
  <conditionalFormatting sqref="E773 H773:P773">
    <cfRule type="cellIs" dxfId="5060" priority="4989" stopIfTrue="1" operator="equal">
      <formula>"Pass"</formula>
    </cfRule>
    <cfRule type="cellIs" dxfId="5059" priority="4990" stopIfTrue="1" operator="equal">
      <formula>"Fail"</formula>
    </cfRule>
  </conditionalFormatting>
  <conditionalFormatting sqref="E773 H773:P773">
    <cfRule type="cellIs" dxfId="5058" priority="4987" stopIfTrue="1" operator="equal">
      <formula>"Pass"</formula>
    </cfRule>
    <cfRule type="cellIs" dxfId="5057" priority="4988" stopIfTrue="1" operator="equal">
      <formula>"Fail"</formula>
    </cfRule>
  </conditionalFormatting>
  <conditionalFormatting sqref="E773 H773:P773">
    <cfRule type="cellIs" dxfId="5056" priority="4985" stopIfTrue="1" operator="equal">
      <formula>"Pass"</formula>
    </cfRule>
    <cfRule type="cellIs" dxfId="5055" priority="4986" stopIfTrue="1" operator="equal">
      <formula>"Fail"</formula>
    </cfRule>
  </conditionalFormatting>
  <conditionalFormatting sqref="E773 H773:P773">
    <cfRule type="cellIs" dxfId="5054" priority="4983" stopIfTrue="1" operator="equal">
      <formula>"Pass"</formula>
    </cfRule>
    <cfRule type="cellIs" dxfId="5053" priority="4984" stopIfTrue="1" operator="equal">
      <formula>"Fail"</formula>
    </cfRule>
  </conditionalFormatting>
  <conditionalFormatting sqref="H774:P774">
    <cfRule type="cellIs" dxfId="5052" priority="4981" stopIfTrue="1" operator="equal">
      <formula>"Pass"</formula>
    </cfRule>
    <cfRule type="cellIs" dxfId="5051" priority="4982" stopIfTrue="1" operator="equal">
      <formula>"Fail"</formula>
    </cfRule>
  </conditionalFormatting>
  <conditionalFormatting sqref="H774:O774">
    <cfRule type="cellIs" dxfId="5050" priority="4979" stopIfTrue="1" operator="equal">
      <formula>"Pass"</formula>
    </cfRule>
    <cfRule type="cellIs" dxfId="5049" priority="4980" stopIfTrue="1" operator="equal">
      <formula>"Fail"</formula>
    </cfRule>
  </conditionalFormatting>
  <conditionalFormatting sqref="H774:O774">
    <cfRule type="cellIs" dxfId="5048" priority="4977" stopIfTrue="1" operator="equal">
      <formula>"Pass"</formula>
    </cfRule>
    <cfRule type="cellIs" dxfId="5047" priority="4978" stopIfTrue="1" operator="equal">
      <formula>"Fail"</formula>
    </cfRule>
  </conditionalFormatting>
  <conditionalFormatting sqref="I774:P774">
    <cfRule type="cellIs" dxfId="5046" priority="4975" stopIfTrue="1" operator="equal">
      <formula>"Pass"</formula>
    </cfRule>
    <cfRule type="cellIs" dxfId="5045" priority="4976" stopIfTrue="1" operator="equal">
      <formula>"Fail"</formula>
    </cfRule>
  </conditionalFormatting>
  <conditionalFormatting sqref="I774:P774">
    <cfRule type="cellIs" dxfId="5044" priority="4973" stopIfTrue="1" operator="equal">
      <formula>"Pass"</formula>
    </cfRule>
    <cfRule type="cellIs" dxfId="5043" priority="4974" stopIfTrue="1" operator="equal">
      <formula>"Fail"</formula>
    </cfRule>
  </conditionalFormatting>
  <conditionalFormatting sqref="I774:P774">
    <cfRule type="cellIs" dxfId="5042" priority="4971" stopIfTrue="1" operator="equal">
      <formula>"Pass"</formula>
    </cfRule>
    <cfRule type="cellIs" dxfId="5041" priority="4972" stopIfTrue="1" operator="equal">
      <formula>"Fail"</formula>
    </cfRule>
  </conditionalFormatting>
  <conditionalFormatting sqref="I774:P774">
    <cfRule type="cellIs" dxfId="5040" priority="4969" stopIfTrue="1" operator="equal">
      <formula>"Pass"</formula>
    </cfRule>
    <cfRule type="cellIs" dxfId="5039" priority="4970" stopIfTrue="1" operator="equal">
      <formula>"Fail"</formula>
    </cfRule>
  </conditionalFormatting>
  <conditionalFormatting sqref="H774:O774">
    <cfRule type="cellIs" dxfId="5038" priority="4967" stopIfTrue="1" operator="equal">
      <formula>"Pass"</formula>
    </cfRule>
    <cfRule type="cellIs" dxfId="5037" priority="4968" stopIfTrue="1" operator="equal">
      <formula>"Fail"</formula>
    </cfRule>
  </conditionalFormatting>
  <conditionalFormatting sqref="H774:O774">
    <cfRule type="cellIs" dxfId="5036" priority="4965" stopIfTrue="1" operator="equal">
      <formula>"Pass"</formula>
    </cfRule>
    <cfRule type="cellIs" dxfId="5035" priority="4966" stopIfTrue="1" operator="equal">
      <formula>"Fail"</formula>
    </cfRule>
  </conditionalFormatting>
  <conditionalFormatting sqref="I774:P774">
    <cfRule type="cellIs" dxfId="5034" priority="4963" stopIfTrue="1" operator="equal">
      <formula>"Pass"</formula>
    </cfRule>
    <cfRule type="cellIs" dxfId="5033" priority="4964" stopIfTrue="1" operator="equal">
      <formula>"Fail"</formula>
    </cfRule>
  </conditionalFormatting>
  <conditionalFormatting sqref="I774:P774">
    <cfRule type="cellIs" dxfId="5032" priority="4961" stopIfTrue="1" operator="equal">
      <formula>"Pass"</formula>
    </cfRule>
    <cfRule type="cellIs" dxfId="5031" priority="4962" stopIfTrue="1" operator="equal">
      <formula>"Fail"</formula>
    </cfRule>
  </conditionalFormatting>
  <conditionalFormatting sqref="I774:P774">
    <cfRule type="cellIs" dxfId="5030" priority="4959" stopIfTrue="1" operator="equal">
      <formula>"Pass"</formula>
    </cfRule>
    <cfRule type="cellIs" dxfId="5029" priority="4960" stopIfTrue="1" operator="equal">
      <formula>"Fail"</formula>
    </cfRule>
  </conditionalFormatting>
  <conditionalFormatting sqref="I774:P774">
    <cfRule type="cellIs" dxfId="5028" priority="4957" stopIfTrue="1" operator="equal">
      <formula>"Pass"</formula>
    </cfRule>
    <cfRule type="cellIs" dxfId="5027" priority="4958" stopIfTrue="1" operator="equal">
      <formula>"Fail"</formula>
    </cfRule>
  </conditionalFormatting>
  <conditionalFormatting sqref="H774:O774">
    <cfRule type="cellIs" dxfId="5026" priority="4955" stopIfTrue="1" operator="equal">
      <formula>"Pass"</formula>
    </cfRule>
    <cfRule type="cellIs" dxfId="5025" priority="4956" stopIfTrue="1" operator="equal">
      <formula>"Fail"</formula>
    </cfRule>
  </conditionalFormatting>
  <conditionalFormatting sqref="H774:O774">
    <cfRule type="cellIs" dxfId="5024" priority="4953" stopIfTrue="1" operator="equal">
      <formula>"Pass"</formula>
    </cfRule>
    <cfRule type="cellIs" dxfId="5023" priority="4954" stopIfTrue="1" operator="equal">
      <formula>"Fail"</formula>
    </cfRule>
  </conditionalFormatting>
  <conditionalFormatting sqref="I774:P774">
    <cfRule type="cellIs" dxfId="5022" priority="4951" stopIfTrue="1" operator="equal">
      <formula>"Pass"</formula>
    </cfRule>
    <cfRule type="cellIs" dxfId="5021" priority="4952" stopIfTrue="1" operator="equal">
      <formula>"Fail"</formula>
    </cfRule>
  </conditionalFormatting>
  <conditionalFormatting sqref="I774:P774">
    <cfRule type="cellIs" dxfId="5020" priority="4949" stopIfTrue="1" operator="equal">
      <formula>"Pass"</formula>
    </cfRule>
    <cfRule type="cellIs" dxfId="5019" priority="4950" stopIfTrue="1" operator="equal">
      <formula>"Fail"</formula>
    </cfRule>
  </conditionalFormatting>
  <conditionalFormatting sqref="I774:P774">
    <cfRule type="cellIs" dxfId="5018" priority="4947" stopIfTrue="1" operator="equal">
      <formula>"Pass"</formula>
    </cfRule>
    <cfRule type="cellIs" dxfId="5017" priority="4948" stopIfTrue="1" operator="equal">
      <formula>"Fail"</formula>
    </cfRule>
  </conditionalFormatting>
  <conditionalFormatting sqref="I774:P774">
    <cfRule type="cellIs" dxfId="5016" priority="4945" stopIfTrue="1" operator="equal">
      <formula>"Pass"</formula>
    </cfRule>
    <cfRule type="cellIs" dxfId="5015" priority="4946" stopIfTrue="1" operator="equal">
      <formula>"Fail"</formula>
    </cfRule>
  </conditionalFormatting>
  <conditionalFormatting sqref="H774:O774">
    <cfRule type="cellIs" dxfId="5014" priority="4943" stopIfTrue="1" operator="equal">
      <formula>"Pass"</formula>
    </cfRule>
    <cfRule type="cellIs" dxfId="5013" priority="4944" stopIfTrue="1" operator="equal">
      <formula>"Fail"</formula>
    </cfRule>
  </conditionalFormatting>
  <conditionalFormatting sqref="H774:O774">
    <cfRule type="cellIs" dxfId="5012" priority="4941" stopIfTrue="1" operator="equal">
      <formula>"Pass"</formula>
    </cfRule>
    <cfRule type="cellIs" dxfId="5011" priority="4942" stopIfTrue="1" operator="equal">
      <formula>"Fail"</formula>
    </cfRule>
  </conditionalFormatting>
  <conditionalFormatting sqref="I774:P774">
    <cfRule type="cellIs" dxfId="5010" priority="4939" stopIfTrue="1" operator="equal">
      <formula>"Pass"</formula>
    </cfRule>
    <cfRule type="cellIs" dxfId="5009" priority="4940" stopIfTrue="1" operator="equal">
      <formula>"Fail"</formula>
    </cfRule>
  </conditionalFormatting>
  <conditionalFormatting sqref="I774:P774">
    <cfRule type="cellIs" dxfId="5008" priority="4937" stopIfTrue="1" operator="equal">
      <formula>"Pass"</formula>
    </cfRule>
    <cfRule type="cellIs" dxfId="5007" priority="4938" stopIfTrue="1" operator="equal">
      <formula>"Fail"</formula>
    </cfRule>
  </conditionalFormatting>
  <conditionalFormatting sqref="I774:P774">
    <cfRule type="cellIs" dxfId="5006" priority="4935" stopIfTrue="1" operator="equal">
      <formula>"Pass"</formula>
    </cfRule>
    <cfRule type="cellIs" dxfId="5005" priority="4936" stopIfTrue="1" operator="equal">
      <formula>"Fail"</formula>
    </cfRule>
  </conditionalFormatting>
  <conditionalFormatting sqref="I774:P774">
    <cfRule type="cellIs" dxfId="5004" priority="4933" stopIfTrue="1" operator="equal">
      <formula>"Pass"</formula>
    </cfRule>
    <cfRule type="cellIs" dxfId="5003" priority="4934" stopIfTrue="1" operator="equal">
      <formula>"Fail"</formula>
    </cfRule>
  </conditionalFormatting>
  <conditionalFormatting sqref="H774:O774">
    <cfRule type="cellIs" dxfId="5002" priority="4931" stopIfTrue="1" operator="equal">
      <formula>"Pass"</formula>
    </cfRule>
    <cfRule type="cellIs" dxfId="5001" priority="4932" stopIfTrue="1" operator="equal">
      <formula>"Fail"</formula>
    </cfRule>
  </conditionalFormatting>
  <conditionalFormatting sqref="H774:O774">
    <cfRule type="cellIs" dxfId="5000" priority="4929" stopIfTrue="1" operator="equal">
      <formula>"Pass"</formula>
    </cfRule>
    <cfRule type="cellIs" dxfId="4999" priority="4930" stopIfTrue="1" operator="equal">
      <formula>"Fail"</formula>
    </cfRule>
  </conditionalFormatting>
  <conditionalFormatting sqref="I774:P774">
    <cfRule type="cellIs" dxfId="4998" priority="4927" stopIfTrue="1" operator="equal">
      <formula>"Pass"</formula>
    </cfRule>
    <cfRule type="cellIs" dxfId="4997" priority="4928" stopIfTrue="1" operator="equal">
      <formula>"Fail"</formula>
    </cfRule>
  </conditionalFormatting>
  <conditionalFormatting sqref="I774:P774">
    <cfRule type="cellIs" dxfId="4996" priority="4925" stopIfTrue="1" operator="equal">
      <formula>"Pass"</formula>
    </cfRule>
    <cfRule type="cellIs" dxfId="4995" priority="4926" stopIfTrue="1" operator="equal">
      <formula>"Fail"</formula>
    </cfRule>
  </conditionalFormatting>
  <conditionalFormatting sqref="I774:P774">
    <cfRule type="cellIs" dxfId="4994" priority="4923" stopIfTrue="1" operator="equal">
      <formula>"Pass"</formula>
    </cfRule>
    <cfRule type="cellIs" dxfId="4993" priority="4924" stopIfTrue="1" operator="equal">
      <formula>"Fail"</formula>
    </cfRule>
  </conditionalFormatting>
  <conditionalFormatting sqref="I774:P774">
    <cfRule type="cellIs" dxfId="4992" priority="4921" stopIfTrue="1" operator="equal">
      <formula>"Pass"</formula>
    </cfRule>
    <cfRule type="cellIs" dxfId="4991" priority="4922" stopIfTrue="1" operator="equal">
      <formula>"Fail"</formula>
    </cfRule>
  </conditionalFormatting>
  <conditionalFormatting sqref="H774:O774">
    <cfRule type="cellIs" dxfId="4990" priority="4919" stopIfTrue="1" operator="equal">
      <formula>"Pass"</formula>
    </cfRule>
    <cfRule type="cellIs" dxfId="4989" priority="4920" stopIfTrue="1" operator="equal">
      <formula>"Fail"</formula>
    </cfRule>
  </conditionalFormatting>
  <conditionalFormatting sqref="H774:O774">
    <cfRule type="cellIs" dxfId="4988" priority="4917" stopIfTrue="1" operator="equal">
      <formula>"Pass"</formula>
    </cfRule>
    <cfRule type="cellIs" dxfId="4987" priority="4918" stopIfTrue="1" operator="equal">
      <formula>"Fail"</formula>
    </cfRule>
  </conditionalFormatting>
  <conditionalFormatting sqref="I774:P774">
    <cfRule type="cellIs" dxfId="4986" priority="4915" stopIfTrue="1" operator="equal">
      <formula>"Pass"</formula>
    </cfRule>
    <cfRule type="cellIs" dxfId="4985" priority="4916" stopIfTrue="1" operator="equal">
      <formula>"Fail"</formula>
    </cfRule>
  </conditionalFormatting>
  <conditionalFormatting sqref="I774:P774">
    <cfRule type="cellIs" dxfId="4984" priority="4913" stopIfTrue="1" operator="equal">
      <formula>"Pass"</formula>
    </cfRule>
    <cfRule type="cellIs" dxfId="4983" priority="4914" stopIfTrue="1" operator="equal">
      <formula>"Fail"</formula>
    </cfRule>
  </conditionalFormatting>
  <conditionalFormatting sqref="I774:P774">
    <cfRule type="cellIs" dxfId="4982" priority="4911" stopIfTrue="1" operator="equal">
      <formula>"Pass"</formula>
    </cfRule>
    <cfRule type="cellIs" dxfId="4981" priority="4912" stopIfTrue="1" operator="equal">
      <formula>"Fail"</formula>
    </cfRule>
  </conditionalFormatting>
  <conditionalFormatting sqref="I774:P774">
    <cfRule type="cellIs" dxfId="4980" priority="4909" stopIfTrue="1" operator="equal">
      <formula>"Pass"</formula>
    </cfRule>
    <cfRule type="cellIs" dxfId="4979" priority="4910" stopIfTrue="1" operator="equal">
      <formula>"Fail"</formula>
    </cfRule>
  </conditionalFormatting>
  <conditionalFormatting sqref="H774:O774">
    <cfRule type="cellIs" dxfId="4978" priority="4907" stopIfTrue="1" operator="equal">
      <formula>"Pass"</formula>
    </cfRule>
    <cfRule type="cellIs" dxfId="4977" priority="4908" stopIfTrue="1" operator="equal">
      <formula>"Fail"</formula>
    </cfRule>
  </conditionalFormatting>
  <conditionalFormatting sqref="H774:O774">
    <cfRule type="cellIs" dxfId="4976" priority="4905" stopIfTrue="1" operator="equal">
      <formula>"Pass"</formula>
    </cfRule>
    <cfRule type="cellIs" dxfId="4975" priority="4906" stopIfTrue="1" operator="equal">
      <formula>"Fail"</formula>
    </cfRule>
  </conditionalFormatting>
  <conditionalFormatting sqref="I774:P774">
    <cfRule type="cellIs" dxfId="4974" priority="4903" stopIfTrue="1" operator="equal">
      <formula>"Pass"</formula>
    </cfRule>
    <cfRule type="cellIs" dxfId="4973" priority="4904" stopIfTrue="1" operator="equal">
      <formula>"Fail"</formula>
    </cfRule>
  </conditionalFormatting>
  <conditionalFormatting sqref="I774:P774">
    <cfRule type="cellIs" dxfId="4972" priority="4901" stopIfTrue="1" operator="equal">
      <formula>"Pass"</formula>
    </cfRule>
    <cfRule type="cellIs" dxfId="4971" priority="4902" stopIfTrue="1" operator="equal">
      <formula>"Fail"</formula>
    </cfRule>
  </conditionalFormatting>
  <conditionalFormatting sqref="I774:P774">
    <cfRule type="cellIs" dxfId="4970" priority="4899" stopIfTrue="1" operator="equal">
      <formula>"Pass"</formula>
    </cfRule>
    <cfRule type="cellIs" dxfId="4969" priority="4900" stopIfTrue="1" operator="equal">
      <formula>"Fail"</formula>
    </cfRule>
  </conditionalFormatting>
  <conditionalFormatting sqref="I774:P774">
    <cfRule type="cellIs" dxfId="4968" priority="4897" stopIfTrue="1" operator="equal">
      <formula>"Pass"</formula>
    </cfRule>
    <cfRule type="cellIs" dxfId="4967" priority="4898" stopIfTrue="1" operator="equal">
      <formula>"Fail"</formula>
    </cfRule>
  </conditionalFormatting>
  <conditionalFormatting sqref="H774:O774">
    <cfRule type="cellIs" dxfId="4966" priority="4895" stopIfTrue="1" operator="equal">
      <formula>"Pass"</formula>
    </cfRule>
    <cfRule type="cellIs" dxfId="4965" priority="4896" stopIfTrue="1" operator="equal">
      <formula>"Fail"</formula>
    </cfRule>
  </conditionalFormatting>
  <conditionalFormatting sqref="H774:O774">
    <cfRule type="cellIs" dxfId="4964" priority="4893" stopIfTrue="1" operator="equal">
      <formula>"Pass"</formula>
    </cfRule>
    <cfRule type="cellIs" dxfId="4963" priority="4894" stopIfTrue="1" operator="equal">
      <formula>"Fail"</formula>
    </cfRule>
  </conditionalFormatting>
  <conditionalFormatting sqref="I774:P774">
    <cfRule type="cellIs" dxfId="4962" priority="4891" stopIfTrue="1" operator="equal">
      <formula>"Pass"</formula>
    </cfRule>
    <cfRule type="cellIs" dxfId="4961" priority="4892" stopIfTrue="1" operator="equal">
      <formula>"Fail"</formula>
    </cfRule>
  </conditionalFormatting>
  <conditionalFormatting sqref="I774:P774">
    <cfRule type="cellIs" dxfId="4960" priority="4889" stopIfTrue="1" operator="equal">
      <formula>"Pass"</formula>
    </cfRule>
    <cfRule type="cellIs" dxfId="4959" priority="4890" stopIfTrue="1" operator="equal">
      <formula>"Fail"</formula>
    </cfRule>
  </conditionalFormatting>
  <conditionalFormatting sqref="I774:P774">
    <cfRule type="cellIs" dxfId="4958" priority="4887" stopIfTrue="1" operator="equal">
      <formula>"Pass"</formula>
    </cfRule>
    <cfRule type="cellIs" dxfId="4957" priority="4888" stopIfTrue="1" operator="equal">
      <formula>"Fail"</formula>
    </cfRule>
  </conditionalFormatting>
  <conditionalFormatting sqref="I774:P774">
    <cfRule type="cellIs" dxfId="4956" priority="4885" stopIfTrue="1" operator="equal">
      <formula>"Pass"</formula>
    </cfRule>
    <cfRule type="cellIs" dxfId="4955" priority="4886" stopIfTrue="1" operator="equal">
      <formula>"Fail"</formula>
    </cfRule>
  </conditionalFormatting>
  <conditionalFormatting sqref="H774:O774">
    <cfRule type="cellIs" dxfId="4954" priority="4883" stopIfTrue="1" operator="equal">
      <formula>"Pass"</formula>
    </cfRule>
    <cfRule type="cellIs" dxfId="4953" priority="4884" stopIfTrue="1" operator="equal">
      <formula>"Fail"</formula>
    </cfRule>
  </conditionalFormatting>
  <conditionalFormatting sqref="H774:O774">
    <cfRule type="cellIs" dxfId="4952" priority="4881" stopIfTrue="1" operator="equal">
      <formula>"Pass"</formula>
    </cfRule>
    <cfRule type="cellIs" dxfId="4951" priority="4882" stopIfTrue="1" operator="equal">
      <formula>"Fail"</formula>
    </cfRule>
  </conditionalFormatting>
  <conditionalFormatting sqref="I774:P774">
    <cfRule type="cellIs" dxfId="4950" priority="4879" stopIfTrue="1" operator="equal">
      <formula>"Pass"</formula>
    </cfRule>
    <cfRule type="cellIs" dxfId="4949" priority="4880" stopIfTrue="1" operator="equal">
      <formula>"Fail"</formula>
    </cfRule>
  </conditionalFormatting>
  <conditionalFormatting sqref="I774:P774">
    <cfRule type="cellIs" dxfId="4948" priority="4877" stopIfTrue="1" operator="equal">
      <formula>"Pass"</formula>
    </cfRule>
    <cfRule type="cellIs" dxfId="4947" priority="4878" stopIfTrue="1" operator="equal">
      <formula>"Fail"</formula>
    </cfRule>
  </conditionalFormatting>
  <conditionalFormatting sqref="I774:P774">
    <cfRule type="cellIs" dxfId="4946" priority="4875" stopIfTrue="1" operator="equal">
      <formula>"Pass"</formula>
    </cfRule>
    <cfRule type="cellIs" dxfId="4945" priority="4876" stopIfTrue="1" operator="equal">
      <formula>"Fail"</formula>
    </cfRule>
  </conditionalFormatting>
  <conditionalFormatting sqref="I774:P774">
    <cfRule type="cellIs" dxfId="4944" priority="4873" stopIfTrue="1" operator="equal">
      <formula>"Pass"</formula>
    </cfRule>
    <cfRule type="cellIs" dxfId="4943" priority="4874" stopIfTrue="1" operator="equal">
      <formula>"Fail"</formula>
    </cfRule>
  </conditionalFormatting>
  <conditionalFormatting sqref="H774:O774">
    <cfRule type="cellIs" dxfId="4942" priority="4871" stopIfTrue="1" operator="equal">
      <formula>"Pass"</formula>
    </cfRule>
    <cfRule type="cellIs" dxfId="4941" priority="4872" stopIfTrue="1" operator="equal">
      <formula>"Fail"</formula>
    </cfRule>
  </conditionalFormatting>
  <conditionalFormatting sqref="H774:O774">
    <cfRule type="cellIs" dxfId="4940" priority="4869" stopIfTrue="1" operator="equal">
      <formula>"Pass"</formula>
    </cfRule>
    <cfRule type="cellIs" dxfId="4939" priority="4870" stopIfTrue="1" operator="equal">
      <formula>"Fail"</formula>
    </cfRule>
  </conditionalFormatting>
  <conditionalFormatting sqref="I774:P774">
    <cfRule type="cellIs" dxfId="4938" priority="4867" stopIfTrue="1" operator="equal">
      <formula>"Pass"</formula>
    </cfRule>
    <cfRule type="cellIs" dxfId="4937" priority="4868" stopIfTrue="1" operator="equal">
      <formula>"Fail"</formula>
    </cfRule>
  </conditionalFormatting>
  <conditionalFormatting sqref="I774:P774">
    <cfRule type="cellIs" dxfId="4936" priority="4865" stopIfTrue="1" operator="equal">
      <formula>"Pass"</formula>
    </cfRule>
    <cfRule type="cellIs" dxfId="4935" priority="4866" stopIfTrue="1" operator="equal">
      <formula>"Fail"</formula>
    </cfRule>
  </conditionalFormatting>
  <conditionalFormatting sqref="I774:P774">
    <cfRule type="cellIs" dxfId="4934" priority="4863" stopIfTrue="1" operator="equal">
      <formula>"Pass"</formula>
    </cfRule>
    <cfRule type="cellIs" dxfId="4933" priority="4864" stopIfTrue="1" operator="equal">
      <formula>"Fail"</formula>
    </cfRule>
  </conditionalFormatting>
  <conditionalFormatting sqref="I774:P774">
    <cfRule type="cellIs" dxfId="4932" priority="4861" stopIfTrue="1" operator="equal">
      <formula>"Pass"</formula>
    </cfRule>
    <cfRule type="cellIs" dxfId="4931" priority="4862" stopIfTrue="1" operator="equal">
      <formula>"Fail"</formula>
    </cfRule>
  </conditionalFormatting>
  <conditionalFormatting sqref="H774:O774">
    <cfRule type="cellIs" dxfId="4930" priority="4859" stopIfTrue="1" operator="equal">
      <formula>"Pass"</formula>
    </cfRule>
    <cfRule type="cellIs" dxfId="4929" priority="4860" stopIfTrue="1" operator="equal">
      <formula>"Fail"</formula>
    </cfRule>
  </conditionalFormatting>
  <conditionalFormatting sqref="H774:O774">
    <cfRule type="cellIs" dxfId="4928" priority="4857" stopIfTrue="1" operator="equal">
      <formula>"Pass"</formula>
    </cfRule>
    <cfRule type="cellIs" dxfId="4927" priority="4858" stopIfTrue="1" operator="equal">
      <formula>"Fail"</formula>
    </cfRule>
  </conditionalFormatting>
  <conditionalFormatting sqref="I774:P774">
    <cfRule type="cellIs" dxfId="4926" priority="4855" stopIfTrue="1" operator="equal">
      <formula>"Pass"</formula>
    </cfRule>
    <cfRule type="cellIs" dxfId="4925" priority="4856" stopIfTrue="1" operator="equal">
      <formula>"Fail"</formula>
    </cfRule>
  </conditionalFormatting>
  <conditionalFormatting sqref="I774:P774">
    <cfRule type="cellIs" dxfId="4924" priority="4853" stopIfTrue="1" operator="equal">
      <formula>"Pass"</formula>
    </cfRule>
    <cfRule type="cellIs" dxfId="4923" priority="4854" stopIfTrue="1" operator="equal">
      <formula>"Fail"</formula>
    </cfRule>
  </conditionalFormatting>
  <conditionalFormatting sqref="I774:P774">
    <cfRule type="cellIs" dxfId="4922" priority="4851" stopIfTrue="1" operator="equal">
      <formula>"Pass"</formula>
    </cfRule>
    <cfRule type="cellIs" dxfId="4921" priority="4852" stopIfTrue="1" operator="equal">
      <formula>"Fail"</formula>
    </cfRule>
  </conditionalFormatting>
  <conditionalFormatting sqref="I774:P774">
    <cfRule type="cellIs" dxfId="4920" priority="4849" stopIfTrue="1" operator="equal">
      <formula>"Pass"</formula>
    </cfRule>
    <cfRule type="cellIs" dxfId="4919" priority="4850" stopIfTrue="1" operator="equal">
      <formula>"Fail"</formula>
    </cfRule>
  </conditionalFormatting>
  <conditionalFormatting sqref="H774:O774">
    <cfRule type="cellIs" dxfId="4918" priority="4847" stopIfTrue="1" operator="equal">
      <formula>"Pass"</formula>
    </cfRule>
    <cfRule type="cellIs" dxfId="4917" priority="4848" stopIfTrue="1" operator="equal">
      <formula>"Fail"</formula>
    </cfRule>
  </conditionalFormatting>
  <conditionalFormatting sqref="H774:O774">
    <cfRule type="cellIs" dxfId="4916" priority="4845" stopIfTrue="1" operator="equal">
      <formula>"Pass"</formula>
    </cfRule>
    <cfRule type="cellIs" dxfId="4915" priority="4846" stopIfTrue="1" operator="equal">
      <formula>"Fail"</formula>
    </cfRule>
  </conditionalFormatting>
  <conditionalFormatting sqref="I774:P774">
    <cfRule type="cellIs" dxfId="4914" priority="4843" stopIfTrue="1" operator="equal">
      <formula>"Pass"</formula>
    </cfRule>
    <cfRule type="cellIs" dxfId="4913" priority="4844" stopIfTrue="1" operator="equal">
      <formula>"Fail"</formula>
    </cfRule>
  </conditionalFormatting>
  <conditionalFormatting sqref="I774:P774">
    <cfRule type="cellIs" dxfId="4912" priority="4841" stopIfTrue="1" operator="equal">
      <formula>"Pass"</formula>
    </cfRule>
    <cfRule type="cellIs" dxfId="4911" priority="4842" stopIfTrue="1" operator="equal">
      <formula>"Fail"</formula>
    </cfRule>
  </conditionalFormatting>
  <conditionalFormatting sqref="I774:P774">
    <cfRule type="cellIs" dxfId="4910" priority="4839" stopIfTrue="1" operator="equal">
      <formula>"Pass"</formula>
    </cfRule>
    <cfRule type="cellIs" dxfId="4909" priority="4840" stopIfTrue="1" operator="equal">
      <formula>"Fail"</formula>
    </cfRule>
  </conditionalFormatting>
  <conditionalFormatting sqref="I774:P774">
    <cfRule type="cellIs" dxfId="4908" priority="4837" stopIfTrue="1" operator="equal">
      <formula>"Pass"</formula>
    </cfRule>
    <cfRule type="cellIs" dxfId="4907" priority="4838" stopIfTrue="1" operator="equal">
      <formula>"Fail"</formula>
    </cfRule>
  </conditionalFormatting>
  <conditionalFormatting sqref="H774:O774">
    <cfRule type="cellIs" dxfId="4906" priority="4835" stopIfTrue="1" operator="equal">
      <formula>"Pass"</formula>
    </cfRule>
    <cfRule type="cellIs" dxfId="4905" priority="4836" stopIfTrue="1" operator="equal">
      <formula>"Fail"</formula>
    </cfRule>
  </conditionalFormatting>
  <conditionalFormatting sqref="H774:O774">
    <cfRule type="cellIs" dxfId="4904" priority="4833" stopIfTrue="1" operator="equal">
      <formula>"Pass"</formula>
    </cfRule>
    <cfRule type="cellIs" dxfId="4903" priority="4834" stopIfTrue="1" operator="equal">
      <formula>"Fail"</formula>
    </cfRule>
  </conditionalFormatting>
  <conditionalFormatting sqref="I774:P774">
    <cfRule type="cellIs" dxfId="4902" priority="4831" stopIfTrue="1" operator="equal">
      <formula>"Pass"</formula>
    </cfRule>
    <cfRule type="cellIs" dxfId="4901" priority="4832" stopIfTrue="1" operator="equal">
      <formula>"Fail"</formula>
    </cfRule>
  </conditionalFormatting>
  <conditionalFormatting sqref="I774:P774">
    <cfRule type="cellIs" dxfId="4900" priority="4829" stopIfTrue="1" operator="equal">
      <formula>"Pass"</formula>
    </cfRule>
    <cfRule type="cellIs" dxfId="4899" priority="4830" stopIfTrue="1" operator="equal">
      <formula>"Fail"</formula>
    </cfRule>
  </conditionalFormatting>
  <conditionalFormatting sqref="I774:P774">
    <cfRule type="cellIs" dxfId="4898" priority="4827" stopIfTrue="1" operator="equal">
      <formula>"Pass"</formula>
    </cfRule>
    <cfRule type="cellIs" dxfId="4897" priority="4828" stopIfTrue="1" operator="equal">
      <formula>"Fail"</formula>
    </cfRule>
  </conditionalFormatting>
  <conditionalFormatting sqref="I774:P774">
    <cfRule type="cellIs" dxfId="4896" priority="4825" stopIfTrue="1" operator="equal">
      <formula>"Pass"</formula>
    </cfRule>
    <cfRule type="cellIs" dxfId="4895" priority="4826" stopIfTrue="1" operator="equal">
      <formula>"Fail"</formula>
    </cfRule>
  </conditionalFormatting>
  <conditionalFormatting sqref="H774:O774">
    <cfRule type="cellIs" dxfId="4894" priority="4823" stopIfTrue="1" operator="equal">
      <formula>"Pass"</formula>
    </cfRule>
    <cfRule type="cellIs" dxfId="4893" priority="4824" stopIfTrue="1" operator="equal">
      <formula>"Fail"</formula>
    </cfRule>
  </conditionalFormatting>
  <conditionalFormatting sqref="H774:O774">
    <cfRule type="cellIs" dxfId="4892" priority="4821" stopIfTrue="1" operator="equal">
      <formula>"Pass"</formula>
    </cfRule>
    <cfRule type="cellIs" dxfId="4891" priority="4822" stopIfTrue="1" operator="equal">
      <formula>"Fail"</formula>
    </cfRule>
  </conditionalFormatting>
  <conditionalFormatting sqref="I774:P774">
    <cfRule type="cellIs" dxfId="4890" priority="4819" stopIfTrue="1" operator="equal">
      <formula>"Pass"</formula>
    </cfRule>
    <cfRule type="cellIs" dxfId="4889" priority="4820" stopIfTrue="1" operator="equal">
      <formula>"Fail"</formula>
    </cfRule>
  </conditionalFormatting>
  <conditionalFormatting sqref="I774:P774">
    <cfRule type="cellIs" dxfId="4888" priority="4817" stopIfTrue="1" operator="equal">
      <formula>"Pass"</formula>
    </cfRule>
    <cfRule type="cellIs" dxfId="4887" priority="4818" stopIfTrue="1" operator="equal">
      <formula>"Fail"</formula>
    </cfRule>
  </conditionalFormatting>
  <conditionalFormatting sqref="I774:P774">
    <cfRule type="cellIs" dxfId="4886" priority="4815" stopIfTrue="1" operator="equal">
      <formula>"Pass"</formula>
    </cfRule>
    <cfRule type="cellIs" dxfId="4885" priority="4816" stopIfTrue="1" operator="equal">
      <formula>"Fail"</formula>
    </cfRule>
  </conditionalFormatting>
  <conditionalFormatting sqref="I774:P774">
    <cfRule type="cellIs" dxfId="4884" priority="4813" stopIfTrue="1" operator="equal">
      <formula>"Pass"</formula>
    </cfRule>
    <cfRule type="cellIs" dxfId="4883" priority="4814" stopIfTrue="1" operator="equal">
      <formula>"Fail"</formula>
    </cfRule>
  </conditionalFormatting>
  <conditionalFormatting sqref="H774:O774">
    <cfRule type="cellIs" dxfId="4882" priority="4811" stopIfTrue="1" operator="equal">
      <formula>"Pass"</formula>
    </cfRule>
    <cfRule type="cellIs" dxfId="4881" priority="4812" stopIfTrue="1" operator="equal">
      <formula>"Fail"</formula>
    </cfRule>
  </conditionalFormatting>
  <conditionalFormatting sqref="H774:O774">
    <cfRule type="cellIs" dxfId="4880" priority="4809" stopIfTrue="1" operator="equal">
      <formula>"Pass"</formula>
    </cfRule>
    <cfRule type="cellIs" dxfId="4879" priority="4810" stopIfTrue="1" operator="equal">
      <formula>"Fail"</formula>
    </cfRule>
  </conditionalFormatting>
  <conditionalFormatting sqref="I774:P774">
    <cfRule type="cellIs" dxfId="4878" priority="4807" stopIfTrue="1" operator="equal">
      <formula>"Pass"</formula>
    </cfRule>
    <cfRule type="cellIs" dxfId="4877" priority="4808" stopIfTrue="1" operator="equal">
      <formula>"Fail"</formula>
    </cfRule>
  </conditionalFormatting>
  <conditionalFormatting sqref="I774:P774">
    <cfRule type="cellIs" dxfId="4876" priority="4805" stopIfTrue="1" operator="equal">
      <formula>"Pass"</formula>
    </cfRule>
    <cfRule type="cellIs" dxfId="4875" priority="4806" stopIfTrue="1" operator="equal">
      <formula>"Fail"</formula>
    </cfRule>
  </conditionalFormatting>
  <conditionalFormatting sqref="I774:P774">
    <cfRule type="cellIs" dxfId="4874" priority="4803" stopIfTrue="1" operator="equal">
      <formula>"Pass"</formula>
    </cfRule>
    <cfRule type="cellIs" dxfId="4873" priority="4804" stopIfTrue="1" operator="equal">
      <formula>"Fail"</formula>
    </cfRule>
  </conditionalFormatting>
  <conditionalFormatting sqref="I774:P774">
    <cfRule type="cellIs" dxfId="4872" priority="4801" stopIfTrue="1" operator="equal">
      <formula>"Pass"</formula>
    </cfRule>
    <cfRule type="cellIs" dxfId="4871" priority="4802" stopIfTrue="1" operator="equal">
      <formula>"Fail"</formula>
    </cfRule>
  </conditionalFormatting>
  <conditionalFormatting sqref="H774:O774">
    <cfRule type="cellIs" dxfId="4870" priority="4799" stopIfTrue="1" operator="equal">
      <formula>"Pass"</formula>
    </cfRule>
    <cfRule type="cellIs" dxfId="4869" priority="4800" stopIfTrue="1" operator="equal">
      <formula>"Fail"</formula>
    </cfRule>
  </conditionalFormatting>
  <conditionalFormatting sqref="H774:O774">
    <cfRule type="cellIs" dxfId="4868" priority="4797" stopIfTrue="1" operator="equal">
      <formula>"Pass"</formula>
    </cfRule>
    <cfRule type="cellIs" dxfId="4867" priority="4798" stopIfTrue="1" operator="equal">
      <formula>"Fail"</formula>
    </cfRule>
  </conditionalFormatting>
  <conditionalFormatting sqref="I774:P774">
    <cfRule type="cellIs" dxfId="4866" priority="4795" stopIfTrue="1" operator="equal">
      <formula>"Pass"</formula>
    </cfRule>
    <cfRule type="cellIs" dxfId="4865" priority="4796" stopIfTrue="1" operator="equal">
      <formula>"Fail"</formula>
    </cfRule>
  </conditionalFormatting>
  <conditionalFormatting sqref="I774:P774">
    <cfRule type="cellIs" dxfId="4864" priority="4793" stopIfTrue="1" operator="equal">
      <formula>"Pass"</formula>
    </cfRule>
    <cfRule type="cellIs" dxfId="4863" priority="4794" stopIfTrue="1" operator="equal">
      <formula>"Fail"</formula>
    </cfRule>
  </conditionalFormatting>
  <conditionalFormatting sqref="I774:P774">
    <cfRule type="cellIs" dxfId="4862" priority="4791" stopIfTrue="1" operator="equal">
      <formula>"Pass"</formula>
    </cfRule>
    <cfRule type="cellIs" dxfId="4861" priority="4792" stopIfTrue="1" operator="equal">
      <formula>"Fail"</formula>
    </cfRule>
  </conditionalFormatting>
  <conditionalFormatting sqref="I774:P774">
    <cfRule type="cellIs" dxfId="4860" priority="4789" stopIfTrue="1" operator="equal">
      <formula>"Pass"</formula>
    </cfRule>
    <cfRule type="cellIs" dxfId="4859" priority="4790" stopIfTrue="1" operator="equal">
      <formula>"Fail"</formula>
    </cfRule>
  </conditionalFormatting>
  <conditionalFormatting sqref="H774:O774">
    <cfRule type="cellIs" dxfId="4858" priority="4787" stopIfTrue="1" operator="equal">
      <formula>"Pass"</formula>
    </cfRule>
    <cfRule type="cellIs" dxfId="4857" priority="4788" stopIfTrue="1" operator="equal">
      <formula>"Fail"</formula>
    </cfRule>
  </conditionalFormatting>
  <conditionalFormatting sqref="H774:O774">
    <cfRule type="cellIs" dxfId="4856" priority="4785" stopIfTrue="1" operator="equal">
      <formula>"Pass"</formula>
    </cfRule>
    <cfRule type="cellIs" dxfId="4855" priority="4786" stopIfTrue="1" operator="equal">
      <formula>"Fail"</formula>
    </cfRule>
  </conditionalFormatting>
  <conditionalFormatting sqref="I774:P774">
    <cfRule type="cellIs" dxfId="4854" priority="4783" stopIfTrue="1" operator="equal">
      <formula>"Pass"</formula>
    </cfRule>
    <cfRule type="cellIs" dxfId="4853" priority="4784" stopIfTrue="1" operator="equal">
      <formula>"Fail"</formula>
    </cfRule>
  </conditionalFormatting>
  <conditionalFormatting sqref="I774:P774">
    <cfRule type="cellIs" dxfId="4852" priority="4781" stopIfTrue="1" operator="equal">
      <formula>"Pass"</formula>
    </cfRule>
    <cfRule type="cellIs" dxfId="4851" priority="4782" stopIfTrue="1" operator="equal">
      <formula>"Fail"</formula>
    </cfRule>
  </conditionalFormatting>
  <conditionalFormatting sqref="I774:P774">
    <cfRule type="cellIs" dxfId="4850" priority="4779" stopIfTrue="1" operator="equal">
      <formula>"Pass"</formula>
    </cfRule>
    <cfRule type="cellIs" dxfId="4849" priority="4780" stopIfTrue="1" operator="equal">
      <formula>"Fail"</formula>
    </cfRule>
  </conditionalFormatting>
  <conditionalFormatting sqref="I774:P774">
    <cfRule type="cellIs" dxfId="4848" priority="4777" stopIfTrue="1" operator="equal">
      <formula>"Pass"</formula>
    </cfRule>
    <cfRule type="cellIs" dxfId="4847" priority="4778" stopIfTrue="1" operator="equal">
      <formula>"Fail"</formula>
    </cfRule>
  </conditionalFormatting>
  <conditionalFormatting sqref="H774:O774">
    <cfRule type="cellIs" dxfId="4846" priority="4775" stopIfTrue="1" operator="equal">
      <formula>"Pass"</formula>
    </cfRule>
    <cfRule type="cellIs" dxfId="4845" priority="4776" stopIfTrue="1" operator="equal">
      <formula>"Fail"</formula>
    </cfRule>
  </conditionalFormatting>
  <conditionalFormatting sqref="H774:O774">
    <cfRule type="cellIs" dxfId="4844" priority="4773" stopIfTrue="1" operator="equal">
      <formula>"Pass"</formula>
    </cfRule>
    <cfRule type="cellIs" dxfId="4843" priority="4774" stopIfTrue="1" operator="equal">
      <formula>"Fail"</formula>
    </cfRule>
  </conditionalFormatting>
  <conditionalFormatting sqref="I774:P774">
    <cfRule type="cellIs" dxfId="4842" priority="4771" stopIfTrue="1" operator="equal">
      <formula>"Pass"</formula>
    </cfRule>
    <cfRule type="cellIs" dxfId="4841" priority="4772" stopIfTrue="1" operator="equal">
      <formula>"Fail"</formula>
    </cfRule>
  </conditionalFormatting>
  <conditionalFormatting sqref="I774:P774">
    <cfRule type="cellIs" dxfId="4840" priority="4769" stopIfTrue="1" operator="equal">
      <formula>"Pass"</formula>
    </cfRule>
    <cfRule type="cellIs" dxfId="4839" priority="4770" stopIfTrue="1" operator="equal">
      <formula>"Fail"</formula>
    </cfRule>
  </conditionalFormatting>
  <conditionalFormatting sqref="I774:P774">
    <cfRule type="cellIs" dxfId="4838" priority="4767" stopIfTrue="1" operator="equal">
      <formula>"Pass"</formula>
    </cfRule>
    <cfRule type="cellIs" dxfId="4837" priority="4768" stopIfTrue="1" operator="equal">
      <formula>"Fail"</formula>
    </cfRule>
  </conditionalFormatting>
  <conditionalFormatting sqref="I774:P774">
    <cfRule type="cellIs" dxfId="4836" priority="4765" stopIfTrue="1" operator="equal">
      <formula>"Pass"</formula>
    </cfRule>
    <cfRule type="cellIs" dxfId="4835" priority="4766" stopIfTrue="1" operator="equal">
      <formula>"Fail"</formula>
    </cfRule>
  </conditionalFormatting>
  <conditionalFormatting sqref="H774:O774">
    <cfRule type="cellIs" dxfId="4834" priority="4763" stopIfTrue="1" operator="equal">
      <formula>"Pass"</formula>
    </cfRule>
    <cfRule type="cellIs" dxfId="4833" priority="4764" stopIfTrue="1" operator="equal">
      <formula>"Fail"</formula>
    </cfRule>
  </conditionalFormatting>
  <conditionalFormatting sqref="H774:O774">
    <cfRule type="cellIs" dxfId="4832" priority="4761" stopIfTrue="1" operator="equal">
      <formula>"Pass"</formula>
    </cfRule>
    <cfRule type="cellIs" dxfId="4831" priority="4762" stopIfTrue="1" operator="equal">
      <formula>"Fail"</formula>
    </cfRule>
  </conditionalFormatting>
  <conditionalFormatting sqref="I774:P774">
    <cfRule type="cellIs" dxfId="4830" priority="4759" stopIfTrue="1" operator="equal">
      <formula>"Pass"</formula>
    </cfRule>
    <cfRule type="cellIs" dxfId="4829" priority="4760" stopIfTrue="1" operator="equal">
      <formula>"Fail"</formula>
    </cfRule>
  </conditionalFormatting>
  <conditionalFormatting sqref="I774:P774">
    <cfRule type="cellIs" dxfId="4828" priority="4757" stopIfTrue="1" operator="equal">
      <formula>"Pass"</formula>
    </cfRule>
    <cfRule type="cellIs" dxfId="4827" priority="4758" stopIfTrue="1" operator="equal">
      <formula>"Fail"</formula>
    </cfRule>
  </conditionalFormatting>
  <conditionalFormatting sqref="I774:P774">
    <cfRule type="cellIs" dxfId="4826" priority="4755" stopIfTrue="1" operator="equal">
      <formula>"Pass"</formula>
    </cfRule>
    <cfRule type="cellIs" dxfId="4825" priority="4756" stopIfTrue="1" operator="equal">
      <formula>"Fail"</formula>
    </cfRule>
  </conditionalFormatting>
  <conditionalFormatting sqref="I774:P774">
    <cfRule type="cellIs" dxfId="4824" priority="4753" stopIfTrue="1" operator="equal">
      <formula>"Pass"</formula>
    </cfRule>
    <cfRule type="cellIs" dxfId="4823" priority="4754" stopIfTrue="1" operator="equal">
      <formula>"Fail"</formula>
    </cfRule>
  </conditionalFormatting>
  <conditionalFormatting sqref="H774:O774">
    <cfRule type="cellIs" dxfId="4822" priority="4751" stopIfTrue="1" operator="equal">
      <formula>"Pass"</formula>
    </cfRule>
    <cfRule type="cellIs" dxfId="4821" priority="4752" stopIfTrue="1" operator="equal">
      <formula>"Fail"</formula>
    </cfRule>
  </conditionalFormatting>
  <conditionalFormatting sqref="H774:O774">
    <cfRule type="cellIs" dxfId="4820" priority="4749" stopIfTrue="1" operator="equal">
      <formula>"Pass"</formula>
    </cfRule>
    <cfRule type="cellIs" dxfId="4819" priority="4750" stopIfTrue="1" operator="equal">
      <formula>"Fail"</formula>
    </cfRule>
  </conditionalFormatting>
  <conditionalFormatting sqref="I774:P774">
    <cfRule type="cellIs" dxfId="4818" priority="4747" stopIfTrue="1" operator="equal">
      <formula>"Pass"</formula>
    </cfRule>
    <cfRule type="cellIs" dxfId="4817" priority="4748" stopIfTrue="1" operator="equal">
      <formula>"Fail"</formula>
    </cfRule>
  </conditionalFormatting>
  <conditionalFormatting sqref="I774:P774">
    <cfRule type="cellIs" dxfId="4816" priority="4745" stopIfTrue="1" operator="equal">
      <formula>"Pass"</formula>
    </cfRule>
    <cfRule type="cellIs" dxfId="4815" priority="4746" stopIfTrue="1" operator="equal">
      <formula>"Fail"</formula>
    </cfRule>
  </conditionalFormatting>
  <conditionalFormatting sqref="I774:P774">
    <cfRule type="cellIs" dxfId="4814" priority="4743" stopIfTrue="1" operator="equal">
      <formula>"Pass"</formula>
    </cfRule>
    <cfRule type="cellIs" dxfId="4813" priority="4744" stopIfTrue="1" operator="equal">
      <formula>"Fail"</formula>
    </cfRule>
  </conditionalFormatting>
  <conditionalFormatting sqref="I774:P774">
    <cfRule type="cellIs" dxfId="4812" priority="4741" stopIfTrue="1" operator="equal">
      <formula>"Pass"</formula>
    </cfRule>
    <cfRule type="cellIs" dxfId="4811" priority="4742" stopIfTrue="1" operator="equal">
      <formula>"Fail"</formula>
    </cfRule>
  </conditionalFormatting>
  <conditionalFormatting sqref="D774:E774">
    <cfRule type="cellIs" dxfId="4810" priority="4739" stopIfTrue="1" operator="equal">
      <formula>"Pass"</formula>
    </cfRule>
    <cfRule type="cellIs" dxfId="4809" priority="4740" stopIfTrue="1" operator="equal">
      <formula>"Fail"</formula>
    </cfRule>
  </conditionalFormatting>
  <conditionalFormatting sqref="D774:E774">
    <cfRule type="cellIs" dxfId="4808" priority="4737" stopIfTrue="1" operator="equal">
      <formula>"Pass"</formula>
    </cfRule>
    <cfRule type="cellIs" dxfId="4807" priority="4738" stopIfTrue="1" operator="equal">
      <formula>"Fail"</formula>
    </cfRule>
  </conditionalFormatting>
  <conditionalFormatting sqref="G774:H774">
    <cfRule type="cellIs" dxfId="4806" priority="4735" stopIfTrue="1" operator="equal">
      <formula>"Pass"</formula>
    </cfRule>
    <cfRule type="cellIs" dxfId="4805" priority="4736" stopIfTrue="1" operator="equal">
      <formula>"Fail"</formula>
    </cfRule>
  </conditionalFormatting>
  <conditionalFormatting sqref="G774:H774">
    <cfRule type="cellIs" dxfId="4804" priority="4733" stopIfTrue="1" operator="equal">
      <formula>"Pass"</formula>
    </cfRule>
    <cfRule type="cellIs" dxfId="4803" priority="4734" stopIfTrue="1" operator="equal">
      <formula>"Fail"</formula>
    </cfRule>
  </conditionalFormatting>
  <conditionalFormatting sqref="G774:H774">
    <cfRule type="cellIs" dxfId="4802" priority="4731" stopIfTrue="1" operator="equal">
      <formula>"Pass"</formula>
    </cfRule>
    <cfRule type="cellIs" dxfId="4801" priority="4732" stopIfTrue="1" operator="equal">
      <formula>"Fail"</formula>
    </cfRule>
  </conditionalFormatting>
  <conditionalFormatting sqref="G774:H774">
    <cfRule type="cellIs" dxfId="4800" priority="4729" stopIfTrue="1" operator="equal">
      <formula>"Pass"</formula>
    </cfRule>
    <cfRule type="cellIs" dxfId="4799" priority="4730" stopIfTrue="1" operator="equal">
      <formula>"Fail"</formula>
    </cfRule>
  </conditionalFormatting>
  <conditionalFormatting sqref="H774:O774">
    <cfRule type="cellIs" dxfId="4798" priority="4727" stopIfTrue="1" operator="equal">
      <formula>"Pass"</formula>
    </cfRule>
    <cfRule type="cellIs" dxfId="4797" priority="4728" stopIfTrue="1" operator="equal">
      <formula>"Fail"</formula>
    </cfRule>
  </conditionalFormatting>
  <conditionalFormatting sqref="H774:O774">
    <cfRule type="cellIs" dxfId="4796" priority="4725" stopIfTrue="1" operator="equal">
      <formula>"Pass"</formula>
    </cfRule>
    <cfRule type="cellIs" dxfId="4795" priority="4726" stopIfTrue="1" operator="equal">
      <formula>"Fail"</formula>
    </cfRule>
  </conditionalFormatting>
  <conditionalFormatting sqref="I774:P774">
    <cfRule type="cellIs" dxfId="4794" priority="4723" stopIfTrue="1" operator="equal">
      <formula>"Pass"</formula>
    </cfRule>
    <cfRule type="cellIs" dxfId="4793" priority="4724" stopIfTrue="1" operator="equal">
      <formula>"Fail"</formula>
    </cfRule>
  </conditionalFormatting>
  <conditionalFormatting sqref="I774:P774">
    <cfRule type="cellIs" dxfId="4792" priority="4721" stopIfTrue="1" operator="equal">
      <formula>"Pass"</formula>
    </cfRule>
    <cfRule type="cellIs" dxfId="4791" priority="4722" stopIfTrue="1" operator="equal">
      <formula>"Fail"</formula>
    </cfRule>
  </conditionalFormatting>
  <conditionalFormatting sqref="I774:P774">
    <cfRule type="cellIs" dxfId="4790" priority="4719" stopIfTrue="1" operator="equal">
      <formula>"Pass"</formula>
    </cfRule>
    <cfRule type="cellIs" dxfId="4789" priority="4720" stopIfTrue="1" operator="equal">
      <formula>"Fail"</formula>
    </cfRule>
  </conditionalFormatting>
  <conditionalFormatting sqref="I774:P774">
    <cfRule type="cellIs" dxfId="4788" priority="4717" stopIfTrue="1" operator="equal">
      <formula>"Pass"</formula>
    </cfRule>
    <cfRule type="cellIs" dxfId="4787" priority="4718" stopIfTrue="1" operator="equal">
      <formula>"Fail"</formula>
    </cfRule>
  </conditionalFormatting>
  <conditionalFormatting sqref="H774:O774">
    <cfRule type="cellIs" dxfId="4786" priority="4715" stopIfTrue="1" operator="equal">
      <formula>"Pass"</formula>
    </cfRule>
    <cfRule type="cellIs" dxfId="4785" priority="4716" stopIfTrue="1" operator="equal">
      <formula>"Fail"</formula>
    </cfRule>
  </conditionalFormatting>
  <conditionalFormatting sqref="H774:O774">
    <cfRule type="cellIs" dxfId="4784" priority="4713" stopIfTrue="1" operator="equal">
      <formula>"Pass"</formula>
    </cfRule>
    <cfRule type="cellIs" dxfId="4783" priority="4714" stopIfTrue="1" operator="equal">
      <formula>"Fail"</formula>
    </cfRule>
  </conditionalFormatting>
  <conditionalFormatting sqref="I774:P774">
    <cfRule type="cellIs" dxfId="4782" priority="4711" stopIfTrue="1" operator="equal">
      <formula>"Pass"</formula>
    </cfRule>
    <cfRule type="cellIs" dxfId="4781" priority="4712" stopIfTrue="1" operator="equal">
      <formula>"Fail"</formula>
    </cfRule>
  </conditionalFormatting>
  <conditionalFormatting sqref="I774:P774">
    <cfRule type="cellIs" dxfId="4780" priority="4709" stopIfTrue="1" operator="equal">
      <formula>"Pass"</formula>
    </cfRule>
    <cfRule type="cellIs" dxfId="4779" priority="4710" stopIfTrue="1" operator="equal">
      <formula>"Fail"</formula>
    </cfRule>
  </conditionalFormatting>
  <conditionalFormatting sqref="I774:P774">
    <cfRule type="cellIs" dxfId="4778" priority="4707" stopIfTrue="1" operator="equal">
      <formula>"Pass"</formula>
    </cfRule>
    <cfRule type="cellIs" dxfId="4777" priority="4708" stopIfTrue="1" operator="equal">
      <formula>"Fail"</formula>
    </cfRule>
  </conditionalFormatting>
  <conditionalFormatting sqref="I774:P774">
    <cfRule type="cellIs" dxfId="4776" priority="4705" stopIfTrue="1" operator="equal">
      <formula>"Pass"</formula>
    </cfRule>
    <cfRule type="cellIs" dxfId="4775" priority="4706" stopIfTrue="1" operator="equal">
      <formula>"Fail"</formula>
    </cfRule>
  </conditionalFormatting>
  <conditionalFormatting sqref="H774:O774">
    <cfRule type="cellIs" dxfId="4774" priority="4703" stopIfTrue="1" operator="equal">
      <formula>"Pass"</formula>
    </cfRule>
    <cfRule type="cellIs" dxfId="4773" priority="4704" stopIfTrue="1" operator="equal">
      <formula>"Fail"</formula>
    </cfRule>
  </conditionalFormatting>
  <conditionalFormatting sqref="H774:O774">
    <cfRule type="cellIs" dxfId="4772" priority="4701" stopIfTrue="1" operator="equal">
      <formula>"Pass"</formula>
    </cfRule>
    <cfRule type="cellIs" dxfId="4771" priority="4702" stopIfTrue="1" operator="equal">
      <formula>"Fail"</formula>
    </cfRule>
  </conditionalFormatting>
  <conditionalFormatting sqref="I774:P774">
    <cfRule type="cellIs" dxfId="4770" priority="4699" stopIfTrue="1" operator="equal">
      <formula>"Pass"</formula>
    </cfRule>
    <cfRule type="cellIs" dxfId="4769" priority="4700" stopIfTrue="1" operator="equal">
      <formula>"Fail"</formula>
    </cfRule>
  </conditionalFormatting>
  <conditionalFormatting sqref="I774:P774">
    <cfRule type="cellIs" dxfId="4768" priority="4697" stopIfTrue="1" operator="equal">
      <formula>"Pass"</formula>
    </cfRule>
    <cfRule type="cellIs" dxfId="4767" priority="4698" stopIfTrue="1" operator="equal">
      <formula>"Fail"</formula>
    </cfRule>
  </conditionalFormatting>
  <conditionalFormatting sqref="I774:P774">
    <cfRule type="cellIs" dxfId="4766" priority="4695" stopIfTrue="1" operator="equal">
      <formula>"Pass"</formula>
    </cfRule>
    <cfRule type="cellIs" dxfId="4765" priority="4696" stopIfTrue="1" operator="equal">
      <formula>"Fail"</formula>
    </cfRule>
  </conditionalFormatting>
  <conditionalFormatting sqref="I774:P774">
    <cfRule type="cellIs" dxfId="4764" priority="4693" stopIfTrue="1" operator="equal">
      <formula>"Pass"</formula>
    </cfRule>
    <cfRule type="cellIs" dxfId="4763" priority="4694" stopIfTrue="1" operator="equal">
      <formula>"Fail"</formula>
    </cfRule>
  </conditionalFormatting>
  <conditionalFormatting sqref="H774:O774">
    <cfRule type="cellIs" dxfId="4762" priority="4691" stopIfTrue="1" operator="equal">
      <formula>"Pass"</formula>
    </cfRule>
    <cfRule type="cellIs" dxfId="4761" priority="4692" stopIfTrue="1" operator="equal">
      <formula>"Fail"</formula>
    </cfRule>
  </conditionalFormatting>
  <conditionalFormatting sqref="H774:O774">
    <cfRule type="cellIs" dxfId="4760" priority="4689" stopIfTrue="1" operator="equal">
      <formula>"Pass"</formula>
    </cfRule>
    <cfRule type="cellIs" dxfId="4759" priority="4690" stopIfTrue="1" operator="equal">
      <formula>"Fail"</formula>
    </cfRule>
  </conditionalFormatting>
  <conditionalFormatting sqref="I774:P774">
    <cfRule type="cellIs" dxfId="4758" priority="4687" stopIfTrue="1" operator="equal">
      <formula>"Pass"</formula>
    </cfRule>
    <cfRule type="cellIs" dxfId="4757" priority="4688" stopIfTrue="1" operator="equal">
      <formula>"Fail"</formula>
    </cfRule>
  </conditionalFormatting>
  <conditionalFormatting sqref="I774:P774">
    <cfRule type="cellIs" dxfId="4756" priority="4685" stopIfTrue="1" operator="equal">
      <formula>"Pass"</formula>
    </cfRule>
    <cfRule type="cellIs" dxfId="4755" priority="4686" stopIfTrue="1" operator="equal">
      <formula>"Fail"</formula>
    </cfRule>
  </conditionalFormatting>
  <conditionalFormatting sqref="I774:P774">
    <cfRule type="cellIs" dxfId="4754" priority="4683" stopIfTrue="1" operator="equal">
      <formula>"Pass"</formula>
    </cfRule>
    <cfRule type="cellIs" dxfId="4753" priority="4684" stopIfTrue="1" operator="equal">
      <formula>"Fail"</formula>
    </cfRule>
  </conditionalFormatting>
  <conditionalFormatting sqref="I774:P774">
    <cfRule type="cellIs" dxfId="4752" priority="4681" stopIfTrue="1" operator="equal">
      <formula>"Pass"</formula>
    </cfRule>
    <cfRule type="cellIs" dxfId="4751" priority="4682" stopIfTrue="1" operator="equal">
      <formula>"Fail"</formula>
    </cfRule>
  </conditionalFormatting>
  <conditionalFormatting sqref="H774:O774">
    <cfRule type="cellIs" dxfId="4750" priority="4679" stopIfTrue="1" operator="equal">
      <formula>"Pass"</formula>
    </cfRule>
    <cfRule type="cellIs" dxfId="4749" priority="4680" stopIfTrue="1" operator="equal">
      <formula>"Fail"</formula>
    </cfRule>
  </conditionalFormatting>
  <conditionalFormatting sqref="H774:O774">
    <cfRule type="cellIs" dxfId="4748" priority="4677" stopIfTrue="1" operator="equal">
      <formula>"Pass"</formula>
    </cfRule>
    <cfRule type="cellIs" dxfId="4747" priority="4678" stopIfTrue="1" operator="equal">
      <formula>"Fail"</formula>
    </cfRule>
  </conditionalFormatting>
  <conditionalFormatting sqref="I774:P774">
    <cfRule type="cellIs" dxfId="4746" priority="4675" stopIfTrue="1" operator="equal">
      <formula>"Pass"</formula>
    </cfRule>
    <cfRule type="cellIs" dxfId="4745" priority="4676" stopIfTrue="1" operator="equal">
      <formula>"Fail"</formula>
    </cfRule>
  </conditionalFormatting>
  <conditionalFormatting sqref="I774:P774">
    <cfRule type="cellIs" dxfId="4744" priority="4673" stopIfTrue="1" operator="equal">
      <formula>"Pass"</formula>
    </cfRule>
    <cfRule type="cellIs" dxfId="4743" priority="4674" stopIfTrue="1" operator="equal">
      <formula>"Fail"</formula>
    </cfRule>
  </conditionalFormatting>
  <conditionalFormatting sqref="I774:P774">
    <cfRule type="cellIs" dxfId="4742" priority="4671" stopIfTrue="1" operator="equal">
      <formula>"Pass"</formula>
    </cfRule>
    <cfRule type="cellIs" dxfId="4741" priority="4672" stopIfTrue="1" operator="equal">
      <formula>"Fail"</formula>
    </cfRule>
  </conditionalFormatting>
  <conditionalFormatting sqref="I774:P774">
    <cfRule type="cellIs" dxfId="4740" priority="4669" stopIfTrue="1" operator="equal">
      <formula>"Pass"</formula>
    </cfRule>
    <cfRule type="cellIs" dxfId="4739" priority="4670" stopIfTrue="1" operator="equal">
      <formula>"Fail"</formula>
    </cfRule>
  </conditionalFormatting>
  <conditionalFormatting sqref="H774:O774">
    <cfRule type="cellIs" dxfId="4738" priority="4667" stopIfTrue="1" operator="equal">
      <formula>"Pass"</formula>
    </cfRule>
    <cfRule type="cellIs" dxfId="4737" priority="4668" stopIfTrue="1" operator="equal">
      <formula>"Fail"</formula>
    </cfRule>
  </conditionalFormatting>
  <conditionalFormatting sqref="H774:O774">
    <cfRule type="cellIs" dxfId="4736" priority="4665" stopIfTrue="1" operator="equal">
      <formula>"Pass"</formula>
    </cfRule>
    <cfRule type="cellIs" dxfId="4735" priority="4666" stopIfTrue="1" operator="equal">
      <formula>"Fail"</formula>
    </cfRule>
  </conditionalFormatting>
  <conditionalFormatting sqref="I774:P774">
    <cfRule type="cellIs" dxfId="4734" priority="4663" stopIfTrue="1" operator="equal">
      <formula>"Pass"</formula>
    </cfRule>
    <cfRule type="cellIs" dxfId="4733" priority="4664" stopIfTrue="1" operator="equal">
      <formula>"Fail"</formula>
    </cfRule>
  </conditionalFormatting>
  <conditionalFormatting sqref="I774:P774">
    <cfRule type="cellIs" dxfId="4732" priority="4661" stopIfTrue="1" operator="equal">
      <formula>"Pass"</formula>
    </cfRule>
    <cfRule type="cellIs" dxfId="4731" priority="4662" stopIfTrue="1" operator="equal">
      <formula>"Fail"</formula>
    </cfRule>
  </conditionalFormatting>
  <conditionalFormatting sqref="I774:P774">
    <cfRule type="cellIs" dxfId="4730" priority="4659" stopIfTrue="1" operator="equal">
      <formula>"Pass"</formula>
    </cfRule>
    <cfRule type="cellIs" dxfId="4729" priority="4660" stopIfTrue="1" operator="equal">
      <formula>"Fail"</formula>
    </cfRule>
  </conditionalFormatting>
  <conditionalFormatting sqref="I774:P774">
    <cfRule type="cellIs" dxfId="4728" priority="4657" stopIfTrue="1" operator="equal">
      <formula>"Pass"</formula>
    </cfRule>
    <cfRule type="cellIs" dxfId="4727" priority="4658" stopIfTrue="1" operator="equal">
      <formula>"Fail"</formula>
    </cfRule>
  </conditionalFormatting>
  <conditionalFormatting sqref="H774:O774">
    <cfRule type="cellIs" dxfId="4726" priority="4655" stopIfTrue="1" operator="equal">
      <formula>"Pass"</formula>
    </cfRule>
    <cfRule type="cellIs" dxfId="4725" priority="4656" stopIfTrue="1" operator="equal">
      <formula>"Fail"</formula>
    </cfRule>
  </conditionalFormatting>
  <conditionalFormatting sqref="H774:O774">
    <cfRule type="cellIs" dxfId="4724" priority="4653" stopIfTrue="1" operator="equal">
      <formula>"Pass"</formula>
    </cfRule>
    <cfRule type="cellIs" dxfId="4723" priority="4654" stopIfTrue="1" operator="equal">
      <formula>"Fail"</formula>
    </cfRule>
  </conditionalFormatting>
  <conditionalFormatting sqref="I774:P774">
    <cfRule type="cellIs" dxfId="4722" priority="4651" stopIfTrue="1" operator="equal">
      <formula>"Pass"</formula>
    </cfRule>
    <cfRule type="cellIs" dxfId="4721" priority="4652" stopIfTrue="1" operator="equal">
      <formula>"Fail"</formula>
    </cfRule>
  </conditionalFormatting>
  <conditionalFormatting sqref="I774:P774">
    <cfRule type="cellIs" dxfId="4720" priority="4649" stopIfTrue="1" operator="equal">
      <formula>"Pass"</formula>
    </cfRule>
    <cfRule type="cellIs" dxfId="4719" priority="4650" stopIfTrue="1" operator="equal">
      <formula>"Fail"</formula>
    </cfRule>
  </conditionalFormatting>
  <conditionalFormatting sqref="I774:P774">
    <cfRule type="cellIs" dxfId="4718" priority="4647" stopIfTrue="1" operator="equal">
      <formula>"Pass"</formula>
    </cfRule>
    <cfRule type="cellIs" dxfId="4717" priority="4648" stopIfTrue="1" operator="equal">
      <formula>"Fail"</formula>
    </cfRule>
  </conditionalFormatting>
  <conditionalFormatting sqref="I774:P774">
    <cfRule type="cellIs" dxfId="4716" priority="4645" stopIfTrue="1" operator="equal">
      <formula>"Pass"</formula>
    </cfRule>
    <cfRule type="cellIs" dxfId="4715" priority="4646" stopIfTrue="1" operator="equal">
      <formula>"Fail"</formula>
    </cfRule>
  </conditionalFormatting>
  <conditionalFormatting sqref="H774:O774">
    <cfRule type="cellIs" dxfId="4714" priority="4643" stopIfTrue="1" operator="equal">
      <formula>"Pass"</formula>
    </cfRule>
    <cfRule type="cellIs" dxfId="4713" priority="4644" stopIfTrue="1" operator="equal">
      <formula>"Fail"</formula>
    </cfRule>
  </conditionalFormatting>
  <conditionalFormatting sqref="H774:O774">
    <cfRule type="cellIs" dxfId="4712" priority="4641" stopIfTrue="1" operator="equal">
      <formula>"Pass"</formula>
    </cfRule>
    <cfRule type="cellIs" dxfId="4711" priority="4642" stopIfTrue="1" operator="equal">
      <formula>"Fail"</formula>
    </cfRule>
  </conditionalFormatting>
  <conditionalFormatting sqref="I774:P774">
    <cfRule type="cellIs" dxfId="4710" priority="4639" stopIfTrue="1" operator="equal">
      <formula>"Pass"</formula>
    </cfRule>
    <cfRule type="cellIs" dxfId="4709" priority="4640" stopIfTrue="1" operator="equal">
      <formula>"Fail"</formula>
    </cfRule>
  </conditionalFormatting>
  <conditionalFormatting sqref="I774:P774">
    <cfRule type="cellIs" dxfId="4708" priority="4637" stopIfTrue="1" operator="equal">
      <formula>"Pass"</formula>
    </cfRule>
    <cfRule type="cellIs" dxfId="4707" priority="4638" stopIfTrue="1" operator="equal">
      <formula>"Fail"</formula>
    </cfRule>
  </conditionalFormatting>
  <conditionalFormatting sqref="I774:P774">
    <cfRule type="cellIs" dxfId="4706" priority="4635" stopIfTrue="1" operator="equal">
      <formula>"Pass"</formula>
    </cfRule>
    <cfRule type="cellIs" dxfId="4705" priority="4636" stopIfTrue="1" operator="equal">
      <formula>"Fail"</formula>
    </cfRule>
  </conditionalFormatting>
  <conditionalFormatting sqref="I774:P774">
    <cfRule type="cellIs" dxfId="4704" priority="4633" stopIfTrue="1" operator="equal">
      <formula>"Pass"</formula>
    </cfRule>
    <cfRule type="cellIs" dxfId="4703" priority="4634" stopIfTrue="1" operator="equal">
      <formula>"Fail"</formula>
    </cfRule>
  </conditionalFormatting>
  <conditionalFormatting sqref="H774:O774">
    <cfRule type="cellIs" dxfId="4702" priority="4631" stopIfTrue="1" operator="equal">
      <formula>"Pass"</formula>
    </cfRule>
    <cfRule type="cellIs" dxfId="4701" priority="4632" stopIfTrue="1" operator="equal">
      <formula>"Fail"</formula>
    </cfRule>
  </conditionalFormatting>
  <conditionalFormatting sqref="H774:O774">
    <cfRule type="cellIs" dxfId="4700" priority="4629" stopIfTrue="1" operator="equal">
      <formula>"Pass"</formula>
    </cfRule>
    <cfRule type="cellIs" dxfId="4699" priority="4630" stopIfTrue="1" operator="equal">
      <formula>"Fail"</formula>
    </cfRule>
  </conditionalFormatting>
  <conditionalFormatting sqref="I774:P774">
    <cfRule type="cellIs" dxfId="4698" priority="4627" stopIfTrue="1" operator="equal">
      <formula>"Pass"</formula>
    </cfRule>
    <cfRule type="cellIs" dxfId="4697" priority="4628" stopIfTrue="1" operator="equal">
      <formula>"Fail"</formula>
    </cfRule>
  </conditionalFormatting>
  <conditionalFormatting sqref="I774:P774">
    <cfRule type="cellIs" dxfId="4696" priority="4625" stopIfTrue="1" operator="equal">
      <formula>"Pass"</formula>
    </cfRule>
    <cfRule type="cellIs" dxfId="4695" priority="4626" stopIfTrue="1" operator="equal">
      <formula>"Fail"</formula>
    </cfRule>
  </conditionalFormatting>
  <conditionalFormatting sqref="I774:P774">
    <cfRule type="cellIs" dxfId="4694" priority="4623" stopIfTrue="1" operator="equal">
      <formula>"Pass"</formula>
    </cfRule>
    <cfRule type="cellIs" dxfId="4693" priority="4624" stopIfTrue="1" operator="equal">
      <formula>"Fail"</formula>
    </cfRule>
  </conditionalFormatting>
  <conditionalFormatting sqref="I774:P774">
    <cfRule type="cellIs" dxfId="4692" priority="4621" stopIfTrue="1" operator="equal">
      <formula>"Pass"</formula>
    </cfRule>
    <cfRule type="cellIs" dxfId="4691" priority="4622" stopIfTrue="1" operator="equal">
      <formula>"Fail"</formula>
    </cfRule>
  </conditionalFormatting>
  <conditionalFormatting sqref="H774:O774">
    <cfRule type="cellIs" dxfId="4690" priority="4619" stopIfTrue="1" operator="equal">
      <formula>"Pass"</formula>
    </cfRule>
    <cfRule type="cellIs" dxfId="4689" priority="4620" stopIfTrue="1" operator="equal">
      <formula>"Fail"</formula>
    </cfRule>
  </conditionalFormatting>
  <conditionalFormatting sqref="H774:O774">
    <cfRule type="cellIs" dxfId="4688" priority="4617" stopIfTrue="1" operator="equal">
      <formula>"Pass"</formula>
    </cfRule>
    <cfRule type="cellIs" dxfId="4687" priority="4618" stopIfTrue="1" operator="equal">
      <formula>"Fail"</formula>
    </cfRule>
  </conditionalFormatting>
  <conditionalFormatting sqref="I774:P774">
    <cfRule type="cellIs" dxfId="4686" priority="4615" stopIfTrue="1" operator="equal">
      <formula>"Pass"</formula>
    </cfRule>
    <cfRule type="cellIs" dxfId="4685" priority="4616" stopIfTrue="1" operator="equal">
      <formula>"Fail"</formula>
    </cfRule>
  </conditionalFormatting>
  <conditionalFormatting sqref="I774:P774">
    <cfRule type="cellIs" dxfId="4684" priority="4613" stopIfTrue="1" operator="equal">
      <formula>"Pass"</formula>
    </cfRule>
    <cfRule type="cellIs" dxfId="4683" priority="4614" stopIfTrue="1" operator="equal">
      <formula>"Fail"</formula>
    </cfRule>
  </conditionalFormatting>
  <conditionalFormatting sqref="I774:P774">
    <cfRule type="cellIs" dxfId="4682" priority="4611" stopIfTrue="1" operator="equal">
      <formula>"Pass"</formula>
    </cfRule>
    <cfRule type="cellIs" dxfId="4681" priority="4612" stopIfTrue="1" operator="equal">
      <formula>"Fail"</formula>
    </cfRule>
  </conditionalFormatting>
  <conditionalFormatting sqref="I774:P774">
    <cfRule type="cellIs" dxfId="4680" priority="4609" stopIfTrue="1" operator="equal">
      <formula>"Pass"</formula>
    </cfRule>
    <cfRule type="cellIs" dxfId="4679" priority="4610" stopIfTrue="1" operator="equal">
      <formula>"Fail"</formula>
    </cfRule>
  </conditionalFormatting>
  <conditionalFormatting sqref="H774:O774">
    <cfRule type="cellIs" dxfId="4678" priority="4607" stopIfTrue="1" operator="equal">
      <formula>"Pass"</formula>
    </cfRule>
    <cfRule type="cellIs" dxfId="4677" priority="4608" stopIfTrue="1" operator="equal">
      <formula>"Fail"</formula>
    </cfRule>
  </conditionalFormatting>
  <conditionalFormatting sqref="H774:O774">
    <cfRule type="cellIs" dxfId="4676" priority="4605" stopIfTrue="1" operator="equal">
      <formula>"Pass"</formula>
    </cfRule>
    <cfRule type="cellIs" dxfId="4675" priority="4606" stopIfTrue="1" operator="equal">
      <formula>"Fail"</formula>
    </cfRule>
  </conditionalFormatting>
  <conditionalFormatting sqref="I774:P774">
    <cfRule type="cellIs" dxfId="4674" priority="4603" stopIfTrue="1" operator="equal">
      <formula>"Pass"</formula>
    </cfRule>
    <cfRule type="cellIs" dxfId="4673" priority="4604" stopIfTrue="1" operator="equal">
      <formula>"Fail"</formula>
    </cfRule>
  </conditionalFormatting>
  <conditionalFormatting sqref="I774:P774">
    <cfRule type="cellIs" dxfId="4672" priority="4601" stopIfTrue="1" operator="equal">
      <formula>"Pass"</formula>
    </cfRule>
    <cfRule type="cellIs" dxfId="4671" priority="4602" stopIfTrue="1" operator="equal">
      <formula>"Fail"</formula>
    </cfRule>
  </conditionalFormatting>
  <conditionalFormatting sqref="I774:P774">
    <cfRule type="cellIs" dxfId="4670" priority="4599" stopIfTrue="1" operator="equal">
      <formula>"Pass"</formula>
    </cfRule>
    <cfRule type="cellIs" dxfId="4669" priority="4600" stopIfTrue="1" operator="equal">
      <formula>"Fail"</formula>
    </cfRule>
  </conditionalFormatting>
  <conditionalFormatting sqref="I774:P774">
    <cfRule type="cellIs" dxfId="4668" priority="4597" stopIfTrue="1" operator="equal">
      <formula>"Pass"</formula>
    </cfRule>
    <cfRule type="cellIs" dxfId="4667" priority="4598" stopIfTrue="1" operator="equal">
      <formula>"Fail"</formula>
    </cfRule>
  </conditionalFormatting>
  <conditionalFormatting sqref="H774:O774">
    <cfRule type="cellIs" dxfId="4666" priority="4595" stopIfTrue="1" operator="equal">
      <formula>"Pass"</formula>
    </cfRule>
    <cfRule type="cellIs" dxfId="4665" priority="4596" stopIfTrue="1" operator="equal">
      <formula>"Fail"</formula>
    </cfRule>
  </conditionalFormatting>
  <conditionalFormatting sqref="H774:O774">
    <cfRule type="cellIs" dxfId="4664" priority="4593" stopIfTrue="1" operator="equal">
      <formula>"Pass"</formula>
    </cfRule>
    <cfRule type="cellIs" dxfId="4663" priority="4594" stopIfTrue="1" operator="equal">
      <formula>"Fail"</formula>
    </cfRule>
  </conditionalFormatting>
  <conditionalFormatting sqref="I774:P774">
    <cfRule type="cellIs" dxfId="4662" priority="4591" stopIfTrue="1" operator="equal">
      <formula>"Pass"</formula>
    </cfRule>
    <cfRule type="cellIs" dxfId="4661" priority="4592" stopIfTrue="1" operator="equal">
      <formula>"Fail"</formula>
    </cfRule>
  </conditionalFormatting>
  <conditionalFormatting sqref="I774:P774">
    <cfRule type="cellIs" dxfId="4660" priority="4589" stopIfTrue="1" operator="equal">
      <formula>"Pass"</formula>
    </cfRule>
    <cfRule type="cellIs" dxfId="4659" priority="4590" stopIfTrue="1" operator="equal">
      <formula>"Fail"</formula>
    </cfRule>
  </conditionalFormatting>
  <conditionalFormatting sqref="I774:P774">
    <cfRule type="cellIs" dxfId="4658" priority="4587" stopIfTrue="1" operator="equal">
      <formula>"Pass"</formula>
    </cfRule>
    <cfRule type="cellIs" dxfId="4657" priority="4588" stopIfTrue="1" operator="equal">
      <formula>"Fail"</formula>
    </cfRule>
  </conditionalFormatting>
  <conditionalFormatting sqref="I774:P774">
    <cfRule type="cellIs" dxfId="4656" priority="4585" stopIfTrue="1" operator="equal">
      <formula>"Pass"</formula>
    </cfRule>
    <cfRule type="cellIs" dxfId="4655" priority="4586" stopIfTrue="1" operator="equal">
      <formula>"Fail"</formula>
    </cfRule>
  </conditionalFormatting>
  <conditionalFormatting sqref="D774:E774 G774:P774">
    <cfRule type="cellIs" dxfId="4654" priority="4583" stopIfTrue="1" operator="equal">
      <formula>"Pass"</formula>
    </cfRule>
    <cfRule type="cellIs" dxfId="4653" priority="4584" stopIfTrue="1" operator="equal">
      <formula>"Fail"</formula>
    </cfRule>
  </conditionalFormatting>
  <conditionalFormatting sqref="D774:E774 G774:P774">
    <cfRule type="cellIs" dxfId="4652" priority="4581" stopIfTrue="1" operator="equal">
      <formula>"Pass"</formula>
    </cfRule>
    <cfRule type="cellIs" dxfId="4651" priority="4582" stopIfTrue="1" operator="equal">
      <formula>"Fail"</formula>
    </cfRule>
  </conditionalFormatting>
  <conditionalFormatting sqref="D774:E774 G774:P774">
    <cfRule type="cellIs" dxfId="4650" priority="4579" stopIfTrue="1" operator="equal">
      <formula>"Pass"</formula>
    </cfRule>
    <cfRule type="cellIs" dxfId="4649" priority="4580" stopIfTrue="1" operator="equal">
      <formula>"Fail"</formula>
    </cfRule>
  </conditionalFormatting>
  <conditionalFormatting sqref="D774:E774 G774:P774">
    <cfRule type="cellIs" dxfId="4648" priority="4577" stopIfTrue="1" operator="equal">
      <formula>"Pass"</formula>
    </cfRule>
    <cfRule type="cellIs" dxfId="4647" priority="4578" stopIfTrue="1" operator="equal">
      <formula>"Fail"</formula>
    </cfRule>
  </conditionalFormatting>
  <conditionalFormatting sqref="D774:E774 G774:P774">
    <cfRule type="cellIs" dxfId="4646" priority="4575" stopIfTrue="1" operator="equal">
      <formula>"Pass"</formula>
    </cfRule>
    <cfRule type="cellIs" dxfId="4645" priority="4576" stopIfTrue="1" operator="equal">
      <formula>"Fail"</formula>
    </cfRule>
  </conditionalFormatting>
  <conditionalFormatting sqref="D774:E774 G774:P774">
    <cfRule type="cellIs" dxfId="4644" priority="4573" stopIfTrue="1" operator="equal">
      <formula>"Pass"</formula>
    </cfRule>
    <cfRule type="cellIs" dxfId="4643" priority="4574" stopIfTrue="1" operator="equal">
      <formula>"Fail"</formula>
    </cfRule>
  </conditionalFormatting>
  <conditionalFormatting sqref="D774:E774 G774:P774">
    <cfRule type="cellIs" dxfId="4642" priority="4571" stopIfTrue="1" operator="equal">
      <formula>"Pass"</formula>
    </cfRule>
    <cfRule type="cellIs" dxfId="4641" priority="4572" stopIfTrue="1" operator="equal">
      <formula>"Fail"</formula>
    </cfRule>
  </conditionalFormatting>
  <conditionalFormatting sqref="D774:E774 G774:P774">
    <cfRule type="cellIs" dxfId="4640" priority="4569" stopIfTrue="1" operator="equal">
      <formula>"Pass"</formula>
    </cfRule>
    <cfRule type="cellIs" dxfId="4639" priority="4570" stopIfTrue="1" operator="equal">
      <formula>"Fail"</formula>
    </cfRule>
  </conditionalFormatting>
  <conditionalFormatting sqref="D774:E774 G774:P774">
    <cfRule type="cellIs" dxfId="4638" priority="4567" stopIfTrue="1" operator="equal">
      <formula>"Pass"</formula>
    </cfRule>
    <cfRule type="cellIs" dxfId="4637" priority="4568" stopIfTrue="1" operator="equal">
      <formula>"Fail"</formula>
    </cfRule>
  </conditionalFormatting>
  <conditionalFormatting sqref="D774:E774 G774:P774">
    <cfRule type="cellIs" dxfId="4636" priority="4565" stopIfTrue="1" operator="equal">
      <formula>"Pass"</formula>
    </cfRule>
    <cfRule type="cellIs" dxfId="4635" priority="4566" stopIfTrue="1" operator="equal">
      <formula>"Fail"</formula>
    </cfRule>
  </conditionalFormatting>
  <conditionalFormatting sqref="D774:E774 G774:P774">
    <cfRule type="cellIs" dxfId="4634" priority="4563" stopIfTrue="1" operator="equal">
      <formula>"Pass"</formula>
    </cfRule>
    <cfRule type="cellIs" dxfId="4633" priority="4564" stopIfTrue="1" operator="equal">
      <formula>"Fail"</formula>
    </cfRule>
  </conditionalFormatting>
  <conditionalFormatting sqref="D774:E774 G774:P774">
    <cfRule type="cellIs" dxfId="4632" priority="4561" stopIfTrue="1" operator="equal">
      <formula>"Pass"</formula>
    </cfRule>
    <cfRule type="cellIs" dxfId="4631" priority="4562" stopIfTrue="1" operator="equal">
      <formula>"Fail"</formula>
    </cfRule>
  </conditionalFormatting>
  <conditionalFormatting sqref="D774:E774 G774:P774">
    <cfRule type="cellIs" dxfId="4630" priority="4559" stopIfTrue="1" operator="equal">
      <formula>"Pass"</formula>
    </cfRule>
    <cfRule type="cellIs" dxfId="4629" priority="4560" stopIfTrue="1" operator="equal">
      <formula>"Fail"</formula>
    </cfRule>
  </conditionalFormatting>
  <conditionalFormatting sqref="D774:E774 G774:P774">
    <cfRule type="cellIs" dxfId="4628" priority="4557" stopIfTrue="1" operator="equal">
      <formula>"Pass"</formula>
    </cfRule>
    <cfRule type="cellIs" dxfId="4627" priority="4558" stopIfTrue="1" operator="equal">
      <formula>"Fail"</formula>
    </cfRule>
  </conditionalFormatting>
  <conditionalFormatting sqref="D774:E774 G774:P774">
    <cfRule type="cellIs" dxfId="4626" priority="4555" stopIfTrue="1" operator="equal">
      <formula>"Pass"</formula>
    </cfRule>
    <cfRule type="cellIs" dxfId="4625" priority="4556" stopIfTrue="1" operator="equal">
      <formula>"Fail"</formula>
    </cfRule>
  </conditionalFormatting>
  <conditionalFormatting sqref="D774:E774 G774:P774">
    <cfRule type="cellIs" dxfId="4624" priority="4553" stopIfTrue="1" operator="equal">
      <formula>"Pass"</formula>
    </cfRule>
    <cfRule type="cellIs" dxfId="4623" priority="4554" stopIfTrue="1" operator="equal">
      <formula>"Fail"</formula>
    </cfRule>
  </conditionalFormatting>
  <conditionalFormatting sqref="D774:E774 G774:P774">
    <cfRule type="cellIs" dxfId="4622" priority="4551" stopIfTrue="1" operator="equal">
      <formula>"Pass"</formula>
    </cfRule>
    <cfRule type="cellIs" dxfId="4621" priority="4552" stopIfTrue="1" operator="equal">
      <formula>"Fail"</formula>
    </cfRule>
  </conditionalFormatting>
  <conditionalFormatting sqref="D774:E774 G774:P774">
    <cfRule type="cellIs" dxfId="4620" priority="4549" stopIfTrue="1" operator="equal">
      <formula>"Pass"</formula>
    </cfRule>
    <cfRule type="cellIs" dxfId="4619" priority="4550" stopIfTrue="1" operator="equal">
      <formula>"Fail"</formula>
    </cfRule>
  </conditionalFormatting>
  <conditionalFormatting sqref="D774:E774 G774:P774">
    <cfRule type="cellIs" dxfId="4618" priority="4547" stopIfTrue="1" operator="equal">
      <formula>"Pass"</formula>
    </cfRule>
    <cfRule type="cellIs" dxfId="4617" priority="4548" stopIfTrue="1" operator="equal">
      <formula>"Fail"</formula>
    </cfRule>
  </conditionalFormatting>
  <conditionalFormatting sqref="D774:E774 G774:P774">
    <cfRule type="cellIs" dxfId="4616" priority="4545" stopIfTrue="1" operator="equal">
      <formula>"Pass"</formula>
    </cfRule>
    <cfRule type="cellIs" dxfId="4615" priority="4546" stopIfTrue="1" operator="equal">
      <formula>"Fail"</formula>
    </cfRule>
  </conditionalFormatting>
  <conditionalFormatting sqref="D774:E774 G774:P774">
    <cfRule type="cellIs" dxfId="4614" priority="4543" stopIfTrue="1" operator="equal">
      <formula>"Pass"</formula>
    </cfRule>
    <cfRule type="cellIs" dxfId="4613" priority="4544" stopIfTrue="1" operator="equal">
      <formula>"Fail"</formula>
    </cfRule>
  </conditionalFormatting>
  <conditionalFormatting sqref="G770:L770">
    <cfRule type="cellIs" dxfId="4612" priority="4541" stopIfTrue="1" operator="equal">
      <formula>"Pass"</formula>
    </cfRule>
    <cfRule type="cellIs" dxfId="4611" priority="4542" stopIfTrue="1" operator="equal">
      <formula>"Fail"</formula>
    </cfRule>
  </conditionalFormatting>
  <conditionalFormatting sqref="H770:L770">
    <cfRule type="cellIs" dxfId="4610" priority="4539" stopIfTrue="1" operator="equal">
      <formula>"Pass"</formula>
    </cfRule>
    <cfRule type="cellIs" dxfId="4609" priority="4540" stopIfTrue="1" operator="equal">
      <formula>"Fail"</formula>
    </cfRule>
  </conditionalFormatting>
  <conditionalFormatting sqref="H770:L770">
    <cfRule type="cellIs" dxfId="4608" priority="4537" stopIfTrue="1" operator="equal">
      <formula>"Pass"</formula>
    </cfRule>
    <cfRule type="cellIs" dxfId="4607" priority="4538" stopIfTrue="1" operator="equal">
      <formula>"Fail"</formula>
    </cfRule>
  </conditionalFormatting>
  <conditionalFormatting sqref="I770:L770">
    <cfRule type="cellIs" dxfId="4606" priority="4535" stopIfTrue="1" operator="equal">
      <formula>"Pass"</formula>
    </cfRule>
    <cfRule type="cellIs" dxfId="4605" priority="4536" stopIfTrue="1" operator="equal">
      <formula>"Fail"</formula>
    </cfRule>
  </conditionalFormatting>
  <conditionalFormatting sqref="I770:L770">
    <cfRule type="cellIs" dxfId="4604" priority="4533" stopIfTrue="1" operator="equal">
      <formula>"Pass"</formula>
    </cfRule>
    <cfRule type="cellIs" dxfId="4603" priority="4534" stopIfTrue="1" operator="equal">
      <formula>"Fail"</formula>
    </cfRule>
  </conditionalFormatting>
  <conditionalFormatting sqref="I770:L770">
    <cfRule type="cellIs" dxfId="4602" priority="4531" stopIfTrue="1" operator="equal">
      <formula>"Pass"</formula>
    </cfRule>
    <cfRule type="cellIs" dxfId="4601" priority="4532" stopIfTrue="1" operator="equal">
      <formula>"Fail"</formula>
    </cfRule>
  </conditionalFormatting>
  <conditionalFormatting sqref="I770:L770">
    <cfRule type="cellIs" dxfId="4600" priority="4529" stopIfTrue="1" operator="equal">
      <formula>"Pass"</formula>
    </cfRule>
    <cfRule type="cellIs" dxfId="4599" priority="4530" stopIfTrue="1" operator="equal">
      <formula>"Fail"</formula>
    </cfRule>
  </conditionalFormatting>
  <conditionalFormatting sqref="H770:L770">
    <cfRule type="cellIs" dxfId="4598" priority="4527" stopIfTrue="1" operator="equal">
      <formula>"Pass"</formula>
    </cfRule>
    <cfRule type="cellIs" dxfId="4597" priority="4528" stopIfTrue="1" operator="equal">
      <formula>"Fail"</formula>
    </cfRule>
  </conditionalFormatting>
  <conditionalFormatting sqref="H770:L770">
    <cfRule type="cellIs" dxfId="4596" priority="4525" stopIfTrue="1" operator="equal">
      <formula>"Pass"</formula>
    </cfRule>
    <cfRule type="cellIs" dxfId="4595" priority="4526" stopIfTrue="1" operator="equal">
      <formula>"Fail"</formula>
    </cfRule>
  </conditionalFormatting>
  <conditionalFormatting sqref="I770:L770">
    <cfRule type="cellIs" dxfId="4594" priority="4523" stopIfTrue="1" operator="equal">
      <formula>"Pass"</formula>
    </cfRule>
    <cfRule type="cellIs" dxfId="4593" priority="4524" stopIfTrue="1" operator="equal">
      <formula>"Fail"</formula>
    </cfRule>
  </conditionalFormatting>
  <conditionalFormatting sqref="I770:L770">
    <cfRule type="cellIs" dxfId="4592" priority="4521" stopIfTrue="1" operator="equal">
      <formula>"Pass"</formula>
    </cfRule>
    <cfRule type="cellIs" dxfId="4591" priority="4522" stopIfTrue="1" operator="equal">
      <formula>"Fail"</formula>
    </cfRule>
  </conditionalFormatting>
  <conditionalFormatting sqref="I770:L770">
    <cfRule type="cellIs" dxfId="4590" priority="4519" stopIfTrue="1" operator="equal">
      <formula>"Pass"</formula>
    </cfRule>
    <cfRule type="cellIs" dxfId="4589" priority="4520" stopIfTrue="1" operator="equal">
      <formula>"Fail"</formula>
    </cfRule>
  </conditionalFormatting>
  <conditionalFormatting sqref="I770:L770">
    <cfRule type="cellIs" dxfId="4588" priority="4517" stopIfTrue="1" operator="equal">
      <formula>"Pass"</formula>
    </cfRule>
    <cfRule type="cellIs" dxfId="4587" priority="4518" stopIfTrue="1" operator="equal">
      <formula>"Fail"</formula>
    </cfRule>
  </conditionalFormatting>
  <conditionalFormatting sqref="H770:L770">
    <cfRule type="cellIs" dxfId="4586" priority="4515" stopIfTrue="1" operator="equal">
      <formula>"Pass"</formula>
    </cfRule>
    <cfRule type="cellIs" dxfId="4585" priority="4516" stopIfTrue="1" operator="equal">
      <formula>"Fail"</formula>
    </cfRule>
  </conditionalFormatting>
  <conditionalFormatting sqref="H770:L770">
    <cfRule type="cellIs" dxfId="4584" priority="4513" stopIfTrue="1" operator="equal">
      <formula>"Pass"</formula>
    </cfRule>
    <cfRule type="cellIs" dxfId="4583" priority="4514" stopIfTrue="1" operator="equal">
      <formula>"Fail"</formula>
    </cfRule>
  </conditionalFormatting>
  <conditionalFormatting sqref="I770:L770">
    <cfRule type="cellIs" dxfId="4582" priority="4511" stopIfTrue="1" operator="equal">
      <formula>"Pass"</formula>
    </cfRule>
    <cfRule type="cellIs" dxfId="4581" priority="4512" stopIfTrue="1" operator="equal">
      <formula>"Fail"</formula>
    </cfRule>
  </conditionalFormatting>
  <conditionalFormatting sqref="I770:L770">
    <cfRule type="cellIs" dxfId="4580" priority="4509" stopIfTrue="1" operator="equal">
      <formula>"Pass"</formula>
    </cfRule>
    <cfRule type="cellIs" dxfId="4579" priority="4510" stopIfTrue="1" operator="equal">
      <formula>"Fail"</formula>
    </cfRule>
  </conditionalFormatting>
  <conditionalFormatting sqref="I770:L770">
    <cfRule type="cellIs" dxfId="4578" priority="4507" stopIfTrue="1" operator="equal">
      <formula>"Pass"</formula>
    </cfRule>
    <cfRule type="cellIs" dxfId="4577" priority="4508" stopIfTrue="1" operator="equal">
      <formula>"Fail"</formula>
    </cfRule>
  </conditionalFormatting>
  <conditionalFormatting sqref="I770:L770">
    <cfRule type="cellIs" dxfId="4576" priority="4505" stopIfTrue="1" operator="equal">
      <formula>"Pass"</formula>
    </cfRule>
    <cfRule type="cellIs" dxfId="4575" priority="4506" stopIfTrue="1" operator="equal">
      <formula>"Fail"</formula>
    </cfRule>
  </conditionalFormatting>
  <conditionalFormatting sqref="H770:L770">
    <cfRule type="cellIs" dxfId="4574" priority="4503" stopIfTrue="1" operator="equal">
      <formula>"Pass"</formula>
    </cfRule>
    <cfRule type="cellIs" dxfId="4573" priority="4504" stopIfTrue="1" operator="equal">
      <formula>"Fail"</formula>
    </cfRule>
  </conditionalFormatting>
  <conditionalFormatting sqref="H770:L770">
    <cfRule type="cellIs" dxfId="4572" priority="4501" stopIfTrue="1" operator="equal">
      <formula>"Pass"</formula>
    </cfRule>
    <cfRule type="cellIs" dxfId="4571" priority="4502" stopIfTrue="1" operator="equal">
      <formula>"Fail"</formula>
    </cfRule>
  </conditionalFormatting>
  <conditionalFormatting sqref="I770:L770">
    <cfRule type="cellIs" dxfId="4570" priority="4499" stopIfTrue="1" operator="equal">
      <formula>"Pass"</formula>
    </cfRule>
    <cfRule type="cellIs" dxfId="4569" priority="4500" stopIfTrue="1" operator="equal">
      <formula>"Fail"</formula>
    </cfRule>
  </conditionalFormatting>
  <conditionalFormatting sqref="I770:L770">
    <cfRule type="cellIs" dxfId="4568" priority="4497" stopIfTrue="1" operator="equal">
      <formula>"Pass"</formula>
    </cfRule>
    <cfRule type="cellIs" dxfId="4567" priority="4498" stopIfTrue="1" operator="equal">
      <formula>"Fail"</formula>
    </cfRule>
  </conditionalFormatting>
  <conditionalFormatting sqref="I770:L770">
    <cfRule type="cellIs" dxfId="4566" priority="4495" stopIfTrue="1" operator="equal">
      <formula>"Pass"</formula>
    </cfRule>
    <cfRule type="cellIs" dxfId="4565" priority="4496" stopIfTrue="1" operator="equal">
      <formula>"Fail"</formula>
    </cfRule>
  </conditionalFormatting>
  <conditionalFormatting sqref="I770:L770">
    <cfRule type="cellIs" dxfId="4564" priority="4493" stopIfTrue="1" operator="equal">
      <formula>"Pass"</formula>
    </cfRule>
    <cfRule type="cellIs" dxfId="4563" priority="4494" stopIfTrue="1" operator="equal">
      <formula>"Fail"</formula>
    </cfRule>
  </conditionalFormatting>
  <conditionalFormatting sqref="H770:L770">
    <cfRule type="cellIs" dxfId="4562" priority="4491" stopIfTrue="1" operator="equal">
      <formula>"Pass"</formula>
    </cfRule>
    <cfRule type="cellIs" dxfId="4561" priority="4492" stopIfTrue="1" operator="equal">
      <formula>"Fail"</formula>
    </cfRule>
  </conditionalFormatting>
  <conditionalFormatting sqref="H770:L770">
    <cfRule type="cellIs" dxfId="4560" priority="4489" stopIfTrue="1" operator="equal">
      <formula>"Pass"</formula>
    </cfRule>
    <cfRule type="cellIs" dxfId="4559" priority="4490" stopIfTrue="1" operator="equal">
      <formula>"Fail"</formula>
    </cfRule>
  </conditionalFormatting>
  <conditionalFormatting sqref="I770:L770">
    <cfRule type="cellIs" dxfId="4558" priority="4487" stopIfTrue="1" operator="equal">
      <formula>"Pass"</formula>
    </cfRule>
    <cfRule type="cellIs" dxfId="4557" priority="4488" stopIfTrue="1" operator="equal">
      <formula>"Fail"</formula>
    </cfRule>
  </conditionalFormatting>
  <conditionalFormatting sqref="I770:L770">
    <cfRule type="cellIs" dxfId="4556" priority="4485" stopIfTrue="1" operator="equal">
      <formula>"Pass"</formula>
    </cfRule>
    <cfRule type="cellIs" dxfId="4555" priority="4486" stopIfTrue="1" operator="equal">
      <formula>"Fail"</formula>
    </cfRule>
  </conditionalFormatting>
  <conditionalFormatting sqref="I770:L770">
    <cfRule type="cellIs" dxfId="4554" priority="4483" stopIfTrue="1" operator="equal">
      <formula>"Pass"</formula>
    </cfRule>
    <cfRule type="cellIs" dxfId="4553" priority="4484" stopIfTrue="1" operator="equal">
      <formula>"Fail"</formula>
    </cfRule>
  </conditionalFormatting>
  <conditionalFormatting sqref="I770:L770">
    <cfRule type="cellIs" dxfId="4552" priority="4481" stopIfTrue="1" operator="equal">
      <formula>"Pass"</formula>
    </cfRule>
    <cfRule type="cellIs" dxfId="4551" priority="4482" stopIfTrue="1" operator="equal">
      <formula>"Fail"</formula>
    </cfRule>
  </conditionalFormatting>
  <conditionalFormatting sqref="G770">
    <cfRule type="cellIs" dxfId="4550" priority="4479" stopIfTrue="1" operator="equal">
      <formula>"Pass"</formula>
    </cfRule>
    <cfRule type="cellIs" dxfId="4549" priority="4480" stopIfTrue="1" operator="equal">
      <formula>"Fail"</formula>
    </cfRule>
  </conditionalFormatting>
  <conditionalFormatting sqref="G770">
    <cfRule type="cellIs" dxfId="4548" priority="4477" stopIfTrue="1" operator="equal">
      <formula>"Pass"</formula>
    </cfRule>
    <cfRule type="cellIs" dxfId="4547" priority="4478" stopIfTrue="1" operator="equal">
      <formula>"Fail"</formula>
    </cfRule>
  </conditionalFormatting>
  <conditionalFormatting sqref="G770">
    <cfRule type="cellIs" dxfId="4546" priority="4475" stopIfTrue="1" operator="equal">
      <formula>"Pass"</formula>
    </cfRule>
    <cfRule type="cellIs" dxfId="4545" priority="4476" stopIfTrue="1" operator="equal">
      <formula>"Fail"</formula>
    </cfRule>
  </conditionalFormatting>
  <conditionalFormatting sqref="G770">
    <cfRule type="cellIs" dxfId="4544" priority="4473" stopIfTrue="1" operator="equal">
      <formula>"Pass"</formula>
    </cfRule>
    <cfRule type="cellIs" dxfId="4543" priority="4474" stopIfTrue="1" operator="equal">
      <formula>"Fail"</formula>
    </cfRule>
  </conditionalFormatting>
  <conditionalFormatting sqref="G770">
    <cfRule type="cellIs" dxfId="4542" priority="4471" stopIfTrue="1" operator="equal">
      <formula>"Pass"</formula>
    </cfRule>
    <cfRule type="cellIs" dxfId="4541" priority="4472" stopIfTrue="1" operator="equal">
      <formula>"Fail"</formula>
    </cfRule>
  </conditionalFormatting>
  <conditionalFormatting sqref="G770">
    <cfRule type="cellIs" dxfId="4540" priority="4469" stopIfTrue="1" operator="equal">
      <formula>"Pass"</formula>
    </cfRule>
    <cfRule type="cellIs" dxfId="4539" priority="4470" stopIfTrue="1" operator="equal">
      <formula>"Fail"</formula>
    </cfRule>
  </conditionalFormatting>
  <conditionalFormatting sqref="H770:L770">
    <cfRule type="cellIs" dxfId="4538" priority="4467" stopIfTrue="1" operator="equal">
      <formula>"Pass"</formula>
    </cfRule>
    <cfRule type="cellIs" dxfId="4537" priority="4468" stopIfTrue="1" operator="equal">
      <formula>"Fail"</formula>
    </cfRule>
  </conditionalFormatting>
  <conditionalFormatting sqref="H770:L770">
    <cfRule type="cellIs" dxfId="4536" priority="4465" stopIfTrue="1" operator="equal">
      <formula>"Pass"</formula>
    </cfRule>
    <cfRule type="cellIs" dxfId="4535" priority="4466" stopIfTrue="1" operator="equal">
      <formula>"Fail"</formula>
    </cfRule>
  </conditionalFormatting>
  <conditionalFormatting sqref="I770:L770">
    <cfRule type="cellIs" dxfId="4534" priority="4463" stopIfTrue="1" operator="equal">
      <formula>"Pass"</formula>
    </cfRule>
    <cfRule type="cellIs" dxfId="4533" priority="4464" stopIfTrue="1" operator="equal">
      <formula>"Fail"</formula>
    </cfRule>
  </conditionalFormatting>
  <conditionalFormatting sqref="I770:L770">
    <cfRule type="cellIs" dxfId="4532" priority="4461" stopIfTrue="1" operator="equal">
      <formula>"Pass"</formula>
    </cfRule>
    <cfRule type="cellIs" dxfId="4531" priority="4462" stopIfTrue="1" operator="equal">
      <formula>"Fail"</formula>
    </cfRule>
  </conditionalFormatting>
  <conditionalFormatting sqref="I770:L770">
    <cfRule type="cellIs" dxfId="4530" priority="4459" stopIfTrue="1" operator="equal">
      <formula>"Pass"</formula>
    </cfRule>
    <cfRule type="cellIs" dxfId="4529" priority="4460" stopIfTrue="1" operator="equal">
      <formula>"Fail"</formula>
    </cfRule>
  </conditionalFormatting>
  <conditionalFormatting sqref="I770:L770">
    <cfRule type="cellIs" dxfId="4528" priority="4457" stopIfTrue="1" operator="equal">
      <formula>"Pass"</formula>
    </cfRule>
    <cfRule type="cellIs" dxfId="4527" priority="4458" stopIfTrue="1" operator="equal">
      <formula>"Fail"</formula>
    </cfRule>
  </conditionalFormatting>
  <conditionalFormatting sqref="H770:L770">
    <cfRule type="cellIs" dxfId="4526" priority="4455" stopIfTrue="1" operator="equal">
      <formula>"Pass"</formula>
    </cfRule>
    <cfRule type="cellIs" dxfId="4525" priority="4456" stopIfTrue="1" operator="equal">
      <formula>"Fail"</formula>
    </cfRule>
  </conditionalFormatting>
  <conditionalFormatting sqref="H770:L770">
    <cfRule type="cellIs" dxfId="4524" priority="4453" stopIfTrue="1" operator="equal">
      <formula>"Pass"</formula>
    </cfRule>
    <cfRule type="cellIs" dxfId="4523" priority="4454" stopIfTrue="1" operator="equal">
      <formula>"Fail"</formula>
    </cfRule>
  </conditionalFormatting>
  <conditionalFormatting sqref="I770:L770">
    <cfRule type="cellIs" dxfId="4522" priority="4451" stopIfTrue="1" operator="equal">
      <formula>"Pass"</formula>
    </cfRule>
    <cfRule type="cellIs" dxfId="4521" priority="4452" stopIfTrue="1" operator="equal">
      <formula>"Fail"</formula>
    </cfRule>
  </conditionalFormatting>
  <conditionalFormatting sqref="I770:L770">
    <cfRule type="cellIs" dxfId="4520" priority="4449" stopIfTrue="1" operator="equal">
      <formula>"Pass"</formula>
    </cfRule>
    <cfRule type="cellIs" dxfId="4519" priority="4450" stopIfTrue="1" operator="equal">
      <formula>"Fail"</formula>
    </cfRule>
  </conditionalFormatting>
  <conditionalFormatting sqref="I770:L770">
    <cfRule type="cellIs" dxfId="4518" priority="4447" stopIfTrue="1" operator="equal">
      <formula>"Pass"</formula>
    </cfRule>
    <cfRule type="cellIs" dxfId="4517" priority="4448" stopIfTrue="1" operator="equal">
      <formula>"Fail"</formula>
    </cfRule>
  </conditionalFormatting>
  <conditionalFormatting sqref="I770:L770">
    <cfRule type="cellIs" dxfId="4516" priority="4445" stopIfTrue="1" operator="equal">
      <formula>"Pass"</formula>
    </cfRule>
    <cfRule type="cellIs" dxfId="4515" priority="4446" stopIfTrue="1" operator="equal">
      <formula>"Fail"</formula>
    </cfRule>
  </conditionalFormatting>
  <conditionalFormatting sqref="H770:L770">
    <cfRule type="cellIs" dxfId="4514" priority="4443" stopIfTrue="1" operator="equal">
      <formula>"Pass"</formula>
    </cfRule>
    <cfRule type="cellIs" dxfId="4513" priority="4444" stopIfTrue="1" operator="equal">
      <formula>"Fail"</formula>
    </cfRule>
  </conditionalFormatting>
  <conditionalFormatting sqref="H770:L770">
    <cfRule type="cellIs" dxfId="4512" priority="4441" stopIfTrue="1" operator="equal">
      <formula>"Pass"</formula>
    </cfRule>
    <cfRule type="cellIs" dxfId="4511" priority="4442" stopIfTrue="1" operator="equal">
      <formula>"Fail"</formula>
    </cfRule>
  </conditionalFormatting>
  <conditionalFormatting sqref="I770:L770">
    <cfRule type="cellIs" dxfId="4510" priority="4439" stopIfTrue="1" operator="equal">
      <formula>"Pass"</formula>
    </cfRule>
    <cfRule type="cellIs" dxfId="4509" priority="4440" stopIfTrue="1" operator="equal">
      <formula>"Fail"</formula>
    </cfRule>
  </conditionalFormatting>
  <conditionalFormatting sqref="I770:L770">
    <cfRule type="cellIs" dxfId="4508" priority="4437" stopIfTrue="1" operator="equal">
      <formula>"Pass"</formula>
    </cfRule>
    <cfRule type="cellIs" dxfId="4507" priority="4438" stopIfTrue="1" operator="equal">
      <formula>"Fail"</formula>
    </cfRule>
  </conditionalFormatting>
  <conditionalFormatting sqref="I770:L770">
    <cfRule type="cellIs" dxfId="4506" priority="4435" stopIfTrue="1" operator="equal">
      <formula>"Pass"</formula>
    </cfRule>
    <cfRule type="cellIs" dxfId="4505" priority="4436" stopIfTrue="1" operator="equal">
      <formula>"Fail"</formula>
    </cfRule>
  </conditionalFormatting>
  <conditionalFormatting sqref="I770:L770">
    <cfRule type="cellIs" dxfId="4504" priority="4433" stopIfTrue="1" operator="equal">
      <formula>"Pass"</formula>
    </cfRule>
    <cfRule type="cellIs" dxfId="4503" priority="4434" stopIfTrue="1" operator="equal">
      <formula>"Fail"</formula>
    </cfRule>
  </conditionalFormatting>
  <conditionalFormatting sqref="H770:L770">
    <cfRule type="cellIs" dxfId="4502" priority="4431" stopIfTrue="1" operator="equal">
      <formula>"Pass"</formula>
    </cfRule>
    <cfRule type="cellIs" dxfId="4501" priority="4432" stopIfTrue="1" operator="equal">
      <formula>"Fail"</formula>
    </cfRule>
  </conditionalFormatting>
  <conditionalFormatting sqref="H770:L770">
    <cfRule type="cellIs" dxfId="4500" priority="4429" stopIfTrue="1" operator="equal">
      <formula>"Pass"</formula>
    </cfRule>
    <cfRule type="cellIs" dxfId="4499" priority="4430" stopIfTrue="1" operator="equal">
      <formula>"Fail"</formula>
    </cfRule>
  </conditionalFormatting>
  <conditionalFormatting sqref="I770:L770">
    <cfRule type="cellIs" dxfId="4498" priority="4427" stopIfTrue="1" operator="equal">
      <formula>"Pass"</formula>
    </cfRule>
    <cfRule type="cellIs" dxfId="4497" priority="4428" stopIfTrue="1" operator="equal">
      <formula>"Fail"</formula>
    </cfRule>
  </conditionalFormatting>
  <conditionalFormatting sqref="I770:L770">
    <cfRule type="cellIs" dxfId="4496" priority="4425" stopIfTrue="1" operator="equal">
      <formula>"Pass"</formula>
    </cfRule>
    <cfRule type="cellIs" dxfId="4495" priority="4426" stopIfTrue="1" operator="equal">
      <formula>"Fail"</formula>
    </cfRule>
  </conditionalFormatting>
  <conditionalFormatting sqref="I770:L770">
    <cfRule type="cellIs" dxfId="4494" priority="4423" stopIfTrue="1" operator="equal">
      <formula>"Pass"</formula>
    </cfRule>
    <cfRule type="cellIs" dxfId="4493" priority="4424" stopIfTrue="1" operator="equal">
      <formula>"Fail"</formula>
    </cfRule>
  </conditionalFormatting>
  <conditionalFormatting sqref="I770:L770">
    <cfRule type="cellIs" dxfId="4492" priority="4421" stopIfTrue="1" operator="equal">
      <formula>"Pass"</formula>
    </cfRule>
    <cfRule type="cellIs" dxfId="4491" priority="4422" stopIfTrue="1" operator="equal">
      <formula>"Fail"</formula>
    </cfRule>
  </conditionalFormatting>
  <conditionalFormatting sqref="G770">
    <cfRule type="cellIs" dxfId="4490" priority="4419" stopIfTrue="1" operator="equal">
      <formula>"Pass"</formula>
    </cfRule>
    <cfRule type="cellIs" dxfId="4489" priority="4420" stopIfTrue="1" operator="equal">
      <formula>"Fail"</formula>
    </cfRule>
  </conditionalFormatting>
  <conditionalFormatting sqref="G770">
    <cfRule type="cellIs" dxfId="4488" priority="4417" stopIfTrue="1" operator="equal">
      <formula>"Pass"</formula>
    </cfRule>
    <cfRule type="cellIs" dxfId="4487" priority="4418" stopIfTrue="1" operator="equal">
      <formula>"Fail"</formula>
    </cfRule>
  </conditionalFormatting>
  <conditionalFormatting sqref="G770">
    <cfRule type="cellIs" dxfId="4486" priority="4415" stopIfTrue="1" operator="equal">
      <formula>"Pass"</formula>
    </cfRule>
    <cfRule type="cellIs" dxfId="4485" priority="4416" stopIfTrue="1" operator="equal">
      <formula>"Fail"</formula>
    </cfRule>
  </conditionalFormatting>
  <conditionalFormatting sqref="G770">
    <cfRule type="cellIs" dxfId="4484" priority="4413" stopIfTrue="1" operator="equal">
      <formula>"Pass"</formula>
    </cfRule>
    <cfRule type="cellIs" dxfId="4483" priority="4414" stopIfTrue="1" operator="equal">
      <formula>"Fail"</formula>
    </cfRule>
  </conditionalFormatting>
  <conditionalFormatting sqref="G770">
    <cfRule type="cellIs" dxfId="4482" priority="4411" stopIfTrue="1" operator="equal">
      <formula>"Pass"</formula>
    </cfRule>
    <cfRule type="cellIs" dxfId="4481" priority="4412" stopIfTrue="1" operator="equal">
      <formula>"Fail"</formula>
    </cfRule>
  </conditionalFormatting>
  <conditionalFormatting sqref="G770">
    <cfRule type="cellIs" dxfId="4480" priority="4409" stopIfTrue="1" operator="equal">
      <formula>"Pass"</formula>
    </cfRule>
    <cfRule type="cellIs" dxfId="4479" priority="4410" stopIfTrue="1" operator="equal">
      <formula>"Fail"</formula>
    </cfRule>
  </conditionalFormatting>
  <conditionalFormatting sqref="H770:L770">
    <cfRule type="cellIs" dxfId="4478" priority="4407" stopIfTrue="1" operator="equal">
      <formula>"Pass"</formula>
    </cfRule>
    <cfRule type="cellIs" dxfId="4477" priority="4408" stopIfTrue="1" operator="equal">
      <formula>"Fail"</formula>
    </cfRule>
  </conditionalFormatting>
  <conditionalFormatting sqref="H770:L770">
    <cfRule type="cellIs" dxfId="4476" priority="4405" stopIfTrue="1" operator="equal">
      <formula>"Pass"</formula>
    </cfRule>
    <cfRule type="cellIs" dxfId="4475" priority="4406" stopIfTrue="1" operator="equal">
      <formula>"Fail"</formula>
    </cfRule>
  </conditionalFormatting>
  <conditionalFormatting sqref="I770:L770">
    <cfRule type="cellIs" dxfId="4474" priority="4403" stopIfTrue="1" operator="equal">
      <formula>"Pass"</formula>
    </cfRule>
    <cfRule type="cellIs" dxfId="4473" priority="4404" stopIfTrue="1" operator="equal">
      <formula>"Fail"</formula>
    </cfRule>
  </conditionalFormatting>
  <conditionalFormatting sqref="I770:L770">
    <cfRule type="cellIs" dxfId="4472" priority="4401" stopIfTrue="1" operator="equal">
      <formula>"Pass"</formula>
    </cfRule>
    <cfRule type="cellIs" dxfId="4471" priority="4402" stopIfTrue="1" operator="equal">
      <formula>"Fail"</formula>
    </cfRule>
  </conditionalFormatting>
  <conditionalFormatting sqref="I770:L770">
    <cfRule type="cellIs" dxfId="4470" priority="4399" stopIfTrue="1" operator="equal">
      <formula>"Pass"</formula>
    </cfRule>
    <cfRule type="cellIs" dxfId="4469" priority="4400" stopIfTrue="1" operator="equal">
      <formula>"Fail"</formula>
    </cfRule>
  </conditionalFormatting>
  <conditionalFormatting sqref="I770:L770">
    <cfRule type="cellIs" dxfId="4468" priority="4397" stopIfTrue="1" operator="equal">
      <formula>"Pass"</formula>
    </cfRule>
    <cfRule type="cellIs" dxfId="4467" priority="4398" stopIfTrue="1" operator="equal">
      <formula>"Fail"</formula>
    </cfRule>
  </conditionalFormatting>
  <conditionalFormatting sqref="H770:L770">
    <cfRule type="cellIs" dxfId="4466" priority="4395" stopIfTrue="1" operator="equal">
      <formula>"Pass"</formula>
    </cfRule>
    <cfRule type="cellIs" dxfId="4465" priority="4396" stopIfTrue="1" operator="equal">
      <formula>"Fail"</formula>
    </cfRule>
  </conditionalFormatting>
  <conditionalFormatting sqref="H770:L770">
    <cfRule type="cellIs" dxfId="4464" priority="4393" stopIfTrue="1" operator="equal">
      <formula>"Pass"</formula>
    </cfRule>
    <cfRule type="cellIs" dxfId="4463" priority="4394" stopIfTrue="1" operator="equal">
      <formula>"Fail"</formula>
    </cfRule>
  </conditionalFormatting>
  <conditionalFormatting sqref="I770:L770">
    <cfRule type="cellIs" dxfId="4462" priority="4391" stopIfTrue="1" operator="equal">
      <formula>"Pass"</formula>
    </cfRule>
    <cfRule type="cellIs" dxfId="4461" priority="4392" stopIfTrue="1" operator="equal">
      <formula>"Fail"</formula>
    </cfRule>
  </conditionalFormatting>
  <conditionalFormatting sqref="I770:L770">
    <cfRule type="cellIs" dxfId="4460" priority="4389" stopIfTrue="1" operator="equal">
      <formula>"Pass"</formula>
    </cfRule>
    <cfRule type="cellIs" dxfId="4459" priority="4390" stopIfTrue="1" operator="equal">
      <formula>"Fail"</formula>
    </cfRule>
  </conditionalFormatting>
  <conditionalFormatting sqref="I770:L770">
    <cfRule type="cellIs" dxfId="4458" priority="4387" stopIfTrue="1" operator="equal">
      <formula>"Pass"</formula>
    </cfRule>
    <cfRule type="cellIs" dxfId="4457" priority="4388" stopIfTrue="1" operator="equal">
      <formula>"Fail"</formula>
    </cfRule>
  </conditionalFormatting>
  <conditionalFormatting sqref="I770:L770">
    <cfRule type="cellIs" dxfId="4456" priority="4385" stopIfTrue="1" operator="equal">
      <formula>"Pass"</formula>
    </cfRule>
    <cfRule type="cellIs" dxfId="4455" priority="4386" stopIfTrue="1" operator="equal">
      <formula>"Fail"</formula>
    </cfRule>
  </conditionalFormatting>
  <conditionalFormatting sqref="H770:L770">
    <cfRule type="cellIs" dxfId="4454" priority="4383" stopIfTrue="1" operator="equal">
      <formula>"Pass"</formula>
    </cfRule>
    <cfRule type="cellIs" dxfId="4453" priority="4384" stopIfTrue="1" operator="equal">
      <formula>"Fail"</formula>
    </cfRule>
  </conditionalFormatting>
  <conditionalFormatting sqref="H770:L770">
    <cfRule type="cellIs" dxfId="4452" priority="4381" stopIfTrue="1" operator="equal">
      <formula>"Pass"</formula>
    </cfRule>
    <cfRule type="cellIs" dxfId="4451" priority="4382" stopIfTrue="1" operator="equal">
      <formula>"Fail"</formula>
    </cfRule>
  </conditionalFormatting>
  <conditionalFormatting sqref="I770:L770">
    <cfRule type="cellIs" dxfId="4450" priority="4379" stopIfTrue="1" operator="equal">
      <formula>"Pass"</formula>
    </cfRule>
    <cfRule type="cellIs" dxfId="4449" priority="4380" stopIfTrue="1" operator="equal">
      <formula>"Fail"</formula>
    </cfRule>
  </conditionalFormatting>
  <conditionalFormatting sqref="I770:L770">
    <cfRule type="cellIs" dxfId="4448" priority="4377" stopIfTrue="1" operator="equal">
      <formula>"Pass"</formula>
    </cfRule>
    <cfRule type="cellIs" dxfId="4447" priority="4378" stopIfTrue="1" operator="equal">
      <formula>"Fail"</formula>
    </cfRule>
  </conditionalFormatting>
  <conditionalFormatting sqref="I770:L770">
    <cfRule type="cellIs" dxfId="4446" priority="4375" stopIfTrue="1" operator="equal">
      <formula>"Pass"</formula>
    </cfRule>
    <cfRule type="cellIs" dxfId="4445" priority="4376" stopIfTrue="1" operator="equal">
      <formula>"Fail"</formula>
    </cfRule>
  </conditionalFormatting>
  <conditionalFormatting sqref="I770:L770">
    <cfRule type="cellIs" dxfId="4444" priority="4373" stopIfTrue="1" operator="equal">
      <formula>"Pass"</formula>
    </cfRule>
    <cfRule type="cellIs" dxfId="4443" priority="4374" stopIfTrue="1" operator="equal">
      <formula>"Fail"</formula>
    </cfRule>
  </conditionalFormatting>
  <conditionalFormatting sqref="H770:L770">
    <cfRule type="cellIs" dxfId="4442" priority="4371" stopIfTrue="1" operator="equal">
      <formula>"Pass"</formula>
    </cfRule>
    <cfRule type="cellIs" dxfId="4441" priority="4372" stopIfTrue="1" operator="equal">
      <formula>"Fail"</formula>
    </cfRule>
  </conditionalFormatting>
  <conditionalFormatting sqref="H770:L770">
    <cfRule type="cellIs" dxfId="4440" priority="4369" stopIfTrue="1" operator="equal">
      <formula>"Pass"</formula>
    </cfRule>
    <cfRule type="cellIs" dxfId="4439" priority="4370" stopIfTrue="1" operator="equal">
      <formula>"Fail"</formula>
    </cfRule>
  </conditionalFormatting>
  <conditionalFormatting sqref="I770:L770">
    <cfRule type="cellIs" dxfId="4438" priority="4367" stopIfTrue="1" operator="equal">
      <formula>"Pass"</formula>
    </cfRule>
    <cfRule type="cellIs" dxfId="4437" priority="4368" stopIfTrue="1" operator="equal">
      <formula>"Fail"</formula>
    </cfRule>
  </conditionalFormatting>
  <conditionalFormatting sqref="I770:L770">
    <cfRule type="cellIs" dxfId="4436" priority="4365" stopIfTrue="1" operator="equal">
      <formula>"Pass"</formula>
    </cfRule>
    <cfRule type="cellIs" dxfId="4435" priority="4366" stopIfTrue="1" operator="equal">
      <formula>"Fail"</formula>
    </cfRule>
  </conditionalFormatting>
  <conditionalFormatting sqref="I770:L770">
    <cfRule type="cellIs" dxfId="4434" priority="4363" stopIfTrue="1" operator="equal">
      <formula>"Pass"</formula>
    </cfRule>
    <cfRule type="cellIs" dxfId="4433" priority="4364" stopIfTrue="1" operator="equal">
      <formula>"Fail"</formula>
    </cfRule>
  </conditionalFormatting>
  <conditionalFormatting sqref="I770:L770">
    <cfRule type="cellIs" dxfId="4432" priority="4361" stopIfTrue="1" operator="equal">
      <formula>"Pass"</formula>
    </cfRule>
    <cfRule type="cellIs" dxfId="4431" priority="4362" stopIfTrue="1" operator="equal">
      <formula>"Fail"</formula>
    </cfRule>
  </conditionalFormatting>
  <conditionalFormatting sqref="G770">
    <cfRule type="cellIs" dxfId="4430" priority="4359" stopIfTrue="1" operator="equal">
      <formula>"Pass"</formula>
    </cfRule>
    <cfRule type="cellIs" dxfId="4429" priority="4360" stopIfTrue="1" operator="equal">
      <formula>"Fail"</formula>
    </cfRule>
  </conditionalFormatting>
  <conditionalFormatting sqref="G770">
    <cfRule type="cellIs" dxfId="4428" priority="4357" stopIfTrue="1" operator="equal">
      <formula>"Pass"</formula>
    </cfRule>
    <cfRule type="cellIs" dxfId="4427" priority="4358" stopIfTrue="1" operator="equal">
      <formula>"Fail"</formula>
    </cfRule>
  </conditionalFormatting>
  <conditionalFormatting sqref="G770">
    <cfRule type="cellIs" dxfId="4426" priority="4355" stopIfTrue="1" operator="equal">
      <formula>"Pass"</formula>
    </cfRule>
    <cfRule type="cellIs" dxfId="4425" priority="4356" stopIfTrue="1" operator="equal">
      <formula>"Fail"</formula>
    </cfRule>
  </conditionalFormatting>
  <conditionalFormatting sqref="G770">
    <cfRule type="cellIs" dxfId="4424" priority="4353" stopIfTrue="1" operator="equal">
      <formula>"Pass"</formula>
    </cfRule>
    <cfRule type="cellIs" dxfId="4423" priority="4354" stopIfTrue="1" operator="equal">
      <formula>"Fail"</formula>
    </cfRule>
  </conditionalFormatting>
  <conditionalFormatting sqref="G770">
    <cfRule type="cellIs" dxfId="4422" priority="4351" stopIfTrue="1" operator="equal">
      <formula>"Pass"</formula>
    </cfRule>
    <cfRule type="cellIs" dxfId="4421" priority="4352" stopIfTrue="1" operator="equal">
      <formula>"Fail"</formula>
    </cfRule>
  </conditionalFormatting>
  <conditionalFormatting sqref="G770">
    <cfRule type="cellIs" dxfId="4420" priority="4349" stopIfTrue="1" operator="equal">
      <formula>"Pass"</formula>
    </cfRule>
    <cfRule type="cellIs" dxfId="4419" priority="4350" stopIfTrue="1" operator="equal">
      <formula>"Fail"</formula>
    </cfRule>
  </conditionalFormatting>
  <conditionalFormatting sqref="G770">
    <cfRule type="cellIs" dxfId="4418" priority="4347" stopIfTrue="1" operator="equal">
      <formula>"Pass"</formula>
    </cfRule>
    <cfRule type="cellIs" dxfId="4417" priority="4348" stopIfTrue="1" operator="equal">
      <formula>"Fail"</formula>
    </cfRule>
  </conditionalFormatting>
  <conditionalFormatting sqref="G770">
    <cfRule type="cellIs" dxfId="4416" priority="4345" stopIfTrue="1" operator="equal">
      <formula>"Pass"</formula>
    </cfRule>
    <cfRule type="cellIs" dxfId="4415" priority="4346" stopIfTrue="1" operator="equal">
      <formula>"Fail"</formula>
    </cfRule>
  </conditionalFormatting>
  <conditionalFormatting sqref="G770">
    <cfRule type="cellIs" dxfId="4414" priority="4343" stopIfTrue="1" operator="equal">
      <formula>"Pass"</formula>
    </cfRule>
    <cfRule type="cellIs" dxfId="4413" priority="4344" stopIfTrue="1" operator="equal">
      <formula>"Fail"</formula>
    </cfRule>
  </conditionalFormatting>
  <conditionalFormatting sqref="G770">
    <cfRule type="cellIs" dxfId="4412" priority="4341" stopIfTrue="1" operator="equal">
      <formula>"Pass"</formula>
    </cfRule>
    <cfRule type="cellIs" dxfId="4411" priority="4342" stopIfTrue="1" operator="equal">
      <formula>"Fail"</formula>
    </cfRule>
  </conditionalFormatting>
  <conditionalFormatting sqref="G770">
    <cfRule type="cellIs" dxfId="4410" priority="4339" stopIfTrue="1" operator="equal">
      <formula>"Pass"</formula>
    </cfRule>
    <cfRule type="cellIs" dxfId="4409" priority="4340" stopIfTrue="1" operator="equal">
      <formula>"Fail"</formula>
    </cfRule>
  </conditionalFormatting>
  <conditionalFormatting sqref="G770">
    <cfRule type="cellIs" dxfId="4408" priority="4337" stopIfTrue="1" operator="equal">
      <formula>"Pass"</formula>
    </cfRule>
    <cfRule type="cellIs" dxfId="4407" priority="4338" stopIfTrue="1" operator="equal">
      <formula>"Fail"</formula>
    </cfRule>
  </conditionalFormatting>
  <conditionalFormatting sqref="H770:L770">
    <cfRule type="cellIs" dxfId="4406" priority="4335" stopIfTrue="1" operator="equal">
      <formula>"Pass"</formula>
    </cfRule>
    <cfRule type="cellIs" dxfId="4405" priority="4336" stopIfTrue="1" operator="equal">
      <formula>"Fail"</formula>
    </cfRule>
  </conditionalFormatting>
  <conditionalFormatting sqref="H770:L770">
    <cfRule type="cellIs" dxfId="4404" priority="4333" stopIfTrue="1" operator="equal">
      <formula>"Pass"</formula>
    </cfRule>
    <cfRule type="cellIs" dxfId="4403" priority="4334" stopIfTrue="1" operator="equal">
      <formula>"Fail"</formula>
    </cfRule>
  </conditionalFormatting>
  <conditionalFormatting sqref="I770:L770">
    <cfRule type="cellIs" dxfId="4402" priority="4331" stopIfTrue="1" operator="equal">
      <formula>"Pass"</formula>
    </cfRule>
    <cfRule type="cellIs" dxfId="4401" priority="4332" stopIfTrue="1" operator="equal">
      <formula>"Fail"</formula>
    </cfRule>
  </conditionalFormatting>
  <conditionalFormatting sqref="I770:L770">
    <cfRule type="cellIs" dxfId="4400" priority="4329" stopIfTrue="1" operator="equal">
      <formula>"Pass"</formula>
    </cfRule>
    <cfRule type="cellIs" dxfId="4399" priority="4330" stopIfTrue="1" operator="equal">
      <formula>"Fail"</formula>
    </cfRule>
  </conditionalFormatting>
  <conditionalFormatting sqref="I770:L770">
    <cfRule type="cellIs" dxfId="4398" priority="4327" stopIfTrue="1" operator="equal">
      <formula>"Pass"</formula>
    </cfRule>
    <cfRule type="cellIs" dxfId="4397" priority="4328" stopIfTrue="1" operator="equal">
      <formula>"Fail"</formula>
    </cfRule>
  </conditionalFormatting>
  <conditionalFormatting sqref="I770:L770">
    <cfRule type="cellIs" dxfId="4396" priority="4325" stopIfTrue="1" operator="equal">
      <formula>"Pass"</formula>
    </cfRule>
    <cfRule type="cellIs" dxfId="4395" priority="4326" stopIfTrue="1" operator="equal">
      <formula>"Fail"</formula>
    </cfRule>
  </conditionalFormatting>
  <conditionalFormatting sqref="H770:L770">
    <cfRule type="cellIs" dxfId="4394" priority="4323" stopIfTrue="1" operator="equal">
      <formula>"Pass"</formula>
    </cfRule>
    <cfRule type="cellIs" dxfId="4393" priority="4324" stopIfTrue="1" operator="equal">
      <formula>"Fail"</formula>
    </cfRule>
  </conditionalFormatting>
  <conditionalFormatting sqref="H770:L770">
    <cfRule type="cellIs" dxfId="4392" priority="4321" stopIfTrue="1" operator="equal">
      <formula>"Pass"</formula>
    </cfRule>
    <cfRule type="cellIs" dxfId="4391" priority="4322" stopIfTrue="1" operator="equal">
      <formula>"Fail"</formula>
    </cfRule>
  </conditionalFormatting>
  <conditionalFormatting sqref="I770:L770">
    <cfRule type="cellIs" dxfId="4390" priority="4319" stopIfTrue="1" operator="equal">
      <formula>"Pass"</formula>
    </cfRule>
    <cfRule type="cellIs" dxfId="4389" priority="4320" stopIfTrue="1" operator="equal">
      <formula>"Fail"</formula>
    </cfRule>
  </conditionalFormatting>
  <conditionalFormatting sqref="I770:L770">
    <cfRule type="cellIs" dxfId="4388" priority="4317" stopIfTrue="1" operator="equal">
      <formula>"Pass"</formula>
    </cfRule>
    <cfRule type="cellIs" dxfId="4387" priority="4318" stopIfTrue="1" operator="equal">
      <formula>"Fail"</formula>
    </cfRule>
  </conditionalFormatting>
  <conditionalFormatting sqref="I770:L770">
    <cfRule type="cellIs" dxfId="4386" priority="4315" stopIfTrue="1" operator="equal">
      <formula>"Pass"</formula>
    </cfRule>
    <cfRule type="cellIs" dxfId="4385" priority="4316" stopIfTrue="1" operator="equal">
      <formula>"Fail"</formula>
    </cfRule>
  </conditionalFormatting>
  <conditionalFormatting sqref="I770:L770">
    <cfRule type="cellIs" dxfId="4384" priority="4313" stopIfTrue="1" operator="equal">
      <formula>"Pass"</formula>
    </cfRule>
    <cfRule type="cellIs" dxfId="4383" priority="4314" stopIfTrue="1" operator="equal">
      <formula>"Fail"</formula>
    </cfRule>
  </conditionalFormatting>
  <conditionalFormatting sqref="H770:L770">
    <cfRule type="cellIs" dxfId="4382" priority="4311" stopIfTrue="1" operator="equal">
      <formula>"Pass"</formula>
    </cfRule>
    <cfRule type="cellIs" dxfId="4381" priority="4312" stopIfTrue="1" operator="equal">
      <formula>"Fail"</formula>
    </cfRule>
  </conditionalFormatting>
  <conditionalFormatting sqref="H770:L770">
    <cfRule type="cellIs" dxfId="4380" priority="4309" stopIfTrue="1" operator="equal">
      <formula>"Pass"</formula>
    </cfRule>
    <cfRule type="cellIs" dxfId="4379" priority="4310" stopIfTrue="1" operator="equal">
      <formula>"Fail"</formula>
    </cfRule>
  </conditionalFormatting>
  <conditionalFormatting sqref="I770:L770">
    <cfRule type="cellIs" dxfId="4378" priority="4307" stopIfTrue="1" operator="equal">
      <formula>"Pass"</formula>
    </cfRule>
    <cfRule type="cellIs" dxfId="4377" priority="4308" stopIfTrue="1" operator="equal">
      <formula>"Fail"</formula>
    </cfRule>
  </conditionalFormatting>
  <conditionalFormatting sqref="I770:L770">
    <cfRule type="cellIs" dxfId="4376" priority="4305" stopIfTrue="1" operator="equal">
      <formula>"Pass"</formula>
    </cfRule>
    <cfRule type="cellIs" dxfId="4375" priority="4306" stopIfTrue="1" operator="equal">
      <formula>"Fail"</formula>
    </cfRule>
  </conditionalFormatting>
  <conditionalFormatting sqref="I770:L770">
    <cfRule type="cellIs" dxfId="4374" priority="4303" stopIfTrue="1" operator="equal">
      <formula>"Pass"</formula>
    </cfRule>
    <cfRule type="cellIs" dxfId="4373" priority="4304" stopIfTrue="1" operator="equal">
      <formula>"Fail"</formula>
    </cfRule>
  </conditionalFormatting>
  <conditionalFormatting sqref="I770:L770">
    <cfRule type="cellIs" dxfId="4372" priority="4301" stopIfTrue="1" operator="equal">
      <formula>"Pass"</formula>
    </cfRule>
    <cfRule type="cellIs" dxfId="4371" priority="4302" stopIfTrue="1" operator="equal">
      <formula>"Fail"</formula>
    </cfRule>
  </conditionalFormatting>
  <conditionalFormatting sqref="H770:L770">
    <cfRule type="cellIs" dxfId="4370" priority="4299" stopIfTrue="1" operator="equal">
      <formula>"Pass"</formula>
    </cfRule>
    <cfRule type="cellIs" dxfId="4369" priority="4300" stopIfTrue="1" operator="equal">
      <formula>"Fail"</formula>
    </cfRule>
  </conditionalFormatting>
  <conditionalFormatting sqref="H770:L770">
    <cfRule type="cellIs" dxfId="4368" priority="4297" stopIfTrue="1" operator="equal">
      <formula>"Pass"</formula>
    </cfRule>
    <cfRule type="cellIs" dxfId="4367" priority="4298" stopIfTrue="1" operator="equal">
      <formula>"Fail"</formula>
    </cfRule>
  </conditionalFormatting>
  <conditionalFormatting sqref="I770:L770">
    <cfRule type="cellIs" dxfId="4366" priority="4295" stopIfTrue="1" operator="equal">
      <formula>"Pass"</formula>
    </cfRule>
    <cfRule type="cellIs" dxfId="4365" priority="4296" stopIfTrue="1" operator="equal">
      <formula>"Fail"</formula>
    </cfRule>
  </conditionalFormatting>
  <conditionalFormatting sqref="I770:L770">
    <cfRule type="cellIs" dxfId="4364" priority="4293" stopIfTrue="1" operator="equal">
      <formula>"Pass"</formula>
    </cfRule>
    <cfRule type="cellIs" dxfId="4363" priority="4294" stopIfTrue="1" operator="equal">
      <formula>"Fail"</formula>
    </cfRule>
  </conditionalFormatting>
  <conditionalFormatting sqref="I770:L770">
    <cfRule type="cellIs" dxfId="4362" priority="4291" stopIfTrue="1" operator="equal">
      <formula>"Pass"</formula>
    </cfRule>
    <cfRule type="cellIs" dxfId="4361" priority="4292" stopIfTrue="1" operator="equal">
      <formula>"Fail"</formula>
    </cfRule>
  </conditionalFormatting>
  <conditionalFormatting sqref="I770:L770">
    <cfRule type="cellIs" dxfId="4360" priority="4289" stopIfTrue="1" operator="equal">
      <formula>"Pass"</formula>
    </cfRule>
    <cfRule type="cellIs" dxfId="4359" priority="4290" stopIfTrue="1" operator="equal">
      <formula>"Fail"</formula>
    </cfRule>
  </conditionalFormatting>
  <conditionalFormatting sqref="H770:L770">
    <cfRule type="cellIs" dxfId="4358" priority="4287" stopIfTrue="1" operator="equal">
      <formula>"Pass"</formula>
    </cfRule>
    <cfRule type="cellIs" dxfId="4357" priority="4288" stopIfTrue="1" operator="equal">
      <formula>"Fail"</formula>
    </cfRule>
  </conditionalFormatting>
  <conditionalFormatting sqref="H770:L770">
    <cfRule type="cellIs" dxfId="4356" priority="4285" stopIfTrue="1" operator="equal">
      <formula>"Pass"</formula>
    </cfRule>
    <cfRule type="cellIs" dxfId="4355" priority="4286" stopIfTrue="1" operator="equal">
      <formula>"Fail"</formula>
    </cfRule>
  </conditionalFormatting>
  <conditionalFormatting sqref="I770:L770">
    <cfRule type="cellIs" dxfId="4354" priority="4283" stopIfTrue="1" operator="equal">
      <formula>"Pass"</formula>
    </cfRule>
    <cfRule type="cellIs" dxfId="4353" priority="4284" stopIfTrue="1" operator="equal">
      <formula>"Fail"</formula>
    </cfRule>
  </conditionalFormatting>
  <conditionalFormatting sqref="I770:L770">
    <cfRule type="cellIs" dxfId="4352" priority="4281" stopIfTrue="1" operator="equal">
      <formula>"Pass"</formula>
    </cfRule>
    <cfRule type="cellIs" dxfId="4351" priority="4282" stopIfTrue="1" operator="equal">
      <formula>"Fail"</formula>
    </cfRule>
  </conditionalFormatting>
  <conditionalFormatting sqref="I770:L770">
    <cfRule type="cellIs" dxfId="4350" priority="4279" stopIfTrue="1" operator="equal">
      <formula>"Pass"</formula>
    </cfRule>
    <cfRule type="cellIs" dxfId="4349" priority="4280" stopIfTrue="1" operator="equal">
      <formula>"Fail"</formula>
    </cfRule>
  </conditionalFormatting>
  <conditionalFormatting sqref="I770:L770">
    <cfRule type="cellIs" dxfId="4348" priority="4277" stopIfTrue="1" operator="equal">
      <formula>"Pass"</formula>
    </cfRule>
    <cfRule type="cellIs" dxfId="4347" priority="4278" stopIfTrue="1" operator="equal">
      <formula>"Fail"</formula>
    </cfRule>
  </conditionalFormatting>
  <conditionalFormatting sqref="G770">
    <cfRule type="cellIs" dxfId="4346" priority="4275" stopIfTrue="1" operator="equal">
      <formula>"Pass"</formula>
    </cfRule>
    <cfRule type="cellIs" dxfId="4345" priority="4276" stopIfTrue="1" operator="equal">
      <formula>"Fail"</formula>
    </cfRule>
  </conditionalFormatting>
  <conditionalFormatting sqref="G770">
    <cfRule type="cellIs" dxfId="4344" priority="4273" stopIfTrue="1" operator="equal">
      <formula>"Pass"</formula>
    </cfRule>
    <cfRule type="cellIs" dxfId="4343" priority="4274" stopIfTrue="1" operator="equal">
      <formula>"Fail"</formula>
    </cfRule>
  </conditionalFormatting>
  <conditionalFormatting sqref="G770">
    <cfRule type="cellIs" dxfId="4342" priority="4271" stopIfTrue="1" operator="equal">
      <formula>"Pass"</formula>
    </cfRule>
    <cfRule type="cellIs" dxfId="4341" priority="4272" stopIfTrue="1" operator="equal">
      <formula>"Fail"</formula>
    </cfRule>
  </conditionalFormatting>
  <conditionalFormatting sqref="G770">
    <cfRule type="cellIs" dxfId="4340" priority="4269" stopIfTrue="1" operator="equal">
      <formula>"Pass"</formula>
    </cfRule>
    <cfRule type="cellIs" dxfId="4339" priority="4270" stopIfTrue="1" operator="equal">
      <formula>"Fail"</formula>
    </cfRule>
  </conditionalFormatting>
  <conditionalFormatting sqref="G770">
    <cfRule type="cellIs" dxfId="4338" priority="4267" stopIfTrue="1" operator="equal">
      <formula>"Pass"</formula>
    </cfRule>
    <cfRule type="cellIs" dxfId="4337" priority="4268" stopIfTrue="1" operator="equal">
      <formula>"Fail"</formula>
    </cfRule>
  </conditionalFormatting>
  <conditionalFormatting sqref="G770">
    <cfRule type="cellIs" dxfId="4336" priority="4265" stopIfTrue="1" operator="equal">
      <formula>"Pass"</formula>
    </cfRule>
    <cfRule type="cellIs" dxfId="4335" priority="4266" stopIfTrue="1" operator="equal">
      <formula>"Fail"</formula>
    </cfRule>
  </conditionalFormatting>
  <conditionalFormatting sqref="H770:L770">
    <cfRule type="cellIs" dxfId="4334" priority="4263" stopIfTrue="1" operator="equal">
      <formula>"Pass"</formula>
    </cfRule>
    <cfRule type="cellIs" dxfId="4333" priority="4264" stopIfTrue="1" operator="equal">
      <formula>"Fail"</formula>
    </cfRule>
  </conditionalFormatting>
  <conditionalFormatting sqref="H770:L770">
    <cfRule type="cellIs" dxfId="4332" priority="4261" stopIfTrue="1" operator="equal">
      <formula>"Pass"</formula>
    </cfRule>
    <cfRule type="cellIs" dxfId="4331" priority="4262" stopIfTrue="1" operator="equal">
      <formula>"Fail"</formula>
    </cfRule>
  </conditionalFormatting>
  <conditionalFormatting sqref="I770:L770">
    <cfRule type="cellIs" dxfId="4330" priority="4259" stopIfTrue="1" operator="equal">
      <formula>"Pass"</formula>
    </cfRule>
    <cfRule type="cellIs" dxfId="4329" priority="4260" stopIfTrue="1" operator="equal">
      <formula>"Fail"</formula>
    </cfRule>
  </conditionalFormatting>
  <conditionalFormatting sqref="I770:L770">
    <cfRule type="cellIs" dxfId="4328" priority="4257" stopIfTrue="1" operator="equal">
      <formula>"Pass"</formula>
    </cfRule>
    <cfRule type="cellIs" dxfId="4327" priority="4258" stopIfTrue="1" operator="equal">
      <formula>"Fail"</formula>
    </cfRule>
  </conditionalFormatting>
  <conditionalFormatting sqref="I770:L770">
    <cfRule type="cellIs" dxfId="4326" priority="4255" stopIfTrue="1" operator="equal">
      <formula>"Pass"</formula>
    </cfRule>
    <cfRule type="cellIs" dxfId="4325" priority="4256" stopIfTrue="1" operator="equal">
      <formula>"Fail"</formula>
    </cfRule>
  </conditionalFormatting>
  <conditionalFormatting sqref="I770:L770">
    <cfRule type="cellIs" dxfId="4324" priority="4253" stopIfTrue="1" operator="equal">
      <formula>"Pass"</formula>
    </cfRule>
    <cfRule type="cellIs" dxfId="4323" priority="4254" stopIfTrue="1" operator="equal">
      <formula>"Fail"</formula>
    </cfRule>
  </conditionalFormatting>
  <conditionalFormatting sqref="H770:L770">
    <cfRule type="cellIs" dxfId="4322" priority="4251" stopIfTrue="1" operator="equal">
      <formula>"Pass"</formula>
    </cfRule>
    <cfRule type="cellIs" dxfId="4321" priority="4252" stopIfTrue="1" operator="equal">
      <formula>"Fail"</formula>
    </cfRule>
  </conditionalFormatting>
  <conditionalFormatting sqref="H770:L770">
    <cfRule type="cellIs" dxfId="4320" priority="4249" stopIfTrue="1" operator="equal">
      <formula>"Pass"</formula>
    </cfRule>
    <cfRule type="cellIs" dxfId="4319" priority="4250" stopIfTrue="1" operator="equal">
      <formula>"Fail"</formula>
    </cfRule>
  </conditionalFormatting>
  <conditionalFormatting sqref="I770:L770">
    <cfRule type="cellIs" dxfId="4318" priority="4247" stopIfTrue="1" operator="equal">
      <formula>"Pass"</formula>
    </cfRule>
    <cfRule type="cellIs" dxfId="4317" priority="4248" stopIfTrue="1" operator="equal">
      <formula>"Fail"</formula>
    </cfRule>
  </conditionalFormatting>
  <conditionalFormatting sqref="I770:L770">
    <cfRule type="cellIs" dxfId="4316" priority="4245" stopIfTrue="1" operator="equal">
      <formula>"Pass"</formula>
    </cfRule>
    <cfRule type="cellIs" dxfId="4315" priority="4246" stopIfTrue="1" operator="equal">
      <formula>"Fail"</formula>
    </cfRule>
  </conditionalFormatting>
  <conditionalFormatting sqref="I770:L770">
    <cfRule type="cellIs" dxfId="4314" priority="4243" stopIfTrue="1" operator="equal">
      <formula>"Pass"</formula>
    </cfRule>
    <cfRule type="cellIs" dxfId="4313" priority="4244" stopIfTrue="1" operator="equal">
      <formula>"Fail"</formula>
    </cfRule>
  </conditionalFormatting>
  <conditionalFormatting sqref="I770:L770">
    <cfRule type="cellIs" dxfId="4312" priority="4241" stopIfTrue="1" operator="equal">
      <formula>"Pass"</formula>
    </cfRule>
    <cfRule type="cellIs" dxfId="4311" priority="4242" stopIfTrue="1" operator="equal">
      <formula>"Fail"</formula>
    </cfRule>
  </conditionalFormatting>
  <conditionalFormatting sqref="H770:L770">
    <cfRule type="cellIs" dxfId="4310" priority="4239" stopIfTrue="1" operator="equal">
      <formula>"Pass"</formula>
    </cfRule>
    <cfRule type="cellIs" dxfId="4309" priority="4240" stopIfTrue="1" operator="equal">
      <formula>"Fail"</formula>
    </cfRule>
  </conditionalFormatting>
  <conditionalFormatting sqref="H770:L770">
    <cfRule type="cellIs" dxfId="4308" priority="4237" stopIfTrue="1" operator="equal">
      <formula>"Pass"</formula>
    </cfRule>
    <cfRule type="cellIs" dxfId="4307" priority="4238" stopIfTrue="1" operator="equal">
      <formula>"Fail"</formula>
    </cfRule>
  </conditionalFormatting>
  <conditionalFormatting sqref="I770:L770">
    <cfRule type="cellIs" dxfId="4306" priority="4235" stopIfTrue="1" operator="equal">
      <formula>"Pass"</formula>
    </cfRule>
    <cfRule type="cellIs" dxfId="4305" priority="4236" stopIfTrue="1" operator="equal">
      <formula>"Fail"</formula>
    </cfRule>
  </conditionalFormatting>
  <conditionalFormatting sqref="I770:L770">
    <cfRule type="cellIs" dxfId="4304" priority="4233" stopIfTrue="1" operator="equal">
      <formula>"Pass"</formula>
    </cfRule>
    <cfRule type="cellIs" dxfId="4303" priority="4234" stopIfTrue="1" operator="equal">
      <formula>"Fail"</formula>
    </cfRule>
  </conditionalFormatting>
  <conditionalFormatting sqref="I770:L770">
    <cfRule type="cellIs" dxfId="4302" priority="4231" stopIfTrue="1" operator="equal">
      <formula>"Pass"</formula>
    </cfRule>
    <cfRule type="cellIs" dxfId="4301" priority="4232" stopIfTrue="1" operator="equal">
      <formula>"Fail"</formula>
    </cfRule>
  </conditionalFormatting>
  <conditionalFormatting sqref="I770:L770">
    <cfRule type="cellIs" dxfId="4300" priority="4229" stopIfTrue="1" operator="equal">
      <formula>"Pass"</formula>
    </cfRule>
    <cfRule type="cellIs" dxfId="4299" priority="4230" stopIfTrue="1" operator="equal">
      <formula>"Fail"</formula>
    </cfRule>
  </conditionalFormatting>
  <conditionalFormatting sqref="H770:L770">
    <cfRule type="cellIs" dxfId="4298" priority="4227" stopIfTrue="1" operator="equal">
      <formula>"Pass"</formula>
    </cfRule>
    <cfRule type="cellIs" dxfId="4297" priority="4228" stopIfTrue="1" operator="equal">
      <formula>"Fail"</formula>
    </cfRule>
  </conditionalFormatting>
  <conditionalFormatting sqref="H770:L770">
    <cfRule type="cellIs" dxfId="4296" priority="4225" stopIfTrue="1" operator="equal">
      <formula>"Pass"</formula>
    </cfRule>
    <cfRule type="cellIs" dxfId="4295" priority="4226" stopIfTrue="1" operator="equal">
      <formula>"Fail"</formula>
    </cfRule>
  </conditionalFormatting>
  <conditionalFormatting sqref="I770:L770">
    <cfRule type="cellIs" dxfId="4294" priority="4223" stopIfTrue="1" operator="equal">
      <formula>"Pass"</formula>
    </cfRule>
    <cfRule type="cellIs" dxfId="4293" priority="4224" stopIfTrue="1" operator="equal">
      <formula>"Fail"</formula>
    </cfRule>
  </conditionalFormatting>
  <conditionalFormatting sqref="I770:L770">
    <cfRule type="cellIs" dxfId="4292" priority="4221" stopIfTrue="1" operator="equal">
      <formula>"Pass"</formula>
    </cfRule>
    <cfRule type="cellIs" dxfId="4291" priority="4222" stopIfTrue="1" operator="equal">
      <formula>"Fail"</formula>
    </cfRule>
  </conditionalFormatting>
  <conditionalFormatting sqref="I770:L770">
    <cfRule type="cellIs" dxfId="4290" priority="4219" stopIfTrue="1" operator="equal">
      <formula>"Pass"</formula>
    </cfRule>
    <cfRule type="cellIs" dxfId="4289" priority="4220" stopIfTrue="1" operator="equal">
      <formula>"Fail"</formula>
    </cfRule>
  </conditionalFormatting>
  <conditionalFormatting sqref="I770:L770">
    <cfRule type="cellIs" dxfId="4288" priority="4217" stopIfTrue="1" operator="equal">
      <formula>"Pass"</formula>
    </cfRule>
    <cfRule type="cellIs" dxfId="4287" priority="4218" stopIfTrue="1" operator="equal">
      <formula>"Fail"</formula>
    </cfRule>
  </conditionalFormatting>
  <conditionalFormatting sqref="G770">
    <cfRule type="cellIs" dxfId="4286" priority="4215" stopIfTrue="1" operator="equal">
      <formula>"Pass"</formula>
    </cfRule>
    <cfRule type="cellIs" dxfId="4285" priority="4216" stopIfTrue="1" operator="equal">
      <formula>"Fail"</formula>
    </cfRule>
  </conditionalFormatting>
  <conditionalFormatting sqref="G770">
    <cfRule type="cellIs" dxfId="4284" priority="4213" stopIfTrue="1" operator="equal">
      <formula>"Pass"</formula>
    </cfRule>
    <cfRule type="cellIs" dxfId="4283" priority="4214" stopIfTrue="1" operator="equal">
      <formula>"Fail"</formula>
    </cfRule>
  </conditionalFormatting>
  <conditionalFormatting sqref="G770">
    <cfRule type="cellIs" dxfId="4282" priority="4211" stopIfTrue="1" operator="equal">
      <formula>"Pass"</formula>
    </cfRule>
    <cfRule type="cellIs" dxfId="4281" priority="4212" stopIfTrue="1" operator="equal">
      <formula>"Fail"</formula>
    </cfRule>
  </conditionalFormatting>
  <conditionalFormatting sqref="G770">
    <cfRule type="cellIs" dxfId="4280" priority="4209" stopIfTrue="1" operator="equal">
      <formula>"Pass"</formula>
    </cfRule>
    <cfRule type="cellIs" dxfId="4279" priority="4210" stopIfTrue="1" operator="equal">
      <formula>"Fail"</formula>
    </cfRule>
  </conditionalFormatting>
  <conditionalFormatting sqref="G770">
    <cfRule type="cellIs" dxfId="4278" priority="4207" stopIfTrue="1" operator="equal">
      <formula>"Pass"</formula>
    </cfRule>
    <cfRule type="cellIs" dxfId="4277" priority="4208" stopIfTrue="1" operator="equal">
      <formula>"Fail"</formula>
    </cfRule>
  </conditionalFormatting>
  <conditionalFormatting sqref="G770">
    <cfRule type="cellIs" dxfId="4276" priority="4205" stopIfTrue="1" operator="equal">
      <formula>"Pass"</formula>
    </cfRule>
    <cfRule type="cellIs" dxfId="4275" priority="4206" stopIfTrue="1" operator="equal">
      <formula>"Fail"</formula>
    </cfRule>
  </conditionalFormatting>
  <conditionalFormatting sqref="G770:L770">
    <cfRule type="cellIs" dxfId="4274" priority="4203" stopIfTrue="1" operator="equal">
      <formula>"Pass"</formula>
    </cfRule>
    <cfRule type="cellIs" dxfId="4273" priority="4204" stopIfTrue="1" operator="equal">
      <formula>"Fail"</formula>
    </cfRule>
  </conditionalFormatting>
  <conditionalFormatting sqref="H770:L770">
    <cfRule type="cellIs" dxfId="4272" priority="4201" stopIfTrue="1" operator="equal">
      <formula>"Pass"</formula>
    </cfRule>
    <cfRule type="cellIs" dxfId="4271" priority="4202" stopIfTrue="1" operator="equal">
      <formula>"Fail"</formula>
    </cfRule>
  </conditionalFormatting>
  <conditionalFormatting sqref="H770:L770">
    <cfRule type="cellIs" dxfId="4270" priority="4199" stopIfTrue="1" operator="equal">
      <formula>"Pass"</formula>
    </cfRule>
    <cfRule type="cellIs" dxfId="4269" priority="4200" stopIfTrue="1" operator="equal">
      <formula>"Fail"</formula>
    </cfRule>
  </conditionalFormatting>
  <conditionalFormatting sqref="I770:L770">
    <cfRule type="cellIs" dxfId="4268" priority="4197" stopIfTrue="1" operator="equal">
      <formula>"Pass"</formula>
    </cfRule>
    <cfRule type="cellIs" dxfId="4267" priority="4198" stopIfTrue="1" operator="equal">
      <formula>"Fail"</formula>
    </cfRule>
  </conditionalFormatting>
  <conditionalFormatting sqref="I770:L770">
    <cfRule type="cellIs" dxfId="4266" priority="4195" stopIfTrue="1" operator="equal">
      <formula>"Pass"</formula>
    </cfRule>
    <cfRule type="cellIs" dxfId="4265" priority="4196" stopIfTrue="1" operator="equal">
      <formula>"Fail"</formula>
    </cfRule>
  </conditionalFormatting>
  <conditionalFormatting sqref="I770:L770">
    <cfRule type="cellIs" dxfId="4264" priority="4193" stopIfTrue="1" operator="equal">
      <formula>"Pass"</formula>
    </cfRule>
    <cfRule type="cellIs" dxfId="4263" priority="4194" stopIfTrue="1" operator="equal">
      <formula>"Fail"</formula>
    </cfRule>
  </conditionalFormatting>
  <conditionalFormatting sqref="I770:L770">
    <cfRule type="cellIs" dxfId="4262" priority="4191" stopIfTrue="1" operator="equal">
      <formula>"Pass"</formula>
    </cfRule>
    <cfRule type="cellIs" dxfId="4261" priority="4192" stopIfTrue="1" operator="equal">
      <formula>"Fail"</formula>
    </cfRule>
  </conditionalFormatting>
  <conditionalFormatting sqref="G770">
    <cfRule type="cellIs" dxfId="4260" priority="4189" stopIfTrue="1" operator="equal">
      <formula>"Pass"</formula>
    </cfRule>
    <cfRule type="cellIs" dxfId="4259" priority="4190" stopIfTrue="1" operator="equal">
      <formula>"Fail"</formula>
    </cfRule>
  </conditionalFormatting>
  <conditionalFormatting sqref="G770">
    <cfRule type="cellIs" dxfId="4258" priority="4187" stopIfTrue="1" operator="equal">
      <formula>"Pass"</formula>
    </cfRule>
    <cfRule type="cellIs" dxfId="4257" priority="4188" stopIfTrue="1" operator="equal">
      <formula>"Fail"</formula>
    </cfRule>
  </conditionalFormatting>
  <conditionalFormatting sqref="G770">
    <cfRule type="cellIs" dxfId="4256" priority="4185" stopIfTrue="1" operator="equal">
      <formula>"Pass"</formula>
    </cfRule>
    <cfRule type="cellIs" dxfId="4255" priority="4186" stopIfTrue="1" operator="equal">
      <formula>"Fail"</formula>
    </cfRule>
  </conditionalFormatting>
  <conditionalFormatting sqref="G770">
    <cfRule type="cellIs" dxfId="4254" priority="4183" stopIfTrue="1" operator="equal">
      <formula>"Pass"</formula>
    </cfRule>
    <cfRule type="cellIs" dxfId="4253" priority="4184" stopIfTrue="1" operator="equal">
      <formula>"Fail"</formula>
    </cfRule>
  </conditionalFormatting>
  <conditionalFormatting sqref="G770">
    <cfRule type="cellIs" dxfId="4252" priority="4181" stopIfTrue="1" operator="equal">
      <formula>"Pass"</formula>
    </cfRule>
    <cfRule type="cellIs" dxfId="4251" priority="4182" stopIfTrue="1" operator="equal">
      <formula>"Fail"</formula>
    </cfRule>
  </conditionalFormatting>
  <conditionalFormatting sqref="G770">
    <cfRule type="cellIs" dxfId="4250" priority="4179" stopIfTrue="1" operator="equal">
      <formula>"Pass"</formula>
    </cfRule>
    <cfRule type="cellIs" dxfId="4249" priority="4180" stopIfTrue="1" operator="equal">
      <formula>"Fail"</formula>
    </cfRule>
  </conditionalFormatting>
  <conditionalFormatting sqref="H770:L770">
    <cfRule type="cellIs" dxfId="4248" priority="4177" stopIfTrue="1" operator="equal">
      <formula>"Pass"</formula>
    </cfRule>
    <cfRule type="cellIs" dxfId="4247" priority="4178" stopIfTrue="1" operator="equal">
      <formula>"Fail"</formula>
    </cfRule>
  </conditionalFormatting>
  <conditionalFormatting sqref="H770:L770">
    <cfRule type="cellIs" dxfId="4246" priority="4175" stopIfTrue="1" operator="equal">
      <formula>"Pass"</formula>
    </cfRule>
    <cfRule type="cellIs" dxfId="4245" priority="4176" stopIfTrue="1" operator="equal">
      <formula>"Fail"</formula>
    </cfRule>
  </conditionalFormatting>
  <conditionalFormatting sqref="I770:L770">
    <cfRule type="cellIs" dxfId="4244" priority="4173" stopIfTrue="1" operator="equal">
      <formula>"Pass"</formula>
    </cfRule>
    <cfRule type="cellIs" dxfId="4243" priority="4174" stopIfTrue="1" operator="equal">
      <formula>"Fail"</formula>
    </cfRule>
  </conditionalFormatting>
  <conditionalFormatting sqref="I770:L770">
    <cfRule type="cellIs" dxfId="4242" priority="4171" stopIfTrue="1" operator="equal">
      <formula>"Pass"</formula>
    </cfRule>
    <cfRule type="cellIs" dxfId="4241" priority="4172" stopIfTrue="1" operator="equal">
      <formula>"Fail"</formula>
    </cfRule>
  </conditionalFormatting>
  <conditionalFormatting sqref="I770:L770">
    <cfRule type="cellIs" dxfId="4240" priority="4169" stopIfTrue="1" operator="equal">
      <formula>"Pass"</formula>
    </cfRule>
    <cfRule type="cellIs" dxfId="4239" priority="4170" stopIfTrue="1" operator="equal">
      <formula>"Fail"</formula>
    </cfRule>
  </conditionalFormatting>
  <conditionalFormatting sqref="I770:L770">
    <cfRule type="cellIs" dxfId="4238" priority="4167" stopIfTrue="1" operator="equal">
      <formula>"Pass"</formula>
    </cfRule>
    <cfRule type="cellIs" dxfId="4237" priority="4168" stopIfTrue="1" operator="equal">
      <formula>"Fail"</formula>
    </cfRule>
  </conditionalFormatting>
  <conditionalFormatting sqref="G770">
    <cfRule type="cellIs" dxfId="4236" priority="4165" stopIfTrue="1" operator="equal">
      <formula>"Pass"</formula>
    </cfRule>
    <cfRule type="cellIs" dxfId="4235" priority="4166" stopIfTrue="1" operator="equal">
      <formula>"Fail"</formula>
    </cfRule>
  </conditionalFormatting>
  <conditionalFormatting sqref="G770">
    <cfRule type="cellIs" dxfId="4234" priority="4163" stopIfTrue="1" operator="equal">
      <formula>"Pass"</formula>
    </cfRule>
    <cfRule type="cellIs" dxfId="4233" priority="4164" stopIfTrue="1" operator="equal">
      <formula>"Fail"</formula>
    </cfRule>
  </conditionalFormatting>
  <conditionalFormatting sqref="G770">
    <cfRule type="cellIs" dxfId="4232" priority="4161" stopIfTrue="1" operator="equal">
      <formula>"Pass"</formula>
    </cfRule>
    <cfRule type="cellIs" dxfId="4231" priority="4162" stopIfTrue="1" operator="equal">
      <formula>"Fail"</formula>
    </cfRule>
  </conditionalFormatting>
  <conditionalFormatting sqref="G770">
    <cfRule type="cellIs" dxfId="4230" priority="4159" stopIfTrue="1" operator="equal">
      <formula>"Pass"</formula>
    </cfRule>
    <cfRule type="cellIs" dxfId="4229" priority="4160" stopIfTrue="1" operator="equal">
      <formula>"Fail"</formula>
    </cfRule>
  </conditionalFormatting>
  <conditionalFormatting sqref="G770">
    <cfRule type="cellIs" dxfId="4228" priority="4157" stopIfTrue="1" operator="equal">
      <formula>"Pass"</formula>
    </cfRule>
    <cfRule type="cellIs" dxfId="4227" priority="4158" stopIfTrue="1" operator="equal">
      <formula>"Fail"</formula>
    </cfRule>
  </conditionalFormatting>
  <conditionalFormatting sqref="G770">
    <cfRule type="cellIs" dxfId="4226" priority="4155" stopIfTrue="1" operator="equal">
      <formula>"Pass"</formula>
    </cfRule>
    <cfRule type="cellIs" dxfId="4225" priority="4156" stopIfTrue="1" operator="equal">
      <formula>"Fail"</formula>
    </cfRule>
  </conditionalFormatting>
  <conditionalFormatting sqref="H770:L770">
    <cfRule type="cellIs" dxfId="4224" priority="4153" stopIfTrue="1" operator="equal">
      <formula>"Pass"</formula>
    </cfRule>
    <cfRule type="cellIs" dxfId="4223" priority="4154" stopIfTrue="1" operator="equal">
      <formula>"Fail"</formula>
    </cfRule>
  </conditionalFormatting>
  <conditionalFormatting sqref="H770:L770">
    <cfRule type="cellIs" dxfId="4222" priority="4151" stopIfTrue="1" operator="equal">
      <formula>"Pass"</formula>
    </cfRule>
    <cfRule type="cellIs" dxfId="4221" priority="4152" stopIfTrue="1" operator="equal">
      <formula>"Fail"</formula>
    </cfRule>
  </conditionalFormatting>
  <conditionalFormatting sqref="I770:L770">
    <cfRule type="cellIs" dxfId="4220" priority="4149" stopIfTrue="1" operator="equal">
      <formula>"Pass"</formula>
    </cfRule>
    <cfRule type="cellIs" dxfId="4219" priority="4150" stopIfTrue="1" operator="equal">
      <formula>"Fail"</formula>
    </cfRule>
  </conditionalFormatting>
  <conditionalFormatting sqref="I770:L770">
    <cfRule type="cellIs" dxfId="4218" priority="4147" stopIfTrue="1" operator="equal">
      <formula>"Pass"</formula>
    </cfRule>
    <cfRule type="cellIs" dxfId="4217" priority="4148" stopIfTrue="1" operator="equal">
      <formula>"Fail"</formula>
    </cfRule>
  </conditionalFormatting>
  <conditionalFormatting sqref="I770:L770">
    <cfRule type="cellIs" dxfId="4216" priority="4145" stopIfTrue="1" operator="equal">
      <formula>"Pass"</formula>
    </cfRule>
    <cfRule type="cellIs" dxfId="4215" priority="4146" stopIfTrue="1" operator="equal">
      <formula>"Fail"</formula>
    </cfRule>
  </conditionalFormatting>
  <conditionalFormatting sqref="I770:L770">
    <cfRule type="cellIs" dxfId="4214" priority="4143" stopIfTrue="1" operator="equal">
      <formula>"Pass"</formula>
    </cfRule>
    <cfRule type="cellIs" dxfId="4213" priority="4144" stopIfTrue="1" operator="equal">
      <formula>"Fail"</formula>
    </cfRule>
  </conditionalFormatting>
  <conditionalFormatting sqref="G770">
    <cfRule type="cellIs" dxfId="4212" priority="4141" stopIfTrue="1" operator="equal">
      <formula>"Pass"</formula>
    </cfRule>
    <cfRule type="cellIs" dxfId="4211" priority="4142" stopIfTrue="1" operator="equal">
      <formula>"Fail"</formula>
    </cfRule>
  </conditionalFormatting>
  <conditionalFormatting sqref="G770">
    <cfRule type="cellIs" dxfId="4210" priority="4139" stopIfTrue="1" operator="equal">
      <formula>"Pass"</formula>
    </cfRule>
    <cfRule type="cellIs" dxfId="4209" priority="4140" stopIfTrue="1" operator="equal">
      <formula>"Fail"</formula>
    </cfRule>
  </conditionalFormatting>
  <conditionalFormatting sqref="G770">
    <cfRule type="cellIs" dxfId="4208" priority="4137" stopIfTrue="1" operator="equal">
      <formula>"Pass"</formula>
    </cfRule>
    <cfRule type="cellIs" dxfId="4207" priority="4138" stopIfTrue="1" operator="equal">
      <formula>"Fail"</formula>
    </cfRule>
  </conditionalFormatting>
  <conditionalFormatting sqref="G770">
    <cfRule type="cellIs" dxfId="4206" priority="4135" stopIfTrue="1" operator="equal">
      <formula>"Pass"</formula>
    </cfRule>
    <cfRule type="cellIs" dxfId="4205" priority="4136" stopIfTrue="1" operator="equal">
      <formula>"Fail"</formula>
    </cfRule>
  </conditionalFormatting>
  <conditionalFormatting sqref="G770">
    <cfRule type="cellIs" dxfId="4204" priority="4133" stopIfTrue="1" operator="equal">
      <formula>"Pass"</formula>
    </cfRule>
    <cfRule type="cellIs" dxfId="4203" priority="4134" stopIfTrue="1" operator="equal">
      <formula>"Fail"</formula>
    </cfRule>
  </conditionalFormatting>
  <conditionalFormatting sqref="G770">
    <cfRule type="cellIs" dxfId="4202" priority="4131" stopIfTrue="1" operator="equal">
      <formula>"Pass"</formula>
    </cfRule>
    <cfRule type="cellIs" dxfId="4201" priority="4132" stopIfTrue="1" operator="equal">
      <formula>"Fail"</formula>
    </cfRule>
  </conditionalFormatting>
  <conditionalFormatting sqref="H770:L770">
    <cfRule type="cellIs" dxfId="4200" priority="4129" stopIfTrue="1" operator="equal">
      <formula>"Pass"</formula>
    </cfRule>
    <cfRule type="cellIs" dxfId="4199" priority="4130" stopIfTrue="1" operator="equal">
      <formula>"Fail"</formula>
    </cfRule>
  </conditionalFormatting>
  <conditionalFormatting sqref="H770:L770">
    <cfRule type="cellIs" dxfId="4198" priority="4127" stopIfTrue="1" operator="equal">
      <formula>"Pass"</formula>
    </cfRule>
    <cfRule type="cellIs" dxfId="4197" priority="4128" stopIfTrue="1" operator="equal">
      <formula>"Fail"</formula>
    </cfRule>
  </conditionalFormatting>
  <conditionalFormatting sqref="I770:L770">
    <cfRule type="cellIs" dxfId="4196" priority="4125" stopIfTrue="1" operator="equal">
      <formula>"Pass"</formula>
    </cfRule>
    <cfRule type="cellIs" dxfId="4195" priority="4126" stopIfTrue="1" operator="equal">
      <formula>"Fail"</formula>
    </cfRule>
  </conditionalFormatting>
  <conditionalFormatting sqref="I770:L770">
    <cfRule type="cellIs" dxfId="4194" priority="4123" stopIfTrue="1" operator="equal">
      <formula>"Pass"</formula>
    </cfRule>
    <cfRule type="cellIs" dxfId="4193" priority="4124" stopIfTrue="1" operator="equal">
      <formula>"Fail"</formula>
    </cfRule>
  </conditionalFormatting>
  <conditionalFormatting sqref="I770:L770">
    <cfRule type="cellIs" dxfId="4192" priority="4121" stopIfTrue="1" operator="equal">
      <formula>"Pass"</formula>
    </cfRule>
    <cfRule type="cellIs" dxfId="4191" priority="4122" stopIfTrue="1" operator="equal">
      <formula>"Fail"</formula>
    </cfRule>
  </conditionalFormatting>
  <conditionalFormatting sqref="I770:L770">
    <cfRule type="cellIs" dxfId="4190" priority="4119" stopIfTrue="1" operator="equal">
      <formula>"Pass"</formula>
    </cfRule>
    <cfRule type="cellIs" dxfId="4189" priority="4120" stopIfTrue="1" operator="equal">
      <formula>"Fail"</formula>
    </cfRule>
  </conditionalFormatting>
  <conditionalFormatting sqref="G770">
    <cfRule type="cellIs" dxfId="4188" priority="4117" stopIfTrue="1" operator="equal">
      <formula>"Pass"</formula>
    </cfRule>
    <cfRule type="cellIs" dxfId="4187" priority="4118" stopIfTrue="1" operator="equal">
      <formula>"Fail"</formula>
    </cfRule>
  </conditionalFormatting>
  <conditionalFormatting sqref="G770">
    <cfRule type="cellIs" dxfId="4186" priority="4115" stopIfTrue="1" operator="equal">
      <formula>"Pass"</formula>
    </cfRule>
    <cfRule type="cellIs" dxfId="4185" priority="4116" stopIfTrue="1" operator="equal">
      <formula>"Fail"</formula>
    </cfRule>
  </conditionalFormatting>
  <conditionalFormatting sqref="G770">
    <cfRule type="cellIs" dxfId="4184" priority="4113" stopIfTrue="1" operator="equal">
      <formula>"Pass"</formula>
    </cfRule>
    <cfRule type="cellIs" dxfId="4183" priority="4114" stopIfTrue="1" operator="equal">
      <formula>"Fail"</formula>
    </cfRule>
  </conditionalFormatting>
  <conditionalFormatting sqref="G770">
    <cfRule type="cellIs" dxfId="4182" priority="4111" stopIfTrue="1" operator="equal">
      <formula>"Pass"</formula>
    </cfRule>
    <cfRule type="cellIs" dxfId="4181" priority="4112" stopIfTrue="1" operator="equal">
      <formula>"Fail"</formula>
    </cfRule>
  </conditionalFormatting>
  <conditionalFormatting sqref="G770">
    <cfRule type="cellIs" dxfId="4180" priority="4109" stopIfTrue="1" operator="equal">
      <formula>"Pass"</formula>
    </cfRule>
    <cfRule type="cellIs" dxfId="4179" priority="4110" stopIfTrue="1" operator="equal">
      <formula>"Fail"</formula>
    </cfRule>
  </conditionalFormatting>
  <conditionalFormatting sqref="G770">
    <cfRule type="cellIs" dxfId="4178" priority="4107" stopIfTrue="1" operator="equal">
      <formula>"Pass"</formula>
    </cfRule>
    <cfRule type="cellIs" dxfId="4177" priority="4108" stopIfTrue="1" operator="equal">
      <formula>"Fail"</formula>
    </cfRule>
  </conditionalFormatting>
  <conditionalFormatting sqref="H770:L770">
    <cfRule type="cellIs" dxfId="4176" priority="4105" stopIfTrue="1" operator="equal">
      <formula>"Pass"</formula>
    </cfRule>
    <cfRule type="cellIs" dxfId="4175" priority="4106" stopIfTrue="1" operator="equal">
      <formula>"Fail"</formula>
    </cfRule>
  </conditionalFormatting>
  <conditionalFormatting sqref="H770:L770">
    <cfRule type="cellIs" dxfId="4174" priority="4103" stopIfTrue="1" operator="equal">
      <formula>"Pass"</formula>
    </cfRule>
    <cfRule type="cellIs" dxfId="4173" priority="4104" stopIfTrue="1" operator="equal">
      <formula>"Fail"</formula>
    </cfRule>
  </conditionalFormatting>
  <conditionalFormatting sqref="I770:L770">
    <cfRule type="cellIs" dxfId="4172" priority="4101" stopIfTrue="1" operator="equal">
      <formula>"Pass"</formula>
    </cfRule>
    <cfRule type="cellIs" dxfId="4171" priority="4102" stopIfTrue="1" operator="equal">
      <formula>"Fail"</formula>
    </cfRule>
  </conditionalFormatting>
  <conditionalFormatting sqref="I770:L770">
    <cfRule type="cellIs" dxfId="4170" priority="4099" stopIfTrue="1" operator="equal">
      <formula>"Pass"</formula>
    </cfRule>
    <cfRule type="cellIs" dxfId="4169" priority="4100" stopIfTrue="1" operator="equal">
      <formula>"Fail"</formula>
    </cfRule>
  </conditionalFormatting>
  <conditionalFormatting sqref="I770:L770">
    <cfRule type="cellIs" dxfId="4168" priority="4097" stopIfTrue="1" operator="equal">
      <formula>"Pass"</formula>
    </cfRule>
    <cfRule type="cellIs" dxfId="4167" priority="4098" stopIfTrue="1" operator="equal">
      <formula>"Fail"</formula>
    </cfRule>
  </conditionalFormatting>
  <conditionalFormatting sqref="I770:L770">
    <cfRule type="cellIs" dxfId="4166" priority="4095" stopIfTrue="1" operator="equal">
      <formula>"Pass"</formula>
    </cfRule>
    <cfRule type="cellIs" dxfId="4165" priority="4096" stopIfTrue="1" operator="equal">
      <formula>"Fail"</formula>
    </cfRule>
  </conditionalFormatting>
  <conditionalFormatting sqref="G770">
    <cfRule type="cellIs" dxfId="4164" priority="4093" stopIfTrue="1" operator="equal">
      <formula>"Pass"</formula>
    </cfRule>
    <cfRule type="cellIs" dxfId="4163" priority="4094" stopIfTrue="1" operator="equal">
      <formula>"Fail"</formula>
    </cfRule>
  </conditionalFormatting>
  <conditionalFormatting sqref="G770">
    <cfRule type="cellIs" dxfId="4162" priority="4091" stopIfTrue="1" operator="equal">
      <formula>"Pass"</formula>
    </cfRule>
    <cfRule type="cellIs" dxfId="4161" priority="4092" stopIfTrue="1" operator="equal">
      <formula>"Fail"</formula>
    </cfRule>
  </conditionalFormatting>
  <conditionalFormatting sqref="G770">
    <cfRule type="cellIs" dxfId="4160" priority="4089" stopIfTrue="1" operator="equal">
      <formula>"Pass"</formula>
    </cfRule>
    <cfRule type="cellIs" dxfId="4159" priority="4090" stopIfTrue="1" operator="equal">
      <formula>"Fail"</formula>
    </cfRule>
  </conditionalFormatting>
  <conditionalFormatting sqref="G770">
    <cfRule type="cellIs" dxfId="4158" priority="4087" stopIfTrue="1" operator="equal">
      <formula>"Pass"</formula>
    </cfRule>
    <cfRule type="cellIs" dxfId="4157" priority="4088" stopIfTrue="1" operator="equal">
      <formula>"Fail"</formula>
    </cfRule>
  </conditionalFormatting>
  <conditionalFormatting sqref="G770">
    <cfRule type="cellIs" dxfId="4156" priority="4085" stopIfTrue="1" operator="equal">
      <formula>"Pass"</formula>
    </cfRule>
    <cfRule type="cellIs" dxfId="4155" priority="4086" stopIfTrue="1" operator="equal">
      <formula>"Fail"</formula>
    </cfRule>
  </conditionalFormatting>
  <conditionalFormatting sqref="G770">
    <cfRule type="cellIs" dxfId="4154" priority="4083" stopIfTrue="1" operator="equal">
      <formula>"Pass"</formula>
    </cfRule>
    <cfRule type="cellIs" dxfId="4153" priority="4084" stopIfTrue="1" operator="equal">
      <formula>"Fail"</formula>
    </cfRule>
  </conditionalFormatting>
  <conditionalFormatting sqref="H770:L770">
    <cfRule type="cellIs" dxfId="4152" priority="4081" stopIfTrue="1" operator="equal">
      <formula>"Pass"</formula>
    </cfRule>
    <cfRule type="cellIs" dxfId="4151" priority="4082" stopIfTrue="1" operator="equal">
      <formula>"Fail"</formula>
    </cfRule>
  </conditionalFormatting>
  <conditionalFormatting sqref="H770:L770">
    <cfRule type="cellIs" dxfId="4150" priority="4079" stopIfTrue="1" operator="equal">
      <formula>"Pass"</formula>
    </cfRule>
    <cfRule type="cellIs" dxfId="4149" priority="4080" stopIfTrue="1" operator="equal">
      <formula>"Fail"</formula>
    </cfRule>
  </conditionalFormatting>
  <conditionalFormatting sqref="I770:L770">
    <cfRule type="cellIs" dxfId="4148" priority="4077" stopIfTrue="1" operator="equal">
      <formula>"Pass"</formula>
    </cfRule>
    <cfRule type="cellIs" dxfId="4147" priority="4078" stopIfTrue="1" operator="equal">
      <formula>"Fail"</formula>
    </cfRule>
  </conditionalFormatting>
  <conditionalFormatting sqref="I770:L770">
    <cfRule type="cellIs" dxfId="4146" priority="4075" stopIfTrue="1" operator="equal">
      <formula>"Pass"</formula>
    </cfRule>
    <cfRule type="cellIs" dxfId="4145" priority="4076" stopIfTrue="1" operator="equal">
      <formula>"Fail"</formula>
    </cfRule>
  </conditionalFormatting>
  <conditionalFormatting sqref="I770:L770">
    <cfRule type="cellIs" dxfId="4144" priority="4073" stopIfTrue="1" operator="equal">
      <formula>"Pass"</formula>
    </cfRule>
    <cfRule type="cellIs" dxfId="4143" priority="4074" stopIfTrue="1" operator="equal">
      <formula>"Fail"</formula>
    </cfRule>
  </conditionalFormatting>
  <conditionalFormatting sqref="I770:L770">
    <cfRule type="cellIs" dxfId="4142" priority="4071" stopIfTrue="1" operator="equal">
      <formula>"Pass"</formula>
    </cfRule>
    <cfRule type="cellIs" dxfId="4141" priority="4072" stopIfTrue="1" operator="equal">
      <formula>"Fail"</formula>
    </cfRule>
  </conditionalFormatting>
  <conditionalFormatting sqref="G770">
    <cfRule type="cellIs" dxfId="4140" priority="4069" stopIfTrue="1" operator="equal">
      <formula>"Pass"</formula>
    </cfRule>
    <cfRule type="cellIs" dxfId="4139" priority="4070" stopIfTrue="1" operator="equal">
      <formula>"Fail"</formula>
    </cfRule>
  </conditionalFormatting>
  <conditionalFormatting sqref="G770">
    <cfRule type="cellIs" dxfId="4138" priority="4067" stopIfTrue="1" operator="equal">
      <formula>"Pass"</formula>
    </cfRule>
    <cfRule type="cellIs" dxfId="4137" priority="4068" stopIfTrue="1" operator="equal">
      <formula>"Fail"</formula>
    </cfRule>
  </conditionalFormatting>
  <conditionalFormatting sqref="G770">
    <cfRule type="cellIs" dxfId="4136" priority="4065" stopIfTrue="1" operator="equal">
      <formula>"Pass"</formula>
    </cfRule>
    <cfRule type="cellIs" dxfId="4135" priority="4066" stopIfTrue="1" operator="equal">
      <formula>"Fail"</formula>
    </cfRule>
  </conditionalFormatting>
  <conditionalFormatting sqref="G770">
    <cfRule type="cellIs" dxfId="4134" priority="4063" stopIfTrue="1" operator="equal">
      <formula>"Pass"</formula>
    </cfRule>
    <cfRule type="cellIs" dxfId="4133" priority="4064" stopIfTrue="1" operator="equal">
      <formula>"Fail"</formula>
    </cfRule>
  </conditionalFormatting>
  <conditionalFormatting sqref="G770">
    <cfRule type="cellIs" dxfId="4132" priority="4061" stopIfTrue="1" operator="equal">
      <formula>"Pass"</formula>
    </cfRule>
    <cfRule type="cellIs" dxfId="4131" priority="4062" stopIfTrue="1" operator="equal">
      <formula>"Fail"</formula>
    </cfRule>
  </conditionalFormatting>
  <conditionalFormatting sqref="G770">
    <cfRule type="cellIs" dxfId="4130" priority="4059" stopIfTrue="1" operator="equal">
      <formula>"Pass"</formula>
    </cfRule>
    <cfRule type="cellIs" dxfId="4129" priority="4060" stopIfTrue="1" operator="equal">
      <formula>"Fail"</formula>
    </cfRule>
  </conditionalFormatting>
  <conditionalFormatting sqref="H770:L770">
    <cfRule type="cellIs" dxfId="4128" priority="4057" stopIfTrue="1" operator="equal">
      <formula>"Pass"</formula>
    </cfRule>
    <cfRule type="cellIs" dxfId="4127" priority="4058" stopIfTrue="1" operator="equal">
      <formula>"Fail"</formula>
    </cfRule>
  </conditionalFormatting>
  <conditionalFormatting sqref="H770:L770">
    <cfRule type="cellIs" dxfId="4126" priority="4055" stopIfTrue="1" operator="equal">
      <formula>"Pass"</formula>
    </cfRule>
    <cfRule type="cellIs" dxfId="4125" priority="4056" stopIfTrue="1" operator="equal">
      <formula>"Fail"</formula>
    </cfRule>
  </conditionalFormatting>
  <conditionalFormatting sqref="I770:L770">
    <cfRule type="cellIs" dxfId="4124" priority="4053" stopIfTrue="1" operator="equal">
      <formula>"Pass"</formula>
    </cfRule>
    <cfRule type="cellIs" dxfId="4123" priority="4054" stopIfTrue="1" operator="equal">
      <formula>"Fail"</formula>
    </cfRule>
  </conditionalFormatting>
  <conditionalFormatting sqref="I770:L770">
    <cfRule type="cellIs" dxfId="4122" priority="4051" stopIfTrue="1" operator="equal">
      <formula>"Pass"</formula>
    </cfRule>
    <cfRule type="cellIs" dxfId="4121" priority="4052" stopIfTrue="1" operator="equal">
      <formula>"Fail"</formula>
    </cfRule>
  </conditionalFormatting>
  <conditionalFormatting sqref="I770:L770">
    <cfRule type="cellIs" dxfId="4120" priority="4049" stopIfTrue="1" operator="equal">
      <formula>"Pass"</formula>
    </cfRule>
    <cfRule type="cellIs" dxfId="4119" priority="4050" stopIfTrue="1" operator="equal">
      <formula>"Fail"</formula>
    </cfRule>
  </conditionalFormatting>
  <conditionalFormatting sqref="I770:L770">
    <cfRule type="cellIs" dxfId="4118" priority="4047" stopIfTrue="1" operator="equal">
      <formula>"Pass"</formula>
    </cfRule>
    <cfRule type="cellIs" dxfId="4117" priority="4048" stopIfTrue="1" operator="equal">
      <formula>"Fail"</formula>
    </cfRule>
  </conditionalFormatting>
  <conditionalFormatting sqref="G770">
    <cfRule type="cellIs" dxfId="4116" priority="4045" stopIfTrue="1" operator="equal">
      <formula>"Pass"</formula>
    </cfRule>
    <cfRule type="cellIs" dxfId="4115" priority="4046" stopIfTrue="1" operator="equal">
      <formula>"Fail"</formula>
    </cfRule>
  </conditionalFormatting>
  <conditionalFormatting sqref="G770">
    <cfRule type="cellIs" dxfId="4114" priority="4043" stopIfTrue="1" operator="equal">
      <formula>"Pass"</formula>
    </cfRule>
    <cfRule type="cellIs" dxfId="4113" priority="4044" stopIfTrue="1" operator="equal">
      <formula>"Fail"</formula>
    </cfRule>
  </conditionalFormatting>
  <conditionalFormatting sqref="G770">
    <cfRule type="cellIs" dxfId="4112" priority="4041" stopIfTrue="1" operator="equal">
      <formula>"Pass"</formula>
    </cfRule>
    <cfRule type="cellIs" dxfId="4111" priority="4042" stopIfTrue="1" operator="equal">
      <formula>"Fail"</formula>
    </cfRule>
  </conditionalFormatting>
  <conditionalFormatting sqref="G770">
    <cfRule type="cellIs" dxfId="4110" priority="4039" stopIfTrue="1" operator="equal">
      <formula>"Pass"</formula>
    </cfRule>
    <cfRule type="cellIs" dxfId="4109" priority="4040" stopIfTrue="1" operator="equal">
      <formula>"Fail"</formula>
    </cfRule>
  </conditionalFormatting>
  <conditionalFormatting sqref="G770">
    <cfRule type="cellIs" dxfId="4108" priority="4037" stopIfTrue="1" operator="equal">
      <formula>"Pass"</formula>
    </cfRule>
    <cfRule type="cellIs" dxfId="4107" priority="4038" stopIfTrue="1" operator="equal">
      <formula>"Fail"</formula>
    </cfRule>
  </conditionalFormatting>
  <conditionalFormatting sqref="G770">
    <cfRule type="cellIs" dxfId="4106" priority="4035" stopIfTrue="1" operator="equal">
      <formula>"Pass"</formula>
    </cfRule>
    <cfRule type="cellIs" dxfId="4105" priority="4036" stopIfTrue="1" operator="equal">
      <formula>"Fail"</formula>
    </cfRule>
  </conditionalFormatting>
  <conditionalFormatting sqref="H770:L770">
    <cfRule type="cellIs" dxfId="4104" priority="4033" stopIfTrue="1" operator="equal">
      <formula>"Pass"</formula>
    </cfRule>
    <cfRule type="cellIs" dxfId="4103" priority="4034" stopIfTrue="1" operator="equal">
      <formula>"Fail"</formula>
    </cfRule>
  </conditionalFormatting>
  <conditionalFormatting sqref="H770:L770">
    <cfRule type="cellIs" dxfId="4102" priority="4031" stopIfTrue="1" operator="equal">
      <formula>"Pass"</formula>
    </cfRule>
    <cfRule type="cellIs" dxfId="4101" priority="4032" stopIfTrue="1" operator="equal">
      <formula>"Fail"</formula>
    </cfRule>
  </conditionalFormatting>
  <conditionalFormatting sqref="I770:L770">
    <cfRule type="cellIs" dxfId="4100" priority="4029" stopIfTrue="1" operator="equal">
      <formula>"Pass"</formula>
    </cfRule>
    <cfRule type="cellIs" dxfId="4099" priority="4030" stopIfTrue="1" operator="equal">
      <formula>"Fail"</formula>
    </cfRule>
  </conditionalFormatting>
  <conditionalFormatting sqref="I770:L770">
    <cfRule type="cellIs" dxfId="4098" priority="4027" stopIfTrue="1" operator="equal">
      <formula>"Pass"</formula>
    </cfRule>
    <cfRule type="cellIs" dxfId="4097" priority="4028" stopIfTrue="1" operator="equal">
      <formula>"Fail"</formula>
    </cfRule>
  </conditionalFormatting>
  <conditionalFormatting sqref="I770:L770">
    <cfRule type="cellIs" dxfId="4096" priority="4025" stopIfTrue="1" operator="equal">
      <formula>"Pass"</formula>
    </cfRule>
    <cfRule type="cellIs" dxfId="4095" priority="4026" stopIfTrue="1" operator="equal">
      <formula>"Fail"</formula>
    </cfRule>
  </conditionalFormatting>
  <conditionalFormatting sqref="I770:L770">
    <cfRule type="cellIs" dxfId="4094" priority="4023" stopIfTrue="1" operator="equal">
      <formula>"Pass"</formula>
    </cfRule>
    <cfRule type="cellIs" dxfId="4093" priority="4024" stopIfTrue="1" operator="equal">
      <formula>"Fail"</formula>
    </cfRule>
  </conditionalFormatting>
  <conditionalFormatting sqref="G770">
    <cfRule type="cellIs" dxfId="4092" priority="4021" stopIfTrue="1" operator="equal">
      <formula>"Pass"</formula>
    </cfRule>
    <cfRule type="cellIs" dxfId="4091" priority="4022" stopIfTrue="1" operator="equal">
      <formula>"Fail"</formula>
    </cfRule>
  </conditionalFormatting>
  <conditionalFormatting sqref="G770">
    <cfRule type="cellIs" dxfId="4090" priority="4019" stopIfTrue="1" operator="equal">
      <formula>"Pass"</formula>
    </cfRule>
    <cfRule type="cellIs" dxfId="4089" priority="4020" stopIfTrue="1" operator="equal">
      <formula>"Fail"</formula>
    </cfRule>
  </conditionalFormatting>
  <conditionalFormatting sqref="G770">
    <cfRule type="cellIs" dxfId="4088" priority="4017" stopIfTrue="1" operator="equal">
      <formula>"Pass"</formula>
    </cfRule>
    <cfRule type="cellIs" dxfId="4087" priority="4018" stopIfTrue="1" operator="equal">
      <formula>"Fail"</formula>
    </cfRule>
  </conditionalFormatting>
  <conditionalFormatting sqref="G770">
    <cfRule type="cellIs" dxfId="4086" priority="4015" stopIfTrue="1" operator="equal">
      <formula>"Pass"</formula>
    </cfRule>
    <cfRule type="cellIs" dxfId="4085" priority="4016" stopIfTrue="1" operator="equal">
      <formula>"Fail"</formula>
    </cfRule>
  </conditionalFormatting>
  <conditionalFormatting sqref="G770">
    <cfRule type="cellIs" dxfId="4084" priority="4013" stopIfTrue="1" operator="equal">
      <formula>"Pass"</formula>
    </cfRule>
    <cfRule type="cellIs" dxfId="4083" priority="4014" stopIfTrue="1" operator="equal">
      <formula>"Fail"</formula>
    </cfRule>
  </conditionalFormatting>
  <conditionalFormatting sqref="G770">
    <cfRule type="cellIs" dxfId="4082" priority="4011" stopIfTrue="1" operator="equal">
      <formula>"Pass"</formula>
    </cfRule>
    <cfRule type="cellIs" dxfId="4081" priority="4012" stopIfTrue="1" operator="equal">
      <formula>"Fail"</formula>
    </cfRule>
  </conditionalFormatting>
  <conditionalFormatting sqref="H770:L770">
    <cfRule type="cellIs" dxfId="4080" priority="4009" stopIfTrue="1" operator="equal">
      <formula>"Pass"</formula>
    </cfRule>
    <cfRule type="cellIs" dxfId="4079" priority="4010" stopIfTrue="1" operator="equal">
      <formula>"Fail"</formula>
    </cfRule>
  </conditionalFormatting>
  <conditionalFormatting sqref="H770:L770">
    <cfRule type="cellIs" dxfId="4078" priority="4007" stopIfTrue="1" operator="equal">
      <formula>"Pass"</formula>
    </cfRule>
    <cfRule type="cellIs" dxfId="4077" priority="4008" stopIfTrue="1" operator="equal">
      <formula>"Fail"</formula>
    </cfRule>
  </conditionalFormatting>
  <conditionalFormatting sqref="I770:L770">
    <cfRule type="cellIs" dxfId="4076" priority="4005" stopIfTrue="1" operator="equal">
      <formula>"Pass"</formula>
    </cfRule>
    <cfRule type="cellIs" dxfId="4075" priority="4006" stopIfTrue="1" operator="equal">
      <formula>"Fail"</formula>
    </cfRule>
  </conditionalFormatting>
  <conditionalFormatting sqref="I770:L770">
    <cfRule type="cellIs" dxfId="4074" priority="4003" stopIfTrue="1" operator="equal">
      <formula>"Pass"</formula>
    </cfRule>
    <cfRule type="cellIs" dxfId="4073" priority="4004" stopIfTrue="1" operator="equal">
      <formula>"Fail"</formula>
    </cfRule>
  </conditionalFormatting>
  <conditionalFormatting sqref="I770:L770">
    <cfRule type="cellIs" dxfId="4072" priority="4001" stopIfTrue="1" operator="equal">
      <formula>"Pass"</formula>
    </cfRule>
    <cfRule type="cellIs" dxfId="4071" priority="4002" stopIfTrue="1" operator="equal">
      <formula>"Fail"</formula>
    </cfRule>
  </conditionalFormatting>
  <conditionalFormatting sqref="I770:L770">
    <cfRule type="cellIs" dxfId="4070" priority="3999" stopIfTrue="1" operator="equal">
      <formula>"Pass"</formula>
    </cfRule>
    <cfRule type="cellIs" dxfId="4069" priority="4000" stopIfTrue="1" operator="equal">
      <formula>"Fail"</formula>
    </cfRule>
  </conditionalFormatting>
  <conditionalFormatting sqref="G770">
    <cfRule type="cellIs" dxfId="4068" priority="3997" stopIfTrue="1" operator="equal">
      <formula>"Pass"</formula>
    </cfRule>
    <cfRule type="cellIs" dxfId="4067" priority="3998" stopIfTrue="1" operator="equal">
      <formula>"Fail"</formula>
    </cfRule>
  </conditionalFormatting>
  <conditionalFormatting sqref="G770">
    <cfRule type="cellIs" dxfId="4066" priority="3995" stopIfTrue="1" operator="equal">
      <formula>"Pass"</formula>
    </cfRule>
    <cfRule type="cellIs" dxfId="4065" priority="3996" stopIfTrue="1" operator="equal">
      <formula>"Fail"</formula>
    </cfRule>
  </conditionalFormatting>
  <conditionalFormatting sqref="G770">
    <cfRule type="cellIs" dxfId="4064" priority="3993" stopIfTrue="1" operator="equal">
      <formula>"Pass"</formula>
    </cfRule>
    <cfRule type="cellIs" dxfId="4063" priority="3994" stopIfTrue="1" operator="equal">
      <formula>"Fail"</formula>
    </cfRule>
  </conditionalFormatting>
  <conditionalFormatting sqref="G770">
    <cfRule type="cellIs" dxfId="4062" priority="3991" stopIfTrue="1" operator="equal">
      <formula>"Pass"</formula>
    </cfRule>
    <cfRule type="cellIs" dxfId="4061" priority="3992" stopIfTrue="1" operator="equal">
      <formula>"Fail"</formula>
    </cfRule>
  </conditionalFormatting>
  <conditionalFormatting sqref="G770">
    <cfRule type="cellIs" dxfId="4060" priority="3989" stopIfTrue="1" operator="equal">
      <formula>"Pass"</formula>
    </cfRule>
    <cfRule type="cellIs" dxfId="4059" priority="3990" stopIfTrue="1" operator="equal">
      <formula>"Fail"</formula>
    </cfRule>
  </conditionalFormatting>
  <conditionalFormatting sqref="G770">
    <cfRule type="cellIs" dxfId="4058" priority="3987" stopIfTrue="1" operator="equal">
      <formula>"Pass"</formula>
    </cfRule>
    <cfRule type="cellIs" dxfId="4057" priority="3988" stopIfTrue="1" operator="equal">
      <formula>"Fail"</formula>
    </cfRule>
  </conditionalFormatting>
  <conditionalFormatting sqref="H770:L770">
    <cfRule type="cellIs" dxfId="4056" priority="3985" stopIfTrue="1" operator="equal">
      <formula>"Pass"</formula>
    </cfRule>
    <cfRule type="cellIs" dxfId="4055" priority="3986" stopIfTrue="1" operator="equal">
      <formula>"Fail"</formula>
    </cfRule>
  </conditionalFormatting>
  <conditionalFormatting sqref="H770:L770">
    <cfRule type="cellIs" dxfId="4054" priority="3983" stopIfTrue="1" operator="equal">
      <formula>"Pass"</formula>
    </cfRule>
    <cfRule type="cellIs" dxfId="4053" priority="3984" stopIfTrue="1" operator="equal">
      <formula>"Fail"</formula>
    </cfRule>
  </conditionalFormatting>
  <conditionalFormatting sqref="I770:L770">
    <cfRule type="cellIs" dxfId="4052" priority="3981" stopIfTrue="1" operator="equal">
      <formula>"Pass"</formula>
    </cfRule>
    <cfRule type="cellIs" dxfId="4051" priority="3982" stopIfTrue="1" operator="equal">
      <formula>"Fail"</formula>
    </cfRule>
  </conditionalFormatting>
  <conditionalFormatting sqref="I770:L770">
    <cfRule type="cellIs" dxfId="4050" priority="3979" stopIfTrue="1" operator="equal">
      <formula>"Pass"</formula>
    </cfRule>
    <cfRule type="cellIs" dxfId="4049" priority="3980" stopIfTrue="1" operator="equal">
      <formula>"Fail"</formula>
    </cfRule>
  </conditionalFormatting>
  <conditionalFormatting sqref="I770:L770">
    <cfRule type="cellIs" dxfId="4048" priority="3977" stopIfTrue="1" operator="equal">
      <formula>"Pass"</formula>
    </cfRule>
    <cfRule type="cellIs" dxfId="4047" priority="3978" stopIfTrue="1" operator="equal">
      <formula>"Fail"</formula>
    </cfRule>
  </conditionalFormatting>
  <conditionalFormatting sqref="I770:L770">
    <cfRule type="cellIs" dxfId="4046" priority="3975" stopIfTrue="1" operator="equal">
      <formula>"Pass"</formula>
    </cfRule>
    <cfRule type="cellIs" dxfId="4045" priority="3976" stopIfTrue="1" operator="equal">
      <formula>"Fail"</formula>
    </cfRule>
  </conditionalFormatting>
  <conditionalFormatting sqref="G770">
    <cfRule type="cellIs" dxfId="4044" priority="3973" stopIfTrue="1" operator="equal">
      <formula>"Pass"</formula>
    </cfRule>
    <cfRule type="cellIs" dxfId="4043" priority="3974" stopIfTrue="1" operator="equal">
      <formula>"Fail"</formula>
    </cfRule>
  </conditionalFormatting>
  <conditionalFormatting sqref="G770">
    <cfRule type="cellIs" dxfId="4042" priority="3971" stopIfTrue="1" operator="equal">
      <formula>"Pass"</formula>
    </cfRule>
    <cfRule type="cellIs" dxfId="4041" priority="3972" stopIfTrue="1" operator="equal">
      <formula>"Fail"</formula>
    </cfRule>
  </conditionalFormatting>
  <conditionalFormatting sqref="G770">
    <cfRule type="cellIs" dxfId="4040" priority="3969" stopIfTrue="1" operator="equal">
      <formula>"Pass"</formula>
    </cfRule>
    <cfRule type="cellIs" dxfId="4039" priority="3970" stopIfTrue="1" operator="equal">
      <formula>"Fail"</formula>
    </cfRule>
  </conditionalFormatting>
  <conditionalFormatting sqref="G770">
    <cfRule type="cellIs" dxfId="4038" priority="3967" stopIfTrue="1" operator="equal">
      <formula>"Pass"</formula>
    </cfRule>
    <cfRule type="cellIs" dxfId="4037" priority="3968" stopIfTrue="1" operator="equal">
      <formula>"Fail"</formula>
    </cfRule>
  </conditionalFormatting>
  <conditionalFormatting sqref="G770">
    <cfRule type="cellIs" dxfId="4036" priority="3965" stopIfTrue="1" operator="equal">
      <formula>"Pass"</formula>
    </cfRule>
    <cfRule type="cellIs" dxfId="4035" priority="3966" stopIfTrue="1" operator="equal">
      <formula>"Fail"</formula>
    </cfRule>
  </conditionalFormatting>
  <conditionalFormatting sqref="G770">
    <cfRule type="cellIs" dxfId="4034" priority="3963" stopIfTrue="1" operator="equal">
      <formula>"Pass"</formula>
    </cfRule>
    <cfRule type="cellIs" dxfId="4033" priority="3964" stopIfTrue="1" operator="equal">
      <formula>"Fail"</formula>
    </cfRule>
  </conditionalFormatting>
  <conditionalFormatting sqref="H770:L770">
    <cfRule type="cellIs" dxfId="4032" priority="3961" stopIfTrue="1" operator="equal">
      <formula>"Pass"</formula>
    </cfRule>
    <cfRule type="cellIs" dxfId="4031" priority="3962" stopIfTrue="1" operator="equal">
      <formula>"Fail"</formula>
    </cfRule>
  </conditionalFormatting>
  <conditionalFormatting sqref="H770:L770">
    <cfRule type="cellIs" dxfId="4030" priority="3959" stopIfTrue="1" operator="equal">
      <formula>"Pass"</formula>
    </cfRule>
    <cfRule type="cellIs" dxfId="4029" priority="3960" stopIfTrue="1" operator="equal">
      <formula>"Fail"</formula>
    </cfRule>
  </conditionalFormatting>
  <conditionalFormatting sqref="I770:L770">
    <cfRule type="cellIs" dxfId="4028" priority="3957" stopIfTrue="1" operator="equal">
      <formula>"Pass"</formula>
    </cfRule>
    <cfRule type="cellIs" dxfId="4027" priority="3958" stopIfTrue="1" operator="equal">
      <formula>"Fail"</formula>
    </cfRule>
  </conditionalFormatting>
  <conditionalFormatting sqref="I770:L770">
    <cfRule type="cellIs" dxfId="4026" priority="3955" stopIfTrue="1" operator="equal">
      <formula>"Pass"</formula>
    </cfRule>
    <cfRule type="cellIs" dxfId="4025" priority="3956" stopIfTrue="1" operator="equal">
      <formula>"Fail"</formula>
    </cfRule>
  </conditionalFormatting>
  <conditionalFormatting sqref="I770:L770">
    <cfRule type="cellIs" dxfId="4024" priority="3953" stopIfTrue="1" operator="equal">
      <formula>"Pass"</formula>
    </cfRule>
    <cfRule type="cellIs" dxfId="4023" priority="3954" stopIfTrue="1" operator="equal">
      <formula>"Fail"</formula>
    </cfRule>
  </conditionalFormatting>
  <conditionalFormatting sqref="I770:L770">
    <cfRule type="cellIs" dxfId="4022" priority="3951" stopIfTrue="1" operator="equal">
      <formula>"Pass"</formula>
    </cfRule>
    <cfRule type="cellIs" dxfId="4021" priority="3952" stopIfTrue="1" operator="equal">
      <formula>"Fail"</formula>
    </cfRule>
  </conditionalFormatting>
  <conditionalFormatting sqref="G770">
    <cfRule type="cellIs" dxfId="4020" priority="3949" stopIfTrue="1" operator="equal">
      <formula>"Pass"</formula>
    </cfRule>
    <cfRule type="cellIs" dxfId="4019" priority="3950" stopIfTrue="1" operator="equal">
      <formula>"Fail"</formula>
    </cfRule>
  </conditionalFormatting>
  <conditionalFormatting sqref="G770">
    <cfRule type="cellIs" dxfId="4018" priority="3947" stopIfTrue="1" operator="equal">
      <formula>"Pass"</formula>
    </cfRule>
    <cfRule type="cellIs" dxfId="4017" priority="3948" stopIfTrue="1" operator="equal">
      <formula>"Fail"</formula>
    </cfRule>
  </conditionalFormatting>
  <conditionalFormatting sqref="G770">
    <cfRule type="cellIs" dxfId="4016" priority="3945" stopIfTrue="1" operator="equal">
      <formula>"Pass"</formula>
    </cfRule>
    <cfRule type="cellIs" dxfId="4015" priority="3946" stopIfTrue="1" operator="equal">
      <formula>"Fail"</formula>
    </cfRule>
  </conditionalFormatting>
  <conditionalFormatting sqref="G770">
    <cfRule type="cellIs" dxfId="4014" priority="3943" stopIfTrue="1" operator="equal">
      <formula>"Pass"</formula>
    </cfRule>
    <cfRule type="cellIs" dxfId="4013" priority="3944" stopIfTrue="1" operator="equal">
      <formula>"Fail"</formula>
    </cfRule>
  </conditionalFormatting>
  <conditionalFormatting sqref="G770">
    <cfRule type="cellIs" dxfId="4012" priority="3941" stopIfTrue="1" operator="equal">
      <formula>"Pass"</formula>
    </cfRule>
    <cfRule type="cellIs" dxfId="4011" priority="3942" stopIfTrue="1" operator="equal">
      <formula>"Fail"</formula>
    </cfRule>
  </conditionalFormatting>
  <conditionalFormatting sqref="G770">
    <cfRule type="cellIs" dxfId="4010" priority="3939" stopIfTrue="1" operator="equal">
      <formula>"Pass"</formula>
    </cfRule>
    <cfRule type="cellIs" dxfId="4009" priority="3940" stopIfTrue="1" operator="equal">
      <formula>"Fail"</formula>
    </cfRule>
  </conditionalFormatting>
  <conditionalFormatting sqref="H770:L770">
    <cfRule type="cellIs" dxfId="4008" priority="3937" stopIfTrue="1" operator="equal">
      <formula>"Pass"</formula>
    </cfRule>
    <cfRule type="cellIs" dxfId="4007" priority="3938" stopIfTrue="1" operator="equal">
      <formula>"Fail"</formula>
    </cfRule>
  </conditionalFormatting>
  <conditionalFormatting sqref="H770:L770">
    <cfRule type="cellIs" dxfId="4006" priority="3935" stopIfTrue="1" operator="equal">
      <formula>"Pass"</formula>
    </cfRule>
    <cfRule type="cellIs" dxfId="4005" priority="3936" stopIfTrue="1" operator="equal">
      <formula>"Fail"</formula>
    </cfRule>
  </conditionalFormatting>
  <conditionalFormatting sqref="I770:L770">
    <cfRule type="cellIs" dxfId="4004" priority="3933" stopIfTrue="1" operator="equal">
      <formula>"Pass"</formula>
    </cfRule>
    <cfRule type="cellIs" dxfId="4003" priority="3934" stopIfTrue="1" operator="equal">
      <formula>"Fail"</formula>
    </cfRule>
  </conditionalFormatting>
  <conditionalFormatting sqref="I770:L770">
    <cfRule type="cellIs" dxfId="4002" priority="3931" stopIfTrue="1" operator="equal">
      <formula>"Pass"</formula>
    </cfRule>
    <cfRule type="cellIs" dxfId="4001" priority="3932" stopIfTrue="1" operator="equal">
      <formula>"Fail"</formula>
    </cfRule>
  </conditionalFormatting>
  <conditionalFormatting sqref="I770:L770">
    <cfRule type="cellIs" dxfId="4000" priority="3929" stopIfTrue="1" operator="equal">
      <formula>"Pass"</formula>
    </cfRule>
    <cfRule type="cellIs" dxfId="3999" priority="3930" stopIfTrue="1" operator="equal">
      <formula>"Fail"</formula>
    </cfRule>
  </conditionalFormatting>
  <conditionalFormatting sqref="I770:L770">
    <cfRule type="cellIs" dxfId="3998" priority="3927" stopIfTrue="1" operator="equal">
      <formula>"Pass"</formula>
    </cfRule>
    <cfRule type="cellIs" dxfId="3997" priority="3928" stopIfTrue="1" operator="equal">
      <formula>"Fail"</formula>
    </cfRule>
  </conditionalFormatting>
  <conditionalFormatting sqref="G770">
    <cfRule type="cellIs" dxfId="3996" priority="3925" stopIfTrue="1" operator="equal">
      <formula>"Pass"</formula>
    </cfRule>
    <cfRule type="cellIs" dxfId="3995" priority="3926" stopIfTrue="1" operator="equal">
      <formula>"Fail"</formula>
    </cfRule>
  </conditionalFormatting>
  <conditionalFormatting sqref="G770">
    <cfRule type="cellIs" dxfId="3994" priority="3923" stopIfTrue="1" operator="equal">
      <formula>"Pass"</formula>
    </cfRule>
    <cfRule type="cellIs" dxfId="3993" priority="3924" stopIfTrue="1" operator="equal">
      <formula>"Fail"</formula>
    </cfRule>
  </conditionalFormatting>
  <conditionalFormatting sqref="G770">
    <cfRule type="cellIs" dxfId="3992" priority="3921" stopIfTrue="1" operator="equal">
      <formula>"Pass"</formula>
    </cfRule>
    <cfRule type="cellIs" dxfId="3991" priority="3922" stopIfTrue="1" operator="equal">
      <formula>"Fail"</formula>
    </cfRule>
  </conditionalFormatting>
  <conditionalFormatting sqref="G770">
    <cfRule type="cellIs" dxfId="3990" priority="3919" stopIfTrue="1" operator="equal">
      <formula>"Pass"</formula>
    </cfRule>
    <cfRule type="cellIs" dxfId="3989" priority="3920" stopIfTrue="1" operator="equal">
      <formula>"Fail"</formula>
    </cfRule>
  </conditionalFormatting>
  <conditionalFormatting sqref="G770">
    <cfRule type="cellIs" dxfId="3988" priority="3917" stopIfTrue="1" operator="equal">
      <formula>"Pass"</formula>
    </cfRule>
    <cfRule type="cellIs" dxfId="3987" priority="3918" stopIfTrue="1" operator="equal">
      <formula>"Fail"</formula>
    </cfRule>
  </conditionalFormatting>
  <conditionalFormatting sqref="G770">
    <cfRule type="cellIs" dxfId="3986" priority="3915" stopIfTrue="1" operator="equal">
      <formula>"Pass"</formula>
    </cfRule>
    <cfRule type="cellIs" dxfId="3985" priority="3916" stopIfTrue="1" operator="equal">
      <formula>"Fail"</formula>
    </cfRule>
  </conditionalFormatting>
  <conditionalFormatting sqref="H770:L770">
    <cfRule type="cellIs" dxfId="3984" priority="3913" stopIfTrue="1" operator="equal">
      <formula>"Pass"</formula>
    </cfRule>
    <cfRule type="cellIs" dxfId="3983" priority="3914" stopIfTrue="1" operator="equal">
      <formula>"Fail"</formula>
    </cfRule>
  </conditionalFormatting>
  <conditionalFormatting sqref="H770:L770">
    <cfRule type="cellIs" dxfId="3982" priority="3911" stopIfTrue="1" operator="equal">
      <formula>"Pass"</formula>
    </cfRule>
    <cfRule type="cellIs" dxfId="3981" priority="3912" stopIfTrue="1" operator="equal">
      <formula>"Fail"</formula>
    </cfRule>
  </conditionalFormatting>
  <conditionalFormatting sqref="I770:L770">
    <cfRule type="cellIs" dxfId="3980" priority="3909" stopIfTrue="1" operator="equal">
      <formula>"Pass"</formula>
    </cfRule>
    <cfRule type="cellIs" dxfId="3979" priority="3910" stopIfTrue="1" operator="equal">
      <formula>"Fail"</formula>
    </cfRule>
  </conditionalFormatting>
  <conditionalFormatting sqref="I770:L770">
    <cfRule type="cellIs" dxfId="3978" priority="3907" stopIfTrue="1" operator="equal">
      <formula>"Pass"</formula>
    </cfRule>
    <cfRule type="cellIs" dxfId="3977" priority="3908" stopIfTrue="1" operator="equal">
      <formula>"Fail"</formula>
    </cfRule>
  </conditionalFormatting>
  <conditionalFormatting sqref="I770:L770">
    <cfRule type="cellIs" dxfId="3976" priority="3905" stopIfTrue="1" operator="equal">
      <formula>"Pass"</formula>
    </cfRule>
    <cfRule type="cellIs" dxfId="3975" priority="3906" stopIfTrue="1" operator="equal">
      <formula>"Fail"</formula>
    </cfRule>
  </conditionalFormatting>
  <conditionalFormatting sqref="I770:L770">
    <cfRule type="cellIs" dxfId="3974" priority="3903" stopIfTrue="1" operator="equal">
      <formula>"Pass"</formula>
    </cfRule>
    <cfRule type="cellIs" dxfId="3973" priority="3904" stopIfTrue="1" operator="equal">
      <formula>"Fail"</formula>
    </cfRule>
  </conditionalFormatting>
  <conditionalFormatting sqref="G770">
    <cfRule type="cellIs" dxfId="3972" priority="3901" stopIfTrue="1" operator="equal">
      <formula>"Pass"</formula>
    </cfRule>
    <cfRule type="cellIs" dxfId="3971" priority="3902" stopIfTrue="1" operator="equal">
      <formula>"Fail"</formula>
    </cfRule>
  </conditionalFormatting>
  <conditionalFormatting sqref="G770">
    <cfRule type="cellIs" dxfId="3970" priority="3899" stopIfTrue="1" operator="equal">
      <formula>"Pass"</formula>
    </cfRule>
    <cfRule type="cellIs" dxfId="3969" priority="3900" stopIfTrue="1" operator="equal">
      <formula>"Fail"</formula>
    </cfRule>
  </conditionalFormatting>
  <conditionalFormatting sqref="G770">
    <cfRule type="cellIs" dxfId="3968" priority="3897" stopIfTrue="1" operator="equal">
      <formula>"Pass"</formula>
    </cfRule>
    <cfRule type="cellIs" dxfId="3967" priority="3898" stopIfTrue="1" operator="equal">
      <formula>"Fail"</formula>
    </cfRule>
  </conditionalFormatting>
  <conditionalFormatting sqref="G770">
    <cfRule type="cellIs" dxfId="3966" priority="3895" stopIfTrue="1" operator="equal">
      <formula>"Pass"</formula>
    </cfRule>
    <cfRule type="cellIs" dxfId="3965" priority="3896" stopIfTrue="1" operator="equal">
      <formula>"Fail"</formula>
    </cfRule>
  </conditionalFormatting>
  <conditionalFormatting sqref="G770">
    <cfRule type="cellIs" dxfId="3964" priority="3893" stopIfTrue="1" operator="equal">
      <formula>"Pass"</formula>
    </cfRule>
    <cfRule type="cellIs" dxfId="3963" priority="3894" stopIfTrue="1" operator="equal">
      <formula>"Fail"</formula>
    </cfRule>
  </conditionalFormatting>
  <conditionalFormatting sqref="G770">
    <cfRule type="cellIs" dxfId="3962" priority="3891" stopIfTrue="1" operator="equal">
      <formula>"Pass"</formula>
    </cfRule>
    <cfRule type="cellIs" dxfId="3961" priority="3892" stopIfTrue="1" operator="equal">
      <formula>"Fail"</formula>
    </cfRule>
  </conditionalFormatting>
  <conditionalFormatting sqref="H770:L770">
    <cfRule type="cellIs" dxfId="3960" priority="3889" stopIfTrue="1" operator="equal">
      <formula>"Pass"</formula>
    </cfRule>
    <cfRule type="cellIs" dxfId="3959" priority="3890" stopIfTrue="1" operator="equal">
      <formula>"Fail"</formula>
    </cfRule>
  </conditionalFormatting>
  <conditionalFormatting sqref="H770:L770">
    <cfRule type="cellIs" dxfId="3958" priority="3887" stopIfTrue="1" operator="equal">
      <formula>"Pass"</formula>
    </cfRule>
    <cfRule type="cellIs" dxfId="3957" priority="3888" stopIfTrue="1" operator="equal">
      <formula>"Fail"</formula>
    </cfRule>
  </conditionalFormatting>
  <conditionalFormatting sqref="I770:L770">
    <cfRule type="cellIs" dxfId="3956" priority="3885" stopIfTrue="1" operator="equal">
      <formula>"Pass"</formula>
    </cfRule>
    <cfRule type="cellIs" dxfId="3955" priority="3886" stopIfTrue="1" operator="equal">
      <formula>"Fail"</formula>
    </cfRule>
  </conditionalFormatting>
  <conditionalFormatting sqref="I770:L770">
    <cfRule type="cellIs" dxfId="3954" priority="3883" stopIfTrue="1" operator="equal">
      <formula>"Pass"</formula>
    </cfRule>
    <cfRule type="cellIs" dxfId="3953" priority="3884" stopIfTrue="1" operator="equal">
      <formula>"Fail"</formula>
    </cfRule>
  </conditionalFormatting>
  <conditionalFormatting sqref="I770:L770">
    <cfRule type="cellIs" dxfId="3952" priority="3881" stopIfTrue="1" operator="equal">
      <formula>"Pass"</formula>
    </cfRule>
    <cfRule type="cellIs" dxfId="3951" priority="3882" stopIfTrue="1" operator="equal">
      <formula>"Fail"</formula>
    </cfRule>
  </conditionalFormatting>
  <conditionalFormatting sqref="I770:L770">
    <cfRule type="cellIs" dxfId="3950" priority="3879" stopIfTrue="1" operator="equal">
      <formula>"Pass"</formula>
    </cfRule>
    <cfRule type="cellIs" dxfId="3949" priority="3880" stopIfTrue="1" operator="equal">
      <formula>"Fail"</formula>
    </cfRule>
  </conditionalFormatting>
  <conditionalFormatting sqref="G770">
    <cfRule type="cellIs" dxfId="3948" priority="3877" stopIfTrue="1" operator="equal">
      <formula>"Pass"</formula>
    </cfRule>
    <cfRule type="cellIs" dxfId="3947" priority="3878" stopIfTrue="1" operator="equal">
      <formula>"Fail"</formula>
    </cfRule>
  </conditionalFormatting>
  <conditionalFormatting sqref="G770">
    <cfRule type="cellIs" dxfId="3946" priority="3875" stopIfTrue="1" operator="equal">
      <formula>"Pass"</formula>
    </cfRule>
    <cfRule type="cellIs" dxfId="3945" priority="3876" stopIfTrue="1" operator="equal">
      <formula>"Fail"</formula>
    </cfRule>
  </conditionalFormatting>
  <conditionalFormatting sqref="G770">
    <cfRule type="cellIs" dxfId="3944" priority="3873" stopIfTrue="1" operator="equal">
      <formula>"Pass"</formula>
    </cfRule>
    <cfRule type="cellIs" dxfId="3943" priority="3874" stopIfTrue="1" operator="equal">
      <formula>"Fail"</formula>
    </cfRule>
  </conditionalFormatting>
  <conditionalFormatting sqref="G770">
    <cfRule type="cellIs" dxfId="3942" priority="3871" stopIfTrue="1" operator="equal">
      <formula>"Pass"</formula>
    </cfRule>
    <cfRule type="cellIs" dxfId="3941" priority="3872" stopIfTrue="1" operator="equal">
      <formula>"Fail"</formula>
    </cfRule>
  </conditionalFormatting>
  <conditionalFormatting sqref="G770">
    <cfRule type="cellIs" dxfId="3940" priority="3869" stopIfTrue="1" operator="equal">
      <formula>"Pass"</formula>
    </cfRule>
    <cfRule type="cellIs" dxfId="3939" priority="3870" stopIfTrue="1" operator="equal">
      <formula>"Fail"</formula>
    </cfRule>
  </conditionalFormatting>
  <conditionalFormatting sqref="G770">
    <cfRule type="cellIs" dxfId="3938" priority="3867" stopIfTrue="1" operator="equal">
      <formula>"Pass"</formula>
    </cfRule>
    <cfRule type="cellIs" dxfId="3937" priority="3868" stopIfTrue="1" operator="equal">
      <formula>"Fail"</formula>
    </cfRule>
  </conditionalFormatting>
  <conditionalFormatting sqref="H770:L770">
    <cfRule type="cellIs" dxfId="3936" priority="3865" stopIfTrue="1" operator="equal">
      <formula>"Pass"</formula>
    </cfRule>
    <cfRule type="cellIs" dxfId="3935" priority="3866" stopIfTrue="1" operator="equal">
      <formula>"Fail"</formula>
    </cfRule>
  </conditionalFormatting>
  <conditionalFormatting sqref="H770:L770">
    <cfRule type="cellIs" dxfId="3934" priority="3863" stopIfTrue="1" operator="equal">
      <formula>"Pass"</formula>
    </cfRule>
    <cfRule type="cellIs" dxfId="3933" priority="3864" stopIfTrue="1" operator="equal">
      <formula>"Fail"</formula>
    </cfRule>
  </conditionalFormatting>
  <conditionalFormatting sqref="I770:L770">
    <cfRule type="cellIs" dxfId="3932" priority="3861" stopIfTrue="1" operator="equal">
      <formula>"Pass"</formula>
    </cfRule>
    <cfRule type="cellIs" dxfId="3931" priority="3862" stopIfTrue="1" operator="equal">
      <formula>"Fail"</formula>
    </cfRule>
  </conditionalFormatting>
  <conditionalFormatting sqref="I770:L770">
    <cfRule type="cellIs" dxfId="3930" priority="3859" stopIfTrue="1" operator="equal">
      <formula>"Pass"</formula>
    </cfRule>
    <cfRule type="cellIs" dxfId="3929" priority="3860" stopIfTrue="1" operator="equal">
      <formula>"Fail"</formula>
    </cfRule>
  </conditionalFormatting>
  <conditionalFormatting sqref="I770:L770">
    <cfRule type="cellIs" dxfId="3928" priority="3857" stopIfTrue="1" operator="equal">
      <formula>"Pass"</formula>
    </cfRule>
    <cfRule type="cellIs" dxfId="3927" priority="3858" stopIfTrue="1" operator="equal">
      <formula>"Fail"</formula>
    </cfRule>
  </conditionalFormatting>
  <conditionalFormatting sqref="I770:L770">
    <cfRule type="cellIs" dxfId="3926" priority="3855" stopIfTrue="1" operator="equal">
      <formula>"Pass"</formula>
    </cfRule>
    <cfRule type="cellIs" dxfId="3925" priority="3856" stopIfTrue="1" operator="equal">
      <formula>"Fail"</formula>
    </cfRule>
  </conditionalFormatting>
  <conditionalFormatting sqref="G770">
    <cfRule type="cellIs" dxfId="3924" priority="3853" stopIfTrue="1" operator="equal">
      <formula>"Pass"</formula>
    </cfRule>
    <cfRule type="cellIs" dxfId="3923" priority="3854" stopIfTrue="1" operator="equal">
      <formula>"Fail"</formula>
    </cfRule>
  </conditionalFormatting>
  <conditionalFormatting sqref="G770">
    <cfRule type="cellIs" dxfId="3922" priority="3851" stopIfTrue="1" operator="equal">
      <formula>"Pass"</formula>
    </cfRule>
    <cfRule type="cellIs" dxfId="3921" priority="3852" stopIfTrue="1" operator="equal">
      <formula>"Fail"</formula>
    </cfRule>
  </conditionalFormatting>
  <conditionalFormatting sqref="G770">
    <cfRule type="cellIs" dxfId="3920" priority="3849" stopIfTrue="1" operator="equal">
      <formula>"Pass"</formula>
    </cfRule>
    <cfRule type="cellIs" dxfId="3919" priority="3850" stopIfTrue="1" operator="equal">
      <formula>"Fail"</formula>
    </cfRule>
  </conditionalFormatting>
  <conditionalFormatting sqref="G770">
    <cfRule type="cellIs" dxfId="3918" priority="3847" stopIfTrue="1" operator="equal">
      <formula>"Pass"</formula>
    </cfRule>
    <cfRule type="cellIs" dxfId="3917" priority="3848" stopIfTrue="1" operator="equal">
      <formula>"Fail"</formula>
    </cfRule>
  </conditionalFormatting>
  <conditionalFormatting sqref="G770">
    <cfRule type="cellIs" dxfId="3916" priority="3845" stopIfTrue="1" operator="equal">
      <formula>"Pass"</formula>
    </cfRule>
    <cfRule type="cellIs" dxfId="3915" priority="3846" stopIfTrue="1" operator="equal">
      <formula>"Fail"</formula>
    </cfRule>
  </conditionalFormatting>
  <conditionalFormatting sqref="G770">
    <cfRule type="cellIs" dxfId="3914" priority="3843" stopIfTrue="1" operator="equal">
      <formula>"Pass"</formula>
    </cfRule>
    <cfRule type="cellIs" dxfId="3913" priority="3844" stopIfTrue="1" operator="equal">
      <formula>"Fail"</formula>
    </cfRule>
  </conditionalFormatting>
  <conditionalFormatting sqref="H770:L770">
    <cfRule type="cellIs" dxfId="3912" priority="3841" stopIfTrue="1" operator="equal">
      <formula>"Pass"</formula>
    </cfRule>
    <cfRule type="cellIs" dxfId="3911" priority="3842" stopIfTrue="1" operator="equal">
      <formula>"Fail"</formula>
    </cfRule>
  </conditionalFormatting>
  <conditionalFormatting sqref="H770:L770">
    <cfRule type="cellIs" dxfId="3910" priority="3839" stopIfTrue="1" operator="equal">
      <formula>"Pass"</formula>
    </cfRule>
    <cfRule type="cellIs" dxfId="3909" priority="3840" stopIfTrue="1" operator="equal">
      <formula>"Fail"</formula>
    </cfRule>
  </conditionalFormatting>
  <conditionalFormatting sqref="I770:L770">
    <cfRule type="cellIs" dxfId="3908" priority="3837" stopIfTrue="1" operator="equal">
      <formula>"Pass"</formula>
    </cfRule>
    <cfRule type="cellIs" dxfId="3907" priority="3838" stopIfTrue="1" operator="equal">
      <formula>"Fail"</formula>
    </cfRule>
  </conditionalFormatting>
  <conditionalFormatting sqref="I770:L770">
    <cfRule type="cellIs" dxfId="3906" priority="3835" stopIfTrue="1" operator="equal">
      <formula>"Pass"</formula>
    </cfRule>
    <cfRule type="cellIs" dxfId="3905" priority="3836" stopIfTrue="1" operator="equal">
      <formula>"Fail"</formula>
    </cfRule>
  </conditionalFormatting>
  <conditionalFormatting sqref="I770:L770">
    <cfRule type="cellIs" dxfId="3904" priority="3833" stopIfTrue="1" operator="equal">
      <formula>"Pass"</formula>
    </cfRule>
    <cfRule type="cellIs" dxfId="3903" priority="3834" stopIfTrue="1" operator="equal">
      <formula>"Fail"</formula>
    </cfRule>
  </conditionalFormatting>
  <conditionalFormatting sqref="I770:L770">
    <cfRule type="cellIs" dxfId="3902" priority="3831" stopIfTrue="1" operator="equal">
      <formula>"Pass"</formula>
    </cfRule>
    <cfRule type="cellIs" dxfId="3901" priority="3832" stopIfTrue="1" operator="equal">
      <formula>"Fail"</formula>
    </cfRule>
  </conditionalFormatting>
  <conditionalFormatting sqref="G770">
    <cfRule type="cellIs" dxfId="3900" priority="3829" stopIfTrue="1" operator="equal">
      <formula>"Pass"</formula>
    </cfRule>
    <cfRule type="cellIs" dxfId="3899" priority="3830" stopIfTrue="1" operator="equal">
      <formula>"Fail"</formula>
    </cfRule>
  </conditionalFormatting>
  <conditionalFormatting sqref="G770">
    <cfRule type="cellIs" dxfId="3898" priority="3827" stopIfTrue="1" operator="equal">
      <formula>"Pass"</formula>
    </cfRule>
    <cfRule type="cellIs" dxfId="3897" priority="3828" stopIfTrue="1" operator="equal">
      <formula>"Fail"</formula>
    </cfRule>
  </conditionalFormatting>
  <conditionalFormatting sqref="G770">
    <cfRule type="cellIs" dxfId="3896" priority="3825" stopIfTrue="1" operator="equal">
      <formula>"Pass"</formula>
    </cfRule>
    <cfRule type="cellIs" dxfId="3895" priority="3826" stopIfTrue="1" operator="equal">
      <formula>"Fail"</formula>
    </cfRule>
  </conditionalFormatting>
  <conditionalFormatting sqref="G770">
    <cfRule type="cellIs" dxfId="3894" priority="3823" stopIfTrue="1" operator="equal">
      <formula>"Pass"</formula>
    </cfRule>
    <cfRule type="cellIs" dxfId="3893" priority="3824" stopIfTrue="1" operator="equal">
      <formula>"Fail"</formula>
    </cfRule>
  </conditionalFormatting>
  <conditionalFormatting sqref="G770">
    <cfRule type="cellIs" dxfId="3892" priority="3821" stopIfTrue="1" operator="equal">
      <formula>"Pass"</formula>
    </cfRule>
    <cfRule type="cellIs" dxfId="3891" priority="3822" stopIfTrue="1" operator="equal">
      <formula>"Fail"</formula>
    </cfRule>
  </conditionalFormatting>
  <conditionalFormatting sqref="G770">
    <cfRule type="cellIs" dxfId="3890" priority="3819" stopIfTrue="1" operator="equal">
      <formula>"Pass"</formula>
    </cfRule>
    <cfRule type="cellIs" dxfId="3889" priority="3820" stopIfTrue="1" operator="equal">
      <formula>"Fail"</formula>
    </cfRule>
  </conditionalFormatting>
  <conditionalFormatting sqref="H770:L770">
    <cfRule type="cellIs" dxfId="3888" priority="3817" stopIfTrue="1" operator="equal">
      <formula>"Pass"</formula>
    </cfRule>
    <cfRule type="cellIs" dxfId="3887" priority="3818" stopIfTrue="1" operator="equal">
      <formula>"Fail"</formula>
    </cfRule>
  </conditionalFormatting>
  <conditionalFormatting sqref="H770:L770">
    <cfRule type="cellIs" dxfId="3886" priority="3815" stopIfTrue="1" operator="equal">
      <formula>"Pass"</formula>
    </cfRule>
    <cfRule type="cellIs" dxfId="3885" priority="3816" stopIfTrue="1" operator="equal">
      <formula>"Fail"</formula>
    </cfRule>
  </conditionalFormatting>
  <conditionalFormatting sqref="I770:L770">
    <cfRule type="cellIs" dxfId="3884" priority="3813" stopIfTrue="1" operator="equal">
      <formula>"Pass"</formula>
    </cfRule>
    <cfRule type="cellIs" dxfId="3883" priority="3814" stopIfTrue="1" operator="equal">
      <formula>"Fail"</formula>
    </cfRule>
  </conditionalFormatting>
  <conditionalFormatting sqref="I770:L770">
    <cfRule type="cellIs" dxfId="3882" priority="3811" stopIfTrue="1" operator="equal">
      <formula>"Pass"</formula>
    </cfRule>
    <cfRule type="cellIs" dxfId="3881" priority="3812" stopIfTrue="1" operator="equal">
      <formula>"Fail"</formula>
    </cfRule>
  </conditionalFormatting>
  <conditionalFormatting sqref="I770:L770">
    <cfRule type="cellIs" dxfId="3880" priority="3809" stopIfTrue="1" operator="equal">
      <formula>"Pass"</formula>
    </cfRule>
    <cfRule type="cellIs" dxfId="3879" priority="3810" stopIfTrue="1" operator="equal">
      <formula>"Fail"</formula>
    </cfRule>
  </conditionalFormatting>
  <conditionalFormatting sqref="I770:L770">
    <cfRule type="cellIs" dxfId="3878" priority="3807" stopIfTrue="1" operator="equal">
      <formula>"Pass"</formula>
    </cfRule>
    <cfRule type="cellIs" dxfId="3877" priority="3808" stopIfTrue="1" operator="equal">
      <formula>"Fail"</formula>
    </cfRule>
  </conditionalFormatting>
  <conditionalFormatting sqref="G770">
    <cfRule type="cellIs" dxfId="3876" priority="3805" stopIfTrue="1" operator="equal">
      <formula>"Pass"</formula>
    </cfRule>
    <cfRule type="cellIs" dxfId="3875" priority="3806" stopIfTrue="1" operator="equal">
      <formula>"Fail"</formula>
    </cfRule>
  </conditionalFormatting>
  <conditionalFormatting sqref="G770">
    <cfRule type="cellIs" dxfId="3874" priority="3803" stopIfTrue="1" operator="equal">
      <formula>"Pass"</formula>
    </cfRule>
    <cfRule type="cellIs" dxfId="3873" priority="3804" stopIfTrue="1" operator="equal">
      <formula>"Fail"</formula>
    </cfRule>
  </conditionalFormatting>
  <conditionalFormatting sqref="G770">
    <cfRule type="cellIs" dxfId="3872" priority="3801" stopIfTrue="1" operator="equal">
      <formula>"Pass"</formula>
    </cfRule>
    <cfRule type="cellIs" dxfId="3871" priority="3802" stopIfTrue="1" operator="equal">
      <formula>"Fail"</formula>
    </cfRule>
  </conditionalFormatting>
  <conditionalFormatting sqref="G770">
    <cfRule type="cellIs" dxfId="3870" priority="3799" stopIfTrue="1" operator="equal">
      <formula>"Pass"</formula>
    </cfRule>
    <cfRule type="cellIs" dxfId="3869" priority="3800" stopIfTrue="1" operator="equal">
      <formula>"Fail"</formula>
    </cfRule>
  </conditionalFormatting>
  <conditionalFormatting sqref="G770">
    <cfRule type="cellIs" dxfId="3868" priority="3797" stopIfTrue="1" operator="equal">
      <formula>"Pass"</formula>
    </cfRule>
    <cfRule type="cellIs" dxfId="3867" priority="3798" stopIfTrue="1" operator="equal">
      <formula>"Fail"</formula>
    </cfRule>
  </conditionalFormatting>
  <conditionalFormatting sqref="G770">
    <cfRule type="cellIs" dxfId="3866" priority="3795" stopIfTrue="1" operator="equal">
      <formula>"Pass"</formula>
    </cfRule>
    <cfRule type="cellIs" dxfId="3865" priority="3796" stopIfTrue="1" operator="equal">
      <formula>"Fail"</formula>
    </cfRule>
  </conditionalFormatting>
  <conditionalFormatting sqref="H770:L770">
    <cfRule type="cellIs" dxfId="3864" priority="3793" stopIfTrue="1" operator="equal">
      <formula>"Pass"</formula>
    </cfRule>
    <cfRule type="cellIs" dxfId="3863" priority="3794" stopIfTrue="1" operator="equal">
      <formula>"Fail"</formula>
    </cfRule>
  </conditionalFormatting>
  <conditionalFormatting sqref="H770:L770">
    <cfRule type="cellIs" dxfId="3862" priority="3791" stopIfTrue="1" operator="equal">
      <formula>"Pass"</formula>
    </cfRule>
    <cfRule type="cellIs" dxfId="3861" priority="3792" stopIfTrue="1" operator="equal">
      <formula>"Fail"</formula>
    </cfRule>
  </conditionalFormatting>
  <conditionalFormatting sqref="I770:L770">
    <cfRule type="cellIs" dxfId="3860" priority="3789" stopIfTrue="1" operator="equal">
      <formula>"Pass"</formula>
    </cfRule>
    <cfRule type="cellIs" dxfId="3859" priority="3790" stopIfTrue="1" operator="equal">
      <formula>"Fail"</formula>
    </cfRule>
  </conditionalFormatting>
  <conditionalFormatting sqref="I770:L770">
    <cfRule type="cellIs" dxfId="3858" priority="3787" stopIfTrue="1" operator="equal">
      <formula>"Pass"</formula>
    </cfRule>
    <cfRule type="cellIs" dxfId="3857" priority="3788" stopIfTrue="1" operator="equal">
      <formula>"Fail"</formula>
    </cfRule>
  </conditionalFormatting>
  <conditionalFormatting sqref="I770:L770">
    <cfRule type="cellIs" dxfId="3856" priority="3785" stopIfTrue="1" operator="equal">
      <formula>"Pass"</formula>
    </cfRule>
    <cfRule type="cellIs" dxfId="3855" priority="3786" stopIfTrue="1" operator="equal">
      <formula>"Fail"</formula>
    </cfRule>
  </conditionalFormatting>
  <conditionalFormatting sqref="I770:L770">
    <cfRule type="cellIs" dxfId="3854" priority="3783" stopIfTrue="1" operator="equal">
      <formula>"Pass"</formula>
    </cfRule>
    <cfRule type="cellIs" dxfId="3853" priority="3784" stopIfTrue="1" operator="equal">
      <formula>"Fail"</formula>
    </cfRule>
  </conditionalFormatting>
  <conditionalFormatting sqref="G770">
    <cfRule type="cellIs" dxfId="3852" priority="3781" stopIfTrue="1" operator="equal">
      <formula>"Pass"</formula>
    </cfRule>
    <cfRule type="cellIs" dxfId="3851" priority="3782" stopIfTrue="1" operator="equal">
      <formula>"Fail"</formula>
    </cfRule>
  </conditionalFormatting>
  <conditionalFormatting sqref="G770">
    <cfRule type="cellIs" dxfId="3850" priority="3779" stopIfTrue="1" operator="equal">
      <formula>"Pass"</formula>
    </cfRule>
    <cfRule type="cellIs" dxfId="3849" priority="3780" stopIfTrue="1" operator="equal">
      <formula>"Fail"</formula>
    </cfRule>
  </conditionalFormatting>
  <conditionalFormatting sqref="G770">
    <cfRule type="cellIs" dxfId="3848" priority="3777" stopIfTrue="1" operator="equal">
      <formula>"Pass"</formula>
    </cfRule>
    <cfRule type="cellIs" dxfId="3847" priority="3778" stopIfTrue="1" operator="equal">
      <formula>"Fail"</formula>
    </cfRule>
  </conditionalFormatting>
  <conditionalFormatting sqref="G770">
    <cfRule type="cellIs" dxfId="3846" priority="3775" stopIfTrue="1" operator="equal">
      <formula>"Pass"</formula>
    </cfRule>
    <cfRule type="cellIs" dxfId="3845" priority="3776" stopIfTrue="1" operator="equal">
      <formula>"Fail"</formula>
    </cfRule>
  </conditionalFormatting>
  <conditionalFormatting sqref="G770">
    <cfRule type="cellIs" dxfId="3844" priority="3773" stopIfTrue="1" operator="equal">
      <formula>"Pass"</formula>
    </cfRule>
    <cfRule type="cellIs" dxfId="3843" priority="3774" stopIfTrue="1" operator="equal">
      <formula>"Fail"</formula>
    </cfRule>
  </conditionalFormatting>
  <conditionalFormatting sqref="G770">
    <cfRule type="cellIs" dxfId="3842" priority="3771" stopIfTrue="1" operator="equal">
      <formula>"Pass"</formula>
    </cfRule>
    <cfRule type="cellIs" dxfId="3841" priority="3772" stopIfTrue="1" operator="equal">
      <formula>"Fail"</formula>
    </cfRule>
  </conditionalFormatting>
  <conditionalFormatting sqref="H770:L770">
    <cfRule type="cellIs" dxfId="3840" priority="3769" stopIfTrue="1" operator="equal">
      <formula>"Pass"</formula>
    </cfRule>
    <cfRule type="cellIs" dxfId="3839" priority="3770" stopIfTrue="1" operator="equal">
      <formula>"Fail"</formula>
    </cfRule>
  </conditionalFormatting>
  <conditionalFormatting sqref="H770:L770">
    <cfRule type="cellIs" dxfId="3838" priority="3767" stopIfTrue="1" operator="equal">
      <formula>"Pass"</formula>
    </cfRule>
    <cfRule type="cellIs" dxfId="3837" priority="3768" stopIfTrue="1" operator="equal">
      <formula>"Fail"</formula>
    </cfRule>
  </conditionalFormatting>
  <conditionalFormatting sqref="I770:L770">
    <cfRule type="cellIs" dxfId="3836" priority="3765" stopIfTrue="1" operator="equal">
      <formula>"Pass"</formula>
    </cfRule>
    <cfRule type="cellIs" dxfId="3835" priority="3766" stopIfTrue="1" operator="equal">
      <formula>"Fail"</formula>
    </cfRule>
  </conditionalFormatting>
  <conditionalFormatting sqref="I770:L770">
    <cfRule type="cellIs" dxfId="3834" priority="3763" stopIfTrue="1" operator="equal">
      <formula>"Pass"</formula>
    </cfRule>
    <cfRule type="cellIs" dxfId="3833" priority="3764" stopIfTrue="1" operator="equal">
      <formula>"Fail"</formula>
    </cfRule>
  </conditionalFormatting>
  <conditionalFormatting sqref="I770:L770">
    <cfRule type="cellIs" dxfId="3832" priority="3761" stopIfTrue="1" operator="equal">
      <formula>"Pass"</formula>
    </cfRule>
    <cfRule type="cellIs" dxfId="3831" priority="3762" stopIfTrue="1" operator="equal">
      <formula>"Fail"</formula>
    </cfRule>
  </conditionalFormatting>
  <conditionalFormatting sqref="I770:L770">
    <cfRule type="cellIs" dxfId="3830" priority="3759" stopIfTrue="1" operator="equal">
      <formula>"Pass"</formula>
    </cfRule>
    <cfRule type="cellIs" dxfId="3829" priority="3760" stopIfTrue="1" operator="equal">
      <formula>"Fail"</formula>
    </cfRule>
  </conditionalFormatting>
  <conditionalFormatting sqref="G770">
    <cfRule type="cellIs" dxfId="3828" priority="3757" stopIfTrue="1" operator="equal">
      <formula>"Pass"</formula>
    </cfRule>
    <cfRule type="cellIs" dxfId="3827" priority="3758" stopIfTrue="1" operator="equal">
      <formula>"Fail"</formula>
    </cfRule>
  </conditionalFormatting>
  <conditionalFormatting sqref="G770">
    <cfRule type="cellIs" dxfId="3826" priority="3755" stopIfTrue="1" operator="equal">
      <formula>"Pass"</formula>
    </cfRule>
    <cfRule type="cellIs" dxfId="3825" priority="3756" stopIfTrue="1" operator="equal">
      <formula>"Fail"</formula>
    </cfRule>
  </conditionalFormatting>
  <conditionalFormatting sqref="G770">
    <cfRule type="cellIs" dxfId="3824" priority="3753" stopIfTrue="1" operator="equal">
      <formula>"Pass"</formula>
    </cfRule>
    <cfRule type="cellIs" dxfId="3823" priority="3754" stopIfTrue="1" operator="equal">
      <formula>"Fail"</formula>
    </cfRule>
  </conditionalFormatting>
  <conditionalFormatting sqref="G770">
    <cfRule type="cellIs" dxfId="3822" priority="3751" stopIfTrue="1" operator="equal">
      <formula>"Pass"</formula>
    </cfRule>
    <cfRule type="cellIs" dxfId="3821" priority="3752" stopIfTrue="1" operator="equal">
      <formula>"Fail"</formula>
    </cfRule>
  </conditionalFormatting>
  <conditionalFormatting sqref="G770">
    <cfRule type="cellIs" dxfId="3820" priority="3749" stopIfTrue="1" operator="equal">
      <formula>"Pass"</formula>
    </cfRule>
    <cfRule type="cellIs" dxfId="3819" priority="3750" stopIfTrue="1" operator="equal">
      <formula>"Fail"</formula>
    </cfRule>
  </conditionalFormatting>
  <conditionalFormatting sqref="G770">
    <cfRule type="cellIs" dxfId="3818" priority="3747" stopIfTrue="1" operator="equal">
      <formula>"Pass"</formula>
    </cfRule>
    <cfRule type="cellIs" dxfId="3817" priority="3748" stopIfTrue="1" operator="equal">
      <formula>"Fail"</formula>
    </cfRule>
  </conditionalFormatting>
  <conditionalFormatting sqref="G770:L770">
    <cfRule type="cellIs" dxfId="3816" priority="3745" stopIfTrue="1" operator="equal">
      <formula>"Pass"</formula>
    </cfRule>
    <cfRule type="cellIs" dxfId="3815" priority="3746" stopIfTrue="1" operator="equal">
      <formula>"Fail"</formula>
    </cfRule>
  </conditionalFormatting>
  <conditionalFormatting sqref="G770:L770">
    <cfRule type="cellIs" dxfId="3814" priority="3743" stopIfTrue="1" operator="equal">
      <formula>"Pass"</formula>
    </cfRule>
    <cfRule type="cellIs" dxfId="3813" priority="3744" stopIfTrue="1" operator="equal">
      <formula>"Fail"</formula>
    </cfRule>
  </conditionalFormatting>
  <conditionalFormatting sqref="G770:L770">
    <cfRule type="cellIs" dxfId="3812" priority="3741" stopIfTrue="1" operator="equal">
      <formula>"Pass"</formula>
    </cfRule>
    <cfRule type="cellIs" dxfId="3811" priority="3742" stopIfTrue="1" operator="equal">
      <formula>"Fail"</formula>
    </cfRule>
  </conditionalFormatting>
  <conditionalFormatting sqref="G770:L770">
    <cfRule type="cellIs" dxfId="3810" priority="3739" stopIfTrue="1" operator="equal">
      <formula>"Pass"</formula>
    </cfRule>
    <cfRule type="cellIs" dxfId="3809" priority="3740" stopIfTrue="1" operator="equal">
      <formula>"Fail"</formula>
    </cfRule>
  </conditionalFormatting>
  <conditionalFormatting sqref="G770:L770">
    <cfRule type="cellIs" dxfId="3808" priority="3737" stopIfTrue="1" operator="equal">
      <formula>"Pass"</formula>
    </cfRule>
    <cfRule type="cellIs" dxfId="3807" priority="3738" stopIfTrue="1" operator="equal">
      <formula>"Fail"</formula>
    </cfRule>
  </conditionalFormatting>
  <conditionalFormatting sqref="G770:L770">
    <cfRule type="cellIs" dxfId="3806" priority="3735" stopIfTrue="1" operator="equal">
      <formula>"Pass"</formula>
    </cfRule>
    <cfRule type="cellIs" dxfId="3805" priority="3736" stopIfTrue="1" operator="equal">
      <formula>"Fail"</formula>
    </cfRule>
  </conditionalFormatting>
  <conditionalFormatting sqref="G770:L770">
    <cfRule type="cellIs" dxfId="3804" priority="3733" stopIfTrue="1" operator="equal">
      <formula>"Pass"</formula>
    </cfRule>
    <cfRule type="cellIs" dxfId="3803" priority="3734" stopIfTrue="1" operator="equal">
      <formula>"Fail"</formula>
    </cfRule>
  </conditionalFormatting>
  <conditionalFormatting sqref="G770:L770">
    <cfRule type="cellIs" dxfId="3802" priority="3731" stopIfTrue="1" operator="equal">
      <formula>"Pass"</formula>
    </cfRule>
    <cfRule type="cellIs" dxfId="3801" priority="3732" stopIfTrue="1" operator="equal">
      <formula>"Fail"</formula>
    </cfRule>
  </conditionalFormatting>
  <conditionalFormatting sqref="G770:L770">
    <cfRule type="cellIs" dxfId="3800" priority="3729" stopIfTrue="1" operator="equal">
      <formula>"Pass"</formula>
    </cfRule>
    <cfRule type="cellIs" dxfId="3799" priority="3730" stopIfTrue="1" operator="equal">
      <formula>"Fail"</formula>
    </cfRule>
  </conditionalFormatting>
  <conditionalFormatting sqref="G770:L770">
    <cfRule type="cellIs" dxfId="3798" priority="3727" stopIfTrue="1" operator="equal">
      <formula>"Pass"</formula>
    </cfRule>
    <cfRule type="cellIs" dxfId="3797" priority="3728" stopIfTrue="1" operator="equal">
      <formula>"Fail"</formula>
    </cfRule>
  </conditionalFormatting>
  <conditionalFormatting sqref="G770:L770">
    <cfRule type="cellIs" dxfId="3796" priority="3725" stopIfTrue="1" operator="equal">
      <formula>"Pass"</formula>
    </cfRule>
    <cfRule type="cellIs" dxfId="3795" priority="3726" stopIfTrue="1" operator="equal">
      <formula>"Fail"</formula>
    </cfRule>
  </conditionalFormatting>
  <conditionalFormatting sqref="G770:L770">
    <cfRule type="cellIs" dxfId="3794" priority="3723" stopIfTrue="1" operator="equal">
      <formula>"Pass"</formula>
    </cfRule>
    <cfRule type="cellIs" dxfId="3793" priority="3724" stopIfTrue="1" operator="equal">
      <formula>"Fail"</formula>
    </cfRule>
  </conditionalFormatting>
  <conditionalFormatting sqref="G770:L770">
    <cfRule type="cellIs" dxfId="3792" priority="3721" stopIfTrue="1" operator="equal">
      <formula>"Pass"</formula>
    </cfRule>
    <cfRule type="cellIs" dxfId="3791" priority="3722" stopIfTrue="1" operator="equal">
      <formula>"Fail"</formula>
    </cfRule>
  </conditionalFormatting>
  <conditionalFormatting sqref="G770:L770">
    <cfRule type="cellIs" dxfId="3790" priority="3719" stopIfTrue="1" operator="equal">
      <formula>"Pass"</formula>
    </cfRule>
    <cfRule type="cellIs" dxfId="3789" priority="3720" stopIfTrue="1" operator="equal">
      <formula>"Fail"</formula>
    </cfRule>
  </conditionalFormatting>
  <conditionalFormatting sqref="G770:L770">
    <cfRule type="cellIs" dxfId="3788" priority="3717" stopIfTrue="1" operator="equal">
      <formula>"Pass"</formula>
    </cfRule>
    <cfRule type="cellIs" dxfId="3787" priority="3718" stopIfTrue="1" operator="equal">
      <formula>"Fail"</formula>
    </cfRule>
  </conditionalFormatting>
  <conditionalFormatting sqref="G770:L770">
    <cfRule type="cellIs" dxfId="3786" priority="3715" stopIfTrue="1" operator="equal">
      <formula>"Pass"</formula>
    </cfRule>
    <cfRule type="cellIs" dxfId="3785" priority="3716" stopIfTrue="1" operator="equal">
      <formula>"Fail"</formula>
    </cfRule>
  </conditionalFormatting>
  <conditionalFormatting sqref="G770:L770">
    <cfRule type="cellIs" dxfId="3784" priority="3713" stopIfTrue="1" operator="equal">
      <formula>"Pass"</formula>
    </cfRule>
    <cfRule type="cellIs" dxfId="3783" priority="3714" stopIfTrue="1" operator="equal">
      <formula>"Fail"</formula>
    </cfRule>
  </conditionalFormatting>
  <conditionalFormatting sqref="G770:L770">
    <cfRule type="cellIs" dxfId="3782" priority="3711" stopIfTrue="1" operator="equal">
      <formula>"Pass"</formula>
    </cfRule>
    <cfRule type="cellIs" dxfId="3781" priority="3712" stopIfTrue="1" operator="equal">
      <formula>"Fail"</formula>
    </cfRule>
  </conditionalFormatting>
  <conditionalFormatting sqref="G770:L770">
    <cfRule type="cellIs" dxfId="3780" priority="3709" stopIfTrue="1" operator="equal">
      <formula>"Pass"</formula>
    </cfRule>
    <cfRule type="cellIs" dxfId="3779" priority="3710" stopIfTrue="1" operator="equal">
      <formula>"Fail"</formula>
    </cfRule>
  </conditionalFormatting>
  <conditionalFormatting sqref="G770:L770">
    <cfRule type="cellIs" dxfId="3778" priority="3707" stopIfTrue="1" operator="equal">
      <formula>"Pass"</formula>
    </cfRule>
    <cfRule type="cellIs" dxfId="3777" priority="3708" stopIfTrue="1" operator="equal">
      <formula>"Fail"</formula>
    </cfRule>
  </conditionalFormatting>
  <conditionalFormatting sqref="G770:L770">
    <cfRule type="cellIs" dxfId="3776" priority="3705" stopIfTrue="1" operator="equal">
      <formula>"Pass"</formula>
    </cfRule>
    <cfRule type="cellIs" dxfId="3775" priority="3706" stopIfTrue="1" operator="equal">
      <formula>"Fail"</formula>
    </cfRule>
  </conditionalFormatting>
  <conditionalFormatting sqref="G770:L770">
    <cfRule type="cellIs" dxfId="3774" priority="3703" stopIfTrue="1" operator="equal">
      <formula>"Pass"</formula>
    </cfRule>
    <cfRule type="cellIs" dxfId="3773" priority="3704" stopIfTrue="1" operator="equal">
      <formula>"Fail"</formula>
    </cfRule>
  </conditionalFormatting>
  <conditionalFormatting sqref="G770:L770">
    <cfRule type="cellIs" dxfId="3772" priority="3701" stopIfTrue="1" operator="equal">
      <formula>"Pass"</formula>
    </cfRule>
    <cfRule type="cellIs" dxfId="3771" priority="3702" stopIfTrue="1" operator="equal">
      <formula>"Fail"</formula>
    </cfRule>
  </conditionalFormatting>
  <conditionalFormatting sqref="G770:L770">
    <cfRule type="cellIs" dxfId="3770" priority="3699" stopIfTrue="1" operator="equal">
      <formula>"Pass"</formula>
    </cfRule>
    <cfRule type="cellIs" dxfId="3769" priority="3700" stopIfTrue="1" operator="equal">
      <formula>"Fail"</formula>
    </cfRule>
  </conditionalFormatting>
  <conditionalFormatting sqref="G770:L770">
    <cfRule type="cellIs" dxfId="3768" priority="3697" stopIfTrue="1" operator="equal">
      <formula>"Pass"</formula>
    </cfRule>
    <cfRule type="cellIs" dxfId="3767" priority="3698" stopIfTrue="1" operator="equal">
      <formula>"Fail"</formula>
    </cfRule>
  </conditionalFormatting>
  <conditionalFormatting sqref="G770:L770">
    <cfRule type="cellIs" dxfId="3766" priority="3695" stopIfTrue="1" operator="equal">
      <formula>"Pass"</formula>
    </cfRule>
    <cfRule type="cellIs" dxfId="3765" priority="3696" stopIfTrue="1" operator="equal">
      <formula>"Fail"</formula>
    </cfRule>
  </conditionalFormatting>
  <conditionalFormatting sqref="G770:L770">
    <cfRule type="cellIs" dxfId="3764" priority="3693" stopIfTrue="1" operator="equal">
      <formula>"Pass"</formula>
    </cfRule>
    <cfRule type="cellIs" dxfId="3763" priority="3694" stopIfTrue="1" operator="equal">
      <formula>"Fail"</formula>
    </cfRule>
  </conditionalFormatting>
  <conditionalFormatting sqref="G770:L770">
    <cfRule type="cellIs" dxfId="3762" priority="3691" stopIfTrue="1" operator="equal">
      <formula>"Pass"</formula>
    </cfRule>
    <cfRule type="cellIs" dxfId="3761" priority="3692" stopIfTrue="1" operator="equal">
      <formula>"Fail"</formula>
    </cfRule>
  </conditionalFormatting>
  <conditionalFormatting sqref="G770:L770">
    <cfRule type="cellIs" dxfId="3760" priority="3689" stopIfTrue="1" operator="equal">
      <formula>"Pass"</formula>
    </cfRule>
    <cfRule type="cellIs" dxfId="3759" priority="3690" stopIfTrue="1" operator="equal">
      <formula>"Fail"</formula>
    </cfRule>
  </conditionalFormatting>
  <conditionalFormatting sqref="G770:L770">
    <cfRule type="cellIs" dxfId="3758" priority="3687" stopIfTrue="1" operator="equal">
      <formula>"Pass"</formula>
    </cfRule>
    <cfRule type="cellIs" dxfId="3757" priority="3688" stopIfTrue="1" operator="equal">
      <formula>"Fail"</formula>
    </cfRule>
  </conditionalFormatting>
  <conditionalFormatting sqref="D770:E770">
    <cfRule type="cellIs" dxfId="3756" priority="3685" stopIfTrue="1" operator="equal">
      <formula>"Pass"</formula>
    </cfRule>
    <cfRule type="cellIs" dxfId="3755" priority="3686" stopIfTrue="1" operator="equal">
      <formula>"Fail"</formula>
    </cfRule>
  </conditionalFormatting>
  <conditionalFormatting sqref="G770:L770">
    <cfRule type="cellIs" dxfId="3754" priority="3683" stopIfTrue="1" operator="equal">
      <formula>"Pass"</formula>
    </cfRule>
    <cfRule type="cellIs" dxfId="3753" priority="3684" stopIfTrue="1" operator="equal">
      <formula>"Fail"</formula>
    </cfRule>
  </conditionalFormatting>
  <conditionalFormatting sqref="G771:L771">
    <cfRule type="cellIs" dxfId="3752" priority="3681" stopIfTrue="1" operator="equal">
      <formula>"Pass"</formula>
    </cfRule>
    <cfRule type="cellIs" dxfId="3751" priority="3682" stopIfTrue="1" operator="equal">
      <formula>"Fail"</formula>
    </cfRule>
  </conditionalFormatting>
  <conditionalFormatting sqref="H771:L771">
    <cfRule type="cellIs" dxfId="3750" priority="3679" stopIfTrue="1" operator="equal">
      <formula>"Pass"</formula>
    </cfRule>
    <cfRule type="cellIs" dxfId="3749" priority="3680" stopIfTrue="1" operator="equal">
      <formula>"Fail"</formula>
    </cfRule>
  </conditionalFormatting>
  <conditionalFormatting sqref="H771:L771">
    <cfRule type="cellIs" dxfId="3748" priority="3677" stopIfTrue="1" operator="equal">
      <formula>"Pass"</formula>
    </cfRule>
    <cfRule type="cellIs" dxfId="3747" priority="3678" stopIfTrue="1" operator="equal">
      <formula>"Fail"</formula>
    </cfRule>
  </conditionalFormatting>
  <conditionalFormatting sqref="I771:L771">
    <cfRule type="cellIs" dxfId="3746" priority="3675" stopIfTrue="1" operator="equal">
      <formula>"Pass"</formula>
    </cfRule>
    <cfRule type="cellIs" dxfId="3745" priority="3676" stopIfTrue="1" operator="equal">
      <formula>"Fail"</formula>
    </cfRule>
  </conditionalFormatting>
  <conditionalFormatting sqref="I771:L771">
    <cfRule type="cellIs" dxfId="3744" priority="3673" stopIfTrue="1" operator="equal">
      <formula>"Pass"</formula>
    </cfRule>
    <cfRule type="cellIs" dxfId="3743" priority="3674" stopIfTrue="1" operator="equal">
      <formula>"Fail"</formula>
    </cfRule>
  </conditionalFormatting>
  <conditionalFormatting sqref="I771:L771">
    <cfRule type="cellIs" dxfId="3742" priority="3671" stopIfTrue="1" operator="equal">
      <formula>"Pass"</formula>
    </cfRule>
    <cfRule type="cellIs" dxfId="3741" priority="3672" stopIfTrue="1" operator="equal">
      <formula>"Fail"</formula>
    </cfRule>
  </conditionalFormatting>
  <conditionalFormatting sqref="I771:L771">
    <cfRule type="cellIs" dxfId="3740" priority="3669" stopIfTrue="1" operator="equal">
      <formula>"Pass"</formula>
    </cfRule>
    <cfRule type="cellIs" dxfId="3739" priority="3670" stopIfTrue="1" operator="equal">
      <formula>"Fail"</formula>
    </cfRule>
  </conditionalFormatting>
  <conditionalFormatting sqref="G771">
    <cfRule type="cellIs" dxfId="3738" priority="3667" stopIfTrue="1" operator="equal">
      <formula>"Pass"</formula>
    </cfRule>
    <cfRule type="cellIs" dxfId="3737" priority="3668" stopIfTrue="1" operator="equal">
      <formula>"Fail"</formula>
    </cfRule>
  </conditionalFormatting>
  <conditionalFormatting sqref="G771">
    <cfRule type="cellIs" dxfId="3736" priority="3665" stopIfTrue="1" operator="equal">
      <formula>"Pass"</formula>
    </cfRule>
    <cfRule type="cellIs" dxfId="3735" priority="3666" stopIfTrue="1" operator="equal">
      <formula>"Fail"</formula>
    </cfRule>
  </conditionalFormatting>
  <conditionalFormatting sqref="G771">
    <cfRule type="cellIs" dxfId="3734" priority="3663" stopIfTrue="1" operator="equal">
      <formula>"Pass"</formula>
    </cfRule>
    <cfRule type="cellIs" dxfId="3733" priority="3664" stopIfTrue="1" operator="equal">
      <formula>"Fail"</formula>
    </cfRule>
  </conditionalFormatting>
  <conditionalFormatting sqref="G771">
    <cfRule type="cellIs" dxfId="3732" priority="3661" stopIfTrue="1" operator="equal">
      <formula>"Pass"</formula>
    </cfRule>
    <cfRule type="cellIs" dxfId="3731" priority="3662" stopIfTrue="1" operator="equal">
      <formula>"Fail"</formula>
    </cfRule>
  </conditionalFormatting>
  <conditionalFormatting sqref="G771">
    <cfRule type="cellIs" dxfId="3730" priority="3659" stopIfTrue="1" operator="equal">
      <formula>"Pass"</formula>
    </cfRule>
    <cfRule type="cellIs" dxfId="3729" priority="3660" stopIfTrue="1" operator="equal">
      <formula>"Fail"</formula>
    </cfRule>
  </conditionalFormatting>
  <conditionalFormatting sqref="G771">
    <cfRule type="cellIs" dxfId="3728" priority="3657" stopIfTrue="1" operator="equal">
      <formula>"Pass"</formula>
    </cfRule>
    <cfRule type="cellIs" dxfId="3727" priority="3658" stopIfTrue="1" operator="equal">
      <formula>"Fail"</formula>
    </cfRule>
  </conditionalFormatting>
  <conditionalFormatting sqref="H771:L771">
    <cfRule type="cellIs" dxfId="3726" priority="3655" stopIfTrue="1" operator="equal">
      <formula>"Pass"</formula>
    </cfRule>
    <cfRule type="cellIs" dxfId="3725" priority="3656" stopIfTrue="1" operator="equal">
      <formula>"Fail"</formula>
    </cfRule>
  </conditionalFormatting>
  <conditionalFormatting sqref="H771:L771">
    <cfRule type="cellIs" dxfId="3724" priority="3653" stopIfTrue="1" operator="equal">
      <formula>"Pass"</formula>
    </cfRule>
    <cfRule type="cellIs" dxfId="3723" priority="3654" stopIfTrue="1" operator="equal">
      <formula>"Fail"</formula>
    </cfRule>
  </conditionalFormatting>
  <conditionalFormatting sqref="I771:L771">
    <cfRule type="cellIs" dxfId="3722" priority="3651" stopIfTrue="1" operator="equal">
      <formula>"Pass"</formula>
    </cfRule>
    <cfRule type="cellIs" dxfId="3721" priority="3652" stopIfTrue="1" operator="equal">
      <formula>"Fail"</formula>
    </cfRule>
  </conditionalFormatting>
  <conditionalFormatting sqref="I771:L771">
    <cfRule type="cellIs" dxfId="3720" priority="3649" stopIfTrue="1" operator="equal">
      <formula>"Pass"</formula>
    </cfRule>
    <cfRule type="cellIs" dxfId="3719" priority="3650" stopIfTrue="1" operator="equal">
      <formula>"Fail"</formula>
    </cfRule>
  </conditionalFormatting>
  <conditionalFormatting sqref="I771:L771">
    <cfRule type="cellIs" dxfId="3718" priority="3647" stopIfTrue="1" operator="equal">
      <formula>"Pass"</formula>
    </cfRule>
    <cfRule type="cellIs" dxfId="3717" priority="3648" stopIfTrue="1" operator="equal">
      <formula>"Fail"</formula>
    </cfRule>
  </conditionalFormatting>
  <conditionalFormatting sqref="I771:L771">
    <cfRule type="cellIs" dxfId="3716" priority="3645" stopIfTrue="1" operator="equal">
      <formula>"Pass"</formula>
    </cfRule>
    <cfRule type="cellIs" dxfId="3715" priority="3646" stopIfTrue="1" operator="equal">
      <formula>"Fail"</formula>
    </cfRule>
  </conditionalFormatting>
  <conditionalFormatting sqref="G771">
    <cfRule type="cellIs" dxfId="3714" priority="3643" stopIfTrue="1" operator="equal">
      <formula>"Pass"</formula>
    </cfRule>
    <cfRule type="cellIs" dxfId="3713" priority="3644" stopIfTrue="1" operator="equal">
      <formula>"Fail"</formula>
    </cfRule>
  </conditionalFormatting>
  <conditionalFormatting sqref="G771">
    <cfRule type="cellIs" dxfId="3712" priority="3641" stopIfTrue="1" operator="equal">
      <formula>"Pass"</formula>
    </cfRule>
    <cfRule type="cellIs" dxfId="3711" priority="3642" stopIfTrue="1" operator="equal">
      <formula>"Fail"</formula>
    </cfRule>
  </conditionalFormatting>
  <conditionalFormatting sqref="G771">
    <cfRule type="cellIs" dxfId="3710" priority="3639" stopIfTrue="1" operator="equal">
      <formula>"Pass"</formula>
    </cfRule>
    <cfRule type="cellIs" dxfId="3709" priority="3640" stopIfTrue="1" operator="equal">
      <formula>"Fail"</formula>
    </cfRule>
  </conditionalFormatting>
  <conditionalFormatting sqref="G771">
    <cfRule type="cellIs" dxfId="3708" priority="3637" stopIfTrue="1" operator="equal">
      <formula>"Pass"</formula>
    </cfRule>
    <cfRule type="cellIs" dxfId="3707" priority="3638" stopIfTrue="1" operator="equal">
      <formula>"Fail"</formula>
    </cfRule>
  </conditionalFormatting>
  <conditionalFormatting sqref="G771">
    <cfRule type="cellIs" dxfId="3706" priority="3635" stopIfTrue="1" operator="equal">
      <formula>"Pass"</formula>
    </cfRule>
    <cfRule type="cellIs" dxfId="3705" priority="3636" stopIfTrue="1" operator="equal">
      <formula>"Fail"</formula>
    </cfRule>
  </conditionalFormatting>
  <conditionalFormatting sqref="G771">
    <cfRule type="cellIs" dxfId="3704" priority="3633" stopIfTrue="1" operator="equal">
      <formula>"Pass"</formula>
    </cfRule>
    <cfRule type="cellIs" dxfId="3703" priority="3634" stopIfTrue="1" operator="equal">
      <formula>"Fail"</formula>
    </cfRule>
  </conditionalFormatting>
  <conditionalFormatting sqref="H771:L771">
    <cfRule type="cellIs" dxfId="3702" priority="3631" stopIfTrue="1" operator="equal">
      <formula>"Pass"</formula>
    </cfRule>
    <cfRule type="cellIs" dxfId="3701" priority="3632" stopIfTrue="1" operator="equal">
      <formula>"Fail"</formula>
    </cfRule>
  </conditionalFormatting>
  <conditionalFormatting sqref="H771:L771">
    <cfRule type="cellIs" dxfId="3700" priority="3629" stopIfTrue="1" operator="equal">
      <formula>"Pass"</formula>
    </cfRule>
    <cfRule type="cellIs" dxfId="3699" priority="3630" stopIfTrue="1" operator="equal">
      <formula>"Fail"</formula>
    </cfRule>
  </conditionalFormatting>
  <conditionalFormatting sqref="I771:L771">
    <cfRule type="cellIs" dxfId="3698" priority="3627" stopIfTrue="1" operator="equal">
      <formula>"Pass"</formula>
    </cfRule>
    <cfRule type="cellIs" dxfId="3697" priority="3628" stopIfTrue="1" operator="equal">
      <formula>"Fail"</formula>
    </cfRule>
  </conditionalFormatting>
  <conditionalFormatting sqref="I771:L771">
    <cfRule type="cellIs" dxfId="3696" priority="3625" stopIfTrue="1" operator="equal">
      <formula>"Pass"</formula>
    </cfRule>
    <cfRule type="cellIs" dxfId="3695" priority="3626" stopIfTrue="1" operator="equal">
      <formula>"Fail"</formula>
    </cfRule>
  </conditionalFormatting>
  <conditionalFormatting sqref="I771:L771">
    <cfRule type="cellIs" dxfId="3694" priority="3623" stopIfTrue="1" operator="equal">
      <formula>"Pass"</formula>
    </cfRule>
    <cfRule type="cellIs" dxfId="3693" priority="3624" stopIfTrue="1" operator="equal">
      <formula>"Fail"</formula>
    </cfRule>
  </conditionalFormatting>
  <conditionalFormatting sqref="I771:L771">
    <cfRule type="cellIs" dxfId="3692" priority="3621" stopIfTrue="1" operator="equal">
      <formula>"Pass"</formula>
    </cfRule>
    <cfRule type="cellIs" dxfId="3691" priority="3622" stopIfTrue="1" operator="equal">
      <formula>"Fail"</formula>
    </cfRule>
  </conditionalFormatting>
  <conditionalFormatting sqref="G771">
    <cfRule type="cellIs" dxfId="3690" priority="3619" stopIfTrue="1" operator="equal">
      <formula>"Pass"</formula>
    </cfRule>
    <cfRule type="cellIs" dxfId="3689" priority="3620" stopIfTrue="1" operator="equal">
      <formula>"Fail"</formula>
    </cfRule>
  </conditionalFormatting>
  <conditionalFormatting sqref="G771">
    <cfRule type="cellIs" dxfId="3688" priority="3617" stopIfTrue="1" operator="equal">
      <formula>"Pass"</formula>
    </cfRule>
    <cfRule type="cellIs" dxfId="3687" priority="3618" stopIfTrue="1" operator="equal">
      <formula>"Fail"</formula>
    </cfRule>
  </conditionalFormatting>
  <conditionalFormatting sqref="G771">
    <cfRule type="cellIs" dxfId="3686" priority="3615" stopIfTrue="1" operator="equal">
      <formula>"Pass"</formula>
    </cfRule>
    <cfRule type="cellIs" dxfId="3685" priority="3616" stopIfTrue="1" operator="equal">
      <formula>"Fail"</formula>
    </cfRule>
  </conditionalFormatting>
  <conditionalFormatting sqref="G771">
    <cfRule type="cellIs" dxfId="3684" priority="3613" stopIfTrue="1" operator="equal">
      <formula>"Pass"</formula>
    </cfRule>
    <cfRule type="cellIs" dxfId="3683" priority="3614" stopIfTrue="1" operator="equal">
      <formula>"Fail"</formula>
    </cfRule>
  </conditionalFormatting>
  <conditionalFormatting sqref="G771">
    <cfRule type="cellIs" dxfId="3682" priority="3611" stopIfTrue="1" operator="equal">
      <formula>"Pass"</formula>
    </cfRule>
    <cfRule type="cellIs" dxfId="3681" priority="3612" stopIfTrue="1" operator="equal">
      <formula>"Fail"</formula>
    </cfRule>
  </conditionalFormatting>
  <conditionalFormatting sqref="G771">
    <cfRule type="cellIs" dxfId="3680" priority="3609" stopIfTrue="1" operator="equal">
      <formula>"Pass"</formula>
    </cfRule>
    <cfRule type="cellIs" dxfId="3679" priority="3610" stopIfTrue="1" operator="equal">
      <formula>"Fail"</formula>
    </cfRule>
  </conditionalFormatting>
  <conditionalFormatting sqref="H771:L771">
    <cfRule type="cellIs" dxfId="3678" priority="3607" stopIfTrue="1" operator="equal">
      <formula>"Pass"</formula>
    </cfRule>
    <cfRule type="cellIs" dxfId="3677" priority="3608" stopIfTrue="1" operator="equal">
      <formula>"Fail"</formula>
    </cfRule>
  </conditionalFormatting>
  <conditionalFormatting sqref="H771:L771">
    <cfRule type="cellIs" dxfId="3676" priority="3605" stopIfTrue="1" operator="equal">
      <formula>"Pass"</formula>
    </cfRule>
    <cfRule type="cellIs" dxfId="3675" priority="3606" stopIfTrue="1" operator="equal">
      <formula>"Fail"</formula>
    </cfRule>
  </conditionalFormatting>
  <conditionalFormatting sqref="I771:L771">
    <cfRule type="cellIs" dxfId="3674" priority="3603" stopIfTrue="1" operator="equal">
      <formula>"Pass"</formula>
    </cfRule>
    <cfRule type="cellIs" dxfId="3673" priority="3604" stopIfTrue="1" operator="equal">
      <formula>"Fail"</formula>
    </cfRule>
  </conditionalFormatting>
  <conditionalFormatting sqref="I771:L771">
    <cfRule type="cellIs" dxfId="3672" priority="3601" stopIfTrue="1" operator="equal">
      <formula>"Pass"</formula>
    </cfRule>
    <cfRule type="cellIs" dxfId="3671" priority="3602" stopIfTrue="1" operator="equal">
      <formula>"Fail"</formula>
    </cfRule>
  </conditionalFormatting>
  <conditionalFormatting sqref="I771:L771">
    <cfRule type="cellIs" dxfId="3670" priority="3599" stopIfTrue="1" operator="equal">
      <formula>"Pass"</formula>
    </cfRule>
    <cfRule type="cellIs" dxfId="3669" priority="3600" stopIfTrue="1" operator="equal">
      <formula>"Fail"</formula>
    </cfRule>
  </conditionalFormatting>
  <conditionalFormatting sqref="I771:L771">
    <cfRule type="cellIs" dxfId="3668" priority="3597" stopIfTrue="1" operator="equal">
      <formula>"Pass"</formula>
    </cfRule>
    <cfRule type="cellIs" dxfId="3667" priority="3598" stopIfTrue="1" operator="equal">
      <formula>"Fail"</formula>
    </cfRule>
  </conditionalFormatting>
  <conditionalFormatting sqref="G771">
    <cfRule type="cellIs" dxfId="3666" priority="3595" stopIfTrue="1" operator="equal">
      <formula>"Pass"</formula>
    </cfRule>
    <cfRule type="cellIs" dxfId="3665" priority="3596" stopIfTrue="1" operator="equal">
      <formula>"Fail"</formula>
    </cfRule>
  </conditionalFormatting>
  <conditionalFormatting sqref="G771">
    <cfRule type="cellIs" dxfId="3664" priority="3593" stopIfTrue="1" operator="equal">
      <formula>"Pass"</formula>
    </cfRule>
    <cfRule type="cellIs" dxfId="3663" priority="3594" stopIfTrue="1" operator="equal">
      <formula>"Fail"</formula>
    </cfRule>
  </conditionalFormatting>
  <conditionalFormatting sqref="G771">
    <cfRule type="cellIs" dxfId="3662" priority="3591" stopIfTrue="1" operator="equal">
      <formula>"Pass"</formula>
    </cfRule>
    <cfRule type="cellIs" dxfId="3661" priority="3592" stopIfTrue="1" operator="equal">
      <formula>"Fail"</formula>
    </cfRule>
  </conditionalFormatting>
  <conditionalFormatting sqref="G771">
    <cfRule type="cellIs" dxfId="3660" priority="3589" stopIfTrue="1" operator="equal">
      <formula>"Pass"</formula>
    </cfRule>
    <cfRule type="cellIs" dxfId="3659" priority="3590" stopIfTrue="1" operator="equal">
      <formula>"Fail"</formula>
    </cfRule>
  </conditionalFormatting>
  <conditionalFormatting sqref="G771">
    <cfRule type="cellIs" dxfId="3658" priority="3587" stopIfTrue="1" operator="equal">
      <formula>"Pass"</formula>
    </cfRule>
    <cfRule type="cellIs" dxfId="3657" priority="3588" stopIfTrue="1" operator="equal">
      <formula>"Fail"</formula>
    </cfRule>
  </conditionalFormatting>
  <conditionalFormatting sqref="G771">
    <cfRule type="cellIs" dxfId="3656" priority="3585" stopIfTrue="1" operator="equal">
      <formula>"Pass"</formula>
    </cfRule>
    <cfRule type="cellIs" dxfId="3655" priority="3586" stopIfTrue="1" operator="equal">
      <formula>"Fail"</formula>
    </cfRule>
  </conditionalFormatting>
  <conditionalFormatting sqref="H771:L771">
    <cfRule type="cellIs" dxfId="3654" priority="3583" stopIfTrue="1" operator="equal">
      <formula>"Pass"</formula>
    </cfRule>
    <cfRule type="cellIs" dxfId="3653" priority="3584" stopIfTrue="1" operator="equal">
      <formula>"Fail"</formula>
    </cfRule>
  </conditionalFormatting>
  <conditionalFormatting sqref="H771:L771">
    <cfRule type="cellIs" dxfId="3652" priority="3581" stopIfTrue="1" operator="equal">
      <formula>"Pass"</formula>
    </cfRule>
    <cfRule type="cellIs" dxfId="3651" priority="3582" stopIfTrue="1" operator="equal">
      <formula>"Fail"</formula>
    </cfRule>
  </conditionalFormatting>
  <conditionalFormatting sqref="I771:L771">
    <cfRule type="cellIs" dxfId="3650" priority="3579" stopIfTrue="1" operator="equal">
      <formula>"Pass"</formula>
    </cfRule>
    <cfRule type="cellIs" dxfId="3649" priority="3580" stopIfTrue="1" operator="equal">
      <formula>"Fail"</formula>
    </cfRule>
  </conditionalFormatting>
  <conditionalFormatting sqref="I771:L771">
    <cfRule type="cellIs" dxfId="3648" priority="3577" stopIfTrue="1" operator="equal">
      <formula>"Pass"</formula>
    </cfRule>
    <cfRule type="cellIs" dxfId="3647" priority="3578" stopIfTrue="1" operator="equal">
      <formula>"Fail"</formula>
    </cfRule>
  </conditionalFormatting>
  <conditionalFormatting sqref="I771:L771">
    <cfRule type="cellIs" dxfId="3646" priority="3575" stopIfTrue="1" operator="equal">
      <formula>"Pass"</formula>
    </cfRule>
    <cfRule type="cellIs" dxfId="3645" priority="3576" stopIfTrue="1" operator="equal">
      <formula>"Fail"</formula>
    </cfRule>
  </conditionalFormatting>
  <conditionalFormatting sqref="I771:L771">
    <cfRule type="cellIs" dxfId="3644" priority="3573" stopIfTrue="1" operator="equal">
      <formula>"Pass"</formula>
    </cfRule>
    <cfRule type="cellIs" dxfId="3643" priority="3574" stopIfTrue="1" operator="equal">
      <formula>"Fail"</formula>
    </cfRule>
  </conditionalFormatting>
  <conditionalFormatting sqref="G771">
    <cfRule type="cellIs" dxfId="3642" priority="3571" stopIfTrue="1" operator="equal">
      <formula>"Pass"</formula>
    </cfRule>
    <cfRule type="cellIs" dxfId="3641" priority="3572" stopIfTrue="1" operator="equal">
      <formula>"Fail"</formula>
    </cfRule>
  </conditionalFormatting>
  <conditionalFormatting sqref="G771">
    <cfRule type="cellIs" dxfId="3640" priority="3569" stopIfTrue="1" operator="equal">
      <formula>"Pass"</formula>
    </cfRule>
    <cfRule type="cellIs" dxfId="3639" priority="3570" stopIfTrue="1" operator="equal">
      <formula>"Fail"</formula>
    </cfRule>
  </conditionalFormatting>
  <conditionalFormatting sqref="G771">
    <cfRule type="cellIs" dxfId="3638" priority="3567" stopIfTrue="1" operator="equal">
      <formula>"Pass"</formula>
    </cfRule>
    <cfRule type="cellIs" dxfId="3637" priority="3568" stopIfTrue="1" operator="equal">
      <formula>"Fail"</formula>
    </cfRule>
  </conditionalFormatting>
  <conditionalFormatting sqref="G771">
    <cfRule type="cellIs" dxfId="3636" priority="3565" stopIfTrue="1" operator="equal">
      <formula>"Pass"</formula>
    </cfRule>
    <cfRule type="cellIs" dxfId="3635" priority="3566" stopIfTrue="1" operator="equal">
      <formula>"Fail"</formula>
    </cfRule>
  </conditionalFormatting>
  <conditionalFormatting sqref="G771">
    <cfRule type="cellIs" dxfId="3634" priority="3563" stopIfTrue="1" operator="equal">
      <formula>"Pass"</formula>
    </cfRule>
    <cfRule type="cellIs" dxfId="3633" priority="3564" stopIfTrue="1" operator="equal">
      <formula>"Fail"</formula>
    </cfRule>
  </conditionalFormatting>
  <conditionalFormatting sqref="G771">
    <cfRule type="cellIs" dxfId="3632" priority="3561" stopIfTrue="1" operator="equal">
      <formula>"Pass"</formula>
    </cfRule>
    <cfRule type="cellIs" dxfId="3631" priority="3562" stopIfTrue="1" operator="equal">
      <formula>"Fail"</formula>
    </cfRule>
  </conditionalFormatting>
  <conditionalFormatting sqref="H771:L771">
    <cfRule type="cellIs" dxfId="3630" priority="3559" stopIfTrue="1" operator="equal">
      <formula>"Pass"</formula>
    </cfRule>
    <cfRule type="cellIs" dxfId="3629" priority="3560" stopIfTrue="1" operator="equal">
      <formula>"Fail"</formula>
    </cfRule>
  </conditionalFormatting>
  <conditionalFormatting sqref="H771:L771">
    <cfRule type="cellIs" dxfId="3628" priority="3557" stopIfTrue="1" operator="equal">
      <formula>"Pass"</formula>
    </cfRule>
    <cfRule type="cellIs" dxfId="3627" priority="3558" stopIfTrue="1" operator="equal">
      <formula>"Fail"</formula>
    </cfRule>
  </conditionalFormatting>
  <conditionalFormatting sqref="I771:L771">
    <cfRule type="cellIs" dxfId="3626" priority="3555" stopIfTrue="1" operator="equal">
      <formula>"Pass"</formula>
    </cfRule>
    <cfRule type="cellIs" dxfId="3625" priority="3556" stopIfTrue="1" operator="equal">
      <formula>"Fail"</formula>
    </cfRule>
  </conditionalFormatting>
  <conditionalFormatting sqref="I771:L771">
    <cfRule type="cellIs" dxfId="3624" priority="3553" stopIfTrue="1" operator="equal">
      <formula>"Pass"</formula>
    </cfRule>
    <cfRule type="cellIs" dxfId="3623" priority="3554" stopIfTrue="1" operator="equal">
      <formula>"Fail"</formula>
    </cfRule>
  </conditionalFormatting>
  <conditionalFormatting sqref="I771:L771">
    <cfRule type="cellIs" dxfId="3622" priority="3551" stopIfTrue="1" operator="equal">
      <formula>"Pass"</formula>
    </cfRule>
    <cfRule type="cellIs" dxfId="3621" priority="3552" stopIfTrue="1" operator="equal">
      <formula>"Fail"</formula>
    </cfRule>
  </conditionalFormatting>
  <conditionalFormatting sqref="I771:L771">
    <cfRule type="cellIs" dxfId="3620" priority="3549" stopIfTrue="1" operator="equal">
      <formula>"Pass"</formula>
    </cfRule>
    <cfRule type="cellIs" dxfId="3619" priority="3550" stopIfTrue="1" operator="equal">
      <formula>"Fail"</formula>
    </cfRule>
  </conditionalFormatting>
  <conditionalFormatting sqref="G771">
    <cfRule type="cellIs" dxfId="3618" priority="3547" stopIfTrue="1" operator="equal">
      <formula>"Pass"</formula>
    </cfRule>
    <cfRule type="cellIs" dxfId="3617" priority="3548" stopIfTrue="1" operator="equal">
      <formula>"Fail"</formula>
    </cfRule>
  </conditionalFormatting>
  <conditionalFormatting sqref="G771">
    <cfRule type="cellIs" dxfId="3616" priority="3545" stopIfTrue="1" operator="equal">
      <formula>"Pass"</formula>
    </cfRule>
    <cfRule type="cellIs" dxfId="3615" priority="3546" stopIfTrue="1" operator="equal">
      <formula>"Fail"</formula>
    </cfRule>
  </conditionalFormatting>
  <conditionalFormatting sqref="G771">
    <cfRule type="cellIs" dxfId="3614" priority="3543" stopIfTrue="1" operator="equal">
      <formula>"Pass"</formula>
    </cfRule>
    <cfRule type="cellIs" dxfId="3613" priority="3544" stopIfTrue="1" operator="equal">
      <formula>"Fail"</formula>
    </cfRule>
  </conditionalFormatting>
  <conditionalFormatting sqref="G771">
    <cfRule type="cellIs" dxfId="3612" priority="3541" stopIfTrue="1" operator="equal">
      <formula>"Pass"</formula>
    </cfRule>
    <cfRule type="cellIs" dxfId="3611" priority="3542" stopIfTrue="1" operator="equal">
      <formula>"Fail"</formula>
    </cfRule>
  </conditionalFormatting>
  <conditionalFormatting sqref="G771">
    <cfRule type="cellIs" dxfId="3610" priority="3539" stopIfTrue="1" operator="equal">
      <formula>"Pass"</formula>
    </cfRule>
    <cfRule type="cellIs" dxfId="3609" priority="3540" stopIfTrue="1" operator="equal">
      <formula>"Fail"</formula>
    </cfRule>
  </conditionalFormatting>
  <conditionalFormatting sqref="G771">
    <cfRule type="cellIs" dxfId="3608" priority="3537" stopIfTrue="1" operator="equal">
      <formula>"Pass"</formula>
    </cfRule>
    <cfRule type="cellIs" dxfId="3607" priority="3538" stopIfTrue="1" operator="equal">
      <formula>"Fail"</formula>
    </cfRule>
  </conditionalFormatting>
  <conditionalFormatting sqref="H771:L771">
    <cfRule type="cellIs" dxfId="3606" priority="3535" stopIfTrue="1" operator="equal">
      <formula>"Pass"</formula>
    </cfRule>
    <cfRule type="cellIs" dxfId="3605" priority="3536" stopIfTrue="1" operator="equal">
      <formula>"Fail"</formula>
    </cfRule>
  </conditionalFormatting>
  <conditionalFormatting sqref="H771:L771">
    <cfRule type="cellIs" dxfId="3604" priority="3533" stopIfTrue="1" operator="equal">
      <formula>"Pass"</formula>
    </cfRule>
    <cfRule type="cellIs" dxfId="3603" priority="3534" stopIfTrue="1" operator="equal">
      <formula>"Fail"</formula>
    </cfRule>
  </conditionalFormatting>
  <conditionalFormatting sqref="I771:L771">
    <cfRule type="cellIs" dxfId="3602" priority="3531" stopIfTrue="1" operator="equal">
      <formula>"Pass"</formula>
    </cfRule>
    <cfRule type="cellIs" dxfId="3601" priority="3532" stopIfTrue="1" operator="equal">
      <formula>"Fail"</formula>
    </cfRule>
  </conditionalFormatting>
  <conditionalFormatting sqref="I771:L771">
    <cfRule type="cellIs" dxfId="3600" priority="3529" stopIfTrue="1" operator="equal">
      <formula>"Pass"</formula>
    </cfRule>
    <cfRule type="cellIs" dxfId="3599" priority="3530" stopIfTrue="1" operator="equal">
      <formula>"Fail"</formula>
    </cfRule>
  </conditionalFormatting>
  <conditionalFormatting sqref="I771:L771">
    <cfRule type="cellIs" dxfId="3598" priority="3527" stopIfTrue="1" operator="equal">
      <formula>"Pass"</formula>
    </cfRule>
    <cfRule type="cellIs" dxfId="3597" priority="3528" stopIfTrue="1" operator="equal">
      <formula>"Fail"</formula>
    </cfRule>
  </conditionalFormatting>
  <conditionalFormatting sqref="I771:L771">
    <cfRule type="cellIs" dxfId="3596" priority="3525" stopIfTrue="1" operator="equal">
      <formula>"Pass"</formula>
    </cfRule>
    <cfRule type="cellIs" dxfId="3595" priority="3526" stopIfTrue="1" operator="equal">
      <formula>"Fail"</formula>
    </cfRule>
  </conditionalFormatting>
  <conditionalFormatting sqref="G771">
    <cfRule type="cellIs" dxfId="3594" priority="3523" stopIfTrue="1" operator="equal">
      <formula>"Pass"</formula>
    </cfRule>
    <cfRule type="cellIs" dxfId="3593" priority="3524" stopIfTrue="1" operator="equal">
      <formula>"Fail"</formula>
    </cfRule>
  </conditionalFormatting>
  <conditionalFormatting sqref="G771">
    <cfRule type="cellIs" dxfId="3592" priority="3521" stopIfTrue="1" operator="equal">
      <formula>"Pass"</formula>
    </cfRule>
    <cfRule type="cellIs" dxfId="3591" priority="3522" stopIfTrue="1" operator="equal">
      <formula>"Fail"</formula>
    </cfRule>
  </conditionalFormatting>
  <conditionalFormatting sqref="G771">
    <cfRule type="cellIs" dxfId="3590" priority="3519" stopIfTrue="1" operator="equal">
      <formula>"Pass"</formula>
    </cfRule>
    <cfRule type="cellIs" dxfId="3589" priority="3520" stopIfTrue="1" operator="equal">
      <formula>"Fail"</formula>
    </cfRule>
  </conditionalFormatting>
  <conditionalFormatting sqref="G771">
    <cfRule type="cellIs" dxfId="3588" priority="3517" stopIfTrue="1" operator="equal">
      <formula>"Pass"</formula>
    </cfRule>
    <cfRule type="cellIs" dxfId="3587" priority="3518" stopIfTrue="1" operator="equal">
      <formula>"Fail"</formula>
    </cfRule>
  </conditionalFormatting>
  <conditionalFormatting sqref="G771">
    <cfRule type="cellIs" dxfId="3586" priority="3515" stopIfTrue="1" operator="equal">
      <formula>"Pass"</formula>
    </cfRule>
    <cfRule type="cellIs" dxfId="3585" priority="3516" stopIfTrue="1" operator="equal">
      <formula>"Fail"</formula>
    </cfRule>
  </conditionalFormatting>
  <conditionalFormatting sqref="G771">
    <cfRule type="cellIs" dxfId="3584" priority="3513" stopIfTrue="1" operator="equal">
      <formula>"Pass"</formula>
    </cfRule>
    <cfRule type="cellIs" dxfId="3583" priority="3514" stopIfTrue="1" operator="equal">
      <formula>"Fail"</formula>
    </cfRule>
  </conditionalFormatting>
  <conditionalFormatting sqref="H771:L771">
    <cfRule type="cellIs" dxfId="3582" priority="3511" stopIfTrue="1" operator="equal">
      <formula>"Pass"</formula>
    </cfRule>
    <cfRule type="cellIs" dxfId="3581" priority="3512" stopIfTrue="1" operator="equal">
      <formula>"Fail"</formula>
    </cfRule>
  </conditionalFormatting>
  <conditionalFormatting sqref="H771:L771">
    <cfRule type="cellIs" dxfId="3580" priority="3509" stopIfTrue="1" operator="equal">
      <formula>"Pass"</formula>
    </cfRule>
    <cfRule type="cellIs" dxfId="3579" priority="3510" stopIfTrue="1" operator="equal">
      <formula>"Fail"</formula>
    </cfRule>
  </conditionalFormatting>
  <conditionalFormatting sqref="I771:L771">
    <cfRule type="cellIs" dxfId="3578" priority="3507" stopIfTrue="1" operator="equal">
      <formula>"Pass"</formula>
    </cfRule>
    <cfRule type="cellIs" dxfId="3577" priority="3508" stopIfTrue="1" operator="equal">
      <formula>"Fail"</formula>
    </cfRule>
  </conditionalFormatting>
  <conditionalFormatting sqref="I771:L771">
    <cfRule type="cellIs" dxfId="3576" priority="3505" stopIfTrue="1" operator="equal">
      <formula>"Pass"</formula>
    </cfRule>
    <cfRule type="cellIs" dxfId="3575" priority="3506" stopIfTrue="1" operator="equal">
      <formula>"Fail"</formula>
    </cfRule>
  </conditionalFormatting>
  <conditionalFormatting sqref="I771:L771">
    <cfRule type="cellIs" dxfId="3574" priority="3503" stopIfTrue="1" operator="equal">
      <formula>"Pass"</formula>
    </cfRule>
    <cfRule type="cellIs" dxfId="3573" priority="3504" stopIfTrue="1" operator="equal">
      <formula>"Fail"</formula>
    </cfRule>
  </conditionalFormatting>
  <conditionalFormatting sqref="I771:L771">
    <cfRule type="cellIs" dxfId="3572" priority="3501" stopIfTrue="1" operator="equal">
      <formula>"Pass"</formula>
    </cfRule>
    <cfRule type="cellIs" dxfId="3571" priority="3502" stopIfTrue="1" operator="equal">
      <formula>"Fail"</formula>
    </cfRule>
  </conditionalFormatting>
  <conditionalFormatting sqref="G771">
    <cfRule type="cellIs" dxfId="3570" priority="3499" stopIfTrue="1" operator="equal">
      <formula>"Pass"</formula>
    </cfRule>
    <cfRule type="cellIs" dxfId="3569" priority="3500" stopIfTrue="1" operator="equal">
      <formula>"Fail"</formula>
    </cfRule>
  </conditionalFormatting>
  <conditionalFormatting sqref="G771">
    <cfRule type="cellIs" dxfId="3568" priority="3497" stopIfTrue="1" operator="equal">
      <formula>"Pass"</formula>
    </cfRule>
    <cfRule type="cellIs" dxfId="3567" priority="3498" stopIfTrue="1" operator="equal">
      <formula>"Fail"</formula>
    </cfRule>
  </conditionalFormatting>
  <conditionalFormatting sqref="G771">
    <cfRule type="cellIs" dxfId="3566" priority="3495" stopIfTrue="1" operator="equal">
      <formula>"Pass"</formula>
    </cfRule>
    <cfRule type="cellIs" dxfId="3565" priority="3496" stopIfTrue="1" operator="equal">
      <formula>"Fail"</formula>
    </cfRule>
  </conditionalFormatting>
  <conditionalFormatting sqref="G771">
    <cfRule type="cellIs" dxfId="3564" priority="3493" stopIfTrue="1" operator="equal">
      <formula>"Pass"</formula>
    </cfRule>
    <cfRule type="cellIs" dxfId="3563" priority="3494" stopIfTrue="1" operator="equal">
      <formula>"Fail"</formula>
    </cfRule>
  </conditionalFormatting>
  <conditionalFormatting sqref="G771">
    <cfRule type="cellIs" dxfId="3562" priority="3491" stopIfTrue="1" operator="equal">
      <formula>"Pass"</formula>
    </cfRule>
    <cfRule type="cellIs" dxfId="3561" priority="3492" stopIfTrue="1" operator="equal">
      <formula>"Fail"</formula>
    </cfRule>
  </conditionalFormatting>
  <conditionalFormatting sqref="G771">
    <cfRule type="cellIs" dxfId="3560" priority="3489" stopIfTrue="1" operator="equal">
      <formula>"Pass"</formula>
    </cfRule>
    <cfRule type="cellIs" dxfId="3559" priority="3490" stopIfTrue="1" operator="equal">
      <formula>"Fail"</formula>
    </cfRule>
  </conditionalFormatting>
  <conditionalFormatting sqref="H771:L771">
    <cfRule type="cellIs" dxfId="3558" priority="3487" stopIfTrue="1" operator="equal">
      <formula>"Pass"</formula>
    </cfRule>
    <cfRule type="cellIs" dxfId="3557" priority="3488" stopIfTrue="1" operator="equal">
      <formula>"Fail"</formula>
    </cfRule>
  </conditionalFormatting>
  <conditionalFormatting sqref="H771:L771">
    <cfRule type="cellIs" dxfId="3556" priority="3485" stopIfTrue="1" operator="equal">
      <formula>"Pass"</formula>
    </cfRule>
    <cfRule type="cellIs" dxfId="3555" priority="3486" stopIfTrue="1" operator="equal">
      <formula>"Fail"</formula>
    </cfRule>
  </conditionalFormatting>
  <conditionalFormatting sqref="I771:L771">
    <cfRule type="cellIs" dxfId="3554" priority="3483" stopIfTrue="1" operator="equal">
      <formula>"Pass"</formula>
    </cfRule>
    <cfRule type="cellIs" dxfId="3553" priority="3484" stopIfTrue="1" operator="equal">
      <formula>"Fail"</formula>
    </cfRule>
  </conditionalFormatting>
  <conditionalFormatting sqref="I771:L771">
    <cfRule type="cellIs" dxfId="3552" priority="3481" stopIfTrue="1" operator="equal">
      <formula>"Pass"</formula>
    </cfRule>
    <cfRule type="cellIs" dxfId="3551" priority="3482" stopIfTrue="1" operator="equal">
      <formula>"Fail"</formula>
    </cfRule>
  </conditionalFormatting>
  <conditionalFormatting sqref="I771:L771">
    <cfRule type="cellIs" dxfId="3550" priority="3479" stopIfTrue="1" operator="equal">
      <formula>"Pass"</formula>
    </cfRule>
    <cfRule type="cellIs" dxfId="3549" priority="3480" stopIfTrue="1" operator="equal">
      <formula>"Fail"</formula>
    </cfRule>
  </conditionalFormatting>
  <conditionalFormatting sqref="I771:L771">
    <cfRule type="cellIs" dxfId="3548" priority="3477" stopIfTrue="1" operator="equal">
      <formula>"Pass"</formula>
    </cfRule>
    <cfRule type="cellIs" dxfId="3547" priority="3478" stopIfTrue="1" operator="equal">
      <formula>"Fail"</formula>
    </cfRule>
  </conditionalFormatting>
  <conditionalFormatting sqref="G771">
    <cfRule type="cellIs" dxfId="3546" priority="3475" stopIfTrue="1" operator="equal">
      <formula>"Pass"</formula>
    </cfRule>
    <cfRule type="cellIs" dxfId="3545" priority="3476" stopIfTrue="1" operator="equal">
      <formula>"Fail"</formula>
    </cfRule>
  </conditionalFormatting>
  <conditionalFormatting sqref="G771">
    <cfRule type="cellIs" dxfId="3544" priority="3473" stopIfTrue="1" operator="equal">
      <formula>"Pass"</formula>
    </cfRule>
    <cfRule type="cellIs" dxfId="3543" priority="3474" stopIfTrue="1" operator="equal">
      <formula>"Fail"</formula>
    </cfRule>
  </conditionalFormatting>
  <conditionalFormatting sqref="G771">
    <cfRule type="cellIs" dxfId="3542" priority="3471" stopIfTrue="1" operator="equal">
      <formula>"Pass"</formula>
    </cfRule>
    <cfRule type="cellIs" dxfId="3541" priority="3472" stopIfTrue="1" operator="equal">
      <formula>"Fail"</formula>
    </cfRule>
  </conditionalFormatting>
  <conditionalFormatting sqref="G771">
    <cfRule type="cellIs" dxfId="3540" priority="3469" stopIfTrue="1" operator="equal">
      <formula>"Pass"</formula>
    </cfRule>
    <cfRule type="cellIs" dxfId="3539" priority="3470" stopIfTrue="1" operator="equal">
      <formula>"Fail"</formula>
    </cfRule>
  </conditionalFormatting>
  <conditionalFormatting sqref="G771">
    <cfRule type="cellIs" dxfId="3538" priority="3467" stopIfTrue="1" operator="equal">
      <formula>"Pass"</formula>
    </cfRule>
    <cfRule type="cellIs" dxfId="3537" priority="3468" stopIfTrue="1" operator="equal">
      <formula>"Fail"</formula>
    </cfRule>
  </conditionalFormatting>
  <conditionalFormatting sqref="G771">
    <cfRule type="cellIs" dxfId="3536" priority="3465" stopIfTrue="1" operator="equal">
      <formula>"Pass"</formula>
    </cfRule>
    <cfRule type="cellIs" dxfId="3535" priority="3466" stopIfTrue="1" operator="equal">
      <formula>"Fail"</formula>
    </cfRule>
  </conditionalFormatting>
  <conditionalFormatting sqref="H771:L771">
    <cfRule type="cellIs" dxfId="3534" priority="3463" stopIfTrue="1" operator="equal">
      <formula>"Pass"</formula>
    </cfRule>
    <cfRule type="cellIs" dxfId="3533" priority="3464" stopIfTrue="1" operator="equal">
      <formula>"Fail"</formula>
    </cfRule>
  </conditionalFormatting>
  <conditionalFormatting sqref="H771:L771">
    <cfRule type="cellIs" dxfId="3532" priority="3461" stopIfTrue="1" operator="equal">
      <formula>"Pass"</formula>
    </cfRule>
    <cfRule type="cellIs" dxfId="3531" priority="3462" stopIfTrue="1" operator="equal">
      <formula>"Fail"</formula>
    </cfRule>
  </conditionalFormatting>
  <conditionalFormatting sqref="I771:L771">
    <cfRule type="cellIs" dxfId="3530" priority="3459" stopIfTrue="1" operator="equal">
      <formula>"Pass"</formula>
    </cfRule>
    <cfRule type="cellIs" dxfId="3529" priority="3460" stopIfTrue="1" operator="equal">
      <formula>"Fail"</formula>
    </cfRule>
  </conditionalFormatting>
  <conditionalFormatting sqref="I771:L771">
    <cfRule type="cellIs" dxfId="3528" priority="3457" stopIfTrue="1" operator="equal">
      <formula>"Pass"</formula>
    </cfRule>
    <cfRule type="cellIs" dxfId="3527" priority="3458" stopIfTrue="1" operator="equal">
      <formula>"Fail"</formula>
    </cfRule>
  </conditionalFormatting>
  <conditionalFormatting sqref="I771:L771">
    <cfRule type="cellIs" dxfId="3526" priority="3455" stopIfTrue="1" operator="equal">
      <formula>"Pass"</formula>
    </cfRule>
    <cfRule type="cellIs" dxfId="3525" priority="3456" stopIfTrue="1" operator="equal">
      <formula>"Fail"</formula>
    </cfRule>
  </conditionalFormatting>
  <conditionalFormatting sqref="I771:L771">
    <cfRule type="cellIs" dxfId="3524" priority="3453" stopIfTrue="1" operator="equal">
      <formula>"Pass"</formula>
    </cfRule>
    <cfRule type="cellIs" dxfId="3523" priority="3454" stopIfTrue="1" operator="equal">
      <formula>"Fail"</formula>
    </cfRule>
  </conditionalFormatting>
  <conditionalFormatting sqref="G771">
    <cfRule type="cellIs" dxfId="3522" priority="3451" stopIfTrue="1" operator="equal">
      <formula>"Pass"</formula>
    </cfRule>
    <cfRule type="cellIs" dxfId="3521" priority="3452" stopIfTrue="1" operator="equal">
      <formula>"Fail"</formula>
    </cfRule>
  </conditionalFormatting>
  <conditionalFormatting sqref="G771">
    <cfRule type="cellIs" dxfId="3520" priority="3449" stopIfTrue="1" operator="equal">
      <formula>"Pass"</formula>
    </cfRule>
    <cfRule type="cellIs" dxfId="3519" priority="3450" stopIfTrue="1" operator="equal">
      <formula>"Fail"</formula>
    </cfRule>
  </conditionalFormatting>
  <conditionalFormatting sqref="G771">
    <cfRule type="cellIs" dxfId="3518" priority="3447" stopIfTrue="1" operator="equal">
      <formula>"Pass"</formula>
    </cfRule>
    <cfRule type="cellIs" dxfId="3517" priority="3448" stopIfTrue="1" operator="equal">
      <formula>"Fail"</formula>
    </cfRule>
  </conditionalFormatting>
  <conditionalFormatting sqref="G771">
    <cfRule type="cellIs" dxfId="3516" priority="3445" stopIfTrue="1" operator="equal">
      <formula>"Pass"</formula>
    </cfRule>
    <cfRule type="cellIs" dxfId="3515" priority="3446" stopIfTrue="1" operator="equal">
      <formula>"Fail"</formula>
    </cfRule>
  </conditionalFormatting>
  <conditionalFormatting sqref="G771">
    <cfRule type="cellIs" dxfId="3514" priority="3443" stopIfTrue="1" operator="equal">
      <formula>"Pass"</formula>
    </cfRule>
    <cfRule type="cellIs" dxfId="3513" priority="3444" stopIfTrue="1" operator="equal">
      <formula>"Fail"</formula>
    </cfRule>
  </conditionalFormatting>
  <conditionalFormatting sqref="G771">
    <cfRule type="cellIs" dxfId="3512" priority="3441" stopIfTrue="1" operator="equal">
      <formula>"Pass"</formula>
    </cfRule>
    <cfRule type="cellIs" dxfId="3511" priority="3442" stopIfTrue="1" operator="equal">
      <formula>"Fail"</formula>
    </cfRule>
  </conditionalFormatting>
  <conditionalFormatting sqref="H771:L771">
    <cfRule type="cellIs" dxfId="3510" priority="3439" stopIfTrue="1" operator="equal">
      <formula>"Pass"</formula>
    </cfRule>
    <cfRule type="cellIs" dxfId="3509" priority="3440" stopIfTrue="1" operator="equal">
      <formula>"Fail"</formula>
    </cfRule>
  </conditionalFormatting>
  <conditionalFormatting sqref="H771:L771">
    <cfRule type="cellIs" dxfId="3508" priority="3437" stopIfTrue="1" operator="equal">
      <formula>"Pass"</formula>
    </cfRule>
    <cfRule type="cellIs" dxfId="3507" priority="3438" stopIfTrue="1" operator="equal">
      <formula>"Fail"</formula>
    </cfRule>
  </conditionalFormatting>
  <conditionalFormatting sqref="I771:L771">
    <cfRule type="cellIs" dxfId="3506" priority="3435" stopIfTrue="1" operator="equal">
      <formula>"Pass"</formula>
    </cfRule>
    <cfRule type="cellIs" dxfId="3505" priority="3436" stopIfTrue="1" operator="equal">
      <formula>"Fail"</formula>
    </cfRule>
  </conditionalFormatting>
  <conditionalFormatting sqref="I771:L771">
    <cfRule type="cellIs" dxfId="3504" priority="3433" stopIfTrue="1" operator="equal">
      <formula>"Pass"</formula>
    </cfRule>
    <cfRule type="cellIs" dxfId="3503" priority="3434" stopIfTrue="1" operator="equal">
      <formula>"Fail"</formula>
    </cfRule>
  </conditionalFormatting>
  <conditionalFormatting sqref="I771:L771">
    <cfRule type="cellIs" dxfId="3502" priority="3431" stopIfTrue="1" operator="equal">
      <formula>"Pass"</formula>
    </cfRule>
    <cfRule type="cellIs" dxfId="3501" priority="3432" stopIfTrue="1" operator="equal">
      <formula>"Fail"</formula>
    </cfRule>
  </conditionalFormatting>
  <conditionalFormatting sqref="I771:L771">
    <cfRule type="cellIs" dxfId="3500" priority="3429" stopIfTrue="1" operator="equal">
      <formula>"Pass"</formula>
    </cfRule>
    <cfRule type="cellIs" dxfId="3499" priority="3430" stopIfTrue="1" operator="equal">
      <formula>"Fail"</formula>
    </cfRule>
  </conditionalFormatting>
  <conditionalFormatting sqref="G771">
    <cfRule type="cellIs" dxfId="3498" priority="3427" stopIfTrue="1" operator="equal">
      <formula>"Pass"</formula>
    </cfRule>
    <cfRule type="cellIs" dxfId="3497" priority="3428" stopIfTrue="1" operator="equal">
      <formula>"Fail"</formula>
    </cfRule>
  </conditionalFormatting>
  <conditionalFormatting sqref="G771">
    <cfRule type="cellIs" dxfId="3496" priority="3425" stopIfTrue="1" operator="equal">
      <formula>"Pass"</formula>
    </cfRule>
    <cfRule type="cellIs" dxfId="3495" priority="3426" stopIfTrue="1" operator="equal">
      <formula>"Fail"</formula>
    </cfRule>
  </conditionalFormatting>
  <conditionalFormatting sqref="G771">
    <cfRule type="cellIs" dxfId="3494" priority="3423" stopIfTrue="1" operator="equal">
      <formula>"Pass"</formula>
    </cfRule>
    <cfRule type="cellIs" dxfId="3493" priority="3424" stopIfTrue="1" operator="equal">
      <formula>"Fail"</formula>
    </cfRule>
  </conditionalFormatting>
  <conditionalFormatting sqref="G771">
    <cfRule type="cellIs" dxfId="3492" priority="3421" stopIfTrue="1" operator="equal">
      <formula>"Pass"</formula>
    </cfRule>
    <cfRule type="cellIs" dxfId="3491" priority="3422" stopIfTrue="1" operator="equal">
      <formula>"Fail"</formula>
    </cfRule>
  </conditionalFormatting>
  <conditionalFormatting sqref="G771">
    <cfRule type="cellIs" dxfId="3490" priority="3419" stopIfTrue="1" operator="equal">
      <formula>"Pass"</formula>
    </cfRule>
    <cfRule type="cellIs" dxfId="3489" priority="3420" stopIfTrue="1" operator="equal">
      <formula>"Fail"</formula>
    </cfRule>
  </conditionalFormatting>
  <conditionalFormatting sqref="G771">
    <cfRule type="cellIs" dxfId="3488" priority="3417" stopIfTrue="1" operator="equal">
      <formula>"Pass"</formula>
    </cfRule>
    <cfRule type="cellIs" dxfId="3487" priority="3418" stopIfTrue="1" operator="equal">
      <formula>"Fail"</formula>
    </cfRule>
  </conditionalFormatting>
  <conditionalFormatting sqref="H771:L771">
    <cfRule type="cellIs" dxfId="3486" priority="3415" stopIfTrue="1" operator="equal">
      <formula>"Pass"</formula>
    </cfRule>
    <cfRule type="cellIs" dxfId="3485" priority="3416" stopIfTrue="1" operator="equal">
      <formula>"Fail"</formula>
    </cfRule>
  </conditionalFormatting>
  <conditionalFormatting sqref="H771:L771">
    <cfRule type="cellIs" dxfId="3484" priority="3413" stopIfTrue="1" operator="equal">
      <formula>"Pass"</formula>
    </cfRule>
    <cfRule type="cellIs" dxfId="3483" priority="3414" stopIfTrue="1" operator="equal">
      <formula>"Fail"</formula>
    </cfRule>
  </conditionalFormatting>
  <conditionalFormatting sqref="I771:L771">
    <cfRule type="cellIs" dxfId="3482" priority="3411" stopIfTrue="1" operator="equal">
      <formula>"Pass"</formula>
    </cfRule>
    <cfRule type="cellIs" dxfId="3481" priority="3412" stopIfTrue="1" operator="equal">
      <formula>"Fail"</formula>
    </cfRule>
  </conditionalFormatting>
  <conditionalFormatting sqref="I771:L771">
    <cfRule type="cellIs" dxfId="3480" priority="3409" stopIfTrue="1" operator="equal">
      <formula>"Pass"</formula>
    </cfRule>
    <cfRule type="cellIs" dxfId="3479" priority="3410" stopIfTrue="1" operator="equal">
      <formula>"Fail"</formula>
    </cfRule>
  </conditionalFormatting>
  <conditionalFormatting sqref="I771:L771">
    <cfRule type="cellIs" dxfId="3478" priority="3407" stopIfTrue="1" operator="equal">
      <formula>"Pass"</formula>
    </cfRule>
    <cfRule type="cellIs" dxfId="3477" priority="3408" stopIfTrue="1" operator="equal">
      <formula>"Fail"</formula>
    </cfRule>
  </conditionalFormatting>
  <conditionalFormatting sqref="I771:L771">
    <cfRule type="cellIs" dxfId="3476" priority="3405" stopIfTrue="1" operator="equal">
      <formula>"Pass"</formula>
    </cfRule>
    <cfRule type="cellIs" dxfId="3475" priority="3406" stopIfTrue="1" operator="equal">
      <formula>"Fail"</formula>
    </cfRule>
  </conditionalFormatting>
  <conditionalFormatting sqref="G771">
    <cfRule type="cellIs" dxfId="3474" priority="3403" stopIfTrue="1" operator="equal">
      <formula>"Pass"</formula>
    </cfRule>
    <cfRule type="cellIs" dxfId="3473" priority="3404" stopIfTrue="1" operator="equal">
      <formula>"Fail"</formula>
    </cfRule>
  </conditionalFormatting>
  <conditionalFormatting sqref="G771">
    <cfRule type="cellIs" dxfId="3472" priority="3401" stopIfTrue="1" operator="equal">
      <formula>"Pass"</formula>
    </cfRule>
    <cfRule type="cellIs" dxfId="3471" priority="3402" stopIfTrue="1" operator="equal">
      <formula>"Fail"</formula>
    </cfRule>
  </conditionalFormatting>
  <conditionalFormatting sqref="G771">
    <cfRule type="cellIs" dxfId="3470" priority="3399" stopIfTrue="1" operator="equal">
      <formula>"Pass"</formula>
    </cfRule>
    <cfRule type="cellIs" dxfId="3469" priority="3400" stopIfTrue="1" operator="equal">
      <formula>"Fail"</formula>
    </cfRule>
  </conditionalFormatting>
  <conditionalFormatting sqref="G771">
    <cfRule type="cellIs" dxfId="3468" priority="3397" stopIfTrue="1" operator="equal">
      <formula>"Pass"</formula>
    </cfRule>
    <cfRule type="cellIs" dxfId="3467" priority="3398" stopIfTrue="1" operator="equal">
      <formula>"Fail"</formula>
    </cfRule>
  </conditionalFormatting>
  <conditionalFormatting sqref="G771">
    <cfRule type="cellIs" dxfId="3466" priority="3395" stopIfTrue="1" operator="equal">
      <formula>"Pass"</formula>
    </cfRule>
    <cfRule type="cellIs" dxfId="3465" priority="3396" stopIfTrue="1" operator="equal">
      <formula>"Fail"</formula>
    </cfRule>
  </conditionalFormatting>
  <conditionalFormatting sqref="G771">
    <cfRule type="cellIs" dxfId="3464" priority="3393" stopIfTrue="1" operator="equal">
      <formula>"Pass"</formula>
    </cfRule>
    <cfRule type="cellIs" dxfId="3463" priority="3394" stopIfTrue="1" operator="equal">
      <formula>"Fail"</formula>
    </cfRule>
  </conditionalFormatting>
  <conditionalFormatting sqref="H771:L771">
    <cfRule type="cellIs" dxfId="3462" priority="3391" stopIfTrue="1" operator="equal">
      <formula>"Pass"</formula>
    </cfRule>
    <cfRule type="cellIs" dxfId="3461" priority="3392" stopIfTrue="1" operator="equal">
      <formula>"Fail"</formula>
    </cfRule>
  </conditionalFormatting>
  <conditionalFormatting sqref="H771:L771">
    <cfRule type="cellIs" dxfId="3460" priority="3389" stopIfTrue="1" operator="equal">
      <formula>"Pass"</formula>
    </cfRule>
    <cfRule type="cellIs" dxfId="3459" priority="3390" stopIfTrue="1" operator="equal">
      <formula>"Fail"</formula>
    </cfRule>
  </conditionalFormatting>
  <conditionalFormatting sqref="I771:L771">
    <cfRule type="cellIs" dxfId="3458" priority="3387" stopIfTrue="1" operator="equal">
      <formula>"Pass"</formula>
    </cfRule>
    <cfRule type="cellIs" dxfId="3457" priority="3388" stopIfTrue="1" operator="equal">
      <formula>"Fail"</formula>
    </cfRule>
  </conditionalFormatting>
  <conditionalFormatting sqref="I771:L771">
    <cfRule type="cellIs" dxfId="3456" priority="3385" stopIfTrue="1" operator="equal">
      <formula>"Pass"</formula>
    </cfRule>
    <cfRule type="cellIs" dxfId="3455" priority="3386" stopIfTrue="1" operator="equal">
      <formula>"Fail"</formula>
    </cfRule>
  </conditionalFormatting>
  <conditionalFormatting sqref="I771:L771">
    <cfRule type="cellIs" dxfId="3454" priority="3383" stopIfTrue="1" operator="equal">
      <formula>"Pass"</formula>
    </cfRule>
    <cfRule type="cellIs" dxfId="3453" priority="3384" stopIfTrue="1" operator="equal">
      <formula>"Fail"</formula>
    </cfRule>
  </conditionalFormatting>
  <conditionalFormatting sqref="I771:L771">
    <cfRule type="cellIs" dxfId="3452" priority="3381" stopIfTrue="1" operator="equal">
      <formula>"Pass"</formula>
    </cfRule>
    <cfRule type="cellIs" dxfId="3451" priority="3382" stopIfTrue="1" operator="equal">
      <formula>"Fail"</formula>
    </cfRule>
  </conditionalFormatting>
  <conditionalFormatting sqref="G771">
    <cfRule type="cellIs" dxfId="3450" priority="3379" stopIfTrue="1" operator="equal">
      <formula>"Pass"</formula>
    </cfRule>
    <cfRule type="cellIs" dxfId="3449" priority="3380" stopIfTrue="1" operator="equal">
      <formula>"Fail"</formula>
    </cfRule>
  </conditionalFormatting>
  <conditionalFormatting sqref="G771">
    <cfRule type="cellIs" dxfId="3448" priority="3377" stopIfTrue="1" operator="equal">
      <formula>"Pass"</formula>
    </cfRule>
    <cfRule type="cellIs" dxfId="3447" priority="3378" stopIfTrue="1" operator="equal">
      <formula>"Fail"</formula>
    </cfRule>
  </conditionalFormatting>
  <conditionalFormatting sqref="G771">
    <cfRule type="cellIs" dxfId="3446" priority="3375" stopIfTrue="1" operator="equal">
      <formula>"Pass"</formula>
    </cfRule>
    <cfRule type="cellIs" dxfId="3445" priority="3376" stopIfTrue="1" operator="equal">
      <formula>"Fail"</formula>
    </cfRule>
  </conditionalFormatting>
  <conditionalFormatting sqref="G771">
    <cfRule type="cellIs" dxfId="3444" priority="3373" stopIfTrue="1" operator="equal">
      <formula>"Pass"</formula>
    </cfRule>
    <cfRule type="cellIs" dxfId="3443" priority="3374" stopIfTrue="1" operator="equal">
      <formula>"Fail"</formula>
    </cfRule>
  </conditionalFormatting>
  <conditionalFormatting sqref="G771">
    <cfRule type="cellIs" dxfId="3442" priority="3371" stopIfTrue="1" operator="equal">
      <formula>"Pass"</formula>
    </cfRule>
    <cfRule type="cellIs" dxfId="3441" priority="3372" stopIfTrue="1" operator="equal">
      <formula>"Fail"</formula>
    </cfRule>
  </conditionalFormatting>
  <conditionalFormatting sqref="G771">
    <cfRule type="cellIs" dxfId="3440" priority="3369" stopIfTrue="1" operator="equal">
      <formula>"Pass"</formula>
    </cfRule>
    <cfRule type="cellIs" dxfId="3439" priority="3370" stopIfTrue="1" operator="equal">
      <formula>"Fail"</formula>
    </cfRule>
  </conditionalFormatting>
  <conditionalFormatting sqref="H771:L771">
    <cfRule type="cellIs" dxfId="3438" priority="3367" stopIfTrue="1" operator="equal">
      <formula>"Pass"</formula>
    </cfRule>
    <cfRule type="cellIs" dxfId="3437" priority="3368" stopIfTrue="1" operator="equal">
      <formula>"Fail"</formula>
    </cfRule>
  </conditionalFormatting>
  <conditionalFormatting sqref="H771:L771">
    <cfRule type="cellIs" dxfId="3436" priority="3365" stopIfTrue="1" operator="equal">
      <formula>"Pass"</formula>
    </cfRule>
    <cfRule type="cellIs" dxfId="3435" priority="3366" stopIfTrue="1" operator="equal">
      <formula>"Fail"</formula>
    </cfRule>
  </conditionalFormatting>
  <conditionalFormatting sqref="I771:L771">
    <cfRule type="cellIs" dxfId="3434" priority="3363" stopIfTrue="1" operator="equal">
      <formula>"Pass"</formula>
    </cfRule>
    <cfRule type="cellIs" dxfId="3433" priority="3364" stopIfTrue="1" operator="equal">
      <formula>"Fail"</formula>
    </cfRule>
  </conditionalFormatting>
  <conditionalFormatting sqref="I771:L771">
    <cfRule type="cellIs" dxfId="3432" priority="3361" stopIfTrue="1" operator="equal">
      <formula>"Pass"</formula>
    </cfRule>
    <cfRule type="cellIs" dxfId="3431" priority="3362" stopIfTrue="1" operator="equal">
      <formula>"Fail"</formula>
    </cfRule>
  </conditionalFormatting>
  <conditionalFormatting sqref="I771:L771">
    <cfRule type="cellIs" dxfId="3430" priority="3359" stopIfTrue="1" operator="equal">
      <formula>"Pass"</formula>
    </cfRule>
    <cfRule type="cellIs" dxfId="3429" priority="3360" stopIfTrue="1" operator="equal">
      <formula>"Fail"</formula>
    </cfRule>
  </conditionalFormatting>
  <conditionalFormatting sqref="I771:L771">
    <cfRule type="cellIs" dxfId="3428" priority="3357" stopIfTrue="1" operator="equal">
      <formula>"Pass"</formula>
    </cfRule>
    <cfRule type="cellIs" dxfId="3427" priority="3358" stopIfTrue="1" operator="equal">
      <formula>"Fail"</formula>
    </cfRule>
  </conditionalFormatting>
  <conditionalFormatting sqref="G771">
    <cfRule type="cellIs" dxfId="3426" priority="3355" stopIfTrue="1" operator="equal">
      <formula>"Pass"</formula>
    </cfRule>
    <cfRule type="cellIs" dxfId="3425" priority="3356" stopIfTrue="1" operator="equal">
      <formula>"Fail"</formula>
    </cfRule>
  </conditionalFormatting>
  <conditionalFormatting sqref="G771">
    <cfRule type="cellIs" dxfId="3424" priority="3353" stopIfTrue="1" operator="equal">
      <formula>"Pass"</formula>
    </cfRule>
    <cfRule type="cellIs" dxfId="3423" priority="3354" stopIfTrue="1" operator="equal">
      <formula>"Fail"</formula>
    </cfRule>
  </conditionalFormatting>
  <conditionalFormatting sqref="G771">
    <cfRule type="cellIs" dxfId="3422" priority="3351" stopIfTrue="1" operator="equal">
      <formula>"Pass"</formula>
    </cfRule>
    <cfRule type="cellIs" dxfId="3421" priority="3352" stopIfTrue="1" operator="equal">
      <formula>"Fail"</formula>
    </cfRule>
  </conditionalFormatting>
  <conditionalFormatting sqref="G771">
    <cfRule type="cellIs" dxfId="3420" priority="3349" stopIfTrue="1" operator="equal">
      <formula>"Pass"</formula>
    </cfRule>
    <cfRule type="cellIs" dxfId="3419" priority="3350" stopIfTrue="1" operator="equal">
      <formula>"Fail"</formula>
    </cfRule>
  </conditionalFormatting>
  <conditionalFormatting sqref="G771">
    <cfRule type="cellIs" dxfId="3418" priority="3347" stopIfTrue="1" operator="equal">
      <formula>"Pass"</formula>
    </cfRule>
    <cfRule type="cellIs" dxfId="3417" priority="3348" stopIfTrue="1" operator="equal">
      <formula>"Fail"</formula>
    </cfRule>
  </conditionalFormatting>
  <conditionalFormatting sqref="G771">
    <cfRule type="cellIs" dxfId="3416" priority="3345" stopIfTrue="1" operator="equal">
      <formula>"Pass"</formula>
    </cfRule>
    <cfRule type="cellIs" dxfId="3415" priority="3346" stopIfTrue="1" operator="equal">
      <formula>"Fail"</formula>
    </cfRule>
  </conditionalFormatting>
  <conditionalFormatting sqref="H771:L771">
    <cfRule type="cellIs" dxfId="3414" priority="3343" stopIfTrue="1" operator="equal">
      <formula>"Pass"</formula>
    </cfRule>
    <cfRule type="cellIs" dxfId="3413" priority="3344" stopIfTrue="1" operator="equal">
      <formula>"Fail"</formula>
    </cfRule>
  </conditionalFormatting>
  <conditionalFormatting sqref="H771:L771">
    <cfRule type="cellIs" dxfId="3412" priority="3341" stopIfTrue="1" operator="equal">
      <formula>"Pass"</formula>
    </cfRule>
    <cfRule type="cellIs" dxfId="3411" priority="3342" stopIfTrue="1" operator="equal">
      <formula>"Fail"</formula>
    </cfRule>
  </conditionalFormatting>
  <conditionalFormatting sqref="I771:L771">
    <cfRule type="cellIs" dxfId="3410" priority="3339" stopIfTrue="1" operator="equal">
      <formula>"Pass"</formula>
    </cfRule>
    <cfRule type="cellIs" dxfId="3409" priority="3340" stopIfTrue="1" operator="equal">
      <formula>"Fail"</formula>
    </cfRule>
  </conditionalFormatting>
  <conditionalFormatting sqref="I771:L771">
    <cfRule type="cellIs" dxfId="3408" priority="3337" stopIfTrue="1" operator="equal">
      <formula>"Pass"</formula>
    </cfRule>
    <cfRule type="cellIs" dxfId="3407" priority="3338" stopIfTrue="1" operator="equal">
      <formula>"Fail"</formula>
    </cfRule>
  </conditionalFormatting>
  <conditionalFormatting sqref="I771:L771">
    <cfRule type="cellIs" dxfId="3406" priority="3335" stopIfTrue="1" operator="equal">
      <formula>"Pass"</formula>
    </cfRule>
    <cfRule type="cellIs" dxfId="3405" priority="3336" stopIfTrue="1" operator="equal">
      <formula>"Fail"</formula>
    </cfRule>
  </conditionalFormatting>
  <conditionalFormatting sqref="I771:L771">
    <cfRule type="cellIs" dxfId="3404" priority="3333" stopIfTrue="1" operator="equal">
      <formula>"Pass"</formula>
    </cfRule>
    <cfRule type="cellIs" dxfId="3403" priority="3334" stopIfTrue="1" operator="equal">
      <formula>"Fail"</formula>
    </cfRule>
  </conditionalFormatting>
  <conditionalFormatting sqref="G771">
    <cfRule type="cellIs" dxfId="3402" priority="3331" stopIfTrue="1" operator="equal">
      <formula>"Pass"</formula>
    </cfRule>
    <cfRule type="cellIs" dxfId="3401" priority="3332" stopIfTrue="1" operator="equal">
      <formula>"Fail"</formula>
    </cfRule>
  </conditionalFormatting>
  <conditionalFormatting sqref="G771">
    <cfRule type="cellIs" dxfId="3400" priority="3329" stopIfTrue="1" operator="equal">
      <formula>"Pass"</formula>
    </cfRule>
    <cfRule type="cellIs" dxfId="3399" priority="3330" stopIfTrue="1" operator="equal">
      <formula>"Fail"</formula>
    </cfRule>
  </conditionalFormatting>
  <conditionalFormatting sqref="G771">
    <cfRule type="cellIs" dxfId="3398" priority="3327" stopIfTrue="1" operator="equal">
      <formula>"Pass"</formula>
    </cfRule>
    <cfRule type="cellIs" dxfId="3397" priority="3328" stopIfTrue="1" operator="equal">
      <formula>"Fail"</formula>
    </cfRule>
  </conditionalFormatting>
  <conditionalFormatting sqref="G771">
    <cfRule type="cellIs" dxfId="3396" priority="3325" stopIfTrue="1" operator="equal">
      <formula>"Pass"</formula>
    </cfRule>
    <cfRule type="cellIs" dxfId="3395" priority="3326" stopIfTrue="1" operator="equal">
      <formula>"Fail"</formula>
    </cfRule>
  </conditionalFormatting>
  <conditionalFormatting sqref="G771">
    <cfRule type="cellIs" dxfId="3394" priority="3323" stopIfTrue="1" operator="equal">
      <formula>"Pass"</formula>
    </cfRule>
    <cfRule type="cellIs" dxfId="3393" priority="3324" stopIfTrue="1" operator="equal">
      <formula>"Fail"</formula>
    </cfRule>
  </conditionalFormatting>
  <conditionalFormatting sqref="G771">
    <cfRule type="cellIs" dxfId="3392" priority="3321" stopIfTrue="1" operator="equal">
      <formula>"Pass"</formula>
    </cfRule>
    <cfRule type="cellIs" dxfId="3391" priority="3322" stopIfTrue="1" operator="equal">
      <formula>"Fail"</formula>
    </cfRule>
  </conditionalFormatting>
  <conditionalFormatting sqref="H771:L771">
    <cfRule type="cellIs" dxfId="3390" priority="3319" stopIfTrue="1" operator="equal">
      <formula>"Pass"</formula>
    </cfRule>
    <cfRule type="cellIs" dxfId="3389" priority="3320" stopIfTrue="1" operator="equal">
      <formula>"Fail"</formula>
    </cfRule>
  </conditionalFormatting>
  <conditionalFormatting sqref="H771:L771">
    <cfRule type="cellIs" dxfId="3388" priority="3317" stopIfTrue="1" operator="equal">
      <formula>"Pass"</formula>
    </cfRule>
    <cfRule type="cellIs" dxfId="3387" priority="3318" stopIfTrue="1" operator="equal">
      <formula>"Fail"</formula>
    </cfRule>
  </conditionalFormatting>
  <conditionalFormatting sqref="I771:L771">
    <cfRule type="cellIs" dxfId="3386" priority="3315" stopIfTrue="1" operator="equal">
      <formula>"Pass"</formula>
    </cfRule>
    <cfRule type="cellIs" dxfId="3385" priority="3316" stopIfTrue="1" operator="equal">
      <formula>"Fail"</formula>
    </cfRule>
  </conditionalFormatting>
  <conditionalFormatting sqref="I771:L771">
    <cfRule type="cellIs" dxfId="3384" priority="3313" stopIfTrue="1" operator="equal">
      <formula>"Pass"</formula>
    </cfRule>
    <cfRule type="cellIs" dxfId="3383" priority="3314" stopIfTrue="1" operator="equal">
      <formula>"Fail"</formula>
    </cfRule>
  </conditionalFormatting>
  <conditionalFormatting sqref="I771:L771">
    <cfRule type="cellIs" dxfId="3382" priority="3311" stopIfTrue="1" operator="equal">
      <formula>"Pass"</formula>
    </cfRule>
    <cfRule type="cellIs" dxfId="3381" priority="3312" stopIfTrue="1" operator="equal">
      <formula>"Fail"</formula>
    </cfRule>
  </conditionalFormatting>
  <conditionalFormatting sqref="I771:L771">
    <cfRule type="cellIs" dxfId="3380" priority="3309" stopIfTrue="1" operator="equal">
      <formula>"Pass"</formula>
    </cfRule>
    <cfRule type="cellIs" dxfId="3379" priority="3310" stopIfTrue="1" operator="equal">
      <formula>"Fail"</formula>
    </cfRule>
  </conditionalFormatting>
  <conditionalFormatting sqref="G771">
    <cfRule type="cellIs" dxfId="3378" priority="3307" stopIfTrue="1" operator="equal">
      <formula>"Pass"</formula>
    </cfRule>
    <cfRule type="cellIs" dxfId="3377" priority="3308" stopIfTrue="1" operator="equal">
      <formula>"Fail"</formula>
    </cfRule>
  </conditionalFormatting>
  <conditionalFormatting sqref="G771">
    <cfRule type="cellIs" dxfId="3376" priority="3305" stopIfTrue="1" operator="equal">
      <formula>"Pass"</formula>
    </cfRule>
    <cfRule type="cellIs" dxfId="3375" priority="3306" stopIfTrue="1" operator="equal">
      <formula>"Fail"</formula>
    </cfRule>
  </conditionalFormatting>
  <conditionalFormatting sqref="G771">
    <cfRule type="cellIs" dxfId="3374" priority="3303" stopIfTrue="1" operator="equal">
      <formula>"Pass"</formula>
    </cfRule>
    <cfRule type="cellIs" dxfId="3373" priority="3304" stopIfTrue="1" operator="equal">
      <formula>"Fail"</formula>
    </cfRule>
  </conditionalFormatting>
  <conditionalFormatting sqref="G771">
    <cfRule type="cellIs" dxfId="3372" priority="3301" stopIfTrue="1" operator="equal">
      <formula>"Pass"</formula>
    </cfRule>
    <cfRule type="cellIs" dxfId="3371" priority="3302" stopIfTrue="1" operator="equal">
      <formula>"Fail"</formula>
    </cfRule>
  </conditionalFormatting>
  <conditionalFormatting sqref="G771">
    <cfRule type="cellIs" dxfId="3370" priority="3299" stopIfTrue="1" operator="equal">
      <formula>"Pass"</formula>
    </cfRule>
    <cfRule type="cellIs" dxfId="3369" priority="3300" stopIfTrue="1" operator="equal">
      <formula>"Fail"</formula>
    </cfRule>
  </conditionalFormatting>
  <conditionalFormatting sqref="G771">
    <cfRule type="cellIs" dxfId="3368" priority="3297" stopIfTrue="1" operator="equal">
      <formula>"Pass"</formula>
    </cfRule>
    <cfRule type="cellIs" dxfId="3367" priority="3298" stopIfTrue="1" operator="equal">
      <formula>"Fail"</formula>
    </cfRule>
  </conditionalFormatting>
  <conditionalFormatting sqref="H771:L771">
    <cfRule type="cellIs" dxfId="3366" priority="3295" stopIfTrue="1" operator="equal">
      <formula>"Pass"</formula>
    </cfRule>
    <cfRule type="cellIs" dxfId="3365" priority="3296" stopIfTrue="1" operator="equal">
      <formula>"Fail"</formula>
    </cfRule>
  </conditionalFormatting>
  <conditionalFormatting sqref="H771:L771">
    <cfRule type="cellIs" dxfId="3364" priority="3293" stopIfTrue="1" operator="equal">
      <formula>"Pass"</formula>
    </cfRule>
    <cfRule type="cellIs" dxfId="3363" priority="3294" stopIfTrue="1" operator="equal">
      <formula>"Fail"</formula>
    </cfRule>
  </conditionalFormatting>
  <conditionalFormatting sqref="I771:L771">
    <cfRule type="cellIs" dxfId="3362" priority="3291" stopIfTrue="1" operator="equal">
      <formula>"Pass"</formula>
    </cfRule>
    <cfRule type="cellIs" dxfId="3361" priority="3292" stopIfTrue="1" operator="equal">
      <formula>"Fail"</formula>
    </cfRule>
  </conditionalFormatting>
  <conditionalFormatting sqref="I771:L771">
    <cfRule type="cellIs" dxfId="3360" priority="3289" stopIfTrue="1" operator="equal">
      <formula>"Pass"</formula>
    </cfRule>
    <cfRule type="cellIs" dxfId="3359" priority="3290" stopIfTrue="1" operator="equal">
      <formula>"Fail"</formula>
    </cfRule>
  </conditionalFormatting>
  <conditionalFormatting sqref="I771:L771">
    <cfRule type="cellIs" dxfId="3358" priority="3287" stopIfTrue="1" operator="equal">
      <formula>"Pass"</formula>
    </cfRule>
    <cfRule type="cellIs" dxfId="3357" priority="3288" stopIfTrue="1" operator="equal">
      <formula>"Fail"</formula>
    </cfRule>
  </conditionalFormatting>
  <conditionalFormatting sqref="I771:L771">
    <cfRule type="cellIs" dxfId="3356" priority="3285" stopIfTrue="1" operator="equal">
      <formula>"Pass"</formula>
    </cfRule>
    <cfRule type="cellIs" dxfId="3355" priority="3286" stopIfTrue="1" operator="equal">
      <formula>"Fail"</formula>
    </cfRule>
  </conditionalFormatting>
  <conditionalFormatting sqref="G771">
    <cfRule type="cellIs" dxfId="3354" priority="3283" stopIfTrue="1" operator="equal">
      <formula>"Pass"</formula>
    </cfRule>
    <cfRule type="cellIs" dxfId="3353" priority="3284" stopIfTrue="1" operator="equal">
      <formula>"Fail"</formula>
    </cfRule>
  </conditionalFormatting>
  <conditionalFormatting sqref="G771">
    <cfRule type="cellIs" dxfId="3352" priority="3281" stopIfTrue="1" operator="equal">
      <formula>"Pass"</formula>
    </cfRule>
    <cfRule type="cellIs" dxfId="3351" priority="3282" stopIfTrue="1" operator="equal">
      <formula>"Fail"</formula>
    </cfRule>
  </conditionalFormatting>
  <conditionalFormatting sqref="G771">
    <cfRule type="cellIs" dxfId="3350" priority="3279" stopIfTrue="1" operator="equal">
      <formula>"Pass"</formula>
    </cfRule>
    <cfRule type="cellIs" dxfId="3349" priority="3280" stopIfTrue="1" operator="equal">
      <formula>"Fail"</formula>
    </cfRule>
  </conditionalFormatting>
  <conditionalFormatting sqref="G771">
    <cfRule type="cellIs" dxfId="3348" priority="3277" stopIfTrue="1" operator="equal">
      <formula>"Pass"</formula>
    </cfRule>
    <cfRule type="cellIs" dxfId="3347" priority="3278" stopIfTrue="1" operator="equal">
      <formula>"Fail"</formula>
    </cfRule>
  </conditionalFormatting>
  <conditionalFormatting sqref="G771">
    <cfRule type="cellIs" dxfId="3346" priority="3275" stopIfTrue="1" operator="equal">
      <formula>"Pass"</formula>
    </cfRule>
    <cfRule type="cellIs" dxfId="3345" priority="3276" stopIfTrue="1" operator="equal">
      <formula>"Fail"</formula>
    </cfRule>
  </conditionalFormatting>
  <conditionalFormatting sqref="G771">
    <cfRule type="cellIs" dxfId="3344" priority="3273" stopIfTrue="1" operator="equal">
      <formula>"Pass"</formula>
    </cfRule>
    <cfRule type="cellIs" dxfId="3343" priority="3274" stopIfTrue="1" operator="equal">
      <formula>"Fail"</formula>
    </cfRule>
  </conditionalFormatting>
  <conditionalFormatting sqref="H771:L771">
    <cfRule type="cellIs" dxfId="3342" priority="3271" stopIfTrue="1" operator="equal">
      <formula>"Pass"</formula>
    </cfRule>
    <cfRule type="cellIs" dxfId="3341" priority="3272" stopIfTrue="1" operator="equal">
      <formula>"Fail"</formula>
    </cfRule>
  </conditionalFormatting>
  <conditionalFormatting sqref="H771:L771">
    <cfRule type="cellIs" dxfId="3340" priority="3269" stopIfTrue="1" operator="equal">
      <formula>"Pass"</formula>
    </cfRule>
    <cfRule type="cellIs" dxfId="3339" priority="3270" stopIfTrue="1" operator="equal">
      <formula>"Fail"</formula>
    </cfRule>
  </conditionalFormatting>
  <conditionalFormatting sqref="I771:L771">
    <cfRule type="cellIs" dxfId="3338" priority="3267" stopIfTrue="1" operator="equal">
      <formula>"Pass"</formula>
    </cfRule>
    <cfRule type="cellIs" dxfId="3337" priority="3268" stopIfTrue="1" operator="equal">
      <formula>"Fail"</formula>
    </cfRule>
  </conditionalFormatting>
  <conditionalFormatting sqref="I771:L771">
    <cfRule type="cellIs" dxfId="3336" priority="3265" stopIfTrue="1" operator="equal">
      <formula>"Pass"</formula>
    </cfRule>
    <cfRule type="cellIs" dxfId="3335" priority="3266" stopIfTrue="1" operator="equal">
      <formula>"Fail"</formula>
    </cfRule>
  </conditionalFormatting>
  <conditionalFormatting sqref="I771:L771">
    <cfRule type="cellIs" dxfId="3334" priority="3263" stopIfTrue="1" operator="equal">
      <formula>"Pass"</formula>
    </cfRule>
    <cfRule type="cellIs" dxfId="3333" priority="3264" stopIfTrue="1" operator="equal">
      <formula>"Fail"</formula>
    </cfRule>
  </conditionalFormatting>
  <conditionalFormatting sqref="I771:L771">
    <cfRule type="cellIs" dxfId="3332" priority="3261" stopIfTrue="1" operator="equal">
      <formula>"Pass"</formula>
    </cfRule>
    <cfRule type="cellIs" dxfId="3331" priority="3262" stopIfTrue="1" operator="equal">
      <formula>"Fail"</formula>
    </cfRule>
  </conditionalFormatting>
  <conditionalFormatting sqref="G771">
    <cfRule type="cellIs" dxfId="3330" priority="3259" stopIfTrue="1" operator="equal">
      <formula>"Pass"</formula>
    </cfRule>
    <cfRule type="cellIs" dxfId="3329" priority="3260" stopIfTrue="1" operator="equal">
      <formula>"Fail"</formula>
    </cfRule>
  </conditionalFormatting>
  <conditionalFormatting sqref="G771">
    <cfRule type="cellIs" dxfId="3328" priority="3257" stopIfTrue="1" operator="equal">
      <formula>"Pass"</formula>
    </cfRule>
    <cfRule type="cellIs" dxfId="3327" priority="3258" stopIfTrue="1" operator="equal">
      <formula>"Fail"</formula>
    </cfRule>
  </conditionalFormatting>
  <conditionalFormatting sqref="G771">
    <cfRule type="cellIs" dxfId="3326" priority="3255" stopIfTrue="1" operator="equal">
      <formula>"Pass"</formula>
    </cfRule>
    <cfRule type="cellIs" dxfId="3325" priority="3256" stopIfTrue="1" operator="equal">
      <formula>"Fail"</formula>
    </cfRule>
  </conditionalFormatting>
  <conditionalFormatting sqref="G771">
    <cfRule type="cellIs" dxfId="3324" priority="3253" stopIfTrue="1" operator="equal">
      <formula>"Pass"</formula>
    </cfRule>
    <cfRule type="cellIs" dxfId="3323" priority="3254" stopIfTrue="1" operator="equal">
      <formula>"Fail"</formula>
    </cfRule>
  </conditionalFormatting>
  <conditionalFormatting sqref="G771">
    <cfRule type="cellIs" dxfId="3322" priority="3251" stopIfTrue="1" operator="equal">
      <formula>"Pass"</formula>
    </cfRule>
    <cfRule type="cellIs" dxfId="3321" priority="3252" stopIfTrue="1" operator="equal">
      <formula>"Fail"</formula>
    </cfRule>
  </conditionalFormatting>
  <conditionalFormatting sqref="G771">
    <cfRule type="cellIs" dxfId="3320" priority="3249" stopIfTrue="1" operator="equal">
      <formula>"Pass"</formula>
    </cfRule>
    <cfRule type="cellIs" dxfId="3319" priority="3250" stopIfTrue="1" operator="equal">
      <formula>"Fail"</formula>
    </cfRule>
  </conditionalFormatting>
  <conditionalFormatting sqref="H771:L771">
    <cfRule type="cellIs" dxfId="3318" priority="3247" stopIfTrue="1" operator="equal">
      <formula>"Pass"</formula>
    </cfRule>
    <cfRule type="cellIs" dxfId="3317" priority="3248" stopIfTrue="1" operator="equal">
      <formula>"Fail"</formula>
    </cfRule>
  </conditionalFormatting>
  <conditionalFormatting sqref="H771:L771">
    <cfRule type="cellIs" dxfId="3316" priority="3245" stopIfTrue="1" operator="equal">
      <formula>"Pass"</formula>
    </cfRule>
    <cfRule type="cellIs" dxfId="3315" priority="3246" stopIfTrue="1" operator="equal">
      <formula>"Fail"</formula>
    </cfRule>
  </conditionalFormatting>
  <conditionalFormatting sqref="I771:L771">
    <cfRule type="cellIs" dxfId="3314" priority="3243" stopIfTrue="1" operator="equal">
      <formula>"Pass"</formula>
    </cfRule>
    <cfRule type="cellIs" dxfId="3313" priority="3244" stopIfTrue="1" operator="equal">
      <formula>"Fail"</formula>
    </cfRule>
  </conditionalFormatting>
  <conditionalFormatting sqref="I771:L771">
    <cfRule type="cellIs" dxfId="3312" priority="3241" stopIfTrue="1" operator="equal">
      <formula>"Pass"</formula>
    </cfRule>
    <cfRule type="cellIs" dxfId="3311" priority="3242" stopIfTrue="1" operator="equal">
      <formula>"Fail"</formula>
    </cfRule>
  </conditionalFormatting>
  <conditionalFormatting sqref="I771:L771">
    <cfRule type="cellIs" dxfId="3310" priority="3239" stopIfTrue="1" operator="equal">
      <formula>"Pass"</formula>
    </cfRule>
    <cfRule type="cellIs" dxfId="3309" priority="3240" stopIfTrue="1" operator="equal">
      <formula>"Fail"</formula>
    </cfRule>
  </conditionalFormatting>
  <conditionalFormatting sqref="I771:L771">
    <cfRule type="cellIs" dxfId="3308" priority="3237" stopIfTrue="1" operator="equal">
      <formula>"Pass"</formula>
    </cfRule>
    <cfRule type="cellIs" dxfId="3307" priority="3238" stopIfTrue="1" operator="equal">
      <formula>"Fail"</formula>
    </cfRule>
  </conditionalFormatting>
  <conditionalFormatting sqref="G771">
    <cfRule type="cellIs" dxfId="3306" priority="3235" stopIfTrue="1" operator="equal">
      <formula>"Pass"</formula>
    </cfRule>
    <cfRule type="cellIs" dxfId="3305" priority="3236" stopIfTrue="1" operator="equal">
      <formula>"Fail"</formula>
    </cfRule>
  </conditionalFormatting>
  <conditionalFormatting sqref="G771">
    <cfRule type="cellIs" dxfId="3304" priority="3233" stopIfTrue="1" operator="equal">
      <formula>"Pass"</formula>
    </cfRule>
    <cfRule type="cellIs" dxfId="3303" priority="3234" stopIfTrue="1" operator="equal">
      <formula>"Fail"</formula>
    </cfRule>
  </conditionalFormatting>
  <conditionalFormatting sqref="G771">
    <cfRule type="cellIs" dxfId="3302" priority="3231" stopIfTrue="1" operator="equal">
      <formula>"Pass"</formula>
    </cfRule>
    <cfRule type="cellIs" dxfId="3301" priority="3232" stopIfTrue="1" operator="equal">
      <formula>"Fail"</formula>
    </cfRule>
  </conditionalFormatting>
  <conditionalFormatting sqref="G771">
    <cfRule type="cellIs" dxfId="3300" priority="3229" stopIfTrue="1" operator="equal">
      <formula>"Pass"</formula>
    </cfRule>
    <cfRule type="cellIs" dxfId="3299" priority="3230" stopIfTrue="1" operator="equal">
      <formula>"Fail"</formula>
    </cfRule>
  </conditionalFormatting>
  <conditionalFormatting sqref="G771">
    <cfRule type="cellIs" dxfId="3298" priority="3227" stopIfTrue="1" operator="equal">
      <formula>"Pass"</formula>
    </cfRule>
    <cfRule type="cellIs" dxfId="3297" priority="3228" stopIfTrue="1" operator="equal">
      <formula>"Fail"</formula>
    </cfRule>
  </conditionalFormatting>
  <conditionalFormatting sqref="G771">
    <cfRule type="cellIs" dxfId="3296" priority="3225" stopIfTrue="1" operator="equal">
      <formula>"Pass"</formula>
    </cfRule>
    <cfRule type="cellIs" dxfId="3295" priority="3226" stopIfTrue="1" operator="equal">
      <formula>"Fail"</formula>
    </cfRule>
  </conditionalFormatting>
  <conditionalFormatting sqref="G771:L771">
    <cfRule type="cellIs" dxfId="3294" priority="3223" stopIfTrue="1" operator="equal">
      <formula>"Pass"</formula>
    </cfRule>
    <cfRule type="cellIs" dxfId="3293" priority="3224" stopIfTrue="1" operator="equal">
      <formula>"Fail"</formula>
    </cfRule>
  </conditionalFormatting>
  <conditionalFormatting sqref="G771:L771">
    <cfRule type="cellIs" dxfId="3292" priority="3221" stopIfTrue="1" operator="equal">
      <formula>"Pass"</formula>
    </cfRule>
    <cfRule type="cellIs" dxfId="3291" priority="3222" stopIfTrue="1" operator="equal">
      <formula>"Fail"</formula>
    </cfRule>
  </conditionalFormatting>
  <conditionalFormatting sqref="G771:L771">
    <cfRule type="cellIs" dxfId="3290" priority="3219" stopIfTrue="1" operator="equal">
      <formula>"Pass"</formula>
    </cfRule>
    <cfRule type="cellIs" dxfId="3289" priority="3220" stopIfTrue="1" operator="equal">
      <formula>"Fail"</formula>
    </cfRule>
  </conditionalFormatting>
  <conditionalFormatting sqref="G771:L771">
    <cfRule type="cellIs" dxfId="3288" priority="3217" stopIfTrue="1" operator="equal">
      <formula>"Pass"</formula>
    </cfRule>
    <cfRule type="cellIs" dxfId="3287" priority="3218" stopIfTrue="1" operator="equal">
      <formula>"Fail"</formula>
    </cfRule>
  </conditionalFormatting>
  <conditionalFormatting sqref="G771:L771">
    <cfRule type="cellIs" dxfId="3286" priority="3215" stopIfTrue="1" operator="equal">
      <formula>"Pass"</formula>
    </cfRule>
    <cfRule type="cellIs" dxfId="3285" priority="3216" stopIfTrue="1" operator="equal">
      <formula>"Fail"</formula>
    </cfRule>
  </conditionalFormatting>
  <conditionalFormatting sqref="G771:L771">
    <cfRule type="cellIs" dxfId="3284" priority="3213" stopIfTrue="1" operator="equal">
      <formula>"Pass"</formula>
    </cfRule>
    <cfRule type="cellIs" dxfId="3283" priority="3214" stopIfTrue="1" operator="equal">
      <formula>"Fail"</formula>
    </cfRule>
  </conditionalFormatting>
  <conditionalFormatting sqref="G771:L771">
    <cfRule type="cellIs" dxfId="3282" priority="3211" stopIfTrue="1" operator="equal">
      <formula>"Pass"</formula>
    </cfRule>
    <cfRule type="cellIs" dxfId="3281" priority="3212" stopIfTrue="1" operator="equal">
      <formula>"Fail"</formula>
    </cfRule>
  </conditionalFormatting>
  <conditionalFormatting sqref="G771:L771">
    <cfRule type="cellIs" dxfId="3280" priority="3209" stopIfTrue="1" operator="equal">
      <formula>"Pass"</formula>
    </cfRule>
    <cfRule type="cellIs" dxfId="3279" priority="3210" stopIfTrue="1" operator="equal">
      <formula>"Fail"</formula>
    </cfRule>
  </conditionalFormatting>
  <conditionalFormatting sqref="G771:L771">
    <cfRule type="cellIs" dxfId="3278" priority="3207" stopIfTrue="1" operator="equal">
      <formula>"Pass"</formula>
    </cfRule>
    <cfRule type="cellIs" dxfId="3277" priority="3208" stopIfTrue="1" operator="equal">
      <formula>"Fail"</formula>
    </cfRule>
  </conditionalFormatting>
  <conditionalFormatting sqref="G771:L771">
    <cfRule type="cellIs" dxfId="3276" priority="3205" stopIfTrue="1" operator="equal">
      <formula>"Pass"</formula>
    </cfRule>
    <cfRule type="cellIs" dxfId="3275" priority="3206" stopIfTrue="1" operator="equal">
      <formula>"Fail"</formula>
    </cfRule>
  </conditionalFormatting>
  <conditionalFormatting sqref="G771:L771">
    <cfRule type="cellIs" dxfId="3274" priority="3203" stopIfTrue="1" operator="equal">
      <formula>"Pass"</formula>
    </cfRule>
    <cfRule type="cellIs" dxfId="3273" priority="3204" stopIfTrue="1" operator="equal">
      <formula>"Fail"</formula>
    </cfRule>
  </conditionalFormatting>
  <conditionalFormatting sqref="G771:L771">
    <cfRule type="cellIs" dxfId="3272" priority="3201" stopIfTrue="1" operator="equal">
      <formula>"Pass"</formula>
    </cfRule>
    <cfRule type="cellIs" dxfId="3271" priority="3202" stopIfTrue="1" operator="equal">
      <formula>"Fail"</formula>
    </cfRule>
  </conditionalFormatting>
  <conditionalFormatting sqref="G771:L771">
    <cfRule type="cellIs" dxfId="3270" priority="3199" stopIfTrue="1" operator="equal">
      <formula>"Pass"</formula>
    </cfRule>
    <cfRule type="cellIs" dxfId="3269" priority="3200" stopIfTrue="1" operator="equal">
      <formula>"Fail"</formula>
    </cfRule>
  </conditionalFormatting>
  <conditionalFormatting sqref="G771:L771">
    <cfRule type="cellIs" dxfId="3268" priority="3197" stopIfTrue="1" operator="equal">
      <formula>"Pass"</formula>
    </cfRule>
    <cfRule type="cellIs" dxfId="3267" priority="3198" stopIfTrue="1" operator="equal">
      <formula>"Fail"</formula>
    </cfRule>
  </conditionalFormatting>
  <conditionalFormatting sqref="G771:L771">
    <cfRule type="cellIs" dxfId="3266" priority="3195" stopIfTrue="1" operator="equal">
      <formula>"Pass"</formula>
    </cfRule>
    <cfRule type="cellIs" dxfId="3265" priority="3196" stopIfTrue="1" operator="equal">
      <formula>"Fail"</formula>
    </cfRule>
  </conditionalFormatting>
  <conditionalFormatting sqref="G771:L771">
    <cfRule type="cellIs" dxfId="3264" priority="3193" stopIfTrue="1" operator="equal">
      <formula>"Pass"</formula>
    </cfRule>
    <cfRule type="cellIs" dxfId="3263" priority="3194" stopIfTrue="1" operator="equal">
      <formula>"Fail"</formula>
    </cfRule>
  </conditionalFormatting>
  <conditionalFormatting sqref="G771:L771">
    <cfRule type="cellIs" dxfId="3262" priority="3191" stopIfTrue="1" operator="equal">
      <formula>"Pass"</formula>
    </cfRule>
    <cfRule type="cellIs" dxfId="3261" priority="3192" stopIfTrue="1" operator="equal">
      <formula>"Fail"</formula>
    </cfRule>
  </conditionalFormatting>
  <conditionalFormatting sqref="G771:L771">
    <cfRule type="cellIs" dxfId="3260" priority="3189" stopIfTrue="1" operator="equal">
      <formula>"Pass"</formula>
    </cfRule>
    <cfRule type="cellIs" dxfId="3259" priority="3190" stopIfTrue="1" operator="equal">
      <formula>"Fail"</formula>
    </cfRule>
  </conditionalFormatting>
  <conditionalFormatting sqref="G771:L771">
    <cfRule type="cellIs" dxfId="3258" priority="3187" stopIfTrue="1" operator="equal">
      <formula>"Pass"</formula>
    </cfRule>
    <cfRule type="cellIs" dxfId="3257" priority="3188" stopIfTrue="1" operator="equal">
      <formula>"Fail"</formula>
    </cfRule>
  </conditionalFormatting>
  <conditionalFormatting sqref="G771:L771">
    <cfRule type="cellIs" dxfId="3256" priority="3185" stopIfTrue="1" operator="equal">
      <formula>"Pass"</formula>
    </cfRule>
    <cfRule type="cellIs" dxfId="3255" priority="3186" stopIfTrue="1" operator="equal">
      <formula>"Fail"</formula>
    </cfRule>
  </conditionalFormatting>
  <conditionalFormatting sqref="G771:L771">
    <cfRule type="cellIs" dxfId="3254" priority="3183" stopIfTrue="1" operator="equal">
      <formula>"Pass"</formula>
    </cfRule>
    <cfRule type="cellIs" dxfId="3253" priority="3184" stopIfTrue="1" operator="equal">
      <formula>"Fail"</formula>
    </cfRule>
  </conditionalFormatting>
  <conditionalFormatting sqref="G771:L771">
    <cfRule type="cellIs" dxfId="3252" priority="3181" stopIfTrue="1" operator="equal">
      <formula>"Pass"</formula>
    </cfRule>
    <cfRule type="cellIs" dxfId="3251" priority="3182" stopIfTrue="1" operator="equal">
      <formula>"Fail"</formula>
    </cfRule>
  </conditionalFormatting>
  <conditionalFormatting sqref="G771:L771">
    <cfRule type="cellIs" dxfId="3250" priority="3179" stopIfTrue="1" operator="equal">
      <formula>"Pass"</formula>
    </cfRule>
    <cfRule type="cellIs" dxfId="3249" priority="3180" stopIfTrue="1" operator="equal">
      <formula>"Fail"</formula>
    </cfRule>
  </conditionalFormatting>
  <conditionalFormatting sqref="G771:L771">
    <cfRule type="cellIs" dxfId="3248" priority="3177" stopIfTrue="1" operator="equal">
      <formula>"Pass"</formula>
    </cfRule>
    <cfRule type="cellIs" dxfId="3247" priority="3178" stopIfTrue="1" operator="equal">
      <formula>"Fail"</formula>
    </cfRule>
  </conditionalFormatting>
  <conditionalFormatting sqref="G771:L771">
    <cfRule type="cellIs" dxfId="3246" priority="3175" stopIfTrue="1" operator="equal">
      <formula>"Pass"</formula>
    </cfRule>
    <cfRule type="cellIs" dxfId="3245" priority="3176" stopIfTrue="1" operator="equal">
      <formula>"Fail"</formula>
    </cfRule>
  </conditionalFormatting>
  <conditionalFormatting sqref="G771:L771">
    <cfRule type="cellIs" dxfId="3244" priority="3173" stopIfTrue="1" operator="equal">
      <formula>"Pass"</formula>
    </cfRule>
    <cfRule type="cellIs" dxfId="3243" priority="3174" stopIfTrue="1" operator="equal">
      <formula>"Fail"</formula>
    </cfRule>
  </conditionalFormatting>
  <conditionalFormatting sqref="G771:L771">
    <cfRule type="cellIs" dxfId="3242" priority="3171" stopIfTrue="1" operator="equal">
      <formula>"Pass"</formula>
    </cfRule>
    <cfRule type="cellIs" dxfId="3241" priority="3172" stopIfTrue="1" operator="equal">
      <formula>"Fail"</formula>
    </cfRule>
  </conditionalFormatting>
  <conditionalFormatting sqref="G771:L771">
    <cfRule type="cellIs" dxfId="3240" priority="3169" stopIfTrue="1" operator="equal">
      <formula>"Pass"</formula>
    </cfRule>
    <cfRule type="cellIs" dxfId="3239" priority="3170" stopIfTrue="1" operator="equal">
      <formula>"Fail"</formula>
    </cfRule>
  </conditionalFormatting>
  <conditionalFormatting sqref="G771:L771">
    <cfRule type="cellIs" dxfId="3238" priority="3167" stopIfTrue="1" operator="equal">
      <formula>"Pass"</formula>
    </cfRule>
    <cfRule type="cellIs" dxfId="3237" priority="3168" stopIfTrue="1" operator="equal">
      <formula>"Fail"</formula>
    </cfRule>
  </conditionalFormatting>
  <conditionalFormatting sqref="G771:L771">
    <cfRule type="cellIs" dxfId="3236" priority="3165" stopIfTrue="1" operator="equal">
      <formula>"Pass"</formula>
    </cfRule>
    <cfRule type="cellIs" dxfId="3235" priority="3166" stopIfTrue="1" operator="equal">
      <formula>"Fail"</formula>
    </cfRule>
  </conditionalFormatting>
  <conditionalFormatting sqref="D771:E771">
    <cfRule type="cellIs" dxfId="3234" priority="3163" stopIfTrue="1" operator="equal">
      <formula>"Pass"</formula>
    </cfRule>
    <cfRule type="cellIs" dxfId="3233" priority="3164" stopIfTrue="1" operator="equal">
      <formula>"Fail"</formula>
    </cfRule>
  </conditionalFormatting>
  <conditionalFormatting sqref="G771:L771">
    <cfRule type="cellIs" dxfId="3232" priority="3161" stopIfTrue="1" operator="equal">
      <formula>"Pass"</formula>
    </cfRule>
    <cfRule type="cellIs" dxfId="3231" priority="3162" stopIfTrue="1" operator="equal">
      <formula>"Fail"</formula>
    </cfRule>
  </conditionalFormatting>
  <conditionalFormatting sqref="D776:E777">
    <cfRule type="cellIs" dxfId="3230" priority="3159" stopIfTrue="1" operator="equal">
      <formula>"Pass"</formula>
    </cfRule>
    <cfRule type="cellIs" dxfId="3229" priority="3160" stopIfTrue="1" operator="equal">
      <formula>"Fail"</formula>
    </cfRule>
  </conditionalFormatting>
  <conditionalFormatting sqref="G776:P777">
    <cfRule type="cellIs" dxfId="3228" priority="3157" stopIfTrue="1" operator="equal">
      <formula>"Pass"</formula>
    </cfRule>
    <cfRule type="cellIs" dxfId="3227" priority="3158" stopIfTrue="1" operator="equal">
      <formula>"Fail"</formula>
    </cfRule>
  </conditionalFormatting>
  <conditionalFormatting sqref="U776:V778">
    <cfRule type="cellIs" dxfId="3226" priority="3155" stopIfTrue="1" operator="equal">
      <formula>"Fail"</formula>
    </cfRule>
    <cfRule type="cellIs" dxfId="3225" priority="3156" stopIfTrue="1" operator="equal">
      <formula>"Pass"</formula>
    </cfRule>
  </conditionalFormatting>
  <conditionalFormatting sqref="G776:L776">
    <cfRule type="cellIs" dxfId="3224" priority="3153" stopIfTrue="1" operator="equal">
      <formula>"Pass"</formula>
    </cfRule>
    <cfRule type="cellIs" dxfId="3223" priority="3154" stopIfTrue="1" operator="equal">
      <formula>"Fail"</formula>
    </cfRule>
  </conditionalFormatting>
  <conditionalFormatting sqref="H776:L776">
    <cfRule type="cellIs" dxfId="3222" priority="3151" stopIfTrue="1" operator="equal">
      <formula>"Pass"</formula>
    </cfRule>
    <cfRule type="cellIs" dxfId="3221" priority="3152" stopIfTrue="1" operator="equal">
      <formula>"Fail"</formula>
    </cfRule>
  </conditionalFormatting>
  <conditionalFormatting sqref="H776:L776">
    <cfRule type="cellIs" dxfId="3220" priority="3149" stopIfTrue="1" operator="equal">
      <formula>"Pass"</formula>
    </cfRule>
    <cfRule type="cellIs" dxfId="3219" priority="3150" stopIfTrue="1" operator="equal">
      <formula>"Fail"</formula>
    </cfRule>
  </conditionalFormatting>
  <conditionalFormatting sqref="I776:L776">
    <cfRule type="cellIs" dxfId="3218" priority="3147" stopIfTrue="1" operator="equal">
      <formula>"Pass"</formula>
    </cfRule>
    <cfRule type="cellIs" dxfId="3217" priority="3148" stopIfTrue="1" operator="equal">
      <formula>"Fail"</formula>
    </cfRule>
  </conditionalFormatting>
  <conditionalFormatting sqref="I776:L776">
    <cfRule type="cellIs" dxfId="3216" priority="3145" stopIfTrue="1" operator="equal">
      <formula>"Pass"</formula>
    </cfRule>
    <cfRule type="cellIs" dxfId="3215" priority="3146" stopIfTrue="1" operator="equal">
      <formula>"Fail"</formula>
    </cfRule>
  </conditionalFormatting>
  <conditionalFormatting sqref="I776:L776">
    <cfRule type="cellIs" dxfId="3214" priority="3143" stopIfTrue="1" operator="equal">
      <formula>"Pass"</formula>
    </cfRule>
    <cfRule type="cellIs" dxfId="3213" priority="3144" stopIfTrue="1" operator="equal">
      <formula>"Fail"</formula>
    </cfRule>
  </conditionalFormatting>
  <conditionalFormatting sqref="I776:L776">
    <cfRule type="cellIs" dxfId="3212" priority="3141" stopIfTrue="1" operator="equal">
      <formula>"Pass"</formula>
    </cfRule>
    <cfRule type="cellIs" dxfId="3211" priority="3142" stopIfTrue="1" operator="equal">
      <formula>"Fail"</formula>
    </cfRule>
  </conditionalFormatting>
  <conditionalFormatting sqref="H776:L776">
    <cfRule type="cellIs" dxfId="3210" priority="3139" stopIfTrue="1" operator="equal">
      <formula>"Pass"</formula>
    </cfRule>
    <cfRule type="cellIs" dxfId="3209" priority="3140" stopIfTrue="1" operator="equal">
      <formula>"Fail"</formula>
    </cfRule>
  </conditionalFormatting>
  <conditionalFormatting sqref="H776:L776">
    <cfRule type="cellIs" dxfId="3208" priority="3137" stopIfTrue="1" operator="equal">
      <formula>"Pass"</formula>
    </cfRule>
    <cfRule type="cellIs" dxfId="3207" priority="3138" stopIfTrue="1" operator="equal">
      <formula>"Fail"</formula>
    </cfRule>
  </conditionalFormatting>
  <conditionalFormatting sqref="I776:L776">
    <cfRule type="cellIs" dxfId="3206" priority="3135" stopIfTrue="1" operator="equal">
      <formula>"Pass"</formula>
    </cfRule>
    <cfRule type="cellIs" dxfId="3205" priority="3136" stopIfTrue="1" operator="equal">
      <formula>"Fail"</formula>
    </cfRule>
  </conditionalFormatting>
  <conditionalFormatting sqref="I776:L776">
    <cfRule type="cellIs" dxfId="3204" priority="3133" stopIfTrue="1" operator="equal">
      <formula>"Pass"</formula>
    </cfRule>
    <cfRule type="cellIs" dxfId="3203" priority="3134" stopIfTrue="1" operator="equal">
      <formula>"Fail"</formula>
    </cfRule>
  </conditionalFormatting>
  <conditionalFormatting sqref="I776:L776">
    <cfRule type="cellIs" dxfId="3202" priority="3131" stopIfTrue="1" operator="equal">
      <formula>"Pass"</formula>
    </cfRule>
    <cfRule type="cellIs" dxfId="3201" priority="3132" stopIfTrue="1" operator="equal">
      <formula>"Fail"</formula>
    </cfRule>
  </conditionalFormatting>
  <conditionalFormatting sqref="I776:L776">
    <cfRule type="cellIs" dxfId="3200" priority="3129" stopIfTrue="1" operator="equal">
      <formula>"Pass"</formula>
    </cfRule>
    <cfRule type="cellIs" dxfId="3199" priority="3130" stopIfTrue="1" operator="equal">
      <formula>"Fail"</formula>
    </cfRule>
  </conditionalFormatting>
  <conditionalFormatting sqref="H776:L776">
    <cfRule type="cellIs" dxfId="3198" priority="3127" stopIfTrue="1" operator="equal">
      <formula>"Pass"</formula>
    </cfRule>
    <cfRule type="cellIs" dxfId="3197" priority="3128" stopIfTrue="1" operator="equal">
      <formula>"Fail"</formula>
    </cfRule>
  </conditionalFormatting>
  <conditionalFormatting sqref="H776:L776">
    <cfRule type="cellIs" dxfId="3196" priority="3125" stopIfTrue="1" operator="equal">
      <formula>"Pass"</formula>
    </cfRule>
    <cfRule type="cellIs" dxfId="3195" priority="3126" stopIfTrue="1" operator="equal">
      <formula>"Fail"</formula>
    </cfRule>
  </conditionalFormatting>
  <conditionalFormatting sqref="I776:L776">
    <cfRule type="cellIs" dxfId="3194" priority="3123" stopIfTrue="1" operator="equal">
      <formula>"Pass"</formula>
    </cfRule>
    <cfRule type="cellIs" dxfId="3193" priority="3124" stopIfTrue="1" operator="equal">
      <formula>"Fail"</formula>
    </cfRule>
  </conditionalFormatting>
  <conditionalFormatting sqref="I776:L776">
    <cfRule type="cellIs" dxfId="3192" priority="3121" stopIfTrue="1" operator="equal">
      <formula>"Pass"</formula>
    </cfRule>
    <cfRule type="cellIs" dxfId="3191" priority="3122" stopIfTrue="1" operator="equal">
      <formula>"Fail"</formula>
    </cfRule>
  </conditionalFormatting>
  <conditionalFormatting sqref="I776:L776">
    <cfRule type="cellIs" dxfId="3190" priority="3119" stopIfTrue="1" operator="equal">
      <formula>"Pass"</formula>
    </cfRule>
    <cfRule type="cellIs" dxfId="3189" priority="3120" stopIfTrue="1" operator="equal">
      <formula>"Fail"</formula>
    </cfRule>
  </conditionalFormatting>
  <conditionalFormatting sqref="I776:L776">
    <cfRule type="cellIs" dxfId="3188" priority="3117" stopIfTrue="1" operator="equal">
      <formula>"Pass"</formula>
    </cfRule>
    <cfRule type="cellIs" dxfId="3187" priority="3118" stopIfTrue="1" operator="equal">
      <formula>"Fail"</formula>
    </cfRule>
  </conditionalFormatting>
  <conditionalFormatting sqref="H776:L776">
    <cfRule type="cellIs" dxfId="3186" priority="3115" stopIfTrue="1" operator="equal">
      <formula>"Pass"</formula>
    </cfRule>
    <cfRule type="cellIs" dxfId="3185" priority="3116" stopIfTrue="1" operator="equal">
      <formula>"Fail"</formula>
    </cfRule>
  </conditionalFormatting>
  <conditionalFormatting sqref="H776:L776">
    <cfRule type="cellIs" dxfId="3184" priority="3113" stopIfTrue="1" operator="equal">
      <formula>"Pass"</formula>
    </cfRule>
    <cfRule type="cellIs" dxfId="3183" priority="3114" stopIfTrue="1" operator="equal">
      <formula>"Fail"</formula>
    </cfRule>
  </conditionalFormatting>
  <conditionalFormatting sqref="I776:L776">
    <cfRule type="cellIs" dxfId="3182" priority="3111" stopIfTrue="1" operator="equal">
      <formula>"Pass"</formula>
    </cfRule>
    <cfRule type="cellIs" dxfId="3181" priority="3112" stopIfTrue="1" operator="equal">
      <formula>"Fail"</formula>
    </cfRule>
  </conditionalFormatting>
  <conditionalFormatting sqref="I776:L776">
    <cfRule type="cellIs" dxfId="3180" priority="3109" stopIfTrue="1" operator="equal">
      <formula>"Pass"</formula>
    </cfRule>
    <cfRule type="cellIs" dxfId="3179" priority="3110" stopIfTrue="1" operator="equal">
      <formula>"Fail"</formula>
    </cfRule>
  </conditionalFormatting>
  <conditionalFormatting sqref="I776:L776">
    <cfRule type="cellIs" dxfId="3178" priority="3107" stopIfTrue="1" operator="equal">
      <formula>"Pass"</formula>
    </cfRule>
    <cfRule type="cellIs" dxfId="3177" priority="3108" stopIfTrue="1" operator="equal">
      <formula>"Fail"</formula>
    </cfRule>
  </conditionalFormatting>
  <conditionalFormatting sqref="I776:L776">
    <cfRule type="cellIs" dxfId="3176" priority="3105" stopIfTrue="1" operator="equal">
      <formula>"Pass"</formula>
    </cfRule>
    <cfRule type="cellIs" dxfId="3175" priority="3106" stopIfTrue="1" operator="equal">
      <formula>"Fail"</formula>
    </cfRule>
  </conditionalFormatting>
  <conditionalFormatting sqref="H776:L776">
    <cfRule type="cellIs" dxfId="3174" priority="3103" stopIfTrue="1" operator="equal">
      <formula>"Pass"</formula>
    </cfRule>
    <cfRule type="cellIs" dxfId="3173" priority="3104" stopIfTrue="1" operator="equal">
      <formula>"Fail"</formula>
    </cfRule>
  </conditionalFormatting>
  <conditionalFormatting sqref="H776:L776">
    <cfRule type="cellIs" dxfId="3172" priority="3101" stopIfTrue="1" operator="equal">
      <formula>"Pass"</formula>
    </cfRule>
    <cfRule type="cellIs" dxfId="3171" priority="3102" stopIfTrue="1" operator="equal">
      <formula>"Fail"</formula>
    </cfRule>
  </conditionalFormatting>
  <conditionalFormatting sqref="I776:L776">
    <cfRule type="cellIs" dxfId="3170" priority="3099" stopIfTrue="1" operator="equal">
      <formula>"Pass"</formula>
    </cfRule>
    <cfRule type="cellIs" dxfId="3169" priority="3100" stopIfTrue="1" operator="equal">
      <formula>"Fail"</formula>
    </cfRule>
  </conditionalFormatting>
  <conditionalFormatting sqref="I776:L776">
    <cfRule type="cellIs" dxfId="3168" priority="3097" stopIfTrue="1" operator="equal">
      <formula>"Pass"</formula>
    </cfRule>
    <cfRule type="cellIs" dxfId="3167" priority="3098" stopIfTrue="1" operator="equal">
      <formula>"Fail"</formula>
    </cfRule>
  </conditionalFormatting>
  <conditionalFormatting sqref="I776:L776">
    <cfRule type="cellIs" dxfId="3166" priority="3095" stopIfTrue="1" operator="equal">
      <formula>"Pass"</formula>
    </cfRule>
    <cfRule type="cellIs" dxfId="3165" priority="3096" stopIfTrue="1" operator="equal">
      <formula>"Fail"</formula>
    </cfRule>
  </conditionalFormatting>
  <conditionalFormatting sqref="I776:L776">
    <cfRule type="cellIs" dxfId="3164" priority="3093" stopIfTrue="1" operator="equal">
      <formula>"Pass"</formula>
    </cfRule>
    <cfRule type="cellIs" dxfId="3163" priority="3094" stopIfTrue="1" operator="equal">
      <formula>"Fail"</formula>
    </cfRule>
  </conditionalFormatting>
  <conditionalFormatting sqref="G776">
    <cfRule type="cellIs" dxfId="3162" priority="3091" stopIfTrue="1" operator="equal">
      <formula>"Pass"</formula>
    </cfRule>
    <cfRule type="cellIs" dxfId="3161" priority="3092" stopIfTrue="1" operator="equal">
      <formula>"Fail"</formula>
    </cfRule>
  </conditionalFormatting>
  <conditionalFormatting sqref="G776">
    <cfRule type="cellIs" dxfId="3160" priority="3089" stopIfTrue="1" operator="equal">
      <formula>"Pass"</formula>
    </cfRule>
    <cfRule type="cellIs" dxfId="3159" priority="3090" stopIfTrue="1" operator="equal">
      <formula>"Fail"</formula>
    </cfRule>
  </conditionalFormatting>
  <conditionalFormatting sqref="G776">
    <cfRule type="cellIs" dxfId="3158" priority="3087" stopIfTrue="1" operator="equal">
      <formula>"Pass"</formula>
    </cfRule>
    <cfRule type="cellIs" dxfId="3157" priority="3088" stopIfTrue="1" operator="equal">
      <formula>"Fail"</formula>
    </cfRule>
  </conditionalFormatting>
  <conditionalFormatting sqref="G776">
    <cfRule type="cellIs" dxfId="3156" priority="3085" stopIfTrue="1" operator="equal">
      <formula>"Pass"</formula>
    </cfRule>
    <cfRule type="cellIs" dxfId="3155" priority="3086" stopIfTrue="1" operator="equal">
      <formula>"Fail"</formula>
    </cfRule>
  </conditionalFormatting>
  <conditionalFormatting sqref="G776">
    <cfRule type="cellIs" dxfId="3154" priority="3083" stopIfTrue="1" operator="equal">
      <formula>"Pass"</formula>
    </cfRule>
    <cfRule type="cellIs" dxfId="3153" priority="3084" stopIfTrue="1" operator="equal">
      <formula>"Fail"</formula>
    </cfRule>
  </conditionalFormatting>
  <conditionalFormatting sqref="G776">
    <cfRule type="cellIs" dxfId="3152" priority="3081" stopIfTrue="1" operator="equal">
      <formula>"Pass"</formula>
    </cfRule>
    <cfRule type="cellIs" dxfId="3151" priority="3082" stopIfTrue="1" operator="equal">
      <formula>"Fail"</formula>
    </cfRule>
  </conditionalFormatting>
  <conditionalFormatting sqref="H776:L776">
    <cfRule type="cellIs" dxfId="3150" priority="3079" stopIfTrue="1" operator="equal">
      <formula>"Pass"</formula>
    </cfRule>
    <cfRule type="cellIs" dxfId="3149" priority="3080" stopIfTrue="1" operator="equal">
      <formula>"Fail"</formula>
    </cfRule>
  </conditionalFormatting>
  <conditionalFormatting sqref="H776:L776">
    <cfRule type="cellIs" dxfId="3148" priority="3077" stopIfTrue="1" operator="equal">
      <formula>"Pass"</formula>
    </cfRule>
    <cfRule type="cellIs" dxfId="3147" priority="3078" stopIfTrue="1" operator="equal">
      <formula>"Fail"</formula>
    </cfRule>
  </conditionalFormatting>
  <conditionalFormatting sqref="I776:L776">
    <cfRule type="cellIs" dxfId="3146" priority="3075" stopIfTrue="1" operator="equal">
      <formula>"Pass"</formula>
    </cfRule>
    <cfRule type="cellIs" dxfId="3145" priority="3076" stopIfTrue="1" operator="equal">
      <formula>"Fail"</formula>
    </cfRule>
  </conditionalFormatting>
  <conditionalFormatting sqref="I776:L776">
    <cfRule type="cellIs" dxfId="3144" priority="3073" stopIfTrue="1" operator="equal">
      <formula>"Pass"</formula>
    </cfRule>
    <cfRule type="cellIs" dxfId="3143" priority="3074" stopIfTrue="1" operator="equal">
      <formula>"Fail"</formula>
    </cfRule>
  </conditionalFormatting>
  <conditionalFormatting sqref="I776:L776">
    <cfRule type="cellIs" dxfId="3142" priority="3071" stopIfTrue="1" operator="equal">
      <formula>"Pass"</formula>
    </cfRule>
    <cfRule type="cellIs" dxfId="3141" priority="3072" stopIfTrue="1" operator="equal">
      <formula>"Fail"</formula>
    </cfRule>
  </conditionalFormatting>
  <conditionalFormatting sqref="I776:L776">
    <cfRule type="cellIs" dxfId="3140" priority="3069" stopIfTrue="1" operator="equal">
      <formula>"Pass"</formula>
    </cfRule>
    <cfRule type="cellIs" dxfId="3139" priority="3070" stopIfTrue="1" operator="equal">
      <formula>"Fail"</formula>
    </cfRule>
  </conditionalFormatting>
  <conditionalFormatting sqref="H776:L776">
    <cfRule type="cellIs" dxfId="3138" priority="3067" stopIfTrue="1" operator="equal">
      <formula>"Pass"</formula>
    </cfRule>
    <cfRule type="cellIs" dxfId="3137" priority="3068" stopIfTrue="1" operator="equal">
      <formula>"Fail"</formula>
    </cfRule>
  </conditionalFormatting>
  <conditionalFormatting sqref="H776:L776">
    <cfRule type="cellIs" dxfId="3136" priority="3065" stopIfTrue="1" operator="equal">
      <formula>"Pass"</formula>
    </cfRule>
    <cfRule type="cellIs" dxfId="3135" priority="3066" stopIfTrue="1" operator="equal">
      <formula>"Fail"</formula>
    </cfRule>
  </conditionalFormatting>
  <conditionalFormatting sqref="I776:L776">
    <cfRule type="cellIs" dxfId="3134" priority="3063" stopIfTrue="1" operator="equal">
      <formula>"Pass"</formula>
    </cfRule>
    <cfRule type="cellIs" dxfId="3133" priority="3064" stopIfTrue="1" operator="equal">
      <formula>"Fail"</formula>
    </cfRule>
  </conditionalFormatting>
  <conditionalFormatting sqref="I776:L776">
    <cfRule type="cellIs" dxfId="3132" priority="3061" stopIfTrue="1" operator="equal">
      <formula>"Pass"</formula>
    </cfRule>
    <cfRule type="cellIs" dxfId="3131" priority="3062" stopIfTrue="1" operator="equal">
      <formula>"Fail"</formula>
    </cfRule>
  </conditionalFormatting>
  <conditionalFormatting sqref="I776:L776">
    <cfRule type="cellIs" dxfId="3130" priority="3059" stopIfTrue="1" operator="equal">
      <formula>"Pass"</formula>
    </cfRule>
    <cfRule type="cellIs" dxfId="3129" priority="3060" stopIfTrue="1" operator="equal">
      <formula>"Fail"</formula>
    </cfRule>
  </conditionalFormatting>
  <conditionalFormatting sqref="I776:L776">
    <cfRule type="cellIs" dxfId="3128" priority="3057" stopIfTrue="1" operator="equal">
      <formula>"Pass"</formula>
    </cfRule>
    <cfRule type="cellIs" dxfId="3127" priority="3058" stopIfTrue="1" operator="equal">
      <formula>"Fail"</formula>
    </cfRule>
  </conditionalFormatting>
  <conditionalFormatting sqref="H776:L776">
    <cfRule type="cellIs" dxfId="3126" priority="3055" stopIfTrue="1" operator="equal">
      <formula>"Pass"</formula>
    </cfRule>
    <cfRule type="cellIs" dxfId="3125" priority="3056" stopIfTrue="1" operator="equal">
      <formula>"Fail"</formula>
    </cfRule>
  </conditionalFormatting>
  <conditionalFormatting sqref="H776:L776">
    <cfRule type="cellIs" dxfId="3124" priority="3053" stopIfTrue="1" operator="equal">
      <formula>"Pass"</formula>
    </cfRule>
    <cfRule type="cellIs" dxfId="3123" priority="3054" stopIfTrue="1" operator="equal">
      <formula>"Fail"</formula>
    </cfRule>
  </conditionalFormatting>
  <conditionalFormatting sqref="I776:L776">
    <cfRule type="cellIs" dxfId="3122" priority="3051" stopIfTrue="1" operator="equal">
      <formula>"Pass"</formula>
    </cfRule>
    <cfRule type="cellIs" dxfId="3121" priority="3052" stopIfTrue="1" operator="equal">
      <formula>"Fail"</formula>
    </cfRule>
  </conditionalFormatting>
  <conditionalFormatting sqref="I776:L776">
    <cfRule type="cellIs" dxfId="3120" priority="3049" stopIfTrue="1" operator="equal">
      <formula>"Pass"</formula>
    </cfRule>
    <cfRule type="cellIs" dxfId="3119" priority="3050" stopIfTrue="1" operator="equal">
      <formula>"Fail"</formula>
    </cfRule>
  </conditionalFormatting>
  <conditionalFormatting sqref="I776:L776">
    <cfRule type="cellIs" dxfId="3118" priority="3047" stopIfTrue="1" operator="equal">
      <formula>"Pass"</formula>
    </cfRule>
    <cfRule type="cellIs" dxfId="3117" priority="3048" stopIfTrue="1" operator="equal">
      <formula>"Fail"</formula>
    </cfRule>
  </conditionalFormatting>
  <conditionalFormatting sqref="I776:L776">
    <cfRule type="cellIs" dxfId="3116" priority="3045" stopIfTrue="1" operator="equal">
      <formula>"Pass"</formula>
    </cfRule>
    <cfRule type="cellIs" dxfId="3115" priority="3046" stopIfTrue="1" operator="equal">
      <formula>"Fail"</formula>
    </cfRule>
  </conditionalFormatting>
  <conditionalFormatting sqref="H776:L776">
    <cfRule type="cellIs" dxfId="3114" priority="3043" stopIfTrue="1" operator="equal">
      <formula>"Pass"</formula>
    </cfRule>
    <cfRule type="cellIs" dxfId="3113" priority="3044" stopIfTrue="1" operator="equal">
      <formula>"Fail"</formula>
    </cfRule>
  </conditionalFormatting>
  <conditionalFormatting sqref="H776:L776">
    <cfRule type="cellIs" dxfId="3112" priority="3041" stopIfTrue="1" operator="equal">
      <formula>"Pass"</formula>
    </cfRule>
    <cfRule type="cellIs" dxfId="3111" priority="3042" stopIfTrue="1" operator="equal">
      <formula>"Fail"</formula>
    </cfRule>
  </conditionalFormatting>
  <conditionalFormatting sqref="I776:L776">
    <cfRule type="cellIs" dxfId="3110" priority="3039" stopIfTrue="1" operator="equal">
      <formula>"Pass"</formula>
    </cfRule>
    <cfRule type="cellIs" dxfId="3109" priority="3040" stopIfTrue="1" operator="equal">
      <formula>"Fail"</formula>
    </cfRule>
  </conditionalFormatting>
  <conditionalFormatting sqref="I776:L776">
    <cfRule type="cellIs" dxfId="3108" priority="3037" stopIfTrue="1" operator="equal">
      <formula>"Pass"</formula>
    </cfRule>
    <cfRule type="cellIs" dxfId="3107" priority="3038" stopIfTrue="1" operator="equal">
      <formula>"Fail"</formula>
    </cfRule>
  </conditionalFormatting>
  <conditionalFormatting sqref="I776:L776">
    <cfRule type="cellIs" dxfId="3106" priority="3035" stopIfTrue="1" operator="equal">
      <formula>"Pass"</formula>
    </cfRule>
    <cfRule type="cellIs" dxfId="3105" priority="3036" stopIfTrue="1" operator="equal">
      <formula>"Fail"</formula>
    </cfRule>
  </conditionalFormatting>
  <conditionalFormatting sqref="I776:L776">
    <cfRule type="cellIs" dxfId="3104" priority="3033" stopIfTrue="1" operator="equal">
      <formula>"Pass"</formula>
    </cfRule>
    <cfRule type="cellIs" dxfId="3103" priority="3034" stopIfTrue="1" operator="equal">
      <formula>"Fail"</formula>
    </cfRule>
  </conditionalFormatting>
  <conditionalFormatting sqref="G776">
    <cfRule type="cellIs" dxfId="3102" priority="3031" stopIfTrue="1" operator="equal">
      <formula>"Pass"</formula>
    </cfRule>
    <cfRule type="cellIs" dxfId="3101" priority="3032" stopIfTrue="1" operator="equal">
      <formula>"Fail"</formula>
    </cfRule>
  </conditionalFormatting>
  <conditionalFormatting sqref="G776">
    <cfRule type="cellIs" dxfId="3100" priority="3029" stopIfTrue="1" operator="equal">
      <formula>"Pass"</formula>
    </cfRule>
    <cfRule type="cellIs" dxfId="3099" priority="3030" stopIfTrue="1" operator="equal">
      <formula>"Fail"</formula>
    </cfRule>
  </conditionalFormatting>
  <conditionalFormatting sqref="G776">
    <cfRule type="cellIs" dxfId="3098" priority="3027" stopIfTrue="1" operator="equal">
      <formula>"Pass"</formula>
    </cfRule>
    <cfRule type="cellIs" dxfId="3097" priority="3028" stopIfTrue="1" operator="equal">
      <formula>"Fail"</formula>
    </cfRule>
  </conditionalFormatting>
  <conditionalFormatting sqref="G776">
    <cfRule type="cellIs" dxfId="3096" priority="3025" stopIfTrue="1" operator="equal">
      <formula>"Pass"</formula>
    </cfRule>
    <cfRule type="cellIs" dxfId="3095" priority="3026" stopIfTrue="1" operator="equal">
      <formula>"Fail"</formula>
    </cfRule>
  </conditionalFormatting>
  <conditionalFormatting sqref="G776">
    <cfRule type="cellIs" dxfId="3094" priority="3023" stopIfTrue="1" operator="equal">
      <formula>"Pass"</formula>
    </cfRule>
    <cfRule type="cellIs" dxfId="3093" priority="3024" stopIfTrue="1" operator="equal">
      <formula>"Fail"</formula>
    </cfRule>
  </conditionalFormatting>
  <conditionalFormatting sqref="G776">
    <cfRule type="cellIs" dxfId="3092" priority="3021" stopIfTrue="1" operator="equal">
      <formula>"Pass"</formula>
    </cfRule>
    <cfRule type="cellIs" dxfId="3091" priority="3022" stopIfTrue="1" operator="equal">
      <formula>"Fail"</formula>
    </cfRule>
  </conditionalFormatting>
  <conditionalFormatting sqref="H776:L776">
    <cfRule type="cellIs" dxfId="3090" priority="3019" stopIfTrue="1" operator="equal">
      <formula>"Pass"</formula>
    </cfRule>
    <cfRule type="cellIs" dxfId="3089" priority="3020" stopIfTrue="1" operator="equal">
      <formula>"Fail"</formula>
    </cfRule>
  </conditionalFormatting>
  <conditionalFormatting sqref="H776:L776">
    <cfRule type="cellIs" dxfId="3088" priority="3017" stopIfTrue="1" operator="equal">
      <formula>"Pass"</formula>
    </cfRule>
    <cfRule type="cellIs" dxfId="3087" priority="3018" stopIfTrue="1" operator="equal">
      <formula>"Fail"</formula>
    </cfRule>
  </conditionalFormatting>
  <conditionalFormatting sqref="I776:L776">
    <cfRule type="cellIs" dxfId="3086" priority="3015" stopIfTrue="1" operator="equal">
      <formula>"Pass"</formula>
    </cfRule>
    <cfRule type="cellIs" dxfId="3085" priority="3016" stopIfTrue="1" operator="equal">
      <formula>"Fail"</formula>
    </cfRule>
  </conditionalFormatting>
  <conditionalFormatting sqref="I776:L776">
    <cfRule type="cellIs" dxfId="3084" priority="3013" stopIfTrue="1" operator="equal">
      <formula>"Pass"</formula>
    </cfRule>
    <cfRule type="cellIs" dxfId="3083" priority="3014" stopIfTrue="1" operator="equal">
      <formula>"Fail"</formula>
    </cfRule>
  </conditionalFormatting>
  <conditionalFormatting sqref="I776:L776">
    <cfRule type="cellIs" dxfId="3082" priority="3011" stopIfTrue="1" operator="equal">
      <formula>"Pass"</formula>
    </cfRule>
    <cfRule type="cellIs" dxfId="3081" priority="3012" stopIfTrue="1" operator="equal">
      <formula>"Fail"</formula>
    </cfRule>
  </conditionalFormatting>
  <conditionalFormatting sqref="I776:L776">
    <cfRule type="cellIs" dxfId="3080" priority="3009" stopIfTrue="1" operator="equal">
      <formula>"Pass"</formula>
    </cfRule>
    <cfRule type="cellIs" dxfId="3079" priority="3010" stopIfTrue="1" operator="equal">
      <formula>"Fail"</formula>
    </cfRule>
  </conditionalFormatting>
  <conditionalFormatting sqref="H776:L776">
    <cfRule type="cellIs" dxfId="3078" priority="3007" stopIfTrue="1" operator="equal">
      <formula>"Pass"</formula>
    </cfRule>
    <cfRule type="cellIs" dxfId="3077" priority="3008" stopIfTrue="1" operator="equal">
      <formula>"Fail"</formula>
    </cfRule>
  </conditionalFormatting>
  <conditionalFormatting sqref="H776:L776">
    <cfRule type="cellIs" dxfId="3076" priority="3005" stopIfTrue="1" operator="equal">
      <formula>"Pass"</formula>
    </cfRule>
    <cfRule type="cellIs" dxfId="3075" priority="3006" stopIfTrue="1" operator="equal">
      <formula>"Fail"</formula>
    </cfRule>
  </conditionalFormatting>
  <conditionalFormatting sqref="I776:L776">
    <cfRule type="cellIs" dxfId="3074" priority="3003" stopIfTrue="1" operator="equal">
      <formula>"Pass"</formula>
    </cfRule>
    <cfRule type="cellIs" dxfId="3073" priority="3004" stopIfTrue="1" operator="equal">
      <formula>"Fail"</formula>
    </cfRule>
  </conditionalFormatting>
  <conditionalFormatting sqref="I776:L776">
    <cfRule type="cellIs" dxfId="3072" priority="3001" stopIfTrue="1" operator="equal">
      <formula>"Pass"</formula>
    </cfRule>
    <cfRule type="cellIs" dxfId="3071" priority="3002" stopIfTrue="1" operator="equal">
      <formula>"Fail"</formula>
    </cfRule>
  </conditionalFormatting>
  <conditionalFormatting sqref="I776:L776">
    <cfRule type="cellIs" dxfId="3070" priority="2999" stopIfTrue="1" operator="equal">
      <formula>"Pass"</formula>
    </cfRule>
    <cfRule type="cellIs" dxfId="3069" priority="3000" stopIfTrue="1" operator="equal">
      <formula>"Fail"</formula>
    </cfRule>
  </conditionalFormatting>
  <conditionalFormatting sqref="I776:L776">
    <cfRule type="cellIs" dxfId="3068" priority="2997" stopIfTrue="1" operator="equal">
      <formula>"Pass"</formula>
    </cfRule>
    <cfRule type="cellIs" dxfId="3067" priority="2998" stopIfTrue="1" operator="equal">
      <formula>"Fail"</formula>
    </cfRule>
  </conditionalFormatting>
  <conditionalFormatting sqref="H776:L776">
    <cfRule type="cellIs" dxfId="3066" priority="2995" stopIfTrue="1" operator="equal">
      <formula>"Pass"</formula>
    </cfRule>
    <cfRule type="cellIs" dxfId="3065" priority="2996" stopIfTrue="1" operator="equal">
      <formula>"Fail"</formula>
    </cfRule>
  </conditionalFormatting>
  <conditionalFormatting sqref="H776:L776">
    <cfRule type="cellIs" dxfId="3064" priority="2993" stopIfTrue="1" operator="equal">
      <formula>"Pass"</formula>
    </cfRule>
    <cfRule type="cellIs" dxfId="3063" priority="2994" stopIfTrue="1" operator="equal">
      <formula>"Fail"</formula>
    </cfRule>
  </conditionalFormatting>
  <conditionalFormatting sqref="I776:L776">
    <cfRule type="cellIs" dxfId="3062" priority="2991" stopIfTrue="1" operator="equal">
      <formula>"Pass"</formula>
    </cfRule>
    <cfRule type="cellIs" dxfId="3061" priority="2992" stopIfTrue="1" operator="equal">
      <formula>"Fail"</formula>
    </cfRule>
  </conditionalFormatting>
  <conditionalFormatting sqref="I776:L776">
    <cfRule type="cellIs" dxfId="3060" priority="2989" stopIfTrue="1" operator="equal">
      <formula>"Pass"</formula>
    </cfRule>
    <cfRule type="cellIs" dxfId="3059" priority="2990" stopIfTrue="1" operator="equal">
      <formula>"Fail"</formula>
    </cfRule>
  </conditionalFormatting>
  <conditionalFormatting sqref="I776:L776">
    <cfRule type="cellIs" dxfId="3058" priority="2987" stopIfTrue="1" operator="equal">
      <formula>"Pass"</formula>
    </cfRule>
    <cfRule type="cellIs" dxfId="3057" priority="2988" stopIfTrue="1" operator="equal">
      <formula>"Fail"</formula>
    </cfRule>
  </conditionalFormatting>
  <conditionalFormatting sqref="I776:L776">
    <cfRule type="cellIs" dxfId="3056" priority="2985" stopIfTrue="1" operator="equal">
      <formula>"Pass"</formula>
    </cfRule>
    <cfRule type="cellIs" dxfId="3055" priority="2986" stopIfTrue="1" operator="equal">
      <formula>"Fail"</formula>
    </cfRule>
  </conditionalFormatting>
  <conditionalFormatting sqref="H776:L776">
    <cfRule type="cellIs" dxfId="3054" priority="2983" stopIfTrue="1" operator="equal">
      <formula>"Pass"</formula>
    </cfRule>
    <cfRule type="cellIs" dxfId="3053" priority="2984" stopIfTrue="1" operator="equal">
      <formula>"Fail"</formula>
    </cfRule>
  </conditionalFormatting>
  <conditionalFormatting sqref="H776:L776">
    <cfRule type="cellIs" dxfId="3052" priority="2981" stopIfTrue="1" operator="equal">
      <formula>"Pass"</formula>
    </cfRule>
    <cfRule type="cellIs" dxfId="3051" priority="2982" stopIfTrue="1" operator="equal">
      <formula>"Fail"</formula>
    </cfRule>
  </conditionalFormatting>
  <conditionalFormatting sqref="I776:L776">
    <cfRule type="cellIs" dxfId="3050" priority="2979" stopIfTrue="1" operator="equal">
      <formula>"Pass"</formula>
    </cfRule>
    <cfRule type="cellIs" dxfId="3049" priority="2980" stopIfTrue="1" operator="equal">
      <formula>"Fail"</formula>
    </cfRule>
  </conditionalFormatting>
  <conditionalFormatting sqref="I776:L776">
    <cfRule type="cellIs" dxfId="3048" priority="2977" stopIfTrue="1" operator="equal">
      <formula>"Pass"</formula>
    </cfRule>
    <cfRule type="cellIs" dxfId="3047" priority="2978" stopIfTrue="1" operator="equal">
      <formula>"Fail"</formula>
    </cfRule>
  </conditionalFormatting>
  <conditionalFormatting sqref="I776:L776">
    <cfRule type="cellIs" dxfId="3046" priority="2975" stopIfTrue="1" operator="equal">
      <formula>"Pass"</formula>
    </cfRule>
    <cfRule type="cellIs" dxfId="3045" priority="2976" stopIfTrue="1" operator="equal">
      <formula>"Fail"</formula>
    </cfRule>
  </conditionalFormatting>
  <conditionalFormatting sqref="I776:L776">
    <cfRule type="cellIs" dxfId="3044" priority="2973" stopIfTrue="1" operator="equal">
      <formula>"Pass"</formula>
    </cfRule>
    <cfRule type="cellIs" dxfId="3043" priority="2974" stopIfTrue="1" operator="equal">
      <formula>"Fail"</formula>
    </cfRule>
  </conditionalFormatting>
  <conditionalFormatting sqref="G776">
    <cfRule type="cellIs" dxfId="3042" priority="2971" stopIfTrue="1" operator="equal">
      <formula>"Pass"</formula>
    </cfRule>
    <cfRule type="cellIs" dxfId="3041" priority="2972" stopIfTrue="1" operator="equal">
      <formula>"Fail"</formula>
    </cfRule>
  </conditionalFormatting>
  <conditionalFormatting sqref="G776">
    <cfRule type="cellIs" dxfId="3040" priority="2969" stopIfTrue="1" operator="equal">
      <formula>"Pass"</formula>
    </cfRule>
    <cfRule type="cellIs" dxfId="3039" priority="2970" stopIfTrue="1" operator="equal">
      <formula>"Fail"</formula>
    </cfRule>
  </conditionalFormatting>
  <conditionalFormatting sqref="G776">
    <cfRule type="cellIs" dxfId="3038" priority="2967" stopIfTrue="1" operator="equal">
      <formula>"Pass"</formula>
    </cfRule>
    <cfRule type="cellIs" dxfId="3037" priority="2968" stopIfTrue="1" operator="equal">
      <formula>"Fail"</formula>
    </cfRule>
  </conditionalFormatting>
  <conditionalFormatting sqref="G776">
    <cfRule type="cellIs" dxfId="3036" priority="2965" stopIfTrue="1" operator="equal">
      <formula>"Pass"</formula>
    </cfRule>
    <cfRule type="cellIs" dxfId="3035" priority="2966" stopIfTrue="1" operator="equal">
      <formula>"Fail"</formula>
    </cfRule>
  </conditionalFormatting>
  <conditionalFormatting sqref="G776">
    <cfRule type="cellIs" dxfId="3034" priority="2963" stopIfTrue="1" operator="equal">
      <formula>"Pass"</formula>
    </cfRule>
    <cfRule type="cellIs" dxfId="3033" priority="2964" stopIfTrue="1" operator="equal">
      <formula>"Fail"</formula>
    </cfRule>
  </conditionalFormatting>
  <conditionalFormatting sqref="G776">
    <cfRule type="cellIs" dxfId="3032" priority="2961" stopIfTrue="1" operator="equal">
      <formula>"Pass"</formula>
    </cfRule>
    <cfRule type="cellIs" dxfId="3031" priority="2962" stopIfTrue="1" operator="equal">
      <formula>"Fail"</formula>
    </cfRule>
  </conditionalFormatting>
  <conditionalFormatting sqref="G776">
    <cfRule type="cellIs" dxfId="3030" priority="2959" stopIfTrue="1" operator="equal">
      <formula>"Pass"</formula>
    </cfRule>
    <cfRule type="cellIs" dxfId="3029" priority="2960" stopIfTrue="1" operator="equal">
      <formula>"Fail"</formula>
    </cfRule>
  </conditionalFormatting>
  <conditionalFormatting sqref="G776">
    <cfRule type="cellIs" dxfId="3028" priority="2957" stopIfTrue="1" operator="equal">
      <formula>"Pass"</formula>
    </cfRule>
    <cfRule type="cellIs" dxfId="3027" priority="2958" stopIfTrue="1" operator="equal">
      <formula>"Fail"</formula>
    </cfRule>
  </conditionalFormatting>
  <conditionalFormatting sqref="G776">
    <cfRule type="cellIs" dxfId="3026" priority="2955" stopIfTrue="1" operator="equal">
      <formula>"Pass"</formula>
    </cfRule>
    <cfRule type="cellIs" dxfId="3025" priority="2956" stopIfTrue="1" operator="equal">
      <formula>"Fail"</formula>
    </cfRule>
  </conditionalFormatting>
  <conditionalFormatting sqref="G776">
    <cfRule type="cellIs" dxfId="3024" priority="2953" stopIfTrue="1" operator="equal">
      <formula>"Pass"</formula>
    </cfRule>
    <cfRule type="cellIs" dxfId="3023" priority="2954" stopIfTrue="1" operator="equal">
      <formula>"Fail"</formula>
    </cfRule>
  </conditionalFormatting>
  <conditionalFormatting sqref="G776">
    <cfRule type="cellIs" dxfId="3022" priority="2951" stopIfTrue="1" operator="equal">
      <formula>"Pass"</formula>
    </cfRule>
    <cfRule type="cellIs" dxfId="3021" priority="2952" stopIfTrue="1" operator="equal">
      <formula>"Fail"</formula>
    </cfRule>
  </conditionalFormatting>
  <conditionalFormatting sqref="G776">
    <cfRule type="cellIs" dxfId="3020" priority="2949" stopIfTrue="1" operator="equal">
      <formula>"Pass"</formula>
    </cfRule>
    <cfRule type="cellIs" dxfId="3019" priority="2950" stopIfTrue="1" operator="equal">
      <formula>"Fail"</formula>
    </cfRule>
  </conditionalFormatting>
  <conditionalFormatting sqref="H776:L776">
    <cfRule type="cellIs" dxfId="3018" priority="2947" stopIfTrue="1" operator="equal">
      <formula>"Pass"</formula>
    </cfRule>
    <cfRule type="cellIs" dxfId="3017" priority="2948" stopIfTrue="1" operator="equal">
      <formula>"Fail"</formula>
    </cfRule>
  </conditionalFormatting>
  <conditionalFormatting sqref="H776:L776">
    <cfRule type="cellIs" dxfId="3016" priority="2945" stopIfTrue="1" operator="equal">
      <formula>"Pass"</formula>
    </cfRule>
    <cfRule type="cellIs" dxfId="3015" priority="2946" stopIfTrue="1" operator="equal">
      <formula>"Fail"</formula>
    </cfRule>
  </conditionalFormatting>
  <conditionalFormatting sqref="I776:L776">
    <cfRule type="cellIs" dxfId="3014" priority="2943" stopIfTrue="1" operator="equal">
      <formula>"Pass"</formula>
    </cfRule>
    <cfRule type="cellIs" dxfId="3013" priority="2944" stopIfTrue="1" operator="equal">
      <formula>"Fail"</formula>
    </cfRule>
  </conditionalFormatting>
  <conditionalFormatting sqref="I776:L776">
    <cfRule type="cellIs" dxfId="3012" priority="2941" stopIfTrue="1" operator="equal">
      <formula>"Pass"</formula>
    </cfRule>
    <cfRule type="cellIs" dxfId="3011" priority="2942" stopIfTrue="1" operator="equal">
      <formula>"Fail"</formula>
    </cfRule>
  </conditionalFormatting>
  <conditionalFormatting sqref="I776:L776">
    <cfRule type="cellIs" dxfId="3010" priority="2939" stopIfTrue="1" operator="equal">
      <formula>"Pass"</formula>
    </cfRule>
    <cfRule type="cellIs" dxfId="3009" priority="2940" stopIfTrue="1" operator="equal">
      <formula>"Fail"</formula>
    </cfRule>
  </conditionalFormatting>
  <conditionalFormatting sqref="I776:L776">
    <cfRule type="cellIs" dxfId="3008" priority="2937" stopIfTrue="1" operator="equal">
      <formula>"Pass"</formula>
    </cfRule>
    <cfRule type="cellIs" dxfId="3007" priority="2938" stopIfTrue="1" operator="equal">
      <formula>"Fail"</formula>
    </cfRule>
  </conditionalFormatting>
  <conditionalFormatting sqref="H776:L776">
    <cfRule type="cellIs" dxfId="3006" priority="2935" stopIfTrue="1" operator="equal">
      <formula>"Pass"</formula>
    </cfRule>
    <cfRule type="cellIs" dxfId="3005" priority="2936" stopIfTrue="1" operator="equal">
      <formula>"Fail"</formula>
    </cfRule>
  </conditionalFormatting>
  <conditionalFormatting sqref="H776:L776">
    <cfRule type="cellIs" dxfId="3004" priority="2933" stopIfTrue="1" operator="equal">
      <formula>"Pass"</formula>
    </cfRule>
    <cfRule type="cellIs" dxfId="3003" priority="2934" stopIfTrue="1" operator="equal">
      <formula>"Fail"</formula>
    </cfRule>
  </conditionalFormatting>
  <conditionalFormatting sqref="I776:L776">
    <cfRule type="cellIs" dxfId="3002" priority="2931" stopIfTrue="1" operator="equal">
      <formula>"Pass"</formula>
    </cfRule>
    <cfRule type="cellIs" dxfId="3001" priority="2932" stopIfTrue="1" operator="equal">
      <formula>"Fail"</formula>
    </cfRule>
  </conditionalFormatting>
  <conditionalFormatting sqref="I776:L776">
    <cfRule type="cellIs" dxfId="3000" priority="2929" stopIfTrue="1" operator="equal">
      <formula>"Pass"</formula>
    </cfRule>
    <cfRule type="cellIs" dxfId="2999" priority="2930" stopIfTrue="1" operator="equal">
      <formula>"Fail"</formula>
    </cfRule>
  </conditionalFormatting>
  <conditionalFormatting sqref="I776:L776">
    <cfRule type="cellIs" dxfId="2998" priority="2927" stopIfTrue="1" operator="equal">
      <formula>"Pass"</formula>
    </cfRule>
    <cfRule type="cellIs" dxfId="2997" priority="2928" stopIfTrue="1" operator="equal">
      <formula>"Fail"</formula>
    </cfRule>
  </conditionalFormatting>
  <conditionalFormatting sqref="I776:L776">
    <cfRule type="cellIs" dxfId="2996" priority="2925" stopIfTrue="1" operator="equal">
      <formula>"Pass"</formula>
    </cfRule>
    <cfRule type="cellIs" dxfId="2995" priority="2926" stopIfTrue="1" operator="equal">
      <formula>"Fail"</formula>
    </cfRule>
  </conditionalFormatting>
  <conditionalFormatting sqref="H776:L776">
    <cfRule type="cellIs" dxfId="2994" priority="2923" stopIfTrue="1" operator="equal">
      <formula>"Pass"</formula>
    </cfRule>
    <cfRule type="cellIs" dxfId="2993" priority="2924" stopIfTrue="1" operator="equal">
      <formula>"Fail"</formula>
    </cfRule>
  </conditionalFormatting>
  <conditionalFormatting sqref="H776:L776">
    <cfRule type="cellIs" dxfId="2992" priority="2921" stopIfTrue="1" operator="equal">
      <formula>"Pass"</formula>
    </cfRule>
    <cfRule type="cellIs" dxfId="2991" priority="2922" stopIfTrue="1" operator="equal">
      <formula>"Fail"</formula>
    </cfRule>
  </conditionalFormatting>
  <conditionalFormatting sqref="I776:L776">
    <cfRule type="cellIs" dxfId="2990" priority="2919" stopIfTrue="1" operator="equal">
      <formula>"Pass"</formula>
    </cfRule>
    <cfRule type="cellIs" dxfId="2989" priority="2920" stopIfTrue="1" operator="equal">
      <formula>"Fail"</formula>
    </cfRule>
  </conditionalFormatting>
  <conditionalFormatting sqref="I776:L776">
    <cfRule type="cellIs" dxfId="2988" priority="2917" stopIfTrue="1" operator="equal">
      <formula>"Pass"</formula>
    </cfRule>
    <cfRule type="cellIs" dxfId="2987" priority="2918" stopIfTrue="1" operator="equal">
      <formula>"Fail"</formula>
    </cfRule>
  </conditionalFormatting>
  <conditionalFormatting sqref="I776:L776">
    <cfRule type="cellIs" dxfId="2986" priority="2915" stopIfTrue="1" operator="equal">
      <formula>"Pass"</formula>
    </cfRule>
    <cfRule type="cellIs" dxfId="2985" priority="2916" stopIfTrue="1" operator="equal">
      <formula>"Fail"</formula>
    </cfRule>
  </conditionalFormatting>
  <conditionalFormatting sqref="I776:L776">
    <cfRule type="cellIs" dxfId="2984" priority="2913" stopIfTrue="1" operator="equal">
      <formula>"Pass"</formula>
    </cfRule>
    <cfRule type="cellIs" dxfId="2983" priority="2914" stopIfTrue="1" operator="equal">
      <formula>"Fail"</formula>
    </cfRule>
  </conditionalFormatting>
  <conditionalFormatting sqref="H776:L776">
    <cfRule type="cellIs" dxfId="2982" priority="2911" stopIfTrue="1" operator="equal">
      <formula>"Pass"</formula>
    </cfRule>
    <cfRule type="cellIs" dxfId="2981" priority="2912" stopIfTrue="1" operator="equal">
      <formula>"Fail"</formula>
    </cfRule>
  </conditionalFormatting>
  <conditionalFormatting sqref="H776:L776">
    <cfRule type="cellIs" dxfId="2980" priority="2909" stopIfTrue="1" operator="equal">
      <formula>"Pass"</formula>
    </cfRule>
    <cfRule type="cellIs" dxfId="2979" priority="2910" stopIfTrue="1" operator="equal">
      <formula>"Fail"</formula>
    </cfRule>
  </conditionalFormatting>
  <conditionalFormatting sqref="I776:L776">
    <cfRule type="cellIs" dxfId="2978" priority="2907" stopIfTrue="1" operator="equal">
      <formula>"Pass"</formula>
    </cfRule>
    <cfRule type="cellIs" dxfId="2977" priority="2908" stopIfTrue="1" operator="equal">
      <formula>"Fail"</formula>
    </cfRule>
  </conditionalFormatting>
  <conditionalFormatting sqref="I776:L776">
    <cfRule type="cellIs" dxfId="2976" priority="2905" stopIfTrue="1" operator="equal">
      <formula>"Pass"</formula>
    </cfRule>
    <cfRule type="cellIs" dxfId="2975" priority="2906" stopIfTrue="1" operator="equal">
      <formula>"Fail"</formula>
    </cfRule>
  </conditionalFormatting>
  <conditionalFormatting sqref="I776:L776">
    <cfRule type="cellIs" dxfId="2974" priority="2903" stopIfTrue="1" operator="equal">
      <formula>"Pass"</formula>
    </cfRule>
    <cfRule type="cellIs" dxfId="2973" priority="2904" stopIfTrue="1" operator="equal">
      <formula>"Fail"</formula>
    </cfRule>
  </conditionalFormatting>
  <conditionalFormatting sqref="I776:L776">
    <cfRule type="cellIs" dxfId="2972" priority="2901" stopIfTrue="1" operator="equal">
      <formula>"Pass"</formula>
    </cfRule>
    <cfRule type="cellIs" dxfId="2971" priority="2902" stopIfTrue="1" operator="equal">
      <formula>"Fail"</formula>
    </cfRule>
  </conditionalFormatting>
  <conditionalFormatting sqref="H776:L776">
    <cfRule type="cellIs" dxfId="2970" priority="2899" stopIfTrue="1" operator="equal">
      <formula>"Pass"</formula>
    </cfRule>
    <cfRule type="cellIs" dxfId="2969" priority="2900" stopIfTrue="1" operator="equal">
      <formula>"Fail"</formula>
    </cfRule>
  </conditionalFormatting>
  <conditionalFormatting sqref="H776:L776">
    <cfRule type="cellIs" dxfId="2968" priority="2897" stopIfTrue="1" operator="equal">
      <formula>"Pass"</formula>
    </cfRule>
    <cfRule type="cellIs" dxfId="2967" priority="2898" stopIfTrue="1" operator="equal">
      <formula>"Fail"</formula>
    </cfRule>
  </conditionalFormatting>
  <conditionalFormatting sqref="I776:L776">
    <cfRule type="cellIs" dxfId="2966" priority="2895" stopIfTrue="1" operator="equal">
      <formula>"Pass"</formula>
    </cfRule>
    <cfRule type="cellIs" dxfId="2965" priority="2896" stopIfTrue="1" operator="equal">
      <formula>"Fail"</formula>
    </cfRule>
  </conditionalFormatting>
  <conditionalFormatting sqref="I776:L776">
    <cfRule type="cellIs" dxfId="2964" priority="2893" stopIfTrue="1" operator="equal">
      <formula>"Pass"</formula>
    </cfRule>
    <cfRule type="cellIs" dxfId="2963" priority="2894" stopIfTrue="1" operator="equal">
      <formula>"Fail"</formula>
    </cfRule>
  </conditionalFormatting>
  <conditionalFormatting sqref="I776:L776">
    <cfRule type="cellIs" dxfId="2962" priority="2891" stopIfTrue="1" operator="equal">
      <formula>"Pass"</formula>
    </cfRule>
    <cfRule type="cellIs" dxfId="2961" priority="2892" stopIfTrue="1" operator="equal">
      <formula>"Fail"</formula>
    </cfRule>
  </conditionalFormatting>
  <conditionalFormatting sqref="I776:L776">
    <cfRule type="cellIs" dxfId="2960" priority="2889" stopIfTrue="1" operator="equal">
      <formula>"Pass"</formula>
    </cfRule>
    <cfRule type="cellIs" dxfId="2959" priority="2890" stopIfTrue="1" operator="equal">
      <formula>"Fail"</formula>
    </cfRule>
  </conditionalFormatting>
  <conditionalFormatting sqref="G776">
    <cfRule type="cellIs" dxfId="2958" priority="2887" stopIfTrue="1" operator="equal">
      <formula>"Pass"</formula>
    </cfRule>
    <cfRule type="cellIs" dxfId="2957" priority="2888" stopIfTrue="1" operator="equal">
      <formula>"Fail"</formula>
    </cfRule>
  </conditionalFormatting>
  <conditionalFormatting sqref="G776">
    <cfRule type="cellIs" dxfId="2956" priority="2885" stopIfTrue="1" operator="equal">
      <formula>"Pass"</formula>
    </cfRule>
    <cfRule type="cellIs" dxfId="2955" priority="2886" stopIfTrue="1" operator="equal">
      <formula>"Fail"</formula>
    </cfRule>
  </conditionalFormatting>
  <conditionalFormatting sqref="G776">
    <cfRule type="cellIs" dxfId="2954" priority="2883" stopIfTrue="1" operator="equal">
      <formula>"Pass"</formula>
    </cfRule>
    <cfRule type="cellIs" dxfId="2953" priority="2884" stopIfTrue="1" operator="equal">
      <formula>"Fail"</formula>
    </cfRule>
  </conditionalFormatting>
  <conditionalFormatting sqref="G776">
    <cfRule type="cellIs" dxfId="2952" priority="2881" stopIfTrue="1" operator="equal">
      <formula>"Pass"</formula>
    </cfRule>
    <cfRule type="cellIs" dxfId="2951" priority="2882" stopIfTrue="1" operator="equal">
      <formula>"Fail"</formula>
    </cfRule>
  </conditionalFormatting>
  <conditionalFormatting sqref="G776">
    <cfRule type="cellIs" dxfId="2950" priority="2879" stopIfTrue="1" operator="equal">
      <formula>"Pass"</formula>
    </cfRule>
    <cfRule type="cellIs" dxfId="2949" priority="2880" stopIfTrue="1" operator="equal">
      <formula>"Fail"</formula>
    </cfRule>
  </conditionalFormatting>
  <conditionalFormatting sqref="G776">
    <cfRule type="cellIs" dxfId="2948" priority="2877" stopIfTrue="1" operator="equal">
      <formula>"Pass"</formula>
    </cfRule>
    <cfRule type="cellIs" dxfId="2947" priority="2878" stopIfTrue="1" operator="equal">
      <formula>"Fail"</formula>
    </cfRule>
  </conditionalFormatting>
  <conditionalFormatting sqref="H776:L776">
    <cfRule type="cellIs" dxfId="2946" priority="2875" stopIfTrue="1" operator="equal">
      <formula>"Pass"</formula>
    </cfRule>
    <cfRule type="cellIs" dxfId="2945" priority="2876" stopIfTrue="1" operator="equal">
      <formula>"Fail"</formula>
    </cfRule>
  </conditionalFormatting>
  <conditionalFormatting sqref="H776:L776">
    <cfRule type="cellIs" dxfId="2944" priority="2873" stopIfTrue="1" operator="equal">
      <formula>"Pass"</formula>
    </cfRule>
    <cfRule type="cellIs" dxfId="2943" priority="2874" stopIfTrue="1" operator="equal">
      <formula>"Fail"</formula>
    </cfRule>
  </conditionalFormatting>
  <conditionalFormatting sqref="I776:L776">
    <cfRule type="cellIs" dxfId="2942" priority="2871" stopIfTrue="1" operator="equal">
      <formula>"Pass"</formula>
    </cfRule>
    <cfRule type="cellIs" dxfId="2941" priority="2872" stopIfTrue="1" operator="equal">
      <formula>"Fail"</formula>
    </cfRule>
  </conditionalFormatting>
  <conditionalFormatting sqref="I776:L776">
    <cfRule type="cellIs" dxfId="2940" priority="2869" stopIfTrue="1" operator="equal">
      <formula>"Pass"</formula>
    </cfRule>
    <cfRule type="cellIs" dxfId="2939" priority="2870" stopIfTrue="1" operator="equal">
      <formula>"Fail"</formula>
    </cfRule>
  </conditionalFormatting>
  <conditionalFormatting sqref="I776:L776">
    <cfRule type="cellIs" dxfId="2938" priority="2867" stopIfTrue="1" operator="equal">
      <formula>"Pass"</formula>
    </cfRule>
    <cfRule type="cellIs" dxfId="2937" priority="2868" stopIfTrue="1" operator="equal">
      <formula>"Fail"</formula>
    </cfRule>
  </conditionalFormatting>
  <conditionalFormatting sqref="I776:L776">
    <cfRule type="cellIs" dxfId="2936" priority="2865" stopIfTrue="1" operator="equal">
      <formula>"Pass"</formula>
    </cfRule>
    <cfRule type="cellIs" dxfId="2935" priority="2866" stopIfTrue="1" operator="equal">
      <formula>"Fail"</formula>
    </cfRule>
  </conditionalFormatting>
  <conditionalFormatting sqref="H776:L776">
    <cfRule type="cellIs" dxfId="2934" priority="2863" stopIfTrue="1" operator="equal">
      <formula>"Pass"</formula>
    </cfRule>
    <cfRule type="cellIs" dxfId="2933" priority="2864" stopIfTrue="1" operator="equal">
      <formula>"Fail"</formula>
    </cfRule>
  </conditionalFormatting>
  <conditionalFormatting sqref="H776:L776">
    <cfRule type="cellIs" dxfId="2932" priority="2861" stopIfTrue="1" operator="equal">
      <formula>"Pass"</formula>
    </cfRule>
    <cfRule type="cellIs" dxfId="2931" priority="2862" stopIfTrue="1" operator="equal">
      <formula>"Fail"</formula>
    </cfRule>
  </conditionalFormatting>
  <conditionalFormatting sqref="I776:L776">
    <cfRule type="cellIs" dxfId="2930" priority="2859" stopIfTrue="1" operator="equal">
      <formula>"Pass"</formula>
    </cfRule>
    <cfRule type="cellIs" dxfId="2929" priority="2860" stopIfTrue="1" operator="equal">
      <formula>"Fail"</formula>
    </cfRule>
  </conditionalFormatting>
  <conditionalFormatting sqref="I776:L776">
    <cfRule type="cellIs" dxfId="2928" priority="2857" stopIfTrue="1" operator="equal">
      <formula>"Pass"</formula>
    </cfRule>
    <cfRule type="cellIs" dxfId="2927" priority="2858" stopIfTrue="1" operator="equal">
      <formula>"Fail"</formula>
    </cfRule>
  </conditionalFormatting>
  <conditionalFormatting sqref="I776:L776">
    <cfRule type="cellIs" dxfId="2926" priority="2855" stopIfTrue="1" operator="equal">
      <formula>"Pass"</formula>
    </cfRule>
    <cfRule type="cellIs" dxfId="2925" priority="2856" stopIfTrue="1" operator="equal">
      <formula>"Fail"</formula>
    </cfRule>
  </conditionalFormatting>
  <conditionalFormatting sqref="I776:L776">
    <cfRule type="cellIs" dxfId="2924" priority="2853" stopIfTrue="1" operator="equal">
      <formula>"Pass"</formula>
    </cfRule>
    <cfRule type="cellIs" dxfId="2923" priority="2854" stopIfTrue="1" operator="equal">
      <formula>"Fail"</formula>
    </cfRule>
  </conditionalFormatting>
  <conditionalFormatting sqref="H776:L776">
    <cfRule type="cellIs" dxfId="2922" priority="2851" stopIfTrue="1" operator="equal">
      <formula>"Pass"</formula>
    </cfRule>
    <cfRule type="cellIs" dxfId="2921" priority="2852" stopIfTrue="1" operator="equal">
      <formula>"Fail"</formula>
    </cfRule>
  </conditionalFormatting>
  <conditionalFormatting sqref="H776:L776">
    <cfRule type="cellIs" dxfId="2920" priority="2849" stopIfTrue="1" operator="equal">
      <formula>"Pass"</formula>
    </cfRule>
    <cfRule type="cellIs" dxfId="2919" priority="2850" stopIfTrue="1" operator="equal">
      <formula>"Fail"</formula>
    </cfRule>
  </conditionalFormatting>
  <conditionalFormatting sqref="I776:L776">
    <cfRule type="cellIs" dxfId="2918" priority="2847" stopIfTrue="1" operator="equal">
      <formula>"Pass"</formula>
    </cfRule>
    <cfRule type="cellIs" dxfId="2917" priority="2848" stopIfTrue="1" operator="equal">
      <formula>"Fail"</formula>
    </cfRule>
  </conditionalFormatting>
  <conditionalFormatting sqref="I776:L776">
    <cfRule type="cellIs" dxfId="2916" priority="2845" stopIfTrue="1" operator="equal">
      <formula>"Pass"</formula>
    </cfRule>
    <cfRule type="cellIs" dxfId="2915" priority="2846" stopIfTrue="1" operator="equal">
      <formula>"Fail"</formula>
    </cfRule>
  </conditionalFormatting>
  <conditionalFormatting sqref="I776:L776">
    <cfRule type="cellIs" dxfId="2914" priority="2843" stopIfTrue="1" operator="equal">
      <formula>"Pass"</formula>
    </cfRule>
    <cfRule type="cellIs" dxfId="2913" priority="2844" stopIfTrue="1" operator="equal">
      <formula>"Fail"</formula>
    </cfRule>
  </conditionalFormatting>
  <conditionalFormatting sqref="I776:L776">
    <cfRule type="cellIs" dxfId="2912" priority="2841" stopIfTrue="1" operator="equal">
      <formula>"Pass"</formula>
    </cfRule>
    <cfRule type="cellIs" dxfId="2911" priority="2842" stopIfTrue="1" operator="equal">
      <formula>"Fail"</formula>
    </cfRule>
  </conditionalFormatting>
  <conditionalFormatting sqref="H776:L776">
    <cfRule type="cellIs" dxfId="2910" priority="2839" stopIfTrue="1" operator="equal">
      <formula>"Pass"</formula>
    </cfRule>
    <cfRule type="cellIs" dxfId="2909" priority="2840" stopIfTrue="1" operator="equal">
      <formula>"Fail"</formula>
    </cfRule>
  </conditionalFormatting>
  <conditionalFormatting sqref="H776:L776">
    <cfRule type="cellIs" dxfId="2908" priority="2837" stopIfTrue="1" operator="equal">
      <formula>"Pass"</formula>
    </cfRule>
    <cfRule type="cellIs" dxfId="2907" priority="2838" stopIfTrue="1" operator="equal">
      <formula>"Fail"</formula>
    </cfRule>
  </conditionalFormatting>
  <conditionalFormatting sqref="I776:L776">
    <cfRule type="cellIs" dxfId="2906" priority="2835" stopIfTrue="1" operator="equal">
      <formula>"Pass"</formula>
    </cfRule>
    <cfRule type="cellIs" dxfId="2905" priority="2836" stopIfTrue="1" operator="equal">
      <formula>"Fail"</formula>
    </cfRule>
  </conditionalFormatting>
  <conditionalFormatting sqref="I776:L776">
    <cfRule type="cellIs" dxfId="2904" priority="2833" stopIfTrue="1" operator="equal">
      <formula>"Pass"</formula>
    </cfRule>
    <cfRule type="cellIs" dxfId="2903" priority="2834" stopIfTrue="1" operator="equal">
      <formula>"Fail"</formula>
    </cfRule>
  </conditionalFormatting>
  <conditionalFormatting sqref="I776:L776">
    <cfRule type="cellIs" dxfId="2902" priority="2831" stopIfTrue="1" operator="equal">
      <formula>"Pass"</formula>
    </cfRule>
    <cfRule type="cellIs" dxfId="2901" priority="2832" stopIfTrue="1" operator="equal">
      <formula>"Fail"</formula>
    </cfRule>
  </conditionalFormatting>
  <conditionalFormatting sqref="I776:L776">
    <cfRule type="cellIs" dxfId="2900" priority="2829" stopIfTrue="1" operator="equal">
      <formula>"Pass"</formula>
    </cfRule>
    <cfRule type="cellIs" dxfId="2899" priority="2830" stopIfTrue="1" operator="equal">
      <formula>"Fail"</formula>
    </cfRule>
  </conditionalFormatting>
  <conditionalFormatting sqref="G776">
    <cfRule type="cellIs" dxfId="2898" priority="2827" stopIfTrue="1" operator="equal">
      <formula>"Pass"</formula>
    </cfRule>
    <cfRule type="cellIs" dxfId="2897" priority="2828" stopIfTrue="1" operator="equal">
      <formula>"Fail"</formula>
    </cfRule>
  </conditionalFormatting>
  <conditionalFormatting sqref="G776">
    <cfRule type="cellIs" dxfId="2896" priority="2825" stopIfTrue="1" operator="equal">
      <formula>"Pass"</formula>
    </cfRule>
    <cfRule type="cellIs" dxfId="2895" priority="2826" stopIfTrue="1" operator="equal">
      <formula>"Fail"</formula>
    </cfRule>
  </conditionalFormatting>
  <conditionalFormatting sqref="G776">
    <cfRule type="cellIs" dxfId="2894" priority="2823" stopIfTrue="1" operator="equal">
      <formula>"Pass"</formula>
    </cfRule>
    <cfRule type="cellIs" dxfId="2893" priority="2824" stopIfTrue="1" operator="equal">
      <formula>"Fail"</formula>
    </cfRule>
  </conditionalFormatting>
  <conditionalFormatting sqref="G776">
    <cfRule type="cellIs" dxfId="2892" priority="2821" stopIfTrue="1" operator="equal">
      <formula>"Pass"</formula>
    </cfRule>
    <cfRule type="cellIs" dxfId="2891" priority="2822" stopIfTrue="1" operator="equal">
      <formula>"Fail"</formula>
    </cfRule>
  </conditionalFormatting>
  <conditionalFormatting sqref="G776">
    <cfRule type="cellIs" dxfId="2890" priority="2819" stopIfTrue="1" operator="equal">
      <formula>"Pass"</formula>
    </cfRule>
    <cfRule type="cellIs" dxfId="2889" priority="2820" stopIfTrue="1" operator="equal">
      <formula>"Fail"</formula>
    </cfRule>
  </conditionalFormatting>
  <conditionalFormatting sqref="G776">
    <cfRule type="cellIs" dxfId="2888" priority="2817" stopIfTrue="1" operator="equal">
      <formula>"Pass"</formula>
    </cfRule>
    <cfRule type="cellIs" dxfId="2887" priority="2818" stopIfTrue="1" operator="equal">
      <formula>"Fail"</formula>
    </cfRule>
  </conditionalFormatting>
  <conditionalFormatting sqref="G776:L776">
    <cfRule type="cellIs" dxfId="2886" priority="2815" stopIfTrue="1" operator="equal">
      <formula>"Pass"</formula>
    </cfRule>
    <cfRule type="cellIs" dxfId="2885" priority="2816" stopIfTrue="1" operator="equal">
      <formula>"Fail"</formula>
    </cfRule>
  </conditionalFormatting>
  <conditionalFormatting sqref="H776:L776">
    <cfRule type="cellIs" dxfId="2884" priority="2813" stopIfTrue="1" operator="equal">
      <formula>"Pass"</formula>
    </cfRule>
    <cfRule type="cellIs" dxfId="2883" priority="2814" stopIfTrue="1" operator="equal">
      <formula>"Fail"</formula>
    </cfRule>
  </conditionalFormatting>
  <conditionalFormatting sqref="H776:L776">
    <cfRule type="cellIs" dxfId="2882" priority="2811" stopIfTrue="1" operator="equal">
      <formula>"Pass"</formula>
    </cfRule>
    <cfRule type="cellIs" dxfId="2881" priority="2812" stopIfTrue="1" operator="equal">
      <formula>"Fail"</formula>
    </cfRule>
  </conditionalFormatting>
  <conditionalFormatting sqref="I776:L776">
    <cfRule type="cellIs" dxfId="2880" priority="2809" stopIfTrue="1" operator="equal">
      <formula>"Pass"</formula>
    </cfRule>
    <cfRule type="cellIs" dxfId="2879" priority="2810" stopIfTrue="1" operator="equal">
      <formula>"Fail"</formula>
    </cfRule>
  </conditionalFormatting>
  <conditionalFormatting sqref="I776:L776">
    <cfRule type="cellIs" dxfId="2878" priority="2807" stopIfTrue="1" operator="equal">
      <formula>"Pass"</formula>
    </cfRule>
    <cfRule type="cellIs" dxfId="2877" priority="2808" stopIfTrue="1" operator="equal">
      <formula>"Fail"</formula>
    </cfRule>
  </conditionalFormatting>
  <conditionalFormatting sqref="I776:L776">
    <cfRule type="cellIs" dxfId="2876" priority="2805" stopIfTrue="1" operator="equal">
      <formula>"Pass"</formula>
    </cfRule>
    <cfRule type="cellIs" dxfId="2875" priority="2806" stopIfTrue="1" operator="equal">
      <formula>"Fail"</formula>
    </cfRule>
  </conditionalFormatting>
  <conditionalFormatting sqref="I776:L776">
    <cfRule type="cellIs" dxfId="2874" priority="2803" stopIfTrue="1" operator="equal">
      <formula>"Pass"</formula>
    </cfRule>
    <cfRule type="cellIs" dxfId="2873" priority="2804" stopIfTrue="1" operator="equal">
      <formula>"Fail"</formula>
    </cfRule>
  </conditionalFormatting>
  <conditionalFormatting sqref="G776">
    <cfRule type="cellIs" dxfId="2872" priority="2801" stopIfTrue="1" operator="equal">
      <formula>"Pass"</formula>
    </cfRule>
    <cfRule type="cellIs" dxfId="2871" priority="2802" stopIfTrue="1" operator="equal">
      <formula>"Fail"</formula>
    </cfRule>
  </conditionalFormatting>
  <conditionalFormatting sqref="G776">
    <cfRule type="cellIs" dxfId="2870" priority="2799" stopIfTrue="1" operator="equal">
      <formula>"Pass"</formula>
    </cfRule>
    <cfRule type="cellIs" dxfId="2869" priority="2800" stopIfTrue="1" operator="equal">
      <formula>"Fail"</formula>
    </cfRule>
  </conditionalFormatting>
  <conditionalFormatting sqref="G776">
    <cfRule type="cellIs" dxfId="2868" priority="2797" stopIfTrue="1" operator="equal">
      <formula>"Pass"</formula>
    </cfRule>
    <cfRule type="cellIs" dxfId="2867" priority="2798" stopIfTrue="1" operator="equal">
      <formula>"Fail"</formula>
    </cfRule>
  </conditionalFormatting>
  <conditionalFormatting sqref="G776">
    <cfRule type="cellIs" dxfId="2866" priority="2795" stopIfTrue="1" operator="equal">
      <formula>"Pass"</formula>
    </cfRule>
    <cfRule type="cellIs" dxfId="2865" priority="2796" stopIfTrue="1" operator="equal">
      <formula>"Fail"</formula>
    </cfRule>
  </conditionalFormatting>
  <conditionalFormatting sqref="G776">
    <cfRule type="cellIs" dxfId="2864" priority="2793" stopIfTrue="1" operator="equal">
      <formula>"Pass"</formula>
    </cfRule>
    <cfRule type="cellIs" dxfId="2863" priority="2794" stopIfTrue="1" operator="equal">
      <formula>"Fail"</formula>
    </cfRule>
  </conditionalFormatting>
  <conditionalFormatting sqref="G776">
    <cfRule type="cellIs" dxfId="2862" priority="2791" stopIfTrue="1" operator="equal">
      <formula>"Pass"</formula>
    </cfRule>
    <cfRule type="cellIs" dxfId="2861" priority="2792" stopIfTrue="1" operator="equal">
      <formula>"Fail"</formula>
    </cfRule>
  </conditionalFormatting>
  <conditionalFormatting sqref="H776:L776">
    <cfRule type="cellIs" dxfId="2860" priority="2789" stopIfTrue="1" operator="equal">
      <formula>"Pass"</formula>
    </cfRule>
    <cfRule type="cellIs" dxfId="2859" priority="2790" stopIfTrue="1" operator="equal">
      <formula>"Fail"</formula>
    </cfRule>
  </conditionalFormatting>
  <conditionalFormatting sqref="H776:L776">
    <cfRule type="cellIs" dxfId="2858" priority="2787" stopIfTrue="1" operator="equal">
      <formula>"Pass"</formula>
    </cfRule>
    <cfRule type="cellIs" dxfId="2857" priority="2788" stopIfTrue="1" operator="equal">
      <formula>"Fail"</formula>
    </cfRule>
  </conditionalFormatting>
  <conditionalFormatting sqref="I776:L776">
    <cfRule type="cellIs" dxfId="2856" priority="2785" stopIfTrue="1" operator="equal">
      <formula>"Pass"</formula>
    </cfRule>
    <cfRule type="cellIs" dxfId="2855" priority="2786" stopIfTrue="1" operator="equal">
      <formula>"Fail"</formula>
    </cfRule>
  </conditionalFormatting>
  <conditionalFormatting sqref="I776:L776">
    <cfRule type="cellIs" dxfId="2854" priority="2783" stopIfTrue="1" operator="equal">
      <formula>"Pass"</formula>
    </cfRule>
    <cfRule type="cellIs" dxfId="2853" priority="2784" stopIfTrue="1" operator="equal">
      <formula>"Fail"</formula>
    </cfRule>
  </conditionalFormatting>
  <conditionalFormatting sqref="I776:L776">
    <cfRule type="cellIs" dxfId="2852" priority="2781" stopIfTrue="1" operator="equal">
      <formula>"Pass"</formula>
    </cfRule>
    <cfRule type="cellIs" dxfId="2851" priority="2782" stopIfTrue="1" operator="equal">
      <formula>"Fail"</formula>
    </cfRule>
  </conditionalFormatting>
  <conditionalFormatting sqref="I776:L776">
    <cfRule type="cellIs" dxfId="2850" priority="2779" stopIfTrue="1" operator="equal">
      <formula>"Pass"</formula>
    </cfRule>
    <cfRule type="cellIs" dxfId="2849" priority="2780" stopIfTrue="1" operator="equal">
      <formula>"Fail"</formula>
    </cfRule>
  </conditionalFormatting>
  <conditionalFormatting sqref="G776">
    <cfRule type="cellIs" dxfId="2848" priority="2777" stopIfTrue="1" operator="equal">
      <formula>"Pass"</formula>
    </cfRule>
    <cfRule type="cellIs" dxfId="2847" priority="2778" stopIfTrue="1" operator="equal">
      <formula>"Fail"</formula>
    </cfRule>
  </conditionalFormatting>
  <conditionalFormatting sqref="G776">
    <cfRule type="cellIs" dxfId="2846" priority="2775" stopIfTrue="1" operator="equal">
      <formula>"Pass"</formula>
    </cfRule>
    <cfRule type="cellIs" dxfId="2845" priority="2776" stopIfTrue="1" operator="equal">
      <formula>"Fail"</formula>
    </cfRule>
  </conditionalFormatting>
  <conditionalFormatting sqref="G776">
    <cfRule type="cellIs" dxfId="2844" priority="2773" stopIfTrue="1" operator="equal">
      <formula>"Pass"</formula>
    </cfRule>
    <cfRule type="cellIs" dxfId="2843" priority="2774" stopIfTrue="1" operator="equal">
      <formula>"Fail"</formula>
    </cfRule>
  </conditionalFormatting>
  <conditionalFormatting sqref="G776">
    <cfRule type="cellIs" dxfId="2842" priority="2771" stopIfTrue="1" operator="equal">
      <formula>"Pass"</formula>
    </cfRule>
    <cfRule type="cellIs" dxfId="2841" priority="2772" stopIfTrue="1" operator="equal">
      <formula>"Fail"</formula>
    </cfRule>
  </conditionalFormatting>
  <conditionalFormatting sqref="G776">
    <cfRule type="cellIs" dxfId="2840" priority="2769" stopIfTrue="1" operator="equal">
      <formula>"Pass"</formula>
    </cfRule>
    <cfRule type="cellIs" dxfId="2839" priority="2770" stopIfTrue="1" operator="equal">
      <formula>"Fail"</formula>
    </cfRule>
  </conditionalFormatting>
  <conditionalFormatting sqref="G776">
    <cfRule type="cellIs" dxfId="2838" priority="2767" stopIfTrue="1" operator="equal">
      <formula>"Pass"</formula>
    </cfRule>
    <cfRule type="cellIs" dxfId="2837" priority="2768" stopIfTrue="1" operator="equal">
      <formula>"Fail"</formula>
    </cfRule>
  </conditionalFormatting>
  <conditionalFormatting sqref="H776:L776">
    <cfRule type="cellIs" dxfId="2836" priority="2765" stopIfTrue="1" operator="equal">
      <formula>"Pass"</formula>
    </cfRule>
    <cfRule type="cellIs" dxfId="2835" priority="2766" stopIfTrue="1" operator="equal">
      <formula>"Fail"</formula>
    </cfRule>
  </conditionalFormatting>
  <conditionalFormatting sqref="H776:L776">
    <cfRule type="cellIs" dxfId="2834" priority="2763" stopIfTrue="1" operator="equal">
      <formula>"Pass"</formula>
    </cfRule>
    <cfRule type="cellIs" dxfId="2833" priority="2764" stopIfTrue="1" operator="equal">
      <formula>"Fail"</formula>
    </cfRule>
  </conditionalFormatting>
  <conditionalFormatting sqref="I776:L776">
    <cfRule type="cellIs" dxfId="2832" priority="2761" stopIfTrue="1" operator="equal">
      <formula>"Pass"</formula>
    </cfRule>
    <cfRule type="cellIs" dxfId="2831" priority="2762" stopIfTrue="1" operator="equal">
      <formula>"Fail"</formula>
    </cfRule>
  </conditionalFormatting>
  <conditionalFormatting sqref="I776:L776">
    <cfRule type="cellIs" dxfId="2830" priority="2759" stopIfTrue="1" operator="equal">
      <formula>"Pass"</formula>
    </cfRule>
    <cfRule type="cellIs" dxfId="2829" priority="2760" stopIfTrue="1" operator="equal">
      <formula>"Fail"</formula>
    </cfRule>
  </conditionalFormatting>
  <conditionalFormatting sqref="I776:L776">
    <cfRule type="cellIs" dxfId="2828" priority="2757" stopIfTrue="1" operator="equal">
      <formula>"Pass"</formula>
    </cfRule>
    <cfRule type="cellIs" dxfId="2827" priority="2758" stopIfTrue="1" operator="equal">
      <formula>"Fail"</formula>
    </cfRule>
  </conditionalFormatting>
  <conditionalFormatting sqref="I776:L776">
    <cfRule type="cellIs" dxfId="2826" priority="2755" stopIfTrue="1" operator="equal">
      <formula>"Pass"</formula>
    </cfRule>
    <cfRule type="cellIs" dxfId="2825" priority="2756" stopIfTrue="1" operator="equal">
      <formula>"Fail"</formula>
    </cfRule>
  </conditionalFormatting>
  <conditionalFormatting sqref="G776">
    <cfRule type="cellIs" dxfId="2824" priority="2753" stopIfTrue="1" operator="equal">
      <formula>"Pass"</formula>
    </cfRule>
    <cfRule type="cellIs" dxfId="2823" priority="2754" stopIfTrue="1" operator="equal">
      <formula>"Fail"</formula>
    </cfRule>
  </conditionalFormatting>
  <conditionalFormatting sqref="G776">
    <cfRule type="cellIs" dxfId="2822" priority="2751" stopIfTrue="1" operator="equal">
      <formula>"Pass"</formula>
    </cfRule>
    <cfRule type="cellIs" dxfId="2821" priority="2752" stopIfTrue="1" operator="equal">
      <formula>"Fail"</formula>
    </cfRule>
  </conditionalFormatting>
  <conditionalFormatting sqref="G776">
    <cfRule type="cellIs" dxfId="2820" priority="2749" stopIfTrue="1" operator="equal">
      <formula>"Pass"</formula>
    </cfRule>
    <cfRule type="cellIs" dxfId="2819" priority="2750" stopIfTrue="1" operator="equal">
      <formula>"Fail"</formula>
    </cfRule>
  </conditionalFormatting>
  <conditionalFormatting sqref="G776">
    <cfRule type="cellIs" dxfId="2818" priority="2747" stopIfTrue="1" operator="equal">
      <formula>"Pass"</formula>
    </cfRule>
    <cfRule type="cellIs" dxfId="2817" priority="2748" stopIfTrue="1" operator="equal">
      <formula>"Fail"</formula>
    </cfRule>
  </conditionalFormatting>
  <conditionalFormatting sqref="G776">
    <cfRule type="cellIs" dxfId="2816" priority="2745" stopIfTrue="1" operator="equal">
      <formula>"Pass"</formula>
    </cfRule>
    <cfRule type="cellIs" dxfId="2815" priority="2746" stopIfTrue="1" operator="equal">
      <formula>"Fail"</formula>
    </cfRule>
  </conditionalFormatting>
  <conditionalFormatting sqref="G776">
    <cfRule type="cellIs" dxfId="2814" priority="2743" stopIfTrue="1" operator="equal">
      <formula>"Pass"</formula>
    </cfRule>
    <cfRule type="cellIs" dxfId="2813" priority="2744" stopIfTrue="1" operator="equal">
      <formula>"Fail"</formula>
    </cfRule>
  </conditionalFormatting>
  <conditionalFormatting sqref="H776:L776">
    <cfRule type="cellIs" dxfId="2812" priority="2741" stopIfTrue="1" operator="equal">
      <formula>"Pass"</formula>
    </cfRule>
    <cfRule type="cellIs" dxfId="2811" priority="2742" stopIfTrue="1" operator="equal">
      <formula>"Fail"</formula>
    </cfRule>
  </conditionalFormatting>
  <conditionalFormatting sqref="H776:L776">
    <cfRule type="cellIs" dxfId="2810" priority="2739" stopIfTrue="1" operator="equal">
      <formula>"Pass"</formula>
    </cfRule>
    <cfRule type="cellIs" dxfId="2809" priority="2740" stopIfTrue="1" operator="equal">
      <formula>"Fail"</formula>
    </cfRule>
  </conditionalFormatting>
  <conditionalFormatting sqref="I776:L776">
    <cfRule type="cellIs" dxfId="2808" priority="2737" stopIfTrue="1" operator="equal">
      <formula>"Pass"</formula>
    </cfRule>
    <cfRule type="cellIs" dxfId="2807" priority="2738" stopIfTrue="1" operator="equal">
      <formula>"Fail"</formula>
    </cfRule>
  </conditionalFormatting>
  <conditionalFormatting sqref="I776:L776">
    <cfRule type="cellIs" dxfId="2806" priority="2735" stopIfTrue="1" operator="equal">
      <formula>"Pass"</formula>
    </cfRule>
    <cfRule type="cellIs" dxfId="2805" priority="2736" stopIfTrue="1" operator="equal">
      <formula>"Fail"</formula>
    </cfRule>
  </conditionalFormatting>
  <conditionalFormatting sqref="I776:L776">
    <cfRule type="cellIs" dxfId="2804" priority="2733" stopIfTrue="1" operator="equal">
      <formula>"Pass"</formula>
    </cfRule>
    <cfRule type="cellIs" dxfId="2803" priority="2734" stopIfTrue="1" operator="equal">
      <formula>"Fail"</formula>
    </cfRule>
  </conditionalFormatting>
  <conditionalFormatting sqref="I776:L776">
    <cfRule type="cellIs" dxfId="2802" priority="2731" stopIfTrue="1" operator="equal">
      <formula>"Pass"</formula>
    </cfRule>
    <cfRule type="cellIs" dxfId="2801" priority="2732" stopIfTrue="1" operator="equal">
      <formula>"Fail"</formula>
    </cfRule>
  </conditionalFormatting>
  <conditionalFormatting sqref="G776">
    <cfRule type="cellIs" dxfId="2800" priority="2729" stopIfTrue="1" operator="equal">
      <formula>"Pass"</formula>
    </cfRule>
    <cfRule type="cellIs" dxfId="2799" priority="2730" stopIfTrue="1" operator="equal">
      <formula>"Fail"</formula>
    </cfRule>
  </conditionalFormatting>
  <conditionalFormatting sqref="G776">
    <cfRule type="cellIs" dxfId="2798" priority="2727" stopIfTrue="1" operator="equal">
      <formula>"Pass"</formula>
    </cfRule>
    <cfRule type="cellIs" dxfId="2797" priority="2728" stopIfTrue="1" operator="equal">
      <formula>"Fail"</formula>
    </cfRule>
  </conditionalFormatting>
  <conditionalFormatting sqref="G776">
    <cfRule type="cellIs" dxfId="2796" priority="2725" stopIfTrue="1" operator="equal">
      <formula>"Pass"</formula>
    </cfRule>
    <cfRule type="cellIs" dxfId="2795" priority="2726" stopIfTrue="1" operator="equal">
      <formula>"Fail"</formula>
    </cfRule>
  </conditionalFormatting>
  <conditionalFormatting sqref="G776">
    <cfRule type="cellIs" dxfId="2794" priority="2723" stopIfTrue="1" operator="equal">
      <formula>"Pass"</formula>
    </cfRule>
    <cfRule type="cellIs" dxfId="2793" priority="2724" stopIfTrue="1" operator="equal">
      <formula>"Fail"</formula>
    </cfRule>
  </conditionalFormatting>
  <conditionalFormatting sqref="G776">
    <cfRule type="cellIs" dxfId="2792" priority="2721" stopIfTrue="1" operator="equal">
      <formula>"Pass"</formula>
    </cfRule>
    <cfRule type="cellIs" dxfId="2791" priority="2722" stopIfTrue="1" operator="equal">
      <formula>"Fail"</formula>
    </cfRule>
  </conditionalFormatting>
  <conditionalFormatting sqref="G776">
    <cfRule type="cellIs" dxfId="2790" priority="2719" stopIfTrue="1" operator="equal">
      <formula>"Pass"</formula>
    </cfRule>
    <cfRule type="cellIs" dxfId="2789" priority="2720" stopIfTrue="1" operator="equal">
      <formula>"Fail"</formula>
    </cfRule>
  </conditionalFormatting>
  <conditionalFormatting sqref="H776:L776">
    <cfRule type="cellIs" dxfId="2788" priority="2717" stopIfTrue="1" operator="equal">
      <formula>"Pass"</formula>
    </cfRule>
    <cfRule type="cellIs" dxfId="2787" priority="2718" stopIfTrue="1" operator="equal">
      <formula>"Fail"</formula>
    </cfRule>
  </conditionalFormatting>
  <conditionalFormatting sqref="H776:L776">
    <cfRule type="cellIs" dxfId="2786" priority="2715" stopIfTrue="1" operator="equal">
      <formula>"Pass"</formula>
    </cfRule>
    <cfRule type="cellIs" dxfId="2785" priority="2716" stopIfTrue="1" operator="equal">
      <formula>"Fail"</formula>
    </cfRule>
  </conditionalFormatting>
  <conditionalFormatting sqref="I776:L776">
    <cfRule type="cellIs" dxfId="2784" priority="2713" stopIfTrue="1" operator="equal">
      <formula>"Pass"</formula>
    </cfRule>
    <cfRule type="cellIs" dxfId="2783" priority="2714" stopIfTrue="1" operator="equal">
      <formula>"Fail"</formula>
    </cfRule>
  </conditionalFormatting>
  <conditionalFormatting sqref="I776:L776">
    <cfRule type="cellIs" dxfId="2782" priority="2711" stopIfTrue="1" operator="equal">
      <formula>"Pass"</formula>
    </cfRule>
    <cfRule type="cellIs" dxfId="2781" priority="2712" stopIfTrue="1" operator="equal">
      <formula>"Fail"</formula>
    </cfRule>
  </conditionalFormatting>
  <conditionalFormatting sqref="I776:L776">
    <cfRule type="cellIs" dxfId="2780" priority="2709" stopIfTrue="1" operator="equal">
      <formula>"Pass"</formula>
    </cfRule>
    <cfRule type="cellIs" dxfId="2779" priority="2710" stopIfTrue="1" operator="equal">
      <formula>"Fail"</formula>
    </cfRule>
  </conditionalFormatting>
  <conditionalFormatting sqref="I776:L776">
    <cfRule type="cellIs" dxfId="2778" priority="2707" stopIfTrue="1" operator="equal">
      <formula>"Pass"</formula>
    </cfRule>
    <cfRule type="cellIs" dxfId="2777" priority="2708" stopIfTrue="1" operator="equal">
      <formula>"Fail"</formula>
    </cfRule>
  </conditionalFormatting>
  <conditionalFormatting sqref="G776">
    <cfRule type="cellIs" dxfId="2776" priority="2705" stopIfTrue="1" operator="equal">
      <formula>"Pass"</formula>
    </cfRule>
    <cfRule type="cellIs" dxfId="2775" priority="2706" stopIfTrue="1" operator="equal">
      <formula>"Fail"</formula>
    </cfRule>
  </conditionalFormatting>
  <conditionalFormatting sqref="G776">
    <cfRule type="cellIs" dxfId="2774" priority="2703" stopIfTrue="1" operator="equal">
      <formula>"Pass"</formula>
    </cfRule>
    <cfRule type="cellIs" dxfId="2773" priority="2704" stopIfTrue="1" operator="equal">
      <formula>"Fail"</formula>
    </cfRule>
  </conditionalFormatting>
  <conditionalFormatting sqref="G776">
    <cfRule type="cellIs" dxfId="2772" priority="2701" stopIfTrue="1" operator="equal">
      <formula>"Pass"</formula>
    </cfRule>
    <cfRule type="cellIs" dxfId="2771" priority="2702" stopIfTrue="1" operator="equal">
      <formula>"Fail"</formula>
    </cfRule>
  </conditionalFormatting>
  <conditionalFormatting sqref="G776">
    <cfRule type="cellIs" dxfId="2770" priority="2699" stopIfTrue="1" operator="equal">
      <formula>"Pass"</formula>
    </cfRule>
    <cfRule type="cellIs" dxfId="2769" priority="2700" stopIfTrue="1" operator="equal">
      <formula>"Fail"</formula>
    </cfRule>
  </conditionalFormatting>
  <conditionalFormatting sqref="G776">
    <cfRule type="cellIs" dxfId="2768" priority="2697" stopIfTrue="1" operator="equal">
      <formula>"Pass"</formula>
    </cfRule>
    <cfRule type="cellIs" dxfId="2767" priority="2698" stopIfTrue="1" operator="equal">
      <formula>"Fail"</formula>
    </cfRule>
  </conditionalFormatting>
  <conditionalFormatting sqref="G776">
    <cfRule type="cellIs" dxfId="2766" priority="2695" stopIfTrue="1" operator="equal">
      <formula>"Pass"</formula>
    </cfRule>
    <cfRule type="cellIs" dxfId="2765" priority="2696" stopIfTrue="1" operator="equal">
      <formula>"Fail"</formula>
    </cfRule>
  </conditionalFormatting>
  <conditionalFormatting sqref="H776:L776">
    <cfRule type="cellIs" dxfId="2764" priority="2693" stopIfTrue="1" operator="equal">
      <formula>"Pass"</formula>
    </cfRule>
    <cfRule type="cellIs" dxfId="2763" priority="2694" stopIfTrue="1" operator="equal">
      <formula>"Fail"</formula>
    </cfRule>
  </conditionalFormatting>
  <conditionalFormatting sqref="H776:L776">
    <cfRule type="cellIs" dxfId="2762" priority="2691" stopIfTrue="1" operator="equal">
      <formula>"Pass"</formula>
    </cfRule>
    <cfRule type="cellIs" dxfId="2761" priority="2692" stopIfTrue="1" operator="equal">
      <formula>"Fail"</formula>
    </cfRule>
  </conditionalFormatting>
  <conditionalFormatting sqref="I776:L776">
    <cfRule type="cellIs" dxfId="2760" priority="2689" stopIfTrue="1" operator="equal">
      <formula>"Pass"</formula>
    </cfRule>
    <cfRule type="cellIs" dxfId="2759" priority="2690" stopIfTrue="1" operator="equal">
      <formula>"Fail"</formula>
    </cfRule>
  </conditionalFormatting>
  <conditionalFormatting sqref="I776:L776">
    <cfRule type="cellIs" dxfId="2758" priority="2687" stopIfTrue="1" operator="equal">
      <formula>"Pass"</formula>
    </cfRule>
    <cfRule type="cellIs" dxfId="2757" priority="2688" stopIfTrue="1" operator="equal">
      <formula>"Fail"</formula>
    </cfRule>
  </conditionalFormatting>
  <conditionalFormatting sqref="I776:L776">
    <cfRule type="cellIs" dxfId="2756" priority="2685" stopIfTrue="1" operator="equal">
      <formula>"Pass"</formula>
    </cfRule>
    <cfRule type="cellIs" dxfId="2755" priority="2686" stopIfTrue="1" operator="equal">
      <formula>"Fail"</formula>
    </cfRule>
  </conditionalFormatting>
  <conditionalFormatting sqref="I776:L776">
    <cfRule type="cellIs" dxfId="2754" priority="2683" stopIfTrue="1" operator="equal">
      <formula>"Pass"</formula>
    </cfRule>
    <cfRule type="cellIs" dxfId="2753" priority="2684" stopIfTrue="1" operator="equal">
      <formula>"Fail"</formula>
    </cfRule>
  </conditionalFormatting>
  <conditionalFormatting sqref="G776">
    <cfRule type="cellIs" dxfId="2752" priority="2681" stopIfTrue="1" operator="equal">
      <formula>"Pass"</formula>
    </cfRule>
    <cfRule type="cellIs" dxfId="2751" priority="2682" stopIfTrue="1" operator="equal">
      <formula>"Fail"</formula>
    </cfRule>
  </conditionalFormatting>
  <conditionalFormatting sqref="G776">
    <cfRule type="cellIs" dxfId="2750" priority="2679" stopIfTrue="1" operator="equal">
      <formula>"Pass"</formula>
    </cfRule>
    <cfRule type="cellIs" dxfId="2749" priority="2680" stopIfTrue="1" operator="equal">
      <formula>"Fail"</formula>
    </cfRule>
  </conditionalFormatting>
  <conditionalFormatting sqref="G776">
    <cfRule type="cellIs" dxfId="2748" priority="2677" stopIfTrue="1" operator="equal">
      <formula>"Pass"</formula>
    </cfRule>
    <cfRule type="cellIs" dxfId="2747" priority="2678" stopIfTrue="1" operator="equal">
      <formula>"Fail"</formula>
    </cfRule>
  </conditionalFormatting>
  <conditionalFormatting sqref="G776">
    <cfRule type="cellIs" dxfId="2746" priority="2675" stopIfTrue="1" operator="equal">
      <formula>"Pass"</formula>
    </cfRule>
    <cfRule type="cellIs" dxfId="2745" priority="2676" stopIfTrue="1" operator="equal">
      <formula>"Fail"</formula>
    </cfRule>
  </conditionalFormatting>
  <conditionalFormatting sqref="G776">
    <cfRule type="cellIs" dxfId="2744" priority="2673" stopIfTrue="1" operator="equal">
      <formula>"Pass"</formula>
    </cfRule>
    <cfRule type="cellIs" dxfId="2743" priority="2674" stopIfTrue="1" operator="equal">
      <formula>"Fail"</formula>
    </cfRule>
  </conditionalFormatting>
  <conditionalFormatting sqref="G776">
    <cfRule type="cellIs" dxfId="2742" priority="2671" stopIfTrue="1" operator="equal">
      <formula>"Pass"</formula>
    </cfRule>
    <cfRule type="cellIs" dxfId="2741" priority="2672" stopIfTrue="1" operator="equal">
      <formula>"Fail"</formula>
    </cfRule>
  </conditionalFormatting>
  <conditionalFormatting sqref="H776:L776">
    <cfRule type="cellIs" dxfId="2740" priority="2669" stopIfTrue="1" operator="equal">
      <formula>"Pass"</formula>
    </cfRule>
    <cfRule type="cellIs" dxfId="2739" priority="2670" stopIfTrue="1" operator="equal">
      <formula>"Fail"</formula>
    </cfRule>
  </conditionalFormatting>
  <conditionalFormatting sqref="H776:L776">
    <cfRule type="cellIs" dxfId="2738" priority="2667" stopIfTrue="1" operator="equal">
      <formula>"Pass"</formula>
    </cfRule>
    <cfRule type="cellIs" dxfId="2737" priority="2668" stopIfTrue="1" operator="equal">
      <formula>"Fail"</formula>
    </cfRule>
  </conditionalFormatting>
  <conditionalFormatting sqref="I776:L776">
    <cfRule type="cellIs" dxfId="2736" priority="2665" stopIfTrue="1" operator="equal">
      <formula>"Pass"</formula>
    </cfRule>
    <cfRule type="cellIs" dxfId="2735" priority="2666" stopIfTrue="1" operator="equal">
      <formula>"Fail"</formula>
    </cfRule>
  </conditionalFormatting>
  <conditionalFormatting sqref="I776:L776">
    <cfRule type="cellIs" dxfId="2734" priority="2663" stopIfTrue="1" operator="equal">
      <formula>"Pass"</formula>
    </cfRule>
    <cfRule type="cellIs" dxfId="2733" priority="2664" stopIfTrue="1" operator="equal">
      <formula>"Fail"</formula>
    </cfRule>
  </conditionalFormatting>
  <conditionalFormatting sqref="I776:L776">
    <cfRule type="cellIs" dxfId="2732" priority="2661" stopIfTrue="1" operator="equal">
      <formula>"Pass"</formula>
    </cfRule>
    <cfRule type="cellIs" dxfId="2731" priority="2662" stopIfTrue="1" operator="equal">
      <formula>"Fail"</formula>
    </cfRule>
  </conditionalFormatting>
  <conditionalFormatting sqref="I776:L776">
    <cfRule type="cellIs" dxfId="2730" priority="2659" stopIfTrue="1" operator="equal">
      <formula>"Pass"</formula>
    </cfRule>
    <cfRule type="cellIs" dxfId="2729" priority="2660" stopIfTrue="1" operator="equal">
      <formula>"Fail"</formula>
    </cfRule>
  </conditionalFormatting>
  <conditionalFormatting sqref="G776">
    <cfRule type="cellIs" dxfId="2728" priority="2657" stopIfTrue="1" operator="equal">
      <formula>"Pass"</formula>
    </cfRule>
    <cfRule type="cellIs" dxfId="2727" priority="2658" stopIfTrue="1" operator="equal">
      <formula>"Fail"</formula>
    </cfRule>
  </conditionalFormatting>
  <conditionalFormatting sqref="G776">
    <cfRule type="cellIs" dxfId="2726" priority="2655" stopIfTrue="1" operator="equal">
      <formula>"Pass"</formula>
    </cfRule>
    <cfRule type="cellIs" dxfId="2725" priority="2656" stopIfTrue="1" operator="equal">
      <formula>"Fail"</formula>
    </cfRule>
  </conditionalFormatting>
  <conditionalFormatting sqref="G776">
    <cfRule type="cellIs" dxfId="2724" priority="2653" stopIfTrue="1" operator="equal">
      <formula>"Pass"</formula>
    </cfRule>
    <cfRule type="cellIs" dxfId="2723" priority="2654" stopIfTrue="1" operator="equal">
      <formula>"Fail"</formula>
    </cfRule>
  </conditionalFormatting>
  <conditionalFormatting sqref="G776">
    <cfRule type="cellIs" dxfId="2722" priority="2651" stopIfTrue="1" operator="equal">
      <formula>"Pass"</formula>
    </cfRule>
    <cfRule type="cellIs" dxfId="2721" priority="2652" stopIfTrue="1" operator="equal">
      <formula>"Fail"</formula>
    </cfRule>
  </conditionalFormatting>
  <conditionalFormatting sqref="G776">
    <cfRule type="cellIs" dxfId="2720" priority="2649" stopIfTrue="1" operator="equal">
      <formula>"Pass"</formula>
    </cfRule>
    <cfRule type="cellIs" dxfId="2719" priority="2650" stopIfTrue="1" operator="equal">
      <formula>"Fail"</formula>
    </cfRule>
  </conditionalFormatting>
  <conditionalFormatting sqref="G776">
    <cfRule type="cellIs" dxfId="2718" priority="2647" stopIfTrue="1" operator="equal">
      <formula>"Pass"</formula>
    </cfRule>
    <cfRule type="cellIs" dxfId="2717" priority="2648" stopIfTrue="1" operator="equal">
      <formula>"Fail"</formula>
    </cfRule>
  </conditionalFormatting>
  <conditionalFormatting sqref="H776:L776">
    <cfRule type="cellIs" dxfId="2716" priority="2645" stopIfTrue="1" operator="equal">
      <formula>"Pass"</formula>
    </cfRule>
    <cfRule type="cellIs" dxfId="2715" priority="2646" stopIfTrue="1" operator="equal">
      <formula>"Fail"</formula>
    </cfRule>
  </conditionalFormatting>
  <conditionalFormatting sqref="H776:L776">
    <cfRule type="cellIs" dxfId="2714" priority="2643" stopIfTrue="1" operator="equal">
      <formula>"Pass"</formula>
    </cfRule>
    <cfRule type="cellIs" dxfId="2713" priority="2644" stopIfTrue="1" operator="equal">
      <formula>"Fail"</formula>
    </cfRule>
  </conditionalFormatting>
  <conditionalFormatting sqref="I776:L776">
    <cfRule type="cellIs" dxfId="2712" priority="2641" stopIfTrue="1" operator="equal">
      <formula>"Pass"</formula>
    </cfRule>
    <cfRule type="cellIs" dxfId="2711" priority="2642" stopIfTrue="1" operator="equal">
      <formula>"Fail"</formula>
    </cfRule>
  </conditionalFormatting>
  <conditionalFormatting sqref="I776:L776">
    <cfRule type="cellIs" dxfId="2710" priority="2639" stopIfTrue="1" operator="equal">
      <formula>"Pass"</formula>
    </cfRule>
    <cfRule type="cellIs" dxfId="2709" priority="2640" stopIfTrue="1" operator="equal">
      <formula>"Fail"</formula>
    </cfRule>
  </conditionalFormatting>
  <conditionalFormatting sqref="I776:L776">
    <cfRule type="cellIs" dxfId="2708" priority="2637" stopIfTrue="1" operator="equal">
      <formula>"Pass"</formula>
    </cfRule>
    <cfRule type="cellIs" dxfId="2707" priority="2638" stopIfTrue="1" operator="equal">
      <formula>"Fail"</formula>
    </cfRule>
  </conditionalFormatting>
  <conditionalFormatting sqref="I776:L776">
    <cfRule type="cellIs" dxfId="2706" priority="2635" stopIfTrue="1" operator="equal">
      <formula>"Pass"</formula>
    </cfRule>
    <cfRule type="cellIs" dxfId="2705" priority="2636" stopIfTrue="1" operator="equal">
      <formula>"Fail"</formula>
    </cfRule>
  </conditionalFormatting>
  <conditionalFormatting sqref="G776">
    <cfRule type="cellIs" dxfId="2704" priority="2633" stopIfTrue="1" operator="equal">
      <formula>"Pass"</formula>
    </cfRule>
    <cfRule type="cellIs" dxfId="2703" priority="2634" stopIfTrue="1" operator="equal">
      <formula>"Fail"</formula>
    </cfRule>
  </conditionalFormatting>
  <conditionalFormatting sqref="G776">
    <cfRule type="cellIs" dxfId="2702" priority="2631" stopIfTrue="1" operator="equal">
      <formula>"Pass"</formula>
    </cfRule>
    <cfRule type="cellIs" dxfId="2701" priority="2632" stopIfTrue="1" operator="equal">
      <formula>"Fail"</formula>
    </cfRule>
  </conditionalFormatting>
  <conditionalFormatting sqref="G776">
    <cfRule type="cellIs" dxfId="2700" priority="2629" stopIfTrue="1" operator="equal">
      <formula>"Pass"</formula>
    </cfRule>
    <cfRule type="cellIs" dxfId="2699" priority="2630" stopIfTrue="1" operator="equal">
      <formula>"Fail"</formula>
    </cfRule>
  </conditionalFormatting>
  <conditionalFormatting sqref="G776">
    <cfRule type="cellIs" dxfId="2698" priority="2627" stopIfTrue="1" operator="equal">
      <formula>"Pass"</formula>
    </cfRule>
    <cfRule type="cellIs" dxfId="2697" priority="2628" stopIfTrue="1" operator="equal">
      <formula>"Fail"</formula>
    </cfRule>
  </conditionalFormatting>
  <conditionalFormatting sqref="G776">
    <cfRule type="cellIs" dxfId="2696" priority="2625" stopIfTrue="1" operator="equal">
      <formula>"Pass"</formula>
    </cfRule>
    <cfRule type="cellIs" dxfId="2695" priority="2626" stopIfTrue="1" operator="equal">
      <formula>"Fail"</formula>
    </cfRule>
  </conditionalFormatting>
  <conditionalFormatting sqref="G776">
    <cfRule type="cellIs" dxfId="2694" priority="2623" stopIfTrue="1" operator="equal">
      <formula>"Pass"</formula>
    </cfRule>
    <cfRule type="cellIs" dxfId="2693" priority="2624" stopIfTrue="1" operator="equal">
      <formula>"Fail"</formula>
    </cfRule>
  </conditionalFormatting>
  <conditionalFormatting sqref="H776:L776">
    <cfRule type="cellIs" dxfId="2692" priority="2621" stopIfTrue="1" operator="equal">
      <formula>"Pass"</formula>
    </cfRule>
    <cfRule type="cellIs" dxfId="2691" priority="2622" stopIfTrue="1" operator="equal">
      <formula>"Fail"</formula>
    </cfRule>
  </conditionalFormatting>
  <conditionalFormatting sqref="H776:L776">
    <cfRule type="cellIs" dxfId="2690" priority="2619" stopIfTrue="1" operator="equal">
      <formula>"Pass"</formula>
    </cfRule>
    <cfRule type="cellIs" dxfId="2689" priority="2620" stopIfTrue="1" operator="equal">
      <formula>"Fail"</formula>
    </cfRule>
  </conditionalFormatting>
  <conditionalFormatting sqref="I776:L776">
    <cfRule type="cellIs" dxfId="2688" priority="2617" stopIfTrue="1" operator="equal">
      <formula>"Pass"</formula>
    </cfRule>
    <cfRule type="cellIs" dxfId="2687" priority="2618" stopIfTrue="1" operator="equal">
      <formula>"Fail"</formula>
    </cfRule>
  </conditionalFormatting>
  <conditionalFormatting sqref="I776:L776">
    <cfRule type="cellIs" dxfId="2686" priority="2615" stopIfTrue="1" operator="equal">
      <formula>"Pass"</formula>
    </cfRule>
    <cfRule type="cellIs" dxfId="2685" priority="2616" stopIfTrue="1" operator="equal">
      <formula>"Fail"</formula>
    </cfRule>
  </conditionalFormatting>
  <conditionalFormatting sqref="I776:L776">
    <cfRule type="cellIs" dxfId="2684" priority="2613" stopIfTrue="1" operator="equal">
      <formula>"Pass"</formula>
    </cfRule>
    <cfRule type="cellIs" dxfId="2683" priority="2614" stopIfTrue="1" operator="equal">
      <formula>"Fail"</formula>
    </cfRule>
  </conditionalFormatting>
  <conditionalFormatting sqref="I776:L776">
    <cfRule type="cellIs" dxfId="2682" priority="2611" stopIfTrue="1" operator="equal">
      <formula>"Pass"</formula>
    </cfRule>
    <cfRule type="cellIs" dxfId="2681" priority="2612" stopIfTrue="1" operator="equal">
      <formula>"Fail"</formula>
    </cfRule>
  </conditionalFormatting>
  <conditionalFormatting sqref="G776">
    <cfRule type="cellIs" dxfId="2680" priority="2609" stopIfTrue="1" operator="equal">
      <formula>"Pass"</formula>
    </cfRule>
    <cfRule type="cellIs" dxfId="2679" priority="2610" stopIfTrue="1" operator="equal">
      <formula>"Fail"</formula>
    </cfRule>
  </conditionalFormatting>
  <conditionalFormatting sqref="G776">
    <cfRule type="cellIs" dxfId="2678" priority="2607" stopIfTrue="1" operator="equal">
      <formula>"Pass"</formula>
    </cfRule>
    <cfRule type="cellIs" dxfId="2677" priority="2608" stopIfTrue="1" operator="equal">
      <formula>"Fail"</formula>
    </cfRule>
  </conditionalFormatting>
  <conditionalFormatting sqref="G776">
    <cfRule type="cellIs" dxfId="2676" priority="2605" stopIfTrue="1" operator="equal">
      <formula>"Pass"</formula>
    </cfRule>
    <cfRule type="cellIs" dxfId="2675" priority="2606" stopIfTrue="1" operator="equal">
      <formula>"Fail"</formula>
    </cfRule>
  </conditionalFormatting>
  <conditionalFormatting sqref="G776">
    <cfRule type="cellIs" dxfId="2674" priority="2603" stopIfTrue="1" operator="equal">
      <formula>"Pass"</formula>
    </cfRule>
    <cfRule type="cellIs" dxfId="2673" priority="2604" stopIfTrue="1" operator="equal">
      <formula>"Fail"</formula>
    </cfRule>
  </conditionalFormatting>
  <conditionalFormatting sqref="G776">
    <cfRule type="cellIs" dxfId="2672" priority="2601" stopIfTrue="1" operator="equal">
      <formula>"Pass"</formula>
    </cfRule>
    <cfRule type="cellIs" dxfId="2671" priority="2602" stopIfTrue="1" operator="equal">
      <formula>"Fail"</formula>
    </cfRule>
  </conditionalFormatting>
  <conditionalFormatting sqref="G776">
    <cfRule type="cellIs" dxfId="2670" priority="2599" stopIfTrue="1" operator="equal">
      <formula>"Pass"</formula>
    </cfRule>
    <cfRule type="cellIs" dxfId="2669" priority="2600" stopIfTrue="1" operator="equal">
      <formula>"Fail"</formula>
    </cfRule>
  </conditionalFormatting>
  <conditionalFormatting sqref="H776:L776">
    <cfRule type="cellIs" dxfId="2668" priority="2597" stopIfTrue="1" operator="equal">
      <formula>"Pass"</formula>
    </cfRule>
    <cfRule type="cellIs" dxfId="2667" priority="2598" stopIfTrue="1" operator="equal">
      <formula>"Fail"</formula>
    </cfRule>
  </conditionalFormatting>
  <conditionalFormatting sqref="H776:L776">
    <cfRule type="cellIs" dxfId="2666" priority="2595" stopIfTrue="1" operator="equal">
      <formula>"Pass"</formula>
    </cfRule>
    <cfRule type="cellIs" dxfId="2665" priority="2596" stopIfTrue="1" operator="equal">
      <formula>"Fail"</formula>
    </cfRule>
  </conditionalFormatting>
  <conditionalFormatting sqref="I776:L776">
    <cfRule type="cellIs" dxfId="2664" priority="2593" stopIfTrue="1" operator="equal">
      <formula>"Pass"</formula>
    </cfRule>
    <cfRule type="cellIs" dxfId="2663" priority="2594" stopIfTrue="1" operator="equal">
      <formula>"Fail"</formula>
    </cfRule>
  </conditionalFormatting>
  <conditionalFormatting sqref="I776:L776">
    <cfRule type="cellIs" dxfId="2662" priority="2591" stopIfTrue="1" operator="equal">
      <formula>"Pass"</formula>
    </cfRule>
    <cfRule type="cellIs" dxfId="2661" priority="2592" stopIfTrue="1" operator="equal">
      <formula>"Fail"</formula>
    </cfRule>
  </conditionalFormatting>
  <conditionalFormatting sqref="I776:L776">
    <cfRule type="cellIs" dxfId="2660" priority="2589" stopIfTrue="1" operator="equal">
      <formula>"Pass"</formula>
    </cfRule>
    <cfRule type="cellIs" dxfId="2659" priority="2590" stopIfTrue="1" operator="equal">
      <formula>"Fail"</formula>
    </cfRule>
  </conditionalFormatting>
  <conditionalFormatting sqref="I776:L776">
    <cfRule type="cellIs" dxfId="2658" priority="2587" stopIfTrue="1" operator="equal">
      <formula>"Pass"</formula>
    </cfRule>
    <cfRule type="cellIs" dxfId="2657" priority="2588" stopIfTrue="1" operator="equal">
      <formula>"Fail"</formula>
    </cfRule>
  </conditionalFormatting>
  <conditionalFormatting sqref="G776">
    <cfRule type="cellIs" dxfId="2656" priority="2585" stopIfTrue="1" operator="equal">
      <formula>"Pass"</formula>
    </cfRule>
    <cfRule type="cellIs" dxfId="2655" priority="2586" stopIfTrue="1" operator="equal">
      <formula>"Fail"</formula>
    </cfRule>
  </conditionalFormatting>
  <conditionalFormatting sqref="G776">
    <cfRule type="cellIs" dxfId="2654" priority="2583" stopIfTrue="1" operator="equal">
      <formula>"Pass"</formula>
    </cfRule>
    <cfRule type="cellIs" dxfId="2653" priority="2584" stopIfTrue="1" operator="equal">
      <formula>"Fail"</formula>
    </cfRule>
  </conditionalFormatting>
  <conditionalFormatting sqref="G776">
    <cfRule type="cellIs" dxfId="2652" priority="2581" stopIfTrue="1" operator="equal">
      <formula>"Pass"</formula>
    </cfRule>
    <cfRule type="cellIs" dxfId="2651" priority="2582" stopIfTrue="1" operator="equal">
      <formula>"Fail"</formula>
    </cfRule>
  </conditionalFormatting>
  <conditionalFormatting sqref="G776">
    <cfRule type="cellIs" dxfId="2650" priority="2579" stopIfTrue="1" operator="equal">
      <formula>"Pass"</formula>
    </cfRule>
    <cfRule type="cellIs" dxfId="2649" priority="2580" stopIfTrue="1" operator="equal">
      <formula>"Fail"</formula>
    </cfRule>
  </conditionalFormatting>
  <conditionalFormatting sqref="G776">
    <cfRule type="cellIs" dxfId="2648" priority="2577" stopIfTrue="1" operator="equal">
      <formula>"Pass"</formula>
    </cfRule>
    <cfRule type="cellIs" dxfId="2647" priority="2578" stopIfTrue="1" operator="equal">
      <formula>"Fail"</formula>
    </cfRule>
  </conditionalFormatting>
  <conditionalFormatting sqref="G776">
    <cfRule type="cellIs" dxfId="2646" priority="2575" stopIfTrue="1" operator="equal">
      <formula>"Pass"</formula>
    </cfRule>
    <cfRule type="cellIs" dxfId="2645" priority="2576" stopIfTrue="1" operator="equal">
      <formula>"Fail"</formula>
    </cfRule>
  </conditionalFormatting>
  <conditionalFormatting sqref="H776:L776">
    <cfRule type="cellIs" dxfId="2644" priority="2573" stopIfTrue="1" operator="equal">
      <formula>"Pass"</formula>
    </cfRule>
    <cfRule type="cellIs" dxfId="2643" priority="2574" stopIfTrue="1" operator="equal">
      <formula>"Fail"</formula>
    </cfRule>
  </conditionalFormatting>
  <conditionalFormatting sqref="H776:L776">
    <cfRule type="cellIs" dxfId="2642" priority="2571" stopIfTrue="1" operator="equal">
      <formula>"Pass"</formula>
    </cfRule>
    <cfRule type="cellIs" dxfId="2641" priority="2572" stopIfTrue="1" operator="equal">
      <formula>"Fail"</formula>
    </cfRule>
  </conditionalFormatting>
  <conditionalFormatting sqref="I776:L776">
    <cfRule type="cellIs" dxfId="2640" priority="2569" stopIfTrue="1" operator="equal">
      <formula>"Pass"</formula>
    </cfRule>
    <cfRule type="cellIs" dxfId="2639" priority="2570" stopIfTrue="1" operator="equal">
      <formula>"Fail"</formula>
    </cfRule>
  </conditionalFormatting>
  <conditionalFormatting sqref="I776:L776">
    <cfRule type="cellIs" dxfId="2638" priority="2567" stopIfTrue="1" operator="equal">
      <formula>"Pass"</formula>
    </cfRule>
    <cfRule type="cellIs" dxfId="2637" priority="2568" stopIfTrue="1" operator="equal">
      <formula>"Fail"</formula>
    </cfRule>
  </conditionalFormatting>
  <conditionalFormatting sqref="I776:L776">
    <cfRule type="cellIs" dxfId="2636" priority="2565" stopIfTrue="1" operator="equal">
      <formula>"Pass"</formula>
    </cfRule>
    <cfRule type="cellIs" dxfId="2635" priority="2566" stopIfTrue="1" operator="equal">
      <formula>"Fail"</formula>
    </cfRule>
  </conditionalFormatting>
  <conditionalFormatting sqref="I776:L776">
    <cfRule type="cellIs" dxfId="2634" priority="2563" stopIfTrue="1" operator="equal">
      <formula>"Pass"</formula>
    </cfRule>
    <cfRule type="cellIs" dxfId="2633" priority="2564" stopIfTrue="1" operator="equal">
      <formula>"Fail"</formula>
    </cfRule>
  </conditionalFormatting>
  <conditionalFormatting sqref="G776">
    <cfRule type="cellIs" dxfId="2632" priority="2561" stopIfTrue="1" operator="equal">
      <formula>"Pass"</formula>
    </cfRule>
    <cfRule type="cellIs" dxfId="2631" priority="2562" stopIfTrue="1" operator="equal">
      <formula>"Fail"</formula>
    </cfRule>
  </conditionalFormatting>
  <conditionalFormatting sqref="G776">
    <cfRule type="cellIs" dxfId="2630" priority="2559" stopIfTrue="1" operator="equal">
      <formula>"Pass"</formula>
    </cfRule>
    <cfRule type="cellIs" dxfId="2629" priority="2560" stopIfTrue="1" operator="equal">
      <formula>"Fail"</formula>
    </cfRule>
  </conditionalFormatting>
  <conditionalFormatting sqref="G776">
    <cfRule type="cellIs" dxfId="2628" priority="2557" stopIfTrue="1" operator="equal">
      <formula>"Pass"</formula>
    </cfRule>
    <cfRule type="cellIs" dxfId="2627" priority="2558" stopIfTrue="1" operator="equal">
      <formula>"Fail"</formula>
    </cfRule>
  </conditionalFormatting>
  <conditionalFormatting sqref="G776">
    <cfRule type="cellIs" dxfId="2626" priority="2555" stopIfTrue="1" operator="equal">
      <formula>"Pass"</formula>
    </cfRule>
    <cfRule type="cellIs" dxfId="2625" priority="2556" stopIfTrue="1" operator="equal">
      <formula>"Fail"</formula>
    </cfRule>
  </conditionalFormatting>
  <conditionalFormatting sqref="G776">
    <cfRule type="cellIs" dxfId="2624" priority="2553" stopIfTrue="1" operator="equal">
      <formula>"Pass"</formula>
    </cfRule>
    <cfRule type="cellIs" dxfId="2623" priority="2554" stopIfTrue="1" operator="equal">
      <formula>"Fail"</formula>
    </cfRule>
  </conditionalFormatting>
  <conditionalFormatting sqref="G776">
    <cfRule type="cellIs" dxfId="2622" priority="2551" stopIfTrue="1" operator="equal">
      <formula>"Pass"</formula>
    </cfRule>
    <cfRule type="cellIs" dxfId="2621" priority="2552" stopIfTrue="1" operator="equal">
      <formula>"Fail"</formula>
    </cfRule>
  </conditionalFormatting>
  <conditionalFormatting sqref="H776:L776">
    <cfRule type="cellIs" dxfId="2620" priority="2549" stopIfTrue="1" operator="equal">
      <formula>"Pass"</formula>
    </cfRule>
    <cfRule type="cellIs" dxfId="2619" priority="2550" stopIfTrue="1" operator="equal">
      <formula>"Fail"</formula>
    </cfRule>
  </conditionalFormatting>
  <conditionalFormatting sqref="H776:L776">
    <cfRule type="cellIs" dxfId="2618" priority="2547" stopIfTrue="1" operator="equal">
      <formula>"Pass"</formula>
    </cfRule>
    <cfRule type="cellIs" dxfId="2617" priority="2548" stopIfTrue="1" operator="equal">
      <formula>"Fail"</formula>
    </cfRule>
  </conditionalFormatting>
  <conditionalFormatting sqref="I776:L776">
    <cfRule type="cellIs" dxfId="2616" priority="2545" stopIfTrue="1" operator="equal">
      <formula>"Pass"</formula>
    </cfRule>
    <cfRule type="cellIs" dxfId="2615" priority="2546" stopIfTrue="1" operator="equal">
      <formula>"Fail"</formula>
    </cfRule>
  </conditionalFormatting>
  <conditionalFormatting sqref="I776:L776">
    <cfRule type="cellIs" dxfId="2614" priority="2543" stopIfTrue="1" operator="equal">
      <formula>"Pass"</formula>
    </cfRule>
    <cfRule type="cellIs" dxfId="2613" priority="2544" stopIfTrue="1" operator="equal">
      <formula>"Fail"</formula>
    </cfRule>
  </conditionalFormatting>
  <conditionalFormatting sqref="I776:L776">
    <cfRule type="cellIs" dxfId="2612" priority="2541" stopIfTrue="1" operator="equal">
      <formula>"Pass"</formula>
    </cfRule>
    <cfRule type="cellIs" dxfId="2611" priority="2542" stopIfTrue="1" operator="equal">
      <formula>"Fail"</formula>
    </cfRule>
  </conditionalFormatting>
  <conditionalFormatting sqref="I776:L776">
    <cfRule type="cellIs" dxfId="2610" priority="2539" stopIfTrue="1" operator="equal">
      <formula>"Pass"</formula>
    </cfRule>
    <cfRule type="cellIs" dxfId="2609" priority="2540" stopIfTrue="1" operator="equal">
      <formula>"Fail"</formula>
    </cfRule>
  </conditionalFormatting>
  <conditionalFormatting sqref="G776">
    <cfRule type="cellIs" dxfId="2608" priority="2537" stopIfTrue="1" operator="equal">
      <formula>"Pass"</formula>
    </cfRule>
    <cfRule type="cellIs" dxfId="2607" priority="2538" stopIfTrue="1" operator="equal">
      <formula>"Fail"</formula>
    </cfRule>
  </conditionalFormatting>
  <conditionalFormatting sqref="G776">
    <cfRule type="cellIs" dxfId="2606" priority="2535" stopIfTrue="1" operator="equal">
      <formula>"Pass"</formula>
    </cfRule>
    <cfRule type="cellIs" dxfId="2605" priority="2536" stopIfTrue="1" operator="equal">
      <formula>"Fail"</formula>
    </cfRule>
  </conditionalFormatting>
  <conditionalFormatting sqref="G776">
    <cfRule type="cellIs" dxfId="2604" priority="2533" stopIfTrue="1" operator="equal">
      <formula>"Pass"</formula>
    </cfRule>
    <cfRule type="cellIs" dxfId="2603" priority="2534" stopIfTrue="1" operator="equal">
      <formula>"Fail"</formula>
    </cfRule>
  </conditionalFormatting>
  <conditionalFormatting sqref="G776">
    <cfRule type="cellIs" dxfId="2602" priority="2531" stopIfTrue="1" operator="equal">
      <formula>"Pass"</formula>
    </cfRule>
    <cfRule type="cellIs" dxfId="2601" priority="2532" stopIfTrue="1" operator="equal">
      <formula>"Fail"</formula>
    </cfRule>
  </conditionalFormatting>
  <conditionalFormatting sqref="G776">
    <cfRule type="cellIs" dxfId="2600" priority="2529" stopIfTrue="1" operator="equal">
      <formula>"Pass"</formula>
    </cfRule>
    <cfRule type="cellIs" dxfId="2599" priority="2530" stopIfTrue="1" operator="equal">
      <formula>"Fail"</formula>
    </cfRule>
  </conditionalFormatting>
  <conditionalFormatting sqref="G776">
    <cfRule type="cellIs" dxfId="2598" priority="2527" stopIfTrue="1" operator="equal">
      <formula>"Pass"</formula>
    </cfRule>
    <cfRule type="cellIs" dxfId="2597" priority="2528" stopIfTrue="1" operator="equal">
      <formula>"Fail"</formula>
    </cfRule>
  </conditionalFormatting>
  <conditionalFormatting sqref="H776:L776">
    <cfRule type="cellIs" dxfId="2596" priority="2525" stopIfTrue="1" operator="equal">
      <formula>"Pass"</formula>
    </cfRule>
    <cfRule type="cellIs" dxfId="2595" priority="2526" stopIfTrue="1" operator="equal">
      <formula>"Fail"</formula>
    </cfRule>
  </conditionalFormatting>
  <conditionalFormatting sqref="H776:L776">
    <cfRule type="cellIs" dxfId="2594" priority="2523" stopIfTrue="1" operator="equal">
      <formula>"Pass"</formula>
    </cfRule>
    <cfRule type="cellIs" dxfId="2593" priority="2524" stopIfTrue="1" operator="equal">
      <formula>"Fail"</formula>
    </cfRule>
  </conditionalFormatting>
  <conditionalFormatting sqref="I776:L776">
    <cfRule type="cellIs" dxfId="2592" priority="2521" stopIfTrue="1" operator="equal">
      <formula>"Pass"</formula>
    </cfRule>
    <cfRule type="cellIs" dxfId="2591" priority="2522" stopIfTrue="1" operator="equal">
      <formula>"Fail"</formula>
    </cfRule>
  </conditionalFormatting>
  <conditionalFormatting sqref="I776:L776">
    <cfRule type="cellIs" dxfId="2590" priority="2519" stopIfTrue="1" operator="equal">
      <formula>"Pass"</formula>
    </cfRule>
    <cfRule type="cellIs" dxfId="2589" priority="2520" stopIfTrue="1" operator="equal">
      <formula>"Fail"</formula>
    </cfRule>
  </conditionalFormatting>
  <conditionalFormatting sqref="I776:L776">
    <cfRule type="cellIs" dxfId="2588" priority="2517" stopIfTrue="1" operator="equal">
      <formula>"Pass"</formula>
    </cfRule>
    <cfRule type="cellIs" dxfId="2587" priority="2518" stopIfTrue="1" operator="equal">
      <formula>"Fail"</formula>
    </cfRule>
  </conditionalFormatting>
  <conditionalFormatting sqref="I776:L776">
    <cfRule type="cellIs" dxfId="2586" priority="2515" stopIfTrue="1" operator="equal">
      <formula>"Pass"</formula>
    </cfRule>
    <cfRule type="cellIs" dxfId="2585" priority="2516" stopIfTrue="1" operator="equal">
      <formula>"Fail"</formula>
    </cfRule>
  </conditionalFormatting>
  <conditionalFormatting sqref="G776">
    <cfRule type="cellIs" dxfId="2584" priority="2513" stopIfTrue="1" operator="equal">
      <formula>"Pass"</formula>
    </cfRule>
    <cfRule type="cellIs" dxfId="2583" priority="2514" stopIfTrue="1" operator="equal">
      <formula>"Fail"</formula>
    </cfRule>
  </conditionalFormatting>
  <conditionalFormatting sqref="G776">
    <cfRule type="cellIs" dxfId="2582" priority="2511" stopIfTrue="1" operator="equal">
      <formula>"Pass"</formula>
    </cfRule>
    <cfRule type="cellIs" dxfId="2581" priority="2512" stopIfTrue="1" operator="equal">
      <formula>"Fail"</formula>
    </cfRule>
  </conditionalFormatting>
  <conditionalFormatting sqref="G776">
    <cfRule type="cellIs" dxfId="2580" priority="2509" stopIfTrue="1" operator="equal">
      <formula>"Pass"</formula>
    </cfRule>
    <cfRule type="cellIs" dxfId="2579" priority="2510" stopIfTrue="1" operator="equal">
      <formula>"Fail"</formula>
    </cfRule>
  </conditionalFormatting>
  <conditionalFormatting sqref="G776">
    <cfRule type="cellIs" dxfId="2578" priority="2507" stopIfTrue="1" operator="equal">
      <formula>"Pass"</formula>
    </cfRule>
    <cfRule type="cellIs" dxfId="2577" priority="2508" stopIfTrue="1" operator="equal">
      <formula>"Fail"</formula>
    </cfRule>
  </conditionalFormatting>
  <conditionalFormatting sqref="G776">
    <cfRule type="cellIs" dxfId="2576" priority="2505" stopIfTrue="1" operator="equal">
      <formula>"Pass"</formula>
    </cfRule>
    <cfRule type="cellIs" dxfId="2575" priority="2506" stopIfTrue="1" operator="equal">
      <formula>"Fail"</formula>
    </cfRule>
  </conditionalFormatting>
  <conditionalFormatting sqref="G776">
    <cfRule type="cellIs" dxfId="2574" priority="2503" stopIfTrue="1" operator="equal">
      <formula>"Pass"</formula>
    </cfRule>
    <cfRule type="cellIs" dxfId="2573" priority="2504" stopIfTrue="1" operator="equal">
      <formula>"Fail"</formula>
    </cfRule>
  </conditionalFormatting>
  <conditionalFormatting sqref="H776:L776">
    <cfRule type="cellIs" dxfId="2572" priority="2501" stopIfTrue="1" operator="equal">
      <formula>"Pass"</formula>
    </cfRule>
    <cfRule type="cellIs" dxfId="2571" priority="2502" stopIfTrue="1" operator="equal">
      <formula>"Fail"</formula>
    </cfRule>
  </conditionalFormatting>
  <conditionalFormatting sqref="H776:L776">
    <cfRule type="cellIs" dxfId="2570" priority="2499" stopIfTrue="1" operator="equal">
      <formula>"Pass"</formula>
    </cfRule>
    <cfRule type="cellIs" dxfId="2569" priority="2500" stopIfTrue="1" operator="equal">
      <formula>"Fail"</formula>
    </cfRule>
  </conditionalFormatting>
  <conditionalFormatting sqref="I776:L776">
    <cfRule type="cellIs" dxfId="2568" priority="2497" stopIfTrue="1" operator="equal">
      <formula>"Pass"</formula>
    </cfRule>
    <cfRule type="cellIs" dxfId="2567" priority="2498" stopIfTrue="1" operator="equal">
      <formula>"Fail"</formula>
    </cfRule>
  </conditionalFormatting>
  <conditionalFormatting sqref="I776:L776">
    <cfRule type="cellIs" dxfId="2566" priority="2495" stopIfTrue="1" operator="equal">
      <formula>"Pass"</formula>
    </cfRule>
    <cfRule type="cellIs" dxfId="2565" priority="2496" stopIfTrue="1" operator="equal">
      <formula>"Fail"</formula>
    </cfRule>
  </conditionalFormatting>
  <conditionalFormatting sqref="I776:L776">
    <cfRule type="cellIs" dxfId="2564" priority="2493" stopIfTrue="1" operator="equal">
      <formula>"Pass"</formula>
    </cfRule>
    <cfRule type="cellIs" dxfId="2563" priority="2494" stopIfTrue="1" operator="equal">
      <formula>"Fail"</formula>
    </cfRule>
  </conditionalFormatting>
  <conditionalFormatting sqref="I776:L776">
    <cfRule type="cellIs" dxfId="2562" priority="2491" stopIfTrue="1" operator="equal">
      <formula>"Pass"</formula>
    </cfRule>
    <cfRule type="cellIs" dxfId="2561" priority="2492" stopIfTrue="1" operator="equal">
      <formula>"Fail"</formula>
    </cfRule>
  </conditionalFormatting>
  <conditionalFormatting sqref="G776">
    <cfRule type="cellIs" dxfId="2560" priority="2489" stopIfTrue="1" operator="equal">
      <formula>"Pass"</formula>
    </cfRule>
    <cfRule type="cellIs" dxfId="2559" priority="2490" stopIfTrue="1" operator="equal">
      <formula>"Fail"</formula>
    </cfRule>
  </conditionalFormatting>
  <conditionalFormatting sqref="G776">
    <cfRule type="cellIs" dxfId="2558" priority="2487" stopIfTrue="1" operator="equal">
      <formula>"Pass"</formula>
    </cfRule>
    <cfRule type="cellIs" dxfId="2557" priority="2488" stopIfTrue="1" operator="equal">
      <formula>"Fail"</formula>
    </cfRule>
  </conditionalFormatting>
  <conditionalFormatting sqref="G776">
    <cfRule type="cellIs" dxfId="2556" priority="2485" stopIfTrue="1" operator="equal">
      <formula>"Pass"</formula>
    </cfRule>
    <cfRule type="cellIs" dxfId="2555" priority="2486" stopIfTrue="1" operator="equal">
      <formula>"Fail"</formula>
    </cfRule>
  </conditionalFormatting>
  <conditionalFormatting sqref="G776">
    <cfRule type="cellIs" dxfId="2554" priority="2483" stopIfTrue="1" operator="equal">
      <formula>"Pass"</formula>
    </cfRule>
    <cfRule type="cellIs" dxfId="2553" priority="2484" stopIfTrue="1" operator="equal">
      <formula>"Fail"</formula>
    </cfRule>
  </conditionalFormatting>
  <conditionalFormatting sqref="G776">
    <cfRule type="cellIs" dxfId="2552" priority="2481" stopIfTrue="1" operator="equal">
      <formula>"Pass"</formula>
    </cfRule>
    <cfRule type="cellIs" dxfId="2551" priority="2482" stopIfTrue="1" operator="equal">
      <formula>"Fail"</formula>
    </cfRule>
  </conditionalFormatting>
  <conditionalFormatting sqref="G776">
    <cfRule type="cellIs" dxfId="2550" priority="2479" stopIfTrue="1" operator="equal">
      <formula>"Pass"</formula>
    </cfRule>
    <cfRule type="cellIs" dxfId="2549" priority="2480" stopIfTrue="1" operator="equal">
      <formula>"Fail"</formula>
    </cfRule>
  </conditionalFormatting>
  <conditionalFormatting sqref="H776:L776">
    <cfRule type="cellIs" dxfId="2548" priority="2477" stopIfTrue="1" operator="equal">
      <formula>"Pass"</formula>
    </cfRule>
    <cfRule type="cellIs" dxfId="2547" priority="2478" stopIfTrue="1" operator="equal">
      <formula>"Fail"</formula>
    </cfRule>
  </conditionalFormatting>
  <conditionalFormatting sqref="H776:L776">
    <cfRule type="cellIs" dxfId="2546" priority="2475" stopIfTrue="1" operator="equal">
      <formula>"Pass"</formula>
    </cfRule>
    <cfRule type="cellIs" dxfId="2545" priority="2476" stopIfTrue="1" operator="equal">
      <formula>"Fail"</formula>
    </cfRule>
  </conditionalFormatting>
  <conditionalFormatting sqref="I776:L776">
    <cfRule type="cellIs" dxfId="2544" priority="2473" stopIfTrue="1" operator="equal">
      <formula>"Pass"</formula>
    </cfRule>
    <cfRule type="cellIs" dxfId="2543" priority="2474" stopIfTrue="1" operator="equal">
      <formula>"Fail"</formula>
    </cfRule>
  </conditionalFormatting>
  <conditionalFormatting sqref="I776:L776">
    <cfRule type="cellIs" dxfId="2542" priority="2471" stopIfTrue="1" operator="equal">
      <formula>"Pass"</formula>
    </cfRule>
    <cfRule type="cellIs" dxfId="2541" priority="2472" stopIfTrue="1" operator="equal">
      <formula>"Fail"</formula>
    </cfRule>
  </conditionalFormatting>
  <conditionalFormatting sqref="I776:L776">
    <cfRule type="cellIs" dxfId="2540" priority="2469" stopIfTrue="1" operator="equal">
      <formula>"Pass"</formula>
    </cfRule>
    <cfRule type="cellIs" dxfId="2539" priority="2470" stopIfTrue="1" operator="equal">
      <formula>"Fail"</formula>
    </cfRule>
  </conditionalFormatting>
  <conditionalFormatting sqref="I776:L776">
    <cfRule type="cellIs" dxfId="2538" priority="2467" stopIfTrue="1" operator="equal">
      <formula>"Pass"</formula>
    </cfRule>
    <cfRule type="cellIs" dxfId="2537" priority="2468" stopIfTrue="1" operator="equal">
      <formula>"Fail"</formula>
    </cfRule>
  </conditionalFormatting>
  <conditionalFormatting sqref="G776">
    <cfRule type="cellIs" dxfId="2536" priority="2465" stopIfTrue="1" operator="equal">
      <formula>"Pass"</formula>
    </cfRule>
    <cfRule type="cellIs" dxfId="2535" priority="2466" stopIfTrue="1" operator="equal">
      <formula>"Fail"</formula>
    </cfRule>
  </conditionalFormatting>
  <conditionalFormatting sqref="G776">
    <cfRule type="cellIs" dxfId="2534" priority="2463" stopIfTrue="1" operator="equal">
      <formula>"Pass"</formula>
    </cfRule>
    <cfRule type="cellIs" dxfId="2533" priority="2464" stopIfTrue="1" operator="equal">
      <formula>"Fail"</formula>
    </cfRule>
  </conditionalFormatting>
  <conditionalFormatting sqref="G776">
    <cfRule type="cellIs" dxfId="2532" priority="2461" stopIfTrue="1" operator="equal">
      <formula>"Pass"</formula>
    </cfRule>
    <cfRule type="cellIs" dxfId="2531" priority="2462" stopIfTrue="1" operator="equal">
      <formula>"Fail"</formula>
    </cfRule>
  </conditionalFormatting>
  <conditionalFormatting sqref="G776">
    <cfRule type="cellIs" dxfId="2530" priority="2459" stopIfTrue="1" operator="equal">
      <formula>"Pass"</formula>
    </cfRule>
    <cfRule type="cellIs" dxfId="2529" priority="2460" stopIfTrue="1" operator="equal">
      <formula>"Fail"</formula>
    </cfRule>
  </conditionalFormatting>
  <conditionalFormatting sqref="G776">
    <cfRule type="cellIs" dxfId="2528" priority="2457" stopIfTrue="1" operator="equal">
      <formula>"Pass"</formula>
    </cfRule>
    <cfRule type="cellIs" dxfId="2527" priority="2458" stopIfTrue="1" operator="equal">
      <formula>"Fail"</formula>
    </cfRule>
  </conditionalFormatting>
  <conditionalFormatting sqref="G776">
    <cfRule type="cellIs" dxfId="2526" priority="2455" stopIfTrue="1" operator="equal">
      <formula>"Pass"</formula>
    </cfRule>
    <cfRule type="cellIs" dxfId="2525" priority="2456" stopIfTrue="1" operator="equal">
      <formula>"Fail"</formula>
    </cfRule>
  </conditionalFormatting>
  <conditionalFormatting sqref="H776:L776">
    <cfRule type="cellIs" dxfId="2524" priority="2453" stopIfTrue="1" operator="equal">
      <formula>"Pass"</formula>
    </cfRule>
    <cfRule type="cellIs" dxfId="2523" priority="2454" stopIfTrue="1" operator="equal">
      <formula>"Fail"</formula>
    </cfRule>
  </conditionalFormatting>
  <conditionalFormatting sqref="H776:L776">
    <cfRule type="cellIs" dxfId="2522" priority="2451" stopIfTrue="1" operator="equal">
      <formula>"Pass"</formula>
    </cfRule>
    <cfRule type="cellIs" dxfId="2521" priority="2452" stopIfTrue="1" operator="equal">
      <formula>"Fail"</formula>
    </cfRule>
  </conditionalFormatting>
  <conditionalFormatting sqref="I776:L776">
    <cfRule type="cellIs" dxfId="2520" priority="2449" stopIfTrue="1" operator="equal">
      <formula>"Pass"</formula>
    </cfRule>
    <cfRule type="cellIs" dxfId="2519" priority="2450" stopIfTrue="1" operator="equal">
      <formula>"Fail"</formula>
    </cfRule>
  </conditionalFormatting>
  <conditionalFormatting sqref="I776:L776">
    <cfRule type="cellIs" dxfId="2518" priority="2447" stopIfTrue="1" operator="equal">
      <formula>"Pass"</formula>
    </cfRule>
    <cfRule type="cellIs" dxfId="2517" priority="2448" stopIfTrue="1" operator="equal">
      <formula>"Fail"</formula>
    </cfRule>
  </conditionalFormatting>
  <conditionalFormatting sqref="I776:L776">
    <cfRule type="cellIs" dxfId="2516" priority="2445" stopIfTrue="1" operator="equal">
      <formula>"Pass"</formula>
    </cfRule>
    <cfRule type="cellIs" dxfId="2515" priority="2446" stopIfTrue="1" operator="equal">
      <formula>"Fail"</formula>
    </cfRule>
  </conditionalFormatting>
  <conditionalFormatting sqref="I776:L776">
    <cfRule type="cellIs" dxfId="2514" priority="2443" stopIfTrue="1" operator="equal">
      <formula>"Pass"</formula>
    </cfRule>
    <cfRule type="cellIs" dxfId="2513" priority="2444" stopIfTrue="1" operator="equal">
      <formula>"Fail"</formula>
    </cfRule>
  </conditionalFormatting>
  <conditionalFormatting sqref="G776">
    <cfRule type="cellIs" dxfId="2512" priority="2441" stopIfTrue="1" operator="equal">
      <formula>"Pass"</formula>
    </cfRule>
    <cfRule type="cellIs" dxfId="2511" priority="2442" stopIfTrue="1" operator="equal">
      <formula>"Fail"</formula>
    </cfRule>
  </conditionalFormatting>
  <conditionalFormatting sqref="G776">
    <cfRule type="cellIs" dxfId="2510" priority="2439" stopIfTrue="1" operator="equal">
      <formula>"Pass"</formula>
    </cfRule>
    <cfRule type="cellIs" dxfId="2509" priority="2440" stopIfTrue="1" operator="equal">
      <formula>"Fail"</formula>
    </cfRule>
  </conditionalFormatting>
  <conditionalFormatting sqref="G776">
    <cfRule type="cellIs" dxfId="2508" priority="2437" stopIfTrue="1" operator="equal">
      <formula>"Pass"</formula>
    </cfRule>
    <cfRule type="cellIs" dxfId="2507" priority="2438" stopIfTrue="1" operator="equal">
      <formula>"Fail"</formula>
    </cfRule>
  </conditionalFormatting>
  <conditionalFormatting sqref="G776">
    <cfRule type="cellIs" dxfId="2506" priority="2435" stopIfTrue="1" operator="equal">
      <formula>"Pass"</formula>
    </cfRule>
    <cfRule type="cellIs" dxfId="2505" priority="2436" stopIfTrue="1" operator="equal">
      <formula>"Fail"</formula>
    </cfRule>
  </conditionalFormatting>
  <conditionalFormatting sqref="G776">
    <cfRule type="cellIs" dxfId="2504" priority="2433" stopIfTrue="1" operator="equal">
      <formula>"Pass"</formula>
    </cfRule>
    <cfRule type="cellIs" dxfId="2503" priority="2434" stopIfTrue="1" operator="equal">
      <formula>"Fail"</formula>
    </cfRule>
  </conditionalFormatting>
  <conditionalFormatting sqref="G776">
    <cfRule type="cellIs" dxfId="2502" priority="2431" stopIfTrue="1" operator="equal">
      <formula>"Pass"</formula>
    </cfRule>
    <cfRule type="cellIs" dxfId="2501" priority="2432" stopIfTrue="1" operator="equal">
      <formula>"Fail"</formula>
    </cfRule>
  </conditionalFormatting>
  <conditionalFormatting sqref="H776:L776">
    <cfRule type="cellIs" dxfId="2500" priority="2429" stopIfTrue="1" operator="equal">
      <formula>"Pass"</formula>
    </cfRule>
    <cfRule type="cellIs" dxfId="2499" priority="2430" stopIfTrue="1" operator="equal">
      <formula>"Fail"</formula>
    </cfRule>
  </conditionalFormatting>
  <conditionalFormatting sqref="H776:L776">
    <cfRule type="cellIs" dxfId="2498" priority="2427" stopIfTrue="1" operator="equal">
      <formula>"Pass"</formula>
    </cfRule>
    <cfRule type="cellIs" dxfId="2497" priority="2428" stopIfTrue="1" operator="equal">
      <formula>"Fail"</formula>
    </cfRule>
  </conditionalFormatting>
  <conditionalFormatting sqref="I776:L776">
    <cfRule type="cellIs" dxfId="2496" priority="2425" stopIfTrue="1" operator="equal">
      <formula>"Pass"</formula>
    </cfRule>
    <cfRule type="cellIs" dxfId="2495" priority="2426" stopIfTrue="1" operator="equal">
      <formula>"Fail"</formula>
    </cfRule>
  </conditionalFormatting>
  <conditionalFormatting sqref="I776:L776">
    <cfRule type="cellIs" dxfId="2494" priority="2423" stopIfTrue="1" operator="equal">
      <formula>"Pass"</formula>
    </cfRule>
    <cfRule type="cellIs" dxfId="2493" priority="2424" stopIfTrue="1" operator="equal">
      <formula>"Fail"</formula>
    </cfRule>
  </conditionalFormatting>
  <conditionalFormatting sqref="I776:L776">
    <cfRule type="cellIs" dxfId="2492" priority="2421" stopIfTrue="1" operator="equal">
      <formula>"Pass"</formula>
    </cfRule>
    <cfRule type="cellIs" dxfId="2491" priority="2422" stopIfTrue="1" operator="equal">
      <formula>"Fail"</formula>
    </cfRule>
  </conditionalFormatting>
  <conditionalFormatting sqref="I776:L776">
    <cfRule type="cellIs" dxfId="2490" priority="2419" stopIfTrue="1" operator="equal">
      <formula>"Pass"</formula>
    </cfRule>
    <cfRule type="cellIs" dxfId="2489" priority="2420" stopIfTrue="1" operator="equal">
      <formula>"Fail"</formula>
    </cfRule>
  </conditionalFormatting>
  <conditionalFormatting sqref="G776">
    <cfRule type="cellIs" dxfId="2488" priority="2417" stopIfTrue="1" operator="equal">
      <formula>"Pass"</formula>
    </cfRule>
    <cfRule type="cellIs" dxfId="2487" priority="2418" stopIfTrue="1" operator="equal">
      <formula>"Fail"</formula>
    </cfRule>
  </conditionalFormatting>
  <conditionalFormatting sqref="G776">
    <cfRule type="cellIs" dxfId="2486" priority="2415" stopIfTrue="1" operator="equal">
      <formula>"Pass"</formula>
    </cfRule>
    <cfRule type="cellIs" dxfId="2485" priority="2416" stopIfTrue="1" operator="equal">
      <formula>"Fail"</formula>
    </cfRule>
  </conditionalFormatting>
  <conditionalFormatting sqref="G776">
    <cfRule type="cellIs" dxfId="2484" priority="2413" stopIfTrue="1" operator="equal">
      <formula>"Pass"</formula>
    </cfRule>
    <cfRule type="cellIs" dxfId="2483" priority="2414" stopIfTrue="1" operator="equal">
      <formula>"Fail"</formula>
    </cfRule>
  </conditionalFormatting>
  <conditionalFormatting sqref="G776">
    <cfRule type="cellIs" dxfId="2482" priority="2411" stopIfTrue="1" operator="equal">
      <formula>"Pass"</formula>
    </cfRule>
    <cfRule type="cellIs" dxfId="2481" priority="2412" stopIfTrue="1" operator="equal">
      <formula>"Fail"</formula>
    </cfRule>
  </conditionalFormatting>
  <conditionalFormatting sqref="G776">
    <cfRule type="cellIs" dxfId="2480" priority="2409" stopIfTrue="1" operator="equal">
      <formula>"Pass"</formula>
    </cfRule>
    <cfRule type="cellIs" dxfId="2479" priority="2410" stopIfTrue="1" operator="equal">
      <formula>"Fail"</formula>
    </cfRule>
  </conditionalFormatting>
  <conditionalFormatting sqref="G776">
    <cfRule type="cellIs" dxfId="2478" priority="2407" stopIfTrue="1" operator="equal">
      <formula>"Pass"</formula>
    </cfRule>
    <cfRule type="cellIs" dxfId="2477" priority="2408" stopIfTrue="1" operator="equal">
      <formula>"Fail"</formula>
    </cfRule>
  </conditionalFormatting>
  <conditionalFormatting sqref="H776:L776">
    <cfRule type="cellIs" dxfId="2476" priority="2405" stopIfTrue="1" operator="equal">
      <formula>"Pass"</formula>
    </cfRule>
    <cfRule type="cellIs" dxfId="2475" priority="2406" stopIfTrue="1" operator="equal">
      <formula>"Fail"</formula>
    </cfRule>
  </conditionalFormatting>
  <conditionalFormatting sqref="H776:L776">
    <cfRule type="cellIs" dxfId="2474" priority="2403" stopIfTrue="1" operator="equal">
      <formula>"Pass"</formula>
    </cfRule>
    <cfRule type="cellIs" dxfId="2473" priority="2404" stopIfTrue="1" operator="equal">
      <formula>"Fail"</formula>
    </cfRule>
  </conditionalFormatting>
  <conditionalFormatting sqref="I776:L776">
    <cfRule type="cellIs" dxfId="2472" priority="2401" stopIfTrue="1" operator="equal">
      <formula>"Pass"</formula>
    </cfRule>
    <cfRule type="cellIs" dxfId="2471" priority="2402" stopIfTrue="1" operator="equal">
      <formula>"Fail"</formula>
    </cfRule>
  </conditionalFormatting>
  <conditionalFormatting sqref="I776:L776">
    <cfRule type="cellIs" dxfId="2470" priority="2399" stopIfTrue="1" operator="equal">
      <formula>"Pass"</formula>
    </cfRule>
    <cfRule type="cellIs" dxfId="2469" priority="2400" stopIfTrue="1" operator="equal">
      <formula>"Fail"</formula>
    </cfRule>
  </conditionalFormatting>
  <conditionalFormatting sqref="I776:L776">
    <cfRule type="cellIs" dxfId="2468" priority="2397" stopIfTrue="1" operator="equal">
      <formula>"Pass"</formula>
    </cfRule>
    <cfRule type="cellIs" dxfId="2467" priority="2398" stopIfTrue="1" operator="equal">
      <formula>"Fail"</formula>
    </cfRule>
  </conditionalFormatting>
  <conditionalFormatting sqref="I776:L776">
    <cfRule type="cellIs" dxfId="2466" priority="2395" stopIfTrue="1" operator="equal">
      <formula>"Pass"</formula>
    </cfRule>
    <cfRule type="cellIs" dxfId="2465" priority="2396" stopIfTrue="1" operator="equal">
      <formula>"Fail"</formula>
    </cfRule>
  </conditionalFormatting>
  <conditionalFormatting sqref="G776">
    <cfRule type="cellIs" dxfId="2464" priority="2393" stopIfTrue="1" operator="equal">
      <formula>"Pass"</formula>
    </cfRule>
    <cfRule type="cellIs" dxfId="2463" priority="2394" stopIfTrue="1" operator="equal">
      <formula>"Fail"</formula>
    </cfRule>
  </conditionalFormatting>
  <conditionalFormatting sqref="G776">
    <cfRule type="cellIs" dxfId="2462" priority="2391" stopIfTrue="1" operator="equal">
      <formula>"Pass"</formula>
    </cfRule>
    <cfRule type="cellIs" dxfId="2461" priority="2392" stopIfTrue="1" operator="equal">
      <formula>"Fail"</formula>
    </cfRule>
  </conditionalFormatting>
  <conditionalFormatting sqref="G776">
    <cfRule type="cellIs" dxfId="2460" priority="2389" stopIfTrue="1" operator="equal">
      <formula>"Pass"</formula>
    </cfRule>
    <cfRule type="cellIs" dxfId="2459" priority="2390" stopIfTrue="1" operator="equal">
      <formula>"Fail"</formula>
    </cfRule>
  </conditionalFormatting>
  <conditionalFormatting sqref="G776">
    <cfRule type="cellIs" dxfId="2458" priority="2387" stopIfTrue="1" operator="equal">
      <formula>"Pass"</formula>
    </cfRule>
    <cfRule type="cellIs" dxfId="2457" priority="2388" stopIfTrue="1" operator="equal">
      <formula>"Fail"</formula>
    </cfRule>
  </conditionalFormatting>
  <conditionalFormatting sqref="G776">
    <cfRule type="cellIs" dxfId="2456" priority="2385" stopIfTrue="1" operator="equal">
      <formula>"Pass"</formula>
    </cfRule>
    <cfRule type="cellIs" dxfId="2455" priority="2386" stopIfTrue="1" operator="equal">
      <formula>"Fail"</formula>
    </cfRule>
  </conditionalFormatting>
  <conditionalFormatting sqref="G776">
    <cfRule type="cellIs" dxfId="2454" priority="2383" stopIfTrue="1" operator="equal">
      <formula>"Pass"</formula>
    </cfRule>
    <cfRule type="cellIs" dxfId="2453" priority="2384" stopIfTrue="1" operator="equal">
      <formula>"Fail"</formula>
    </cfRule>
  </conditionalFormatting>
  <conditionalFormatting sqref="H776:L776">
    <cfRule type="cellIs" dxfId="2452" priority="2381" stopIfTrue="1" operator="equal">
      <formula>"Pass"</formula>
    </cfRule>
    <cfRule type="cellIs" dxfId="2451" priority="2382" stopIfTrue="1" operator="equal">
      <formula>"Fail"</formula>
    </cfRule>
  </conditionalFormatting>
  <conditionalFormatting sqref="H776:L776">
    <cfRule type="cellIs" dxfId="2450" priority="2379" stopIfTrue="1" operator="equal">
      <formula>"Pass"</formula>
    </cfRule>
    <cfRule type="cellIs" dxfId="2449" priority="2380" stopIfTrue="1" operator="equal">
      <formula>"Fail"</formula>
    </cfRule>
  </conditionalFormatting>
  <conditionalFormatting sqref="I776:L776">
    <cfRule type="cellIs" dxfId="2448" priority="2377" stopIfTrue="1" operator="equal">
      <formula>"Pass"</formula>
    </cfRule>
    <cfRule type="cellIs" dxfId="2447" priority="2378" stopIfTrue="1" operator="equal">
      <formula>"Fail"</formula>
    </cfRule>
  </conditionalFormatting>
  <conditionalFormatting sqref="I776:L776">
    <cfRule type="cellIs" dxfId="2446" priority="2375" stopIfTrue="1" operator="equal">
      <formula>"Pass"</formula>
    </cfRule>
    <cfRule type="cellIs" dxfId="2445" priority="2376" stopIfTrue="1" operator="equal">
      <formula>"Fail"</formula>
    </cfRule>
  </conditionalFormatting>
  <conditionalFormatting sqref="I776:L776">
    <cfRule type="cellIs" dxfId="2444" priority="2373" stopIfTrue="1" operator="equal">
      <formula>"Pass"</formula>
    </cfRule>
    <cfRule type="cellIs" dxfId="2443" priority="2374" stopIfTrue="1" operator="equal">
      <formula>"Fail"</formula>
    </cfRule>
  </conditionalFormatting>
  <conditionalFormatting sqref="I776:L776">
    <cfRule type="cellIs" dxfId="2442" priority="2371" stopIfTrue="1" operator="equal">
      <formula>"Pass"</formula>
    </cfRule>
    <cfRule type="cellIs" dxfId="2441" priority="2372" stopIfTrue="1" operator="equal">
      <formula>"Fail"</formula>
    </cfRule>
  </conditionalFormatting>
  <conditionalFormatting sqref="G776">
    <cfRule type="cellIs" dxfId="2440" priority="2369" stopIfTrue="1" operator="equal">
      <formula>"Pass"</formula>
    </cfRule>
    <cfRule type="cellIs" dxfId="2439" priority="2370" stopIfTrue="1" operator="equal">
      <formula>"Fail"</formula>
    </cfRule>
  </conditionalFormatting>
  <conditionalFormatting sqref="G776">
    <cfRule type="cellIs" dxfId="2438" priority="2367" stopIfTrue="1" operator="equal">
      <formula>"Pass"</formula>
    </cfRule>
    <cfRule type="cellIs" dxfId="2437" priority="2368" stopIfTrue="1" operator="equal">
      <formula>"Fail"</formula>
    </cfRule>
  </conditionalFormatting>
  <conditionalFormatting sqref="G776">
    <cfRule type="cellIs" dxfId="2436" priority="2365" stopIfTrue="1" operator="equal">
      <formula>"Pass"</formula>
    </cfRule>
    <cfRule type="cellIs" dxfId="2435" priority="2366" stopIfTrue="1" operator="equal">
      <formula>"Fail"</formula>
    </cfRule>
  </conditionalFormatting>
  <conditionalFormatting sqref="G776">
    <cfRule type="cellIs" dxfId="2434" priority="2363" stopIfTrue="1" operator="equal">
      <formula>"Pass"</formula>
    </cfRule>
    <cfRule type="cellIs" dxfId="2433" priority="2364" stopIfTrue="1" operator="equal">
      <formula>"Fail"</formula>
    </cfRule>
  </conditionalFormatting>
  <conditionalFormatting sqref="G776">
    <cfRule type="cellIs" dxfId="2432" priority="2361" stopIfTrue="1" operator="equal">
      <formula>"Pass"</formula>
    </cfRule>
    <cfRule type="cellIs" dxfId="2431" priority="2362" stopIfTrue="1" operator="equal">
      <formula>"Fail"</formula>
    </cfRule>
  </conditionalFormatting>
  <conditionalFormatting sqref="G776">
    <cfRule type="cellIs" dxfId="2430" priority="2359" stopIfTrue="1" operator="equal">
      <formula>"Pass"</formula>
    </cfRule>
    <cfRule type="cellIs" dxfId="2429" priority="2360" stopIfTrue="1" operator="equal">
      <formula>"Fail"</formula>
    </cfRule>
  </conditionalFormatting>
  <conditionalFormatting sqref="G776:L776">
    <cfRule type="cellIs" dxfId="2428" priority="2357" stopIfTrue="1" operator="equal">
      <formula>"Pass"</formula>
    </cfRule>
    <cfRule type="cellIs" dxfId="2427" priority="2358" stopIfTrue="1" operator="equal">
      <formula>"Fail"</formula>
    </cfRule>
  </conditionalFormatting>
  <conditionalFormatting sqref="G776:L776">
    <cfRule type="cellIs" dxfId="2426" priority="2355" stopIfTrue="1" operator="equal">
      <formula>"Pass"</formula>
    </cfRule>
    <cfRule type="cellIs" dxfId="2425" priority="2356" stopIfTrue="1" operator="equal">
      <formula>"Fail"</formula>
    </cfRule>
  </conditionalFormatting>
  <conditionalFormatting sqref="G776:L776">
    <cfRule type="cellIs" dxfId="2424" priority="2353" stopIfTrue="1" operator="equal">
      <formula>"Pass"</formula>
    </cfRule>
    <cfRule type="cellIs" dxfId="2423" priority="2354" stopIfTrue="1" operator="equal">
      <formula>"Fail"</formula>
    </cfRule>
  </conditionalFormatting>
  <conditionalFormatting sqref="G776:L776">
    <cfRule type="cellIs" dxfId="2422" priority="2351" stopIfTrue="1" operator="equal">
      <formula>"Pass"</formula>
    </cfRule>
    <cfRule type="cellIs" dxfId="2421" priority="2352" stopIfTrue="1" operator="equal">
      <formula>"Fail"</formula>
    </cfRule>
  </conditionalFormatting>
  <conditionalFormatting sqref="G776:L776">
    <cfRule type="cellIs" dxfId="2420" priority="2349" stopIfTrue="1" operator="equal">
      <formula>"Pass"</formula>
    </cfRule>
    <cfRule type="cellIs" dxfId="2419" priority="2350" stopIfTrue="1" operator="equal">
      <formula>"Fail"</formula>
    </cfRule>
  </conditionalFormatting>
  <conditionalFormatting sqref="G776:L776">
    <cfRule type="cellIs" dxfId="2418" priority="2347" stopIfTrue="1" operator="equal">
      <formula>"Pass"</formula>
    </cfRule>
    <cfRule type="cellIs" dxfId="2417" priority="2348" stopIfTrue="1" operator="equal">
      <formula>"Fail"</formula>
    </cfRule>
  </conditionalFormatting>
  <conditionalFormatting sqref="G776:L776">
    <cfRule type="cellIs" dxfId="2416" priority="2345" stopIfTrue="1" operator="equal">
      <formula>"Pass"</formula>
    </cfRule>
    <cfRule type="cellIs" dxfId="2415" priority="2346" stopIfTrue="1" operator="equal">
      <formula>"Fail"</formula>
    </cfRule>
  </conditionalFormatting>
  <conditionalFormatting sqref="G776:L776">
    <cfRule type="cellIs" dxfId="2414" priority="2343" stopIfTrue="1" operator="equal">
      <formula>"Pass"</formula>
    </cfRule>
    <cfRule type="cellIs" dxfId="2413" priority="2344" stopIfTrue="1" operator="equal">
      <formula>"Fail"</formula>
    </cfRule>
  </conditionalFormatting>
  <conditionalFormatting sqref="G776:L776">
    <cfRule type="cellIs" dxfId="2412" priority="2341" stopIfTrue="1" operator="equal">
      <formula>"Pass"</formula>
    </cfRule>
    <cfRule type="cellIs" dxfId="2411" priority="2342" stopIfTrue="1" operator="equal">
      <formula>"Fail"</formula>
    </cfRule>
  </conditionalFormatting>
  <conditionalFormatting sqref="G776:L776">
    <cfRule type="cellIs" dxfId="2410" priority="2339" stopIfTrue="1" operator="equal">
      <formula>"Pass"</formula>
    </cfRule>
    <cfRule type="cellIs" dxfId="2409" priority="2340" stopIfTrue="1" operator="equal">
      <formula>"Fail"</formula>
    </cfRule>
  </conditionalFormatting>
  <conditionalFormatting sqref="G776:L776">
    <cfRule type="cellIs" dxfId="2408" priority="2337" stopIfTrue="1" operator="equal">
      <formula>"Pass"</formula>
    </cfRule>
    <cfRule type="cellIs" dxfId="2407" priority="2338" stopIfTrue="1" operator="equal">
      <formula>"Fail"</formula>
    </cfRule>
  </conditionalFormatting>
  <conditionalFormatting sqref="G776:L776">
    <cfRule type="cellIs" dxfId="2406" priority="2335" stopIfTrue="1" operator="equal">
      <formula>"Pass"</formula>
    </cfRule>
    <cfRule type="cellIs" dxfId="2405" priority="2336" stopIfTrue="1" operator="equal">
      <formula>"Fail"</formula>
    </cfRule>
  </conditionalFormatting>
  <conditionalFormatting sqref="G776:L776">
    <cfRule type="cellIs" dxfId="2404" priority="2333" stopIfTrue="1" operator="equal">
      <formula>"Pass"</formula>
    </cfRule>
    <cfRule type="cellIs" dxfId="2403" priority="2334" stopIfTrue="1" operator="equal">
      <formula>"Fail"</formula>
    </cfRule>
  </conditionalFormatting>
  <conditionalFormatting sqref="G776:L776">
    <cfRule type="cellIs" dxfId="2402" priority="2331" stopIfTrue="1" operator="equal">
      <formula>"Pass"</formula>
    </cfRule>
    <cfRule type="cellIs" dxfId="2401" priority="2332" stopIfTrue="1" operator="equal">
      <formula>"Fail"</formula>
    </cfRule>
  </conditionalFormatting>
  <conditionalFormatting sqref="G776:L776">
    <cfRule type="cellIs" dxfId="2400" priority="2329" stopIfTrue="1" operator="equal">
      <formula>"Pass"</formula>
    </cfRule>
    <cfRule type="cellIs" dxfId="2399" priority="2330" stopIfTrue="1" operator="equal">
      <formula>"Fail"</formula>
    </cfRule>
  </conditionalFormatting>
  <conditionalFormatting sqref="G776:L776">
    <cfRule type="cellIs" dxfId="2398" priority="2327" stopIfTrue="1" operator="equal">
      <formula>"Pass"</formula>
    </cfRule>
    <cfRule type="cellIs" dxfId="2397" priority="2328" stopIfTrue="1" operator="equal">
      <formula>"Fail"</formula>
    </cfRule>
  </conditionalFormatting>
  <conditionalFormatting sqref="G776:L776">
    <cfRule type="cellIs" dxfId="2396" priority="2325" stopIfTrue="1" operator="equal">
      <formula>"Pass"</formula>
    </cfRule>
    <cfRule type="cellIs" dxfId="2395" priority="2326" stopIfTrue="1" operator="equal">
      <formula>"Fail"</formula>
    </cfRule>
  </conditionalFormatting>
  <conditionalFormatting sqref="G776:L776">
    <cfRule type="cellIs" dxfId="2394" priority="2323" stopIfTrue="1" operator="equal">
      <formula>"Pass"</formula>
    </cfRule>
    <cfRule type="cellIs" dxfId="2393" priority="2324" stopIfTrue="1" operator="equal">
      <formula>"Fail"</formula>
    </cfRule>
  </conditionalFormatting>
  <conditionalFormatting sqref="G776:L776">
    <cfRule type="cellIs" dxfId="2392" priority="2321" stopIfTrue="1" operator="equal">
      <formula>"Pass"</formula>
    </cfRule>
    <cfRule type="cellIs" dxfId="2391" priority="2322" stopIfTrue="1" operator="equal">
      <formula>"Fail"</formula>
    </cfRule>
  </conditionalFormatting>
  <conditionalFormatting sqref="G776:L776">
    <cfRule type="cellIs" dxfId="2390" priority="2319" stopIfTrue="1" operator="equal">
      <formula>"Pass"</formula>
    </cfRule>
    <cfRule type="cellIs" dxfId="2389" priority="2320" stopIfTrue="1" operator="equal">
      <formula>"Fail"</formula>
    </cfRule>
  </conditionalFormatting>
  <conditionalFormatting sqref="G776:L776">
    <cfRule type="cellIs" dxfId="2388" priority="2317" stopIfTrue="1" operator="equal">
      <formula>"Pass"</formula>
    </cfRule>
    <cfRule type="cellIs" dxfId="2387" priority="2318" stopIfTrue="1" operator="equal">
      <formula>"Fail"</formula>
    </cfRule>
  </conditionalFormatting>
  <conditionalFormatting sqref="G776:L776">
    <cfRule type="cellIs" dxfId="2386" priority="2315" stopIfTrue="1" operator="equal">
      <formula>"Pass"</formula>
    </cfRule>
    <cfRule type="cellIs" dxfId="2385" priority="2316" stopIfTrue="1" operator="equal">
      <formula>"Fail"</formula>
    </cfRule>
  </conditionalFormatting>
  <conditionalFormatting sqref="G776:L776">
    <cfRule type="cellIs" dxfId="2384" priority="2313" stopIfTrue="1" operator="equal">
      <formula>"Pass"</formula>
    </cfRule>
    <cfRule type="cellIs" dxfId="2383" priority="2314" stopIfTrue="1" operator="equal">
      <formula>"Fail"</formula>
    </cfRule>
  </conditionalFormatting>
  <conditionalFormatting sqref="G776:L776">
    <cfRule type="cellIs" dxfId="2382" priority="2311" stopIfTrue="1" operator="equal">
      <formula>"Pass"</formula>
    </cfRule>
    <cfRule type="cellIs" dxfId="2381" priority="2312" stopIfTrue="1" operator="equal">
      <formula>"Fail"</formula>
    </cfRule>
  </conditionalFormatting>
  <conditionalFormatting sqref="G776:L776">
    <cfRule type="cellIs" dxfId="2380" priority="2309" stopIfTrue="1" operator="equal">
      <formula>"Pass"</formula>
    </cfRule>
    <cfRule type="cellIs" dxfId="2379" priority="2310" stopIfTrue="1" operator="equal">
      <formula>"Fail"</formula>
    </cfRule>
  </conditionalFormatting>
  <conditionalFormatting sqref="G776:L776">
    <cfRule type="cellIs" dxfId="2378" priority="2307" stopIfTrue="1" operator="equal">
      <formula>"Pass"</formula>
    </cfRule>
    <cfRule type="cellIs" dxfId="2377" priority="2308" stopIfTrue="1" operator="equal">
      <formula>"Fail"</formula>
    </cfRule>
  </conditionalFormatting>
  <conditionalFormatting sqref="G776:L776">
    <cfRule type="cellIs" dxfId="2376" priority="2305" stopIfTrue="1" operator="equal">
      <formula>"Pass"</formula>
    </cfRule>
    <cfRule type="cellIs" dxfId="2375" priority="2306" stopIfTrue="1" operator="equal">
      <formula>"Fail"</formula>
    </cfRule>
  </conditionalFormatting>
  <conditionalFormatting sqref="G776:L776">
    <cfRule type="cellIs" dxfId="2374" priority="2303" stopIfTrue="1" operator="equal">
      <formula>"Pass"</formula>
    </cfRule>
    <cfRule type="cellIs" dxfId="2373" priority="2304" stopIfTrue="1" operator="equal">
      <formula>"Fail"</formula>
    </cfRule>
  </conditionalFormatting>
  <conditionalFormatting sqref="G776:L776">
    <cfRule type="cellIs" dxfId="2372" priority="2301" stopIfTrue="1" operator="equal">
      <formula>"Pass"</formula>
    </cfRule>
    <cfRule type="cellIs" dxfId="2371" priority="2302" stopIfTrue="1" operator="equal">
      <formula>"Fail"</formula>
    </cfRule>
  </conditionalFormatting>
  <conditionalFormatting sqref="G776:L776">
    <cfRule type="cellIs" dxfId="2370" priority="2299" stopIfTrue="1" operator="equal">
      <formula>"Pass"</formula>
    </cfRule>
    <cfRule type="cellIs" dxfId="2369" priority="2300" stopIfTrue="1" operator="equal">
      <formula>"Fail"</formula>
    </cfRule>
  </conditionalFormatting>
  <conditionalFormatting sqref="D776:E776">
    <cfRule type="cellIs" dxfId="2368" priority="2297" stopIfTrue="1" operator="equal">
      <formula>"Pass"</formula>
    </cfRule>
    <cfRule type="cellIs" dxfId="2367" priority="2298" stopIfTrue="1" operator="equal">
      <formula>"Fail"</formula>
    </cfRule>
  </conditionalFormatting>
  <conditionalFormatting sqref="G776:L776">
    <cfRule type="cellIs" dxfId="2366" priority="2295" stopIfTrue="1" operator="equal">
      <formula>"Pass"</formula>
    </cfRule>
    <cfRule type="cellIs" dxfId="2365" priority="2296" stopIfTrue="1" operator="equal">
      <formula>"Fail"</formula>
    </cfRule>
  </conditionalFormatting>
  <conditionalFormatting sqref="G777:L777">
    <cfRule type="cellIs" dxfId="2364" priority="2293" stopIfTrue="1" operator="equal">
      <formula>"Pass"</formula>
    </cfRule>
    <cfRule type="cellIs" dxfId="2363" priority="2294" stopIfTrue="1" operator="equal">
      <formula>"Fail"</formula>
    </cfRule>
  </conditionalFormatting>
  <conditionalFormatting sqref="H777:L777">
    <cfRule type="cellIs" dxfId="2362" priority="2291" stopIfTrue="1" operator="equal">
      <formula>"Pass"</formula>
    </cfRule>
    <cfRule type="cellIs" dxfId="2361" priority="2292" stopIfTrue="1" operator="equal">
      <formula>"Fail"</formula>
    </cfRule>
  </conditionalFormatting>
  <conditionalFormatting sqref="H777:L777">
    <cfRule type="cellIs" dxfId="2360" priority="2289" stopIfTrue="1" operator="equal">
      <formula>"Pass"</formula>
    </cfRule>
    <cfRule type="cellIs" dxfId="2359" priority="2290" stopIfTrue="1" operator="equal">
      <formula>"Fail"</formula>
    </cfRule>
  </conditionalFormatting>
  <conditionalFormatting sqref="I777:L777">
    <cfRule type="cellIs" dxfId="2358" priority="2287" stopIfTrue="1" operator="equal">
      <formula>"Pass"</formula>
    </cfRule>
    <cfRule type="cellIs" dxfId="2357" priority="2288" stopIfTrue="1" operator="equal">
      <formula>"Fail"</formula>
    </cfRule>
  </conditionalFormatting>
  <conditionalFormatting sqref="I777:L777">
    <cfRule type="cellIs" dxfId="2356" priority="2285" stopIfTrue="1" operator="equal">
      <formula>"Pass"</formula>
    </cfRule>
    <cfRule type="cellIs" dxfId="2355" priority="2286" stopIfTrue="1" operator="equal">
      <formula>"Fail"</formula>
    </cfRule>
  </conditionalFormatting>
  <conditionalFormatting sqref="I777:L777">
    <cfRule type="cellIs" dxfId="2354" priority="2283" stopIfTrue="1" operator="equal">
      <formula>"Pass"</formula>
    </cfRule>
    <cfRule type="cellIs" dxfId="2353" priority="2284" stopIfTrue="1" operator="equal">
      <formula>"Fail"</formula>
    </cfRule>
  </conditionalFormatting>
  <conditionalFormatting sqref="I777:L777">
    <cfRule type="cellIs" dxfId="2352" priority="2281" stopIfTrue="1" operator="equal">
      <formula>"Pass"</formula>
    </cfRule>
    <cfRule type="cellIs" dxfId="2351" priority="2282" stopIfTrue="1" operator="equal">
      <formula>"Fail"</formula>
    </cfRule>
  </conditionalFormatting>
  <conditionalFormatting sqref="G777">
    <cfRule type="cellIs" dxfId="2350" priority="2279" stopIfTrue="1" operator="equal">
      <formula>"Pass"</formula>
    </cfRule>
    <cfRule type="cellIs" dxfId="2349" priority="2280" stopIfTrue="1" operator="equal">
      <formula>"Fail"</formula>
    </cfRule>
  </conditionalFormatting>
  <conditionalFormatting sqref="G777">
    <cfRule type="cellIs" dxfId="2348" priority="2277" stopIfTrue="1" operator="equal">
      <formula>"Pass"</formula>
    </cfRule>
    <cfRule type="cellIs" dxfId="2347" priority="2278" stopIfTrue="1" operator="equal">
      <formula>"Fail"</formula>
    </cfRule>
  </conditionalFormatting>
  <conditionalFormatting sqref="G777">
    <cfRule type="cellIs" dxfId="2346" priority="2275" stopIfTrue="1" operator="equal">
      <formula>"Pass"</formula>
    </cfRule>
    <cfRule type="cellIs" dxfId="2345" priority="2276" stopIfTrue="1" operator="equal">
      <formula>"Fail"</formula>
    </cfRule>
  </conditionalFormatting>
  <conditionalFormatting sqref="G777">
    <cfRule type="cellIs" dxfId="2344" priority="2273" stopIfTrue="1" operator="equal">
      <formula>"Pass"</formula>
    </cfRule>
    <cfRule type="cellIs" dxfId="2343" priority="2274" stopIfTrue="1" operator="equal">
      <formula>"Fail"</formula>
    </cfRule>
  </conditionalFormatting>
  <conditionalFormatting sqref="G777">
    <cfRule type="cellIs" dxfId="2342" priority="2271" stopIfTrue="1" operator="equal">
      <formula>"Pass"</formula>
    </cfRule>
    <cfRule type="cellIs" dxfId="2341" priority="2272" stopIfTrue="1" operator="equal">
      <formula>"Fail"</formula>
    </cfRule>
  </conditionalFormatting>
  <conditionalFormatting sqref="G777">
    <cfRule type="cellIs" dxfId="2340" priority="2269" stopIfTrue="1" operator="equal">
      <formula>"Pass"</formula>
    </cfRule>
    <cfRule type="cellIs" dxfId="2339" priority="2270" stopIfTrue="1" operator="equal">
      <formula>"Fail"</formula>
    </cfRule>
  </conditionalFormatting>
  <conditionalFormatting sqref="H777:L777">
    <cfRule type="cellIs" dxfId="2338" priority="2267" stopIfTrue="1" operator="equal">
      <formula>"Pass"</formula>
    </cfRule>
    <cfRule type="cellIs" dxfId="2337" priority="2268" stopIfTrue="1" operator="equal">
      <formula>"Fail"</formula>
    </cfRule>
  </conditionalFormatting>
  <conditionalFormatting sqref="H777:L777">
    <cfRule type="cellIs" dxfId="2336" priority="2265" stopIfTrue="1" operator="equal">
      <formula>"Pass"</formula>
    </cfRule>
    <cfRule type="cellIs" dxfId="2335" priority="2266" stopIfTrue="1" operator="equal">
      <formula>"Fail"</formula>
    </cfRule>
  </conditionalFormatting>
  <conditionalFormatting sqref="I777:L777">
    <cfRule type="cellIs" dxfId="2334" priority="2263" stopIfTrue="1" operator="equal">
      <formula>"Pass"</formula>
    </cfRule>
    <cfRule type="cellIs" dxfId="2333" priority="2264" stopIfTrue="1" operator="equal">
      <formula>"Fail"</formula>
    </cfRule>
  </conditionalFormatting>
  <conditionalFormatting sqref="I777:L777">
    <cfRule type="cellIs" dxfId="2332" priority="2261" stopIfTrue="1" operator="equal">
      <formula>"Pass"</formula>
    </cfRule>
    <cfRule type="cellIs" dxfId="2331" priority="2262" stopIfTrue="1" operator="equal">
      <formula>"Fail"</formula>
    </cfRule>
  </conditionalFormatting>
  <conditionalFormatting sqref="I777:L777">
    <cfRule type="cellIs" dxfId="2330" priority="2259" stopIfTrue="1" operator="equal">
      <formula>"Pass"</formula>
    </cfRule>
    <cfRule type="cellIs" dxfId="2329" priority="2260" stopIfTrue="1" operator="equal">
      <formula>"Fail"</formula>
    </cfRule>
  </conditionalFormatting>
  <conditionalFormatting sqref="I777:L777">
    <cfRule type="cellIs" dxfId="2328" priority="2257" stopIfTrue="1" operator="equal">
      <formula>"Pass"</formula>
    </cfRule>
    <cfRule type="cellIs" dxfId="2327" priority="2258" stopIfTrue="1" operator="equal">
      <formula>"Fail"</formula>
    </cfRule>
  </conditionalFormatting>
  <conditionalFormatting sqref="G777">
    <cfRule type="cellIs" dxfId="2326" priority="2255" stopIfTrue="1" operator="equal">
      <formula>"Pass"</formula>
    </cfRule>
    <cfRule type="cellIs" dxfId="2325" priority="2256" stopIfTrue="1" operator="equal">
      <formula>"Fail"</formula>
    </cfRule>
  </conditionalFormatting>
  <conditionalFormatting sqref="G777">
    <cfRule type="cellIs" dxfId="2324" priority="2253" stopIfTrue="1" operator="equal">
      <formula>"Pass"</formula>
    </cfRule>
    <cfRule type="cellIs" dxfId="2323" priority="2254" stopIfTrue="1" operator="equal">
      <formula>"Fail"</formula>
    </cfRule>
  </conditionalFormatting>
  <conditionalFormatting sqref="G777">
    <cfRule type="cellIs" dxfId="2322" priority="2251" stopIfTrue="1" operator="equal">
      <formula>"Pass"</formula>
    </cfRule>
    <cfRule type="cellIs" dxfId="2321" priority="2252" stopIfTrue="1" operator="equal">
      <formula>"Fail"</formula>
    </cfRule>
  </conditionalFormatting>
  <conditionalFormatting sqref="G777">
    <cfRule type="cellIs" dxfId="2320" priority="2249" stopIfTrue="1" operator="equal">
      <formula>"Pass"</formula>
    </cfRule>
    <cfRule type="cellIs" dxfId="2319" priority="2250" stopIfTrue="1" operator="equal">
      <formula>"Fail"</formula>
    </cfRule>
  </conditionalFormatting>
  <conditionalFormatting sqref="G777">
    <cfRule type="cellIs" dxfId="2318" priority="2247" stopIfTrue="1" operator="equal">
      <formula>"Pass"</formula>
    </cfRule>
    <cfRule type="cellIs" dxfId="2317" priority="2248" stopIfTrue="1" operator="equal">
      <formula>"Fail"</formula>
    </cfRule>
  </conditionalFormatting>
  <conditionalFormatting sqref="G777">
    <cfRule type="cellIs" dxfId="2316" priority="2245" stopIfTrue="1" operator="equal">
      <formula>"Pass"</formula>
    </cfRule>
    <cfRule type="cellIs" dxfId="2315" priority="2246" stopIfTrue="1" operator="equal">
      <formula>"Fail"</formula>
    </cfRule>
  </conditionalFormatting>
  <conditionalFormatting sqref="H777:L777">
    <cfRule type="cellIs" dxfId="2314" priority="2243" stopIfTrue="1" operator="equal">
      <formula>"Pass"</formula>
    </cfRule>
    <cfRule type="cellIs" dxfId="2313" priority="2244" stopIfTrue="1" operator="equal">
      <formula>"Fail"</formula>
    </cfRule>
  </conditionalFormatting>
  <conditionalFormatting sqref="H777:L777">
    <cfRule type="cellIs" dxfId="2312" priority="2241" stopIfTrue="1" operator="equal">
      <formula>"Pass"</formula>
    </cfRule>
    <cfRule type="cellIs" dxfId="2311" priority="2242" stopIfTrue="1" operator="equal">
      <formula>"Fail"</formula>
    </cfRule>
  </conditionalFormatting>
  <conditionalFormatting sqref="I777:L777">
    <cfRule type="cellIs" dxfId="2310" priority="2239" stopIfTrue="1" operator="equal">
      <formula>"Pass"</formula>
    </cfRule>
    <cfRule type="cellIs" dxfId="2309" priority="2240" stopIfTrue="1" operator="equal">
      <formula>"Fail"</formula>
    </cfRule>
  </conditionalFormatting>
  <conditionalFormatting sqref="I777:L777">
    <cfRule type="cellIs" dxfId="2308" priority="2237" stopIfTrue="1" operator="equal">
      <formula>"Pass"</formula>
    </cfRule>
    <cfRule type="cellIs" dxfId="2307" priority="2238" stopIfTrue="1" operator="equal">
      <formula>"Fail"</formula>
    </cfRule>
  </conditionalFormatting>
  <conditionalFormatting sqref="I777:L777">
    <cfRule type="cellIs" dxfId="2306" priority="2235" stopIfTrue="1" operator="equal">
      <formula>"Pass"</formula>
    </cfRule>
    <cfRule type="cellIs" dxfId="2305" priority="2236" stopIfTrue="1" operator="equal">
      <formula>"Fail"</formula>
    </cfRule>
  </conditionalFormatting>
  <conditionalFormatting sqref="I777:L777">
    <cfRule type="cellIs" dxfId="2304" priority="2233" stopIfTrue="1" operator="equal">
      <formula>"Pass"</formula>
    </cfRule>
    <cfRule type="cellIs" dxfId="2303" priority="2234" stopIfTrue="1" operator="equal">
      <formula>"Fail"</formula>
    </cfRule>
  </conditionalFormatting>
  <conditionalFormatting sqref="G777">
    <cfRule type="cellIs" dxfId="2302" priority="2231" stopIfTrue="1" operator="equal">
      <formula>"Pass"</formula>
    </cfRule>
    <cfRule type="cellIs" dxfId="2301" priority="2232" stopIfTrue="1" operator="equal">
      <formula>"Fail"</formula>
    </cfRule>
  </conditionalFormatting>
  <conditionalFormatting sqref="G777">
    <cfRule type="cellIs" dxfId="2300" priority="2229" stopIfTrue="1" operator="equal">
      <formula>"Pass"</formula>
    </cfRule>
    <cfRule type="cellIs" dxfId="2299" priority="2230" stopIfTrue="1" operator="equal">
      <formula>"Fail"</formula>
    </cfRule>
  </conditionalFormatting>
  <conditionalFormatting sqref="G777">
    <cfRule type="cellIs" dxfId="2298" priority="2227" stopIfTrue="1" operator="equal">
      <formula>"Pass"</formula>
    </cfRule>
    <cfRule type="cellIs" dxfId="2297" priority="2228" stopIfTrue="1" operator="equal">
      <formula>"Fail"</formula>
    </cfRule>
  </conditionalFormatting>
  <conditionalFormatting sqref="G777">
    <cfRule type="cellIs" dxfId="2296" priority="2225" stopIfTrue="1" operator="equal">
      <formula>"Pass"</formula>
    </cfRule>
    <cfRule type="cellIs" dxfId="2295" priority="2226" stopIfTrue="1" operator="equal">
      <formula>"Fail"</formula>
    </cfRule>
  </conditionalFormatting>
  <conditionalFormatting sqref="G777">
    <cfRule type="cellIs" dxfId="2294" priority="2223" stopIfTrue="1" operator="equal">
      <formula>"Pass"</formula>
    </cfRule>
    <cfRule type="cellIs" dxfId="2293" priority="2224" stopIfTrue="1" operator="equal">
      <formula>"Fail"</formula>
    </cfRule>
  </conditionalFormatting>
  <conditionalFormatting sqref="G777">
    <cfRule type="cellIs" dxfId="2292" priority="2221" stopIfTrue="1" operator="equal">
      <formula>"Pass"</formula>
    </cfRule>
    <cfRule type="cellIs" dxfId="2291" priority="2222" stopIfTrue="1" operator="equal">
      <formula>"Fail"</formula>
    </cfRule>
  </conditionalFormatting>
  <conditionalFormatting sqref="H777:L777">
    <cfRule type="cellIs" dxfId="2290" priority="2219" stopIfTrue="1" operator="equal">
      <formula>"Pass"</formula>
    </cfRule>
    <cfRule type="cellIs" dxfId="2289" priority="2220" stopIfTrue="1" operator="equal">
      <formula>"Fail"</formula>
    </cfRule>
  </conditionalFormatting>
  <conditionalFormatting sqref="H777:L777">
    <cfRule type="cellIs" dxfId="2288" priority="2217" stopIfTrue="1" operator="equal">
      <formula>"Pass"</formula>
    </cfRule>
    <cfRule type="cellIs" dxfId="2287" priority="2218" stopIfTrue="1" operator="equal">
      <formula>"Fail"</formula>
    </cfRule>
  </conditionalFormatting>
  <conditionalFormatting sqref="I777:L777">
    <cfRule type="cellIs" dxfId="2286" priority="2215" stopIfTrue="1" operator="equal">
      <formula>"Pass"</formula>
    </cfRule>
    <cfRule type="cellIs" dxfId="2285" priority="2216" stopIfTrue="1" operator="equal">
      <formula>"Fail"</formula>
    </cfRule>
  </conditionalFormatting>
  <conditionalFormatting sqref="I777:L777">
    <cfRule type="cellIs" dxfId="2284" priority="2213" stopIfTrue="1" operator="equal">
      <formula>"Pass"</formula>
    </cfRule>
    <cfRule type="cellIs" dxfId="2283" priority="2214" stopIfTrue="1" operator="equal">
      <formula>"Fail"</formula>
    </cfRule>
  </conditionalFormatting>
  <conditionalFormatting sqref="I777:L777">
    <cfRule type="cellIs" dxfId="2282" priority="2211" stopIfTrue="1" operator="equal">
      <formula>"Pass"</formula>
    </cfRule>
    <cfRule type="cellIs" dxfId="2281" priority="2212" stopIfTrue="1" operator="equal">
      <formula>"Fail"</formula>
    </cfRule>
  </conditionalFormatting>
  <conditionalFormatting sqref="I777:L777">
    <cfRule type="cellIs" dxfId="2280" priority="2209" stopIfTrue="1" operator="equal">
      <formula>"Pass"</formula>
    </cfRule>
    <cfRule type="cellIs" dxfId="2279" priority="2210" stopIfTrue="1" operator="equal">
      <formula>"Fail"</formula>
    </cfRule>
  </conditionalFormatting>
  <conditionalFormatting sqref="G777">
    <cfRule type="cellIs" dxfId="2278" priority="2207" stopIfTrue="1" operator="equal">
      <formula>"Pass"</formula>
    </cfRule>
    <cfRule type="cellIs" dxfId="2277" priority="2208" stopIfTrue="1" operator="equal">
      <formula>"Fail"</formula>
    </cfRule>
  </conditionalFormatting>
  <conditionalFormatting sqref="G777">
    <cfRule type="cellIs" dxfId="2276" priority="2205" stopIfTrue="1" operator="equal">
      <formula>"Pass"</formula>
    </cfRule>
    <cfRule type="cellIs" dxfId="2275" priority="2206" stopIfTrue="1" operator="equal">
      <formula>"Fail"</formula>
    </cfRule>
  </conditionalFormatting>
  <conditionalFormatting sqref="G777">
    <cfRule type="cellIs" dxfId="2274" priority="2203" stopIfTrue="1" operator="equal">
      <formula>"Pass"</formula>
    </cfRule>
    <cfRule type="cellIs" dxfId="2273" priority="2204" stopIfTrue="1" operator="equal">
      <formula>"Fail"</formula>
    </cfRule>
  </conditionalFormatting>
  <conditionalFormatting sqref="G777">
    <cfRule type="cellIs" dxfId="2272" priority="2201" stopIfTrue="1" operator="equal">
      <formula>"Pass"</formula>
    </cfRule>
    <cfRule type="cellIs" dxfId="2271" priority="2202" stopIfTrue="1" operator="equal">
      <formula>"Fail"</formula>
    </cfRule>
  </conditionalFormatting>
  <conditionalFormatting sqref="G777">
    <cfRule type="cellIs" dxfId="2270" priority="2199" stopIfTrue="1" operator="equal">
      <formula>"Pass"</formula>
    </cfRule>
    <cfRule type="cellIs" dxfId="2269" priority="2200" stopIfTrue="1" operator="equal">
      <formula>"Fail"</formula>
    </cfRule>
  </conditionalFormatting>
  <conditionalFormatting sqref="G777">
    <cfRule type="cellIs" dxfId="2268" priority="2197" stopIfTrue="1" operator="equal">
      <formula>"Pass"</formula>
    </cfRule>
    <cfRule type="cellIs" dxfId="2267" priority="2198" stopIfTrue="1" operator="equal">
      <formula>"Fail"</formula>
    </cfRule>
  </conditionalFormatting>
  <conditionalFormatting sqref="H777:L777">
    <cfRule type="cellIs" dxfId="2266" priority="2195" stopIfTrue="1" operator="equal">
      <formula>"Pass"</formula>
    </cfRule>
    <cfRule type="cellIs" dxfId="2265" priority="2196" stopIfTrue="1" operator="equal">
      <formula>"Fail"</formula>
    </cfRule>
  </conditionalFormatting>
  <conditionalFormatting sqref="H777:L777">
    <cfRule type="cellIs" dxfId="2264" priority="2193" stopIfTrue="1" operator="equal">
      <formula>"Pass"</formula>
    </cfRule>
    <cfRule type="cellIs" dxfId="2263" priority="2194" stopIfTrue="1" operator="equal">
      <formula>"Fail"</formula>
    </cfRule>
  </conditionalFormatting>
  <conditionalFormatting sqref="I777:L777">
    <cfRule type="cellIs" dxfId="2262" priority="2191" stopIfTrue="1" operator="equal">
      <formula>"Pass"</formula>
    </cfRule>
    <cfRule type="cellIs" dxfId="2261" priority="2192" stopIfTrue="1" operator="equal">
      <formula>"Fail"</formula>
    </cfRule>
  </conditionalFormatting>
  <conditionalFormatting sqref="I777:L777">
    <cfRule type="cellIs" dxfId="2260" priority="2189" stopIfTrue="1" operator="equal">
      <formula>"Pass"</formula>
    </cfRule>
    <cfRule type="cellIs" dxfId="2259" priority="2190" stopIfTrue="1" operator="equal">
      <formula>"Fail"</formula>
    </cfRule>
  </conditionalFormatting>
  <conditionalFormatting sqref="I777:L777">
    <cfRule type="cellIs" dxfId="2258" priority="2187" stopIfTrue="1" operator="equal">
      <formula>"Pass"</formula>
    </cfRule>
    <cfRule type="cellIs" dxfId="2257" priority="2188" stopIfTrue="1" operator="equal">
      <formula>"Fail"</formula>
    </cfRule>
  </conditionalFormatting>
  <conditionalFormatting sqref="I777:L777">
    <cfRule type="cellIs" dxfId="2256" priority="2185" stopIfTrue="1" operator="equal">
      <formula>"Pass"</formula>
    </cfRule>
    <cfRule type="cellIs" dxfId="2255" priority="2186" stopIfTrue="1" operator="equal">
      <formula>"Fail"</formula>
    </cfRule>
  </conditionalFormatting>
  <conditionalFormatting sqref="G777">
    <cfRule type="cellIs" dxfId="2254" priority="2183" stopIfTrue="1" operator="equal">
      <formula>"Pass"</formula>
    </cfRule>
    <cfRule type="cellIs" dxfId="2253" priority="2184" stopIfTrue="1" operator="equal">
      <formula>"Fail"</formula>
    </cfRule>
  </conditionalFormatting>
  <conditionalFormatting sqref="G777">
    <cfRule type="cellIs" dxfId="2252" priority="2181" stopIfTrue="1" operator="equal">
      <formula>"Pass"</formula>
    </cfRule>
    <cfRule type="cellIs" dxfId="2251" priority="2182" stopIfTrue="1" operator="equal">
      <formula>"Fail"</formula>
    </cfRule>
  </conditionalFormatting>
  <conditionalFormatting sqref="G777">
    <cfRule type="cellIs" dxfId="2250" priority="2179" stopIfTrue="1" operator="equal">
      <formula>"Pass"</formula>
    </cfRule>
    <cfRule type="cellIs" dxfId="2249" priority="2180" stopIfTrue="1" operator="equal">
      <formula>"Fail"</formula>
    </cfRule>
  </conditionalFormatting>
  <conditionalFormatting sqref="G777">
    <cfRule type="cellIs" dxfId="2248" priority="2177" stopIfTrue="1" operator="equal">
      <formula>"Pass"</formula>
    </cfRule>
    <cfRule type="cellIs" dxfId="2247" priority="2178" stopIfTrue="1" operator="equal">
      <formula>"Fail"</formula>
    </cfRule>
  </conditionalFormatting>
  <conditionalFormatting sqref="G777">
    <cfRule type="cellIs" dxfId="2246" priority="2175" stopIfTrue="1" operator="equal">
      <formula>"Pass"</formula>
    </cfRule>
    <cfRule type="cellIs" dxfId="2245" priority="2176" stopIfTrue="1" operator="equal">
      <formula>"Fail"</formula>
    </cfRule>
  </conditionalFormatting>
  <conditionalFormatting sqref="G777">
    <cfRule type="cellIs" dxfId="2244" priority="2173" stopIfTrue="1" operator="equal">
      <formula>"Pass"</formula>
    </cfRule>
    <cfRule type="cellIs" dxfId="2243" priority="2174" stopIfTrue="1" operator="equal">
      <formula>"Fail"</formula>
    </cfRule>
  </conditionalFormatting>
  <conditionalFormatting sqref="H777:L777">
    <cfRule type="cellIs" dxfId="2242" priority="2171" stopIfTrue="1" operator="equal">
      <formula>"Pass"</formula>
    </cfRule>
    <cfRule type="cellIs" dxfId="2241" priority="2172" stopIfTrue="1" operator="equal">
      <formula>"Fail"</formula>
    </cfRule>
  </conditionalFormatting>
  <conditionalFormatting sqref="H777:L777">
    <cfRule type="cellIs" dxfId="2240" priority="2169" stopIfTrue="1" operator="equal">
      <formula>"Pass"</formula>
    </cfRule>
    <cfRule type="cellIs" dxfId="2239" priority="2170" stopIfTrue="1" operator="equal">
      <formula>"Fail"</formula>
    </cfRule>
  </conditionalFormatting>
  <conditionalFormatting sqref="I777:L777">
    <cfRule type="cellIs" dxfId="2238" priority="2167" stopIfTrue="1" operator="equal">
      <formula>"Pass"</formula>
    </cfRule>
    <cfRule type="cellIs" dxfId="2237" priority="2168" stopIfTrue="1" operator="equal">
      <formula>"Fail"</formula>
    </cfRule>
  </conditionalFormatting>
  <conditionalFormatting sqref="I777:L777">
    <cfRule type="cellIs" dxfId="2236" priority="2165" stopIfTrue="1" operator="equal">
      <formula>"Pass"</formula>
    </cfRule>
    <cfRule type="cellIs" dxfId="2235" priority="2166" stopIfTrue="1" operator="equal">
      <formula>"Fail"</formula>
    </cfRule>
  </conditionalFormatting>
  <conditionalFormatting sqref="I777:L777">
    <cfRule type="cellIs" dxfId="2234" priority="2163" stopIfTrue="1" operator="equal">
      <formula>"Pass"</formula>
    </cfRule>
    <cfRule type="cellIs" dxfId="2233" priority="2164" stopIfTrue="1" operator="equal">
      <formula>"Fail"</formula>
    </cfRule>
  </conditionalFormatting>
  <conditionalFormatting sqref="I777:L777">
    <cfRule type="cellIs" dxfId="2232" priority="2161" stopIfTrue="1" operator="equal">
      <formula>"Pass"</formula>
    </cfRule>
    <cfRule type="cellIs" dxfId="2231" priority="2162" stopIfTrue="1" operator="equal">
      <formula>"Fail"</formula>
    </cfRule>
  </conditionalFormatting>
  <conditionalFormatting sqref="G777">
    <cfRule type="cellIs" dxfId="2230" priority="2159" stopIfTrue="1" operator="equal">
      <formula>"Pass"</formula>
    </cfRule>
    <cfRule type="cellIs" dxfId="2229" priority="2160" stopIfTrue="1" operator="equal">
      <formula>"Fail"</formula>
    </cfRule>
  </conditionalFormatting>
  <conditionalFormatting sqref="G777">
    <cfRule type="cellIs" dxfId="2228" priority="2157" stopIfTrue="1" operator="equal">
      <formula>"Pass"</formula>
    </cfRule>
    <cfRule type="cellIs" dxfId="2227" priority="2158" stopIfTrue="1" operator="equal">
      <formula>"Fail"</formula>
    </cfRule>
  </conditionalFormatting>
  <conditionalFormatting sqref="G777">
    <cfRule type="cellIs" dxfId="2226" priority="2155" stopIfTrue="1" operator="equal">
      <formula>"Pass"</formula>
    </cfRule>
    <cfRule type="cellIs" dxfId="2225" priority="2156" stopIfTrue="1" operator="equal">
      <formula>"Fail"</formula>
    </cfRule>
  </conditionalFormatting>
  <conditionalFormatting sqref="G777">
    <cfRule type="cellIs" dxfId="2224" priority="2153" stopIfTrue="1" operator="equal">
      <formula>"Pass"</formula>
    </cfRule>
    <cfRule type="cellIs" dxfId="2223" priority="2154" stopIfTrue="1" operator="equal">
      <formula>"Fail"</formula>
    </cfRule>
  </conditionalFormatting>
  <conditionalFormatting sqref="G777">
    <cfRule type="cellIs" dxfId="2222" priority="2151" stopIfTrue="1" operator="equal">
      <formula>"Pass"</formula>
    </cfRule>
    <cfRule type="cellIs" dxfId="2221" priority="2152" stopIfTrue="1" operator="equal">
      <formula>"Fail"</formula>
    </cfRule>
  </conditionalFormatting>
  <conditionalFormatting sqref="G777">
    <cfRule type="cellIs" dxfId="2220" priority="2149" stopIfTrue="1" operator="equal">
      <formula>"Pass"</formula>
    </cfRule>
    <cfRule type="cellIs" dxfId="2219" priority="2150" stopIfTrue="1" operator="equal">
      <formula>"Fail"</formula>
    </cfRule>
  </conditionalFormatting>
  <conditionalFormatting sqref="H777:L777">
    <cfRule type="cellIs" dxfId="2218" priority="2147" stopIfTrue="1" operator="equal">
      <formula>"Pass"</formula>
    </cfRule>
    <cfRule type="cellIs" dxfId="2217" priority="2148" stopIfTrue="1" operator="equal">
      <formula>"Fail"</formula>
    </cfRule>
  </conditionalFormatting>
  <conditionalFormatting sqref="H777:L777">
    <cfRule type="cellIs" dxfId="2216" priority="2145" stopIfTrue="1" operator="equal">
      <formula>"Pass"</formula>
    </cfRule>
    <cfRule type="cellIs" dxfId="2215" priority="2146" stopIfTrue="1" operator="equal">
      <formula>"Fail"</formula>
    </cfRule>
  </conditionalFormatting>
  <conditionalFormatting sqref="I777:L777">
    <cfRule type="cellIs" dxfId="2214" priority="2143" stopIfTrue="1" operator="equal">
      <formula>"Pass"</formula>
    </cfRule>
    <cfRule type="cellIs" dxfId="2213" priority="2144" stopIfTrue="1" operator="equal">
      <formula>"Fail"</formula>
    </cfRule>
  </conditionalFormatting>
  <conditionalFormatting sqref="I777:L777">
    <cfRule type="cellIs" dxfId="2212" priority="2141" stopIfTrue="1" operator="equal">
      <formula>"Pass"</formula>
    </cfRule>
    <cfRule type="cellIs" dxfId="2211" priority="2142" stopIfTrue="1" operator="equal">
      <formula>"Fail"</formula>
    </cfRule>
  </conditionalFormatting>
  <conditionalFormatting sqref="I777:L777">
    <cfRule type="cellIs" dxfId="2210" priority="2139" stopIfTrue="1" operator="equal">
      <formula>"Pass"</formula>
    </cfRule>
    <cfRule type="cellIs" dxfId="2209" priority="2140" stopIfTrue="1" operator="equal">
      <formula>"Fail"</formula>
    </cfRule>
  </conditionalFormatting>
  <conditionalFormatting sqref="I777:L777">
    <cfRule type="cellIs" dxfId="2208" priority="2137" stopIfTrue="1" operator="equal">
      <formula>"Pass"</formula>
    </cfRule>
    <cfRule type="cellIs" dxfId="2207" priority="2138" stopIfTrue="1" operator="equal">
      <formula>"Fail"</formula>
    </cfRule>
  </conditionalFormatting>
  <conditionalFormatting sqref="G777">
    <cfRule type="cellIs" dxfId="2206" priority="2135" stopIfTrue="1" operator="equal">
      <formula>"Pass"</formula>
    </cfRule>
    <cfRule type="cellIs" dxfId="2205" priority="2136" stopIfTrue="1" operator="equal">
      <formula>"Fail"</formula>
    </cfRule>
  </conditionalFormatting>
  <conditionalFormatting sqref="G777">
    <cfRule type="cellIs" dxfId="2204" priority="2133" stopIfTrue="1" operator="equal">
      <formula>"Pass"</formula>
    </cfRule>
    <cfRule type="cellIs" dxfId="2203" priority="2134" stopIfTrue="1" operator="equal">
      <formula>"Fail"</formula>
    </cfRule>
  </conditionalFormatting>
  <conditionalFormatting sqref="G777">
    <cfRule type="cellIs" dxfId="2202" priority="2131" stopIfTrue="1" operator="equal">
      <formula>"Pass"</formula>
    </cfRule>
    <cfRule type="cellIs" dxfId="2201" priority="2132" stopIfTrue="1" operator="equal">
      <formula>"Fail"</formula>
    </cfRule>
  </conditionalFormatting>
  <conditionalFormatting sqref="G777">
    <cfRule type="cellIs" dxfId="2200" priority="2129" stopIfTrue="1" operator="equal">
      <formula>"Pass"</formula>
    </cfRule>
    <cfRule type="cellIs" dxfId="2199" priority="2130" stopIfTrue="1" operator="equal">
      <formula>"Fail"</formula>
    </cfRule>
  </conditionalFormatting>
  <conditionalFormatting sqref="G777">
    <cfRule type="cellIs" dxfId="2198" priority="2127" stopIfTrue="1" operator="equal">
      <formula>"Pass"</formula>
    </cfRule>
    <cfRule type="cellIs" dxfId="2197" priority="2128" stopIfTrue="1" operator="equal">
      <formula>"Fail"</formula>
    </cfRule>
  </conditionalFormatting>
  <conditionalFormatting sqref="G777">
    <cfRule type="cellIs" dxfId="2196" priority="2125" stopIfTrue="1" operator="equal">
      <formula>"Pass"</formula>
    </cfRule>
    <cfRule type="cellIs" dxfId="2195" priority="2126" stopIfTrue="1" operator="equal">
      <formula>"Fail"</formula>
    </cfRule>
  </conditionalFormatting>
  <conditionalFormatting sqref="H777:L777">
    <cfRule type="cellIs" dxfId="2194" priority="2123" stopIfTrue="1" operator="equal">
      <formula>"Pass"</formula>
    </cfRule>
    <cfRule type="cellIs" dxfId="2193" priority="2124" stopIfTrue="1" operator="equal">
      <formula>"Fail"</formula>
    </cfRule>
  </conditionalFormatting>
  <conditionalFormatting sqref="H777:L777">
    <cfRule type="cellIs" dxfId="2192" priority="2121" stopIfTrue="1" operator="equal">
      <formula>"Pass"</formula>
    </cfRule>
    <cfRule type="cellIs" dxfId="2191" priority="2122" stopIfTrue="1" operator="equal">
      <formula>"Fail"</formula>
    </cfRule>
  </conditionalFormatting>
  <conditionalFormatting sqref="I777:L777">
    <cfRule type="cellIs" dxfId="2190" priority="2119" stopIfTrue="1" operator="equal">
      <formula>"Pass"</formula>
    </cfRule>
    <cfRule type="cellIs" dxfId="2189" priority="2120" stopIfTrue="1" operator="equal">
      <formula>"Fail"</formula>
    </cfRule>
  </conditionalFormatting>
  <conditionalFormatting sqref="I777:L777">
    <cfRule type="cellIs" dxfId="2188" priority="2117" stopIfTrue="1" operator="equal">
      <formula>"Pass"</formula>
    </cfRule>
    <cfRule type="cellIs" dxfId="2187" priority="2118" stopIfTrue="1" operator="equal">
      <formula>"Fail"</formula>
    </cfRule>
  </conditionalFormatting>
  <conditionalFormatting sqref="I777:L777">
    <cfRule type="cellIs" dxfId="2186" priority="2115" stopIfTrue="1" operator="equal">
      <formula>"Pass"</formula>
    </cfRule>
    <cfRule type="cellIs" dxfId="2185" priority="2116" stopIfTrue="1" operator="equal">
      <formula>"Fail"</formula>
    </cfRule>
  </conditionalFormatting>
  <conditionalFormatting sqref="I777:L777">
    <cfRule type="cellIs" dxfId="2184" priority="2113" stopIfTrue="1" operator="equal">
      <formula>"Pass"</formula>
    </cfRule>
    <cfRule type="cellIs" dxfId="2183" priority="2114" stopIfTrue="1" operator="equal">
      <formula>"Fail"</formula>
    </cfRule>
  </conditionalFormatting>
  <conditionalFormatting sqref="G777">
    <cfRule type="cellIs" dxfId="2182" priority="2111" stopIfTrue="1" operator="equal">
      <formula>"Pass"</formula>
    </cfRule>
    <cfRule type="cellIs" dxfId="2181" priority="2112" stopIfTrue="1" operator="equal">
      <formula>"Fail"</formula>
    </cfRule>
  </conditionalFormatting>
  <conditionalFormatting sqref="G777">
    <cfRule type="cellIs" dxfId="2180" priority="2109" stopIfTrue="1" operator="equal">
      <formula>"Pass"</formula>
    </cfRule>
    <cfRule type="cellIs" dxfId="2179" priority="2110" stopIfTrue="1" operator="equal">
      <formula>"Fail"</formula>
    </cfRule>
  </conditionalFormatting>
  <conditionalFormatting sqref="G777">
    <cfRule type="cellIs" dxfId="2178" priority="2107" stopIfTrue="1" operator="equal">
      <formula>"Pass"</formula>
    </cfRule>
    <cfRule type="cellIs" dxfId="2177" priority="2108" stopIfTrue="1" operator="equal">
      <formula>"Fail"</formula>
    </cfRule>
  </conditionalFormatting>
  <conditionalFormatting sqref="G777">
    <cfRule type="cellIs" dxfId="2176" priority="2105" stopIfTrue="1" operator="equal">
      <formula>"Pass"</formula>
    </cfRule>
    <cfRule type="cellIs" dxfId="2175" priority="2106" stopIfTrue="1" operator="equal">
      <formula>"Fail"</formula>
    </cfRule>
  </conditionalFormatting>
  <conditionalFormatting sqref="G777">
    <cfRule type="cellIs" dxfId="2174" priority="2103" stopIfTrue="1" operator="equal">
      <formula>"Pass"</formula>
    </cfRule>
    <cfRule type="cellIs" dxfId="2173" priority="2104" stopIfTrue="1" operator="equal">
      <formula>"Fail"</formula>
    </cfRule>
  </conditionalFormatting>
  <conditionalFormatting sqref="G777">
    <cfRule type="cellIs" dxfId="2172" priority="2101" stopIfTrue="1" operator="equal">
      <formula>"Pass"</formula>
    </cfRule>
    <cfRule type="cellIs" dxfId="2171" priority="2102" stopIfTrue="1" operator="equal">
      <formula>"Fail"</formula>
    </cfRule>
  </conditionalFormatting>
  <conditionalFormatting sqref="H777:L777">
    <cfRule type="cellIs" dxfId="2170" priority="2099" stopIfTrue="1" operator="equal">
      <formula>"Pass"</formula>
    </cfRule>
    <cfRule type="cellIs" dxfId="2169" priority="2100" stopIfTrue="1" operator="equal">
      <formula>"Fail"</formula>
    </cfRule>
  </conditionalFormatting>
  <conditionalFormatting sqref="H777:L777">
    <cfRule type="cellIs" dxfId="2168" priority="2097" stopIfTrue="1" operator="equal">
      <formula>"Pass"</formula>
    </cfRule>
    <cfRule type="cellIs" dxfId="2167" priority="2098" stopIfTrue="1" operator="equal">
      <formula>"Fail"</formula>
    </cfRule>
  </conditionalFormatting>
  <conditionalFormatting sqref="I777:L777">
    <cfRule type="cellIs" dxfId="2166" priority="2095" stopIfTrue="1" operator="equal">
      <formula>"Pass"</formula>
    </cfRule>
    <cfRule type="cellIs" dxfId="2165" priority="2096" stopIfTrue="1" operator="equal">
      <formula>"Fail"</formula>
    </cfRule>
  </conditionalFormatting>
  <conditionalFormatting sqref="I777:L777">
    <cfRule type="cellIs" dxfId="2164" priority="2093" stopIfTrue="1" operator="equal">
      <formula>"Pass"</formula>
    </cfRule>
    <cfRule type="cellIs" dxfId="2163" priority="2094" stopIfTrue="1" operator="equal">
      <formula>"Fail"</formula>
    </cfRule>
  </conditionalFormatting>
  <conditionalFormatting sqref="I777:L777">
    <cfRule type="cellIs" dxfId="2162" priority="2091" stopIfTrue="1" operator="equal">
      <formula>"Pass"</formula>
    </cfRule>
    <cfRule type="cellIs" dxfId="2161" priority="2092" stopIfTrue="1" operator="equal">
      <formula>"Fail"</formula>
    </cfRule>
  </conditionalFormatting>
  <conditionalFormatting sqref="I777:L777">
    <cfRule type="cellIs" dxfId="2160" priority="2089" stopIfTrue="1" operator="equal">
      <formula>"Pass"</formula>
    </cfRule>
    <cfRule type="cellIs" dxfId="2159" priority="2090" stopIfTrue="1" operator="equal">
      <formula>"Fail"</formula>
    </cfRule>
  </conditionalFormatting>
  <conditionalFormatting sqref="G777">
    <cfRule type="cellIs" dxfId="2158" priority="2087" stopIfTrue="1" operator="equal">
      <formula>"Pass"</formula>
    </cfRule>
    <cfRule type="cellIs" dxfId="2157" priority="2088" stopIfTrue="1" operator="equal">
      <formula>"Fail"</formula>
    </cfRule>
  </conditionalFormatting>
  <conditionalFormatting sqref="G777">
    <cfRule type="cellIs" dxfId="2156" priority="2085" stopIfTrue="1" operator="equal">
      <formula>"Pass"</formula>
    </cfRule>
    <cfRule type="cellIs" dxfId="2155" priority="2086" stopIfTrue="1" operator="equal">
      <formula>"Fail"</formula>
    </cfRule>
  </conditionalFormatting>
  <conditionalFormatting sqref="G777">
    <cfRule type="cellIs" dxfId="2154" priority="2083" stopIfTrue="1" operator="equal">
      <formula>"Pass"</formula>
    </cfRule>
    <cfRule type="cellIs" dxfId="2153" priority="2084" stopIfTrue="1" operator="equal">
      <formula>"Fail"</formula>
    </cfRule>
  </conditionalFormatting>
  <conditionalFormatting sqref="G777">
    <cfRule type="cellIs" dxfId="2152" priority="2081" stopIfTrue="1" operator="equal">
      <formula>"Pass"</formula>
    </cfRule>
    <cfRule type="cellIs" dxfId="2151" priority="2082" stopIfTrue="1" operator="equal">
      <formula>"Fail"</formula>
    </cfRule>
  </conditionalFormatting>
  <conditionalFormatting sqref="G777">
    <cfRule type="cellIs" dxfId="2150" priority="2079" stopIfTrue="1" operator="equal">
      <formula>"Pass"</formula>
    </cfRule>
    <cfRule type="cellIs" dxfId="2149" priority="2080" stopIfTrue="1" operator="equal">
      <formula>"Fail"</formula>
    </cfRule>
  </conditionalFormatting>
  <conditionalFormatting sqref="G777">
    <cfRule type="cellIs" dxfId="2148" priority="2077" stopIfTrue="1" operator="equal">
      <formula>"Pass"</formula>
    </cfRule>
    <cfRule type="cellIs" dxfId="2147" priority="2078" stopIfTrue="1" operator="equal">
      <formula>"Fail"</formula>
    </cfRule>
  </conditionalFormatting>
  <conditionalFormatting sqref="H777:L777">
    <cfRule type="cellIs" dxfId="2146" priority="2075" stopIfTrue="1" operator="equal">
      <formula>"Pass"</formula>
    </cfRule>
    <cfRule type="cellIs" dxfId="2145" priority="2076" stopIfTrue="1" operator="equal">
      <formula>"Fail"</formula>
    </cfRule>
  </conditionalFormatting>
  <conditionalFormatting sqref="H777:L777">
    <cfRule type="cellIs" dxfId="2144" priority="2073" stopIfTrue="1" operator="equal">
      <formula>"Pass"</formula>
    </cfRule>
    <cfRule type="cellIs" dxfId="2143" priority="2074" stopIfTrue="1" operator="equal">
      <formula>"Fail"</formula>
    </cfRule>
  </conditionalFormatting>
  <conditionalFormatting sqref="I777:L777">
    <cfRule type="cellIs" dxfId="2142" priority="2071" stopIfTrue="1" operator="equal">
      <formula>"Pass"</formula>
    </cfRule>
    <cfRule type="cellIs" dxfId="2141" priority="2072" stopIfTrue="1" operator="equal">
      <formula>"Fail"</formula>
    </cfRule>
  </conditionalFormatting>
  <conditionalFormatting sqref="I777:L777">
    <cfRule type="cellIs" dxfId="2140" priority="2069" stopIfTrue="1" operator="equal">
      <formula>"Pass"</formula>
    </cfRule>
    <cfRule type="cellIs" dxfId="2139" priority="2070" stopIfTrue="1" operator="equal">
      <formula>"Fail"</formula>
    </cfRule>
  </conditionalFormatting>
  <conditionalFormatting sqref="I777:L777">
    <cfRule type="cellIs" dxfId="2138" priority="2067" stopIfTrue="1" operator="equal">
      <formula>"Pass"</formula>
    </cfRule>
    <cfRule type="cellIs" dxfId="2137" priority="2068" stopIfTrue="1" operator="equal">
      <formula>"Fail"</formula>
    </cfRule>
  </conditionalFormatting>
  <conditionalFormatting sqref="I777:L777">
    <cfRule type="cellIs" dxfId="2136" priority="2065" stopIfTrue="1" operator="equal">
      <formula>"Pass"</formula>
    </cfRule>
    <cfRule type="cellIs" dxfId="2135" priority="2066" stopIfTrue="1" operator="equal">
      <formula>"Fail"</formula>
    </cfRule>
  </conditionalFormatting>
  <conditionalFormatting sqref="G777">
    <cfRule type="cellIs" dxfId="2134" priority="2063" stopIfTrue="1" operator="equal">
      <formula>"Pass"</formula>
    </cfRule>
    <cfRule type="cellIs" dxfId="2133" priority="2064" stopIfTrue="1" operator="equal">
      <formula>"Fail"</formula>
    </cfRule>
  </conditionalFormatting>
  <conditionalFormatting sqref="G777">
    <cfRule type="cellIs" dxfId="2132" priority="2061" stopIfTrue="1" operator="equal">
      <formula>"Pass"</formula>
    </cfRule>
    <cfRule type="cellIs" dxfId="2131" priority="2062" stopIfTrue="1" operator="equal">
      <formula>"Fail"</formula>
    </cfRule>
  </conditionalFormatting>
  <conditionalFormatting sqref="G777">
    <cfRule type="cellIs" dxfId="2130" priority="2059" stopIfTrue="1" operator="equal">
      <formula>"Pass"</formula>
    </cfRule>
    <cfRule type="cellIs" dxfId="2129" priority="2060" stopIfTrue="1" operator="equal">
      <formula>"Fail"</formula>
    </cfRule>
  </conditionalFormatting>
  <conditionalFormatting sqref="G777">
    <cfRule type="cellIs" dxfId="2128" priority="2057" stopIfTrue="1" operator="equal">
      <formula>"Pass"</formula>
    </cfRule>
    <cfRule type="cellIs" dxfId="2127" priority="2058" stopIfTrue="1" operator="equal">
      <formula>"Fail"</formula>
    </cfRule>
  </conditionalFormatting>
  <conditionalFormatting sqref="G777">
    <cfRule type="cellIs" dxfId="2126" priority="2055" stopIfTrue="1" operator="equal">
      <formula>"Pass"</formula>
    </cfRule>
    <cfRule type="cellIs" dxfId="2125" priority="2056" stopIfTrue="1" operator="equal">
      <formula>"Fail"</formula>
    </cfRule>
  </conditionalFormatting>
  <conditionalFormatting sqref="G777">
    <cfRule type="cellIs" dxfId="2124" priority="2053" stopIfTrue="1" operator="equal">
      <formula>"Pass"</formula>
    </cfRule>
    <cfRule type="cellIs" dxfId="2123" priority="2054" stopIfTrue="1" operator="equal">
      <formula>"Fail"</formula>
    </cfRule>
  </conditionalFormatting>
  <conditionalFormatting sqref="H777:L777">
    <cfRule type="cellIs" dxfId="2122" priority="2051" stopIfTrue="1" operator="equal">
      <formula>"Pass"</formula>
    </cfRule>
    <cfRule type="cellIs" dxfId="2121" priority="2052" stopIfTrue="1" operator="equal">
      <formula>"Fail"</formula>
    </cfRule>
  </conditionalFormatting>
  <conditionalFormatting sqref="H777:L777">
    <cfRule type="cellIs" dxfId="2120" priority="2049" stopIfTrue="1" operator="equal">
      <formula>"Pass"</formula>
    </cfRule>
    <cfRule type="cellIs" dxfId="2119" priority="2050" stopIfTrue="1" operator="equal">
      <formula>"Fail"</formula>
    </cfRule>
  </conditionalFormatting>
  <conditionalFormatting sqref="I777:L777">
    <cfRule type="cellIs" dxfId="2118" priority="2047" stopIfTrue="1" operator="equal">
      <formula>"Pass"</formula>
    </cfRule>
    <cfRule type="cellIs" dxfId="2117" priority="2048" stopIfTrue="1" operator="equal">
      <formula>"Fail"</formula>
    </cfRule>
  </conditionalFormatting>
  <conditionalFormatting sqref="I777:L777">
    <cfRule type="cellIs" dxfId="2116" priority="2045" stopIfTrue="1" operator="equal">
      <formula>"Pass"</formula>
    </cfRule>
    <cfRule type="cellIs" dxfId="2115" priority="2046" stopIfTrue="1" operator="equal">
      <formula>"Fail"</formula>
    </cfRule>
  </conditionalFormatting>
  <conditionalFormatting sqref="I777:L777">
    <cfRule type="cellIs" dxfId="2114" priority="2043" stopIfTrue="1" operator="equal">
      <formula>"Pass"</formula>
    </cfRule>
    <cfRule type="cellIs" dxfId="2113" priority="2044" stopIfTrue="1" operator="equal">
      <formula>"Fail"</formula>
    </cfRule>
  </conditionalFormatting>
  <conditionalFormatting sqref="I777:L777">
    <cfRule type="cellIs" dxfId="2112" priority="2041" stopIfTrue="1" operator="equal">
      <formula>"Pass"</formula>
    </cfRule>
    <cfRule type="cellIs" dxfId="2111" priority="2042" stopIfTrue="1" operator="equal">
      <formula>"Fail"</formula>
    </cfRule>
  </conditionalFormatting>
  <conditionalFormatting sqref="G777">
    <cfRule type="cellIs" dxfId="2110" priority="2039" stopIfTrue="1" operator="equal">
      <formula>"Pass"</formula>
    </cfRule>
    <cfRule type="cellIs" dxfId="2109" priority="2040" stopIfTrue="1" operator="equal">
      <formula>"Fail"</formula>
    </cfRule>
  </conditionalFormatting>
  <conditionalFormatting sqref="G777">
    <cfRule type="cellIs" dxfId="2108" priority="2037" stopIfTrue="1" operator="equal">
      <formula>"Pass"</formula>
    </cfRule>
    <cfRule type="cellIs" dxfId="2107" priority="2038" stopIfTrue="1" operator="equal">
      <formula>"Fail"</formula>
    </cfRule>
  </conditionalFormatting>
  <conditionalFormatting sqref="G777">
    <cfRule type="cellIs" dxfId="2106" priority="2035" stopIfTrue="1" operator="equal">
      <formula>"Pass"</formula>
    </cfRule>
    <cfRule type="cellIs" dxfId="2105" priority="2036" stopIfTrue="1" operator="equal">
      <formula>"Fail"</formula>
    </cfRule>
  </conditionalFormatting>
  <conditionalFormatting sqref="G777">
    <cfRule type="cellIs" dxfId="2104" priority="2033" stopIfTrue="1" operator="equal">
      <formula>"Pass"</formula>
    </cfRule>
    <cfRule type="cellIs" dxfId="2103" priority="2034" stopIfTrue="1" operator="equal">
      <formula>"Fail"</formula>
    </cfRule>
  </conditionalFormatting>
  <conditionalFormatting sqref="G777">
    <cfRule type="cellIs" dxfId="2102" priority="2031" stopIfTrue="1" operator="equal">
      <formula>"Pass"</formula>
    </cfRule>
    <cfRule type="cellIs" dxfId="2101" priority="2032" stopIfTrue="1" operator="equal">
      <formula>"Fail"</formula>
    </cfRule>
  </conditionalFormatting>
  <conditionalFormatting sqref="G777">
    <cfRule type="cellIs" dxfId="2100" priority="2029" stopIfTrue="1" operator="equal">
      <formula>"Pass"</formula>
    </cfRule>
    <cfRule type="cellIs" dxfId="2099" priority="2030" stopIfTrue="1" operator="equal">
      <formula>"Fail"</formula>
    </cfRule>
  </conditionalFormatting>
  <conditionalFormatting sqref="H777:L777">
    <cfRule type="cellIs" dxfId="2098" priority="2027" stopIfTrue="1" operator="equal">
      <formula>"Pass"</formula>
    </cfRule>
    <cfRule type="cellIs" dxfId="2097" priority="2028" stopIfTrue="1" operator="equal">
      <formula>"Fail"</formula>
    </cfRule>
  </conditionalFormatting>
  <conditionalFormatting sqref="H777:L777">
    <cfRule type="cellIs" dxfId="2096" priority="2025" stopIfTrue="1" operator="equal">
      <formula>"Pass"</formula>
    </cfRule>
    <cfRule type="cellIs" dxfId="2095" priority="2026" stopIfTrue="1" operator="equal">
      <formula>"Fail"</formula>
    </cfRule>
  </conditionalFormatting>
  <conditionalFormatting sqref="I777:L777">
    <cfRule type="cellIs" dxfId="2094" priority="2023" stopIfTrue="1" operator="equal">
      <formula>"Pass"</formula>
    </cfRule>
    <cfRule type="cellIs" dxfId="2093" priority="2024" stopIfTrue="1" operator="equal">
      <formula>"Fail"</formula>
    </cfRule>
  </conditionalFormatting>
  <conditionalFormatting sqref="I777:L777">
    <cfRule type="cellIs" dxfId="2092" priority="2021" stopIfTrue="1" operator="equal">
      <formula>"Pass"</formula>
    </cfRule>
    <cfRule type="cellIs" dxfId="2091" priority="2022" stopIfTrue="1" operator="equal">
      <formula>"Fail"</formula>
    </cfRule>
  </conditionalFormatting>
  <conditionalFormatting sqref="I777:L777">
    <cfRule type="cellIs" dxfId="2090" priority="2019" stopIfTrue="1" operator="equal">
      <formula>"Pass"</formula>
    </cfRule>
    <cfRule type="cellIs" dxfId="2089" priority="2020" stopIfTrue="1" operator="equal">
      <formula>"Fail"</formula>
    </cfRule>
  </conditionalFormatting>
  <conditionalFormatting sqref="I777:L777">
    <cfRule type="cellIs" dxfId="2088" priority="2017" stopIfTrue="1" operator="equal">
      <formula>"Pass"</formula>
    </cfRule>
    <cfRule type="cellIs" dxfId="2087" priority="2018" stopIfTrue="1" operator="equal">
      <formula>"Fail"</formula>
    </cfRule>
  </conditionalFormatting>
  <conditionalFormatting sqref="G777">
    <cfRule type="cellIs" dxfId="2086" priority="2015" stopIfTrue="1" operator="equal">
      <formula>"Pass"</formula>
    </cfRule>
    <cfRule type="cellIs" dxfId="2085" priority="2016" stopIfTrue="1" operator="equal">
      <formula>"Fail"</formula>
    </cfRule>
  </conditionalFormatting>
  <conditionalFormatting sqref="G777">
    <cfRule type="cellIs" dxfId="2084" priority="2013" stopIfTrue="1" operator="equal">
      <formula>"Pass"</formula>
    </cfRule>
    <cfRule type="cellIs" dxfId="2083" priority="2014" stopIfTrue="1" operator="equal">
      <formula>"Fail"</formula>
    </cfRule>
  </conditionalFormatting>
  <conditionalFormatting sqref="G777">
    <cfRule type="cellIs" dxfId="2082" priority="2011" stopIfTrue="1" operator="equal">
      <formula>"Pass"</formula>
    </cfRule>
    <cfRule type="cellIs" dxfId="2081" priority="2012" stopIfTrue="1" operator="equal">
      <formula>"Fail"</formula>
    </cfRule>
  </conditionalFormatting>
  <conditionalFormatting sqref="G777">
    <cfRule type="cellIs" dxfId="2080" priority="2009" stopIfTrue="1" operator="equal">
      <formula>"Pass"</formula>
    </cfRule>
    <cfRule type="cellIs" dxfId="2079" priority="2010" stopIfTrue="1" operator="equal">
      <formula>"Fail"</formula>
    </cfRule>
  </conditionalFormatting>
  <conditionalFormatting sqref="G777">
    <cfRule type="cellIs" dxfId="2078" priority="2007" stopIfTrue="1" operator="equal">
      <formula>"Pass"</formula>
    </cfRule>
    <cfRule type="cellIs" dxfId="2077" priority="2008" stopIfTrue="1" operator="equal">
      <formula>"Fail"</formula>
    </cfRule>
  </conditionalFormatting>
  <conditionalFormatting sqref="G777">
    <cfRule type="cellIs" dxfId="2076" priority="2005" stopIfTrue="1" operator="equal">
      <formula>"Pass"</formula>
    </cfRule>
    <cfRule type="cellIs" dxfId="2075" priority="2006" stopIfTrue="1" operator="equal">
      <formula>"Fail"</formula>
    </cfRule>
  </conditionalFormatting>
  <conditionalFormatting sqref="H777:L777">
    <cfRule type="cellIs" dxfId="2074" priority="2003" stopIfTrue="1" operator="equal">
      <formula>"Pass"</formula>
    </cfRule>
    <cfRule type="cellIs" dxfId="2073" priority="2004" stopIfTrue="1" operator="equal">
      <formula>"Fail"</formula>
    </cfRule>
  </conditionalFormatting>
  <conditionalFormatting sqref="H777:L777">
    <cfRule type="cellIs" dxfId="2072" priority="2001" stopIfTrue="1" operator="equal">
      <formula>"Pass"</formula>
    </cfRule>
    <cfRule type="cellIs" dxfId="2071" priority="2002" stopIfTrue="1" operator="equal">
      <formula>"Fail"</formula>
    </cfRule>
  </conditionalFormatting>
  <conditionalFormatting sqref="I777:L777">
    <cfRule type="cellIs" dxfId="2070" priority="1999" stopIfTrue="1" operator="equal">
      <formula>"Pass"</formula>
    </cfRule>
    <cfRule type="cellIs" dxfId="2069" priority="2000" stopIfTrue="1" operator="equal">
      <formula>"Fail"</formula>
    </cfRule>
  </conditionalFormatting>
  <conditionalFormatting sqref="I777:L777">
    <cfRule type="cellIs" dxfId="2068" priority="1997" stopIfTrue="1" operator="equal">
      <formula>"Pass"</formula>
    </cfRule>
    <cfRule type="cellIs" dxfId="2067" priority="1998" stopIfTrue="1" operator="equal">
      <formula>"Fail"</formula>
    </cfRule>
  </conditionalFormatting>
  <conditionalFormatting sqref="I777:L777">
    <cfRule type="cellIs" dxfId="2066" priority="1995" stopIfTrue="1" operator="equal">
      <formula>"Pass"</formula>
    </cfRule>
    <cfRule type="cellIs" dxfId="2065" priority="1996" stopIfTrue="1" operator="equal">
      <formula>"Fail"</formula>
    </cfRule>
  </conditionalFormatting>
  <conditionalFormatting sqref="I777:L777">
    <cfRule type="cellIs" dxfId="2064" priority="1993" stopIfTrue="1" operator="equal">
      <formula>"Pass"</formula>
    </cfRule>
    <cfRule type="cellIs" dxfId="2063" priority="1994" stopIfTrue="1" operator="equal">
      <formula>"Fail"</formula>
    </cfRule>
  </conditionalFormatting>
  <conditionalFormatting sqref="G777">
    <cfRule type="cellIs" dxfId="2062" priority="1991" stopIfTrue="1" operator="equal">
      <formula>"Pass"</formula>
    </cfRule>
    <cfRule type="cellIs" dxfId="2061" priority="1992" stopIfTrue="1" operator="equal">
      <formula>"Fail"</formula>
    </cfRule>
  </conditionalFormatting>
  <conditionalFormatting sqref="G777">
    <cfRule type="cellIs" dxfId="2060" priority="1989" stopIfTrue="1" operator="equal">
      <formula>"Pass"</formula>
    </cfRule>
    <cfRule type="cellIs" dxfId="2059" priority="1990" stopIfTrue="1" operator="equal">
      <formula>"Fail"</formula>
    </cfRule>
  </conditionalFormatting>
  <conditionalFormatting sqref="G777">
    <cfRule type="cellIs" dxfId="2058" priority="1987" stopIfTrue="1" operator="equal">
      <formula>"Pass"</formula>
    </cfRule>
    <cfRule type="cellIs" dxfId="2057" priority="1988" stopIfTrue="1" operator="equal">
      <formula>"Fail"</formula>
    </cfRule>
  </conditionalFormatting>
  <conditionalFormatting sqref="G777">
    <cfRule type="cellIs" dxfId="2056" priority="1985" stopIfTrue="1" operator="equal">
      <formula>"Pass"</formula>
    </cfRule>
    <cfRule type="cellIs" dxfId="2055" priority="1986" stopIfTrue="1" operator="equal">
      <formula>"Fail"</formula>
    </cfRule>
  </conditionalFormatting>
  <conditionalFormatting sqref="G777">
    <cfRule type="cellIs" dxfId="2054" priority="1983" stopIfTrue="1" operator="equal">
      <formula>"Pass"</formula>
    </cfRule>
    <cfRule type="cellIs" dxfId="2053" priority="1984" stopIfTrue="1" operator="equal">
      <formula>"Fail"</formula>
    </cfRule>
  </conditionalFormatting>
  <conditionalFormatting sqref="G777">
    <cfRule type="cellIs" dxfId="2052" priority="1981" stopIfTrue="1" operator="equal">
      <formula>"Pass"</formula>
    </cfRule>
    <cfRule type="cellIs" dxfId="2051" priority="1982" stopIfTrue="1" operator="equal">
      <formula>"Fail"</formula>
    </cfRule>
  </conditionalFormatting>
  <conditionalFormatting sqref="H777:L777">
    <cfRule type="cellIs" dxfId="2050" priority="1979" stopIfTrue="1" operator="equal">
      <formula>"Pass"</formula>
    </cfRule>
    <cfRule type="cellIs" dxfId="2049" priority="1980" stopIfTrue="1" operator="equal">
      <formula>"Fail"</formula>
    </cfRule>
  </conditionalFormatting>
  <conditionalFormatting sqref="H777:L777">
    <cfRule type="cellIs" dxfId="2048" priority="1977" stopIfTrue="1" operator="equal">
      <formula>"Pass"</formula>
    </cfRule>
    <cfRule type="cellIs" dxfId="2047" priority="1978" stopIfTrue="1" operator="equal">
      <formula>"Fail"</formula>
    </cfRule>
  </conditionalFormatting>
  <conditionalFormatting sqref="I777:L777">
    <cfRule type="cellIs" dxfId="2046" priority="1975" stopIfTrue="1" operator="equal">
      <formula>"Pass"</formula>
    </cfRule>
    <cfRule type="cellIs" dxfId="2045" priority="1976" stopIfTrue="1" operator="equal">
      <formula>"Fail"</formula>
    </cfRule>
  </conditionalFormatting>
  <conditionalFormatting sqref="I777:L777">
    <cfRule type="cellIs" dxfId="2044" priority="1973" stopIfTrue="1" operator="equal">
      <formula>"Pass"</formula>
    </cfRule>
    <cfRule type="cellIs" dxfId="2043" priority="1974" stopIfTrue="1" operator="equal">
      <formula>"Fail"</formula>
    </cfRule>
  </conditionalFormatting>
  <conditionalFormatting sqref="I777:L777">
    <cfRule type="cellIs" dxfId="2042" priority="1971" stopIfTrue="1" operator="equal">
      <formula>"Pass"</formula>
    </cfRule>
    <cfRule type="cellIs" dxfId="2041" priority="1972" stopIfTrue="1" operator="equal">
      <formula>"Fail"</formula>
    </cfRule>
  </conditionalFormatting>
  <conditionalFormatting sqref="I777:L777">
    <cfRule type="cellIs" dxfId="2040" priority="1969" stopIfTrue="1" operator="equal">
      <formula>"Pass"</formula>
    </cfRule>
    <cfRule type="cellIs" dxfId="2039" priority="1970" stopIfTrue="1" operator="equal">
      <formula>"Fail"</formula>
    </cfRule>
  </conditionalFormatting>
  <conditionalFormatting sqref="G777">
    <cfRule type="cellIs" dxfId="2038" priority="1967" stopIfTrue="1" operator="equal">
      <formula>"Pass"</formula>
    </cfRule>
    <cfRule type="cellIs" dxfId="2037" priority="1968" stopIfTrue="1" operator="equal">
      <formula>"Fail"</formula>
    </cfRule>
  </conditionalFormatting>
  <conditionalFormatting sqref="G777">
    <cfRule type="cellIs" dxfId="2036" priority="1965" stopIfTrue="1" operator="equal">
      <formula>"Pass"</formula>
    </cfRule>
    <cfRule type="cellIs" dxfId="2035" priority="1966" stopIfTrue="1" operator="equal">
      <formula>"Fail"</formula>
    </cfRule>
  </conditionalFormatting>
  <conditionalFormatting sqref="G777">
    <cfRule type="cellIs" dxfId="2034" priority="1963" stopIfTrue="1" operator="equal">
      <formula>"Pass"</formula>
    </cfRule>
    <cfRule type="cellIs" dxfId="2033" priority="1964" stopIfTrue="1" operator="equal">
      <formula>"Fail"</formula>
    </cfRule>
  </conditionalFormatting>
  <conditionalFormatting sqref="G777">
    <cfRule type="cellIs" dxfId="2032" priority="1961" stopIfTrue="1" operator="equal">
      <formula>"Pass"</formula>
    </cfRule>
    <cfRule type="cellIs" dxfId="2031" priority="1962" stopIfTrue="1" operator="equal">
      <formula>"Fail"</formula>
    </cfRule>
  </conditionalFormatting>
  <conditionalFormatting sqref="G777">
    <cfRule type="cellIs" dxfId="2030" priority="1959" stopIfTrue="1" operator="equal">
      <formula>"Pass"</formula>
    </cfRule>
    <cfRule type="cellIs" dxfId="2029" priority="1960" stopIfTrue="1" operator="equal">
      <formula>"Fail"</formula>
    </cfRule>
  </conditionalFormatting>
  <conditionalFormatting sqref="G777">
    <cfRule type="cellIs" dxfId="2028" priority="1957" stopIfTrue="1" operator="equal">
      <formula>"Pass"</formula>
    </cfRule>
    <cfRule type="cellIs" dxfId="2027" priority="1958" stopIfTrue="1" operator="equal">
      <formula>"Fail"</formula>
    </cfRule>
  </conditionalFormatting>
  <conditionalFormatting sqref="H777:L777">
    <cfRule type="cellIs" dxfId="2026" priority="1955" stopIfTrue="1" operator="equal">
      <formula>"Pass"</formula>
    </cfRule>
    <cfRule type="cellIs" dxfId="2025" priority="1956" stopIfTrue="1" operator="equal">
      <formula>"Fail"</formula>
    </cfRule>
  </conditionalFormatting>
  <conditionalFormatting sqref="H777:L777">
    <cfRule type="cellIs" dxfId="2024" priority="1953" stopIfTrue="1" operator="equal">
      <formula>"Pass"</formula>
    </cfRule>
    <cfRule type="cellIs" dxfId="2023" priority="1954" stopIfTrue="1" operator="equal">
      <formula>"Fail"</formula>
    </cfRule>
  </conditionalFormatting>
  <conditionalFormatting sqref="I777:L777">
    <cfRule type="cellIs" dxfId="2022" priority="1951" stopIfTrue="1" operator="equal">
      <formula>"Pass"</formula>
    </cfRule>
    <cfRule type="cellIs" dxfId="2021" priority="1952" stopIfTrue="1" operator="equal">
      <formula>"Fail"</formula>
    </cfRule>
  </conditionalFormatting>
  <conditionalFormatting sqref="I777:L777">
    <cfRule type="cellIs" dxfId="2020" priority="1949" stopIfTrue="1" operator="equal">
      <formula>"Pass"</formula>
    </cfRule>
    <cfRule type="cellIs" dxfId="2019" priority="1950" stopIfTrue="1" operator="equal">
      <formula>"Fail"</formula>
    </cfRule>
  </conditionalFormatting>
  <conditionalFormatting sqref="I777:L777">
    <cfRule type="cellIs" dxfId="2018" priority="1947" stopIfTrue="1" operator="equal">
      <formula>"Pass"</formula>
    </cfRule>
    <cfRule type="cellIs" dxfId="2017" priority="1948" stopIfTrue="1" operator="equal">
      <formula>"Fail"</formula>
    </cfRule>
  </conditionalFormatting>
  <conditionalFormatting sqref="I777:L777">
    <cfRule type="cellIs" dxfId="2016" priority="1945" stopIfTrue="1" operator="equal">
      <formula>"Pass"</formula>
    </cfRule>
    <cfRule type="cellIs" dxfId="2015" priority="1946" stopIfTrue="1" operator="equal">
      <formula>"Fail"</formula>
    </cfRule>
  </conditionalFormatting>
  <conditionalFormatting sqref="G777">
    <cfRule type="cellIs" dxfId="2014" priority="1943" stopIfTrue="1" operator="equal">
      <formula>"Pass"</formula>
    </cfRule>
    <cfRule type="cellIs" dxfId="2013" priority="1944" stopIfTrue="1" operator="equal">
      <formula>"Fail"</formula>
    </cfRule>
  </conditionalFormatting>
  <conditionalFormatting sqref="G777">
    <cfRule type="cellIs" dxfId="2012" priority="1941" stopIfTrue="1" operator="equal">
      <formula>"Pass"</formula>
    </cfRule>
    <cfRule type="cellIs" dxfId="2011" priority="1942" stopIfTrue="1" operator="equal">
      <formula>"Fail"</formula>
    </cfRule>
  </conditionalFormatting>
  <conditionalFormatting sqref="G777">
    <cfRule type="cellIs" dxfId="2010" priority="1939" stopIfTrue="1" operator="equal">
      <formula>"Pass"</formula>
    </cfRule>
    <cfRule type="cellIs" dxfId="2009" priority="1940" stopIfTrue="1" operator="equal">
      <formula>"Fail"</formula>
    </cfRule>
  </conditionalFormatting>
  <conditionalFormatting sqref="G777">
    <cfRule type="cellIs" dxfId="2008" priority="1937" stopIfTrue="1" operator="equal">
      <formula>"Pass"</formula>
    </cfRule>
    <cfRule type="cellIs" dxfId="2007" priority="1938" stopIfTrue="1" operator="equal">
      <formula>"Fail"</formula>
    </cfRule>
  </conditionalFormatting>
  <conditionalFormatting sqref="G777">
    <cfRule type="cellIs" dxfId="2006" priority="1935" stopIfTrue="1" operator="equal">
      <formula>"Pass"</formula>
    </cfRule>
    <cfRule type="cellIs" dxfId="2005" priority="1936" stopIfTrue="1" operator="equal">
      <formula>"Fail"</formula>
    </cfRule>
  </conditionalFormatting>
  <conditionalFormatting sqref="G777">
    <cfRule type="cellIs" dxfId="2004" priority="1933" stopIfTrue="1" operator="equal">
      <formula>"Pass"</formula>
    </cfRule>
    <cfRule type="cellIs" dxfId="2003" priority="1934" stopIfTrue="1" operator="equal">
      <formula>"Fail"</formula>
    </cfRule>
  </conditionalFormatting>
  <conditionalFormatting sqref="H777:L777">
    <cfRule type="cellIs" dxfId="2002" priority="1931" stopIfTrue="1" operator="equal">
      <formula>"Pass"</formula>
    </cfRule>
    <cfRule type="cellIs" dxfId="2001" priority="1932" stopIfTrue="1" operator="equal">
      <formula>"Fail"</formula>
    </cfRule>
  </conditionalFormatting>
  <conditionalFormatting sqref="H777:L777">
    <cfRule type="cellIs" dxfId="2000" priority="1929" stopIfTrue="1" operator="equal">
      <formula>"Pass"</formula>
    </cfRule>
    <cfRule type="cellIs" dxfId="1999" priority="1930" stopIfTrue="1" operator="equal">
      <formula>"Fail"</formula>
    </cfRule>
  </conditionalFormatting>
  <conditionalFormatting sqref="I777:L777">
    <cfRule type="cellIs" dxfId="1998" priority="1927" stopIfTrue="1" operator="equal">
      <formula>"Pass"</formula>
    </cfRule>
    <cfRule type="cellIs" dxfId="1997" priority="1928" stopIfTrue="1" operator="equal">
      <formula>"Fail"</formula>
    </cfRule>
  </conditionalFormatting>
  <conditionalFormatting sqref="I777:L777">
    <cfRule type="cellIs" dxfId="1996" priority="1925" stopIfTrue="1" operator="equal">
      <formula>"Pass"</formula>
    </cfRule>
    <cfRule type="cellIs" dxfId="1995" priority="1926" stopIfTrue="1" operator="equal">
      <formula>"Fail"</formula>
    </cfRule>
  </conditionalFormatting>
  <conditionalFormatting sqref="I777:L777">
    <cfRule type="cellIs" dxfId="1994" priority="1923" stopIfTrue="1" operator="equal">
      <formula>"Pass"</formula>
    </cfRule>
    <cfRule type="cellIs" dxfId="1993" priority="1924" stopIfTrue="1" operator="equal">
      <formula>"Fail"</formula>
    </cfRule>
  </conditionalFormatting>
  <conditionalFormatting sqref="I777:L777">
    <cfRule type="cellIs" dxfId="1992" priority="1921" stopIfTrue="1" operator="equal">
      <formula>"Pass"</formula>
    </cfRule>
    <cfRule type="cellIs" dxfId="1991" priority="1922" stopIfTrue="1" operator="equal">
      <formula>"Fail"</formula>
    </cfRule>
  </conditionalFormatting>
  <conditionalFormatting sqref="G777">
    <cfRule type="cellIs" dxfId="1990" priority="1919" stopIfTrue="1" operator="equal">
      <formula>"Pass"</formula>
    </cfRule>
    <cfRule type="cellIs" dxfId="1989" priority="1920" stopIfTrue="1" operator="equal">
      <formula>"Fail"</formula>
    </cfRule>
  </conditionalFormatting>
  <conditionalFormatting sqref="G777">
    <cfRule type="cellIs" dxfId="1988" priority="1917" stopIfTrue="1" operator="equal">
      <formula>"Pass"</formula>
    </cfRule>
    <cfRule type="cellIs" dxfId="1987" priority="1918" stopIfTrue="1" operator="equal">
      <formula>"Fail"</formula>
    </cfRule>
  </conditionalFormatting>
  <conditionalFormatting sqref="G777">
    <cfRule type="cellIs" dxfId="1986" priority="1915" stopIfTrue="1" operator="equal">
      <formula>"Pass"</formula>
    </cfRule>
    <cfRule type="cellIs" dxfId="1985" priority="1916" stopIfTrue="1" operator="equal">
      <formula>"Fail"</formula>
    </cfRule>
  </conditionalFormatting>
  <conditionalFormatting sqref="G777">
    <cfRule type="cellIs" dxfId="1984" priority="1913" stopIfTrue="1" operator="equal">
      <formula>"Pass"</formula>
    </cfRule>
    <cfRule type="cellIs" dxfId="1983" priority="1914" stopIfTrue="1" operator="equal">
      <formula>"Fail"</formula>
    </cfRule>
  </conditionalFormatting>
  <conditionalFormatting sqref="G777">
    <cfRule type="cellIs" dxfId="1982" priority="1911" stopIfTrue="1" operator="equal">
      <formula>"Pass"</formula>
    </cfRule>
    <cfRule type="cellIs" dxfId="1981" priority="1912" stopIfTrue="1" operator="equal">
      <formula>"Fail"</formula>
    </cfRule>
  </conditionalFormatting>
  <conditionalFormatting sqref="G777">
    <cfRule type="cellIs" dxfId="1980" priority="1909" stopIfTrue="1" operator="equal">
      <formula>"Pass"</formula>
    </cfRule>
    <cfRule type="cellIs" dxfId="1979" priority="1910" stopIfTrue="1" operator="equal">
      <formula>"Fail"</formula>
    </cfRule>
  </conditionalFormatting>
  <conditionalFormatting sqref="H777:L777">
    <cfRule type="cellIs" dxfId="1978" priority="1907" stopIfTrue="1" operator="equal">
      <formula>"Pass"</formula>
    </cfRule>
    <cfRule type="cellIs" dxfId="1977" priority="1908" stopIfTrue="1" operator="equal">
      <formula>"Fail"</formula>
    </cfRule>
  </conditionalFormatting>
  <conditionalFormatting sqref="H777:L777">
    <cfRule type="cellIs" dxfId="1976" priority="1905" stopIfTrue="1" operator="equal">
      <formula>"Pass"</formula>
    </cfRule>
    <cfRule type="cellIs" dxfId="1975" priority="1906" stopIfTrue="1" operator="equal">
      <formula>"Fail"</formula>
    </cfRule>
  </conditionalFormatting>
  <conditionalFormatting sqref="I777:L777">
    <cfRule type="cellIs" dxfId="1974" priority="1903" stopIfTrue="1" operator="equal">
      <formula>"Pass"</formula>
    </cfRule>
    <cfRule type="cellIs" dxfId="1973" priority="1904" stopIfTrue="1" operator="equal">
      <formula>"Fail"</formula>
    </cfRule>
  </conditionalFormatting>
  <conditionalFormatting sqref="I777:L777">
    <cfRule type="cellIs" dxfId="1972" priority="1901" stopIfTrue="1" operator="equal">
      <formula>"Pass"</formula>
    </cfRule>
    <cfRule type="cellIs" dxfId="1971" priority="1902" stopIfTrue="1" operator="equal">
      <formula>"Fail"</formula>
    </cfRule>
  </conditionalFormatting>
  <conditionalFormatting sqref="I777:L777">
    <cfRule type="cellIs" dxfId="1970" priority="1899" stopIfTrue="1" operator="equal">
      <formula>"Pass"</formula>
    </cfRule>
    <cfRule type="cellIs" dxfId="1969" priority="1900" stopIfTrue="1" operator="equal">
      <formula>"Fail"</formula>
    </cfRule>
  </conditionalFormatting>
  <conditionalFormatting sqref="I777:L777">
    <cfRule type="cellIs" dxfId="1968" priority="1897" stopIfTrue="1" operator="equal">
      <formula>"Pass"</formula>
    </cfRule>
    <cfRule type="cellIs" dxfId="1967" priority="1898" stopIfTrue="1" operator="equal">
      <formula>"Fail"</formula>
    </cfRule>
  </conditionalFormatting>
  <conditionalFormatting sqref="G777">
    <cfRule type="cellIs" dxfId="1966" priority="1895" stopIfTrue="1" operator="equal">
      <formula>"Pass"</formula>
    </cfRule>
    <cfRule type="cellIs" dxfId="1965" priority="1896" stopIfTrue="1" operator="equal">
      <formula>"Fail"</formula>
    </cfRule>
  </conditionalFormatting>
  <conditionalFormatting sqref="G777">
    <cfRule type="cellIs" dxfId="1964" priority="1893" stopIfTrue="1" operator="equal">
      <formula>"Pass"</formula>
    </cfRule>
    <cfRule type="cellIs" dxfId="1963" priority="1894" stopIfTrue="1" operator="equal">
      <formula>"Fail"</formula>
    </cfRule>
  </conditionalFormatting>
  <conditionalFormatting sqref="G777">
    <cfRule type="cellIs" dxfId="1962" priority="1891" stopIfTrue="1" operator="equal">
      <formula>"Pass"</formula>
    </cfRule>
    <cfRule type="cellIs" dxfId="1961" priority="1892" stopIfTrue="1" operator="equal">
      <formula>"Fail"</formula>
    </cfRule>
  </conditionalFormatting>
  <conditionalFormatting sqref="G777">
    <cfRule type="cellIs" dxfId="1960" priority="1889" stopIfTrue="1" operator="equal">
      <formula>"Pass"</formula>
    </cfRule>
    <cfRule type="cellIs" dxfId="1959" priority="1890" stopIfTrue="1" operator="equal">
      <formula>"Fail"</formula>
    </cfRule>
  </conditionalFormatting>
  <conditionalFormatting sqref="G777">
    <cfRule type="cellIs" dxfId="1958" priority="1887" stopIfTrue="1" operator="equal">
      <formula>"Pass"</formula>
    </cfRule>
    <cfRule type="cellIs" dxfId="1957" priority="1888" stopIfTrue="1" operator="equal">
      <formula>"Fail"</formula>
    </cfRule>
  </conditionalFormatting>
  <conditionalFormatting sqref="G777">
    <cfRule type="cellIs" dxfId="1956" priority="1885" stopIfTrue="1" operator="equal">
      <formula>"Pass"</formula>
    </cfRule>
    <cfRule type="cellIs" dxfId="1955" priority="1886" stopIfTrue="1" operator="equal">
      <formula>"Fail"</formula>
    </cfRule>
  </conditionalFormatting>
  <conditionalFormatting sqref="H777:L777">
    <cfRule type="cellIs" dxfId="1954" priority="1883" stopIfTrue="1" operator="equal">
      <formula>"Pass"</formula>
    </cfRule>
    <cfRule type="cellIs" dxfId="1953" priority="1884" stopIfTrue="1" operator="equal">
      <formula>"Fail"</formula>
    </cfRule>
  </conditionalFormatting>
  <conditionalFormatting sqref="H777:L777">
    <cfRule type="cellIs" dxfId="1952" priority="1881" stopIfTrue="1" operator="equal">
      <formula>"Pass"</formula>
    </cfRule>
    <cfRule type="cellIs" dxfId="1951" priority="1882" stopIfTrue="1" operator="equal">
      <formula>"Fail"</formula>
    </cfRule>
  </conditionalFormatting>
  <conditionalFormatting sqref="I777:L777">
    <cfRule type="cellIs" dxfId="1950" priority="1879" stopIfTrue="1" operator="equal">
      <formula>"Pass"</formula>
    </cfRule>
    <cfRule type="cellIs" dxfId="1949" priority="1880" stopIfTrue="1" operator="equal">
      <formula>"Fail"</formula>
    </cfRule>
  </conditionalFormatting>
  <conditionalFormatting sqref="I777:L777">
    <cfRule type="cellIs" dxfId="1948" priority="1877" stopIfTrue="1" operator="equal">
      <formula>"Pass"</formula>
    </cfRule>
    <cfRule type="cellIs" dxfId="1947" priority="1878" stopIfTrue="1" operator="equal">
      <formula>"Fail"</formula>
    </cfRule>
  </conditionalFormatting>
  <conditionalFormatting sqref="I777:L777">
    <cfRule type="cellIs" dxfId="1946" priority="1875" stopIfTrue="1" operator="equal">
      <formula>"Pass"</formula>
    </cfRule>
    <cfRule type="cellIs" dxfId="1945" priority="1876" stopIfTrue="1" operator="equal">
      <formula>"Fail"</formula>
    </cfRule>
  </conditionalFormatting>
  <conditionalFormatting sqref="I777:L777">
    <cfRule type="cellIs" dxfId="1944" priority="1873" stopIfTrue="1" operator="equal">
      <formula>"Pass"</formula>
    </cfRule>
    <cfRule type="cellIs" dxfId="1943" priority="1874" stopIfTrue="1" operator="equal">
      <formula>"Fail"</formula>
    </cfRule>
  </conditionalFormatting>
  <conditionalFormatting sqref="G777">
    <cfRule type="cellIs" dxfId="1942" priority="1871" stopIfTrue="1" operator="equal">
      <formula>"Pass"</formula>
    </cfRule>
    <cfRule type="cellIs" dxfId="1941" priority="1872" stopIfTrue="1" operator="equal">
      <formula>"Fail"</formula>
    </cfRule>
  </conditionalFormatting>
  <conditionalFormatting sqref="G777">
    <cfRule type="cellIs" dxfId="1940" priority="1869" stopIfTrue="1" operator="equal">
      <formula>"Pass"</formula>
    </cfRule>
    <cfRule type="cellIs" dxfId="1939" priority="1870" stopIfTrue="1" operator="equal">
      <formula>"Fail"</formula>
    </cfRule>
  </conditionalFormatting>
  <conditionalFormatting sqref="G777">
    <cfRule type="cellIs" dxfId="1938" priority="1867" stopIfTrue="1" operator="equal">
      <formula>"Pass"</formula>
    </cfRule>
    <cfRule type="cellIs" dxfId="1937" priority="1868" stopIfTrue="1" operator="equal">
      <formula>"Fail"</formula>
    </cfRule>
  </conditionalFormatting>
  <conditionalFormatting sqref="G777">
    <cfRule type="cellIs" dxfId="1936" priority="1865" stopIfTrue="1" operator="equal">
      <formula>"Pass"</formula>
    </cfRule>
    <cfRule type="cellIs" dxfId="1935" priority="1866" stopIfTrue="1" operator="equal">
      <formula>"Fail"</formula>
    </cfRule>
  </conditionalFormatting>
  <conditionalFormatting sqref="G777">
    <cfRule type="cellIs" dxfId="1934" priority="1863" stopIfTrue="1" operator="equal">
      <formula>"Pass"</formula>
    </cfRule>
    <cfRule type="cellIs" dxfId="1933" priority="1864" stopIfTrue="1" operator="equal">
      <formula>"Fail"</formula>
    </cfRule>
  </conditionalFormatting>
  <conditionalFormatting sqref="G777">
    <cfRule type="cellIs" dxfId="1932" priority="1861" stopIfTrue="1" operator="equal">
      <formula>"Pass"</formula>
    </cfRule>
    <cfRule type="cellIs" dxfId="1931" priority="1862" stopIfTrue="1" operator="equal">
      <formula>"Fail"</formula>
    </cfRule>
  </conditionalFormatting>
  <conditionalFormatting sqref="H777:L777">
    <cfRule type="cellIs" dxfId="1930" priority="1859" stopIfTrue="1" operator="equal">
      <formula>"Pass"</formula>
    </cfRule>
    <cfRule type="cellIs" dxfId="1929" priority="1860" stopIfTrue="1" operator="equal">
      <formula>"Fail"</formula>
    </cfRule>
  </conditionalFormatting>
  <conditionalFormatting sqref="H777:L777">
    <cfRule type="cellIs" dxfId="1928" priority="1857" stopIfTrue="1" operator="equal">
      <formula>"Pass"</formula>
    </cfRule>
    <cfRule type="cellIs" dxfId="1927" priority="1858" stopIfTrue="1" operator="equal">
      <formula>"Fail"</formula>
    </cfRule>
  </conditionalFormatting>
  <conditionalFormatting sqref="I777:L777">
    <cfRule type="cellIs" dxfId="1926" priority="1855" stopIfTrue="1" operator="equal">
      <formula>"Pass"</formula>
    </cfRule>
    <cfRule type="cellIs" dxfId="1925" priority="1856" stopIfTrue="1" operator="equal">
      <formula>"Fail"</formula>
    </cfRule>
  </conditionalFormatting>
  <conditionalFormatting sqref="I777:L777">
    <cfRule type="cellIs" dxfId="1924" priority="1853" stopIfTrue="1" operator="equal">
      <formula>"Pass"</formula>
    </cfRule>
    <cfRule type="cellIs" dxfId="1923" priority="1854" stopIfTrue="1" operator="equal">
      <formula>"Fail"</formula>
    </cfRule>
  </conditionalFormatting>
  <conditionalFormatting sqref="I777:L777">
    <cfRule type="cellIs" dxfId="1922" priority="1851" stopIfTrue="1" operator="equal">
      <formula>"Pass"</formula>
    </cfRule>
    <cfRule type="cellIs" dxfId="1921" priority="1852" stopIfTrue="1" operator="equal">
      <formula>"Fail"</formula>
    </cfRule>
  </conditionalFormatting>
  <conditionalFormatting sqref="I777:L777">
    <cfRule type="cellIs" dxfId="1920" priority="1849" stopIfTrue="1" operator="equal">
      <formula>"Pass"</formula>
    </cfRule>
    <cfRule type="cellIs" dxfId="1919" priority="1850" stopIfTrue="1" operator="equal">
      <formula>"Fail"</formula>
    </cfRule>
  </conditionalFormatting>
  <conditionalFormatting sqref="G777">
    <cfRule type="cellIs" dxfId="1918" priority="1847" stopIfTrue="1" operator="equal">
      <formula>"Pass"</formula>
    </cfRule>
    <cfRule type="cellIs" dxfId="1917" priority="1848" stopIfTrue="1" operator="equal">
      <formula>"Fail"</formula>
    </cfRule>
  </conditionalFormatting>
  <conditionalFormatting sqref="G777">
    <cfRule type="cellIs" dxfId="1916" priority="1845" stopIfTrue="1" operator="equal">
      <formula>"Pass"</formula>
    </cfRule>
    <cfRule type="cellIs" dxfId="1915" priority="1846" stopIfTrue="1" operator="equal">
      <formula>"Fail"</formula>
    </cfRule>
  </conditionalFormatting>
  <conditionalFormatting sqref="G777">
    <cfRule type="cellIs" dxfId="1914" priority="1843" stopIfTrue="1" operator="equal">
      <formula>"Pass"</formula>
    </cfRule>
    <cfRule type="cellIs" dxfId="1913" priority="1844" stopIfTrue="1" operator="equal">
      <formula>"Fail"</formula>
    </cfRule>
  </conditionalFormatting>
  <conditionalFormatting sqref="G777">
    <cfRule type="cellIs" dxfId="1912" priority="1841" stopIfTrue="1" operator="equal">
      <formula>"Pass"</formula>
    </cfRule>
    <cfRule type="cellIs" dxfId="1911" priority="1842" stopIfTrue="1" operator="equal">
      <formula>"Fail"</formula>
    </cfRule>
  </conditionalFormatting>
  <conditionalFormatting sqref="G777">
    <cfRule type="cellIs" dxfId="1910" priority="1839" stopIfTrue="1" operator="equal">
      <formula>"Pass"</formula>
    </cfRule>
    <cfRule type="cellIs" dxfId="1909" priority="1840" stopIfTrue="1" operator="equal">
      <formula>"Fail"</formula>
    </cfRule>
  </conditionalFormatting>
  <conditionalFormatting sqref="G777">
    <cfRule type="cellIs" dxfId="1908" priority="1837" stopIfTrue="1" operator="equal">
      <formula>"Pass"</formula>
    </cfRule>
    <cfRule type="cellIs" dxfId="1907" priority="1838" stopIfTrue="1" operator="equal">
      <formula>"Fail"</formula>
    </cfRule>
  </conditionalFormatting>
  <conditionalFormatting sqref="G777:L777">
    <cfRule type="cellIs" dxfId="1906" priority="1835" stopIfTrue="1" operator="equal">
      <formula>"Pass"</formula>
    </cfRule>
    <cfRule type="cellIs" dxfId="1905" priority="1836" stopIfTrue="1" operator="equal">
      <formula>"Fail"</formula>
    </cfRule>
  </conditionalFormatting>
  <conditionalFormatting sqref="G777:L777">
    <cfRule type="cellIs" dxfId="1904" priority="1833" stopIfTrue="1" operator="equal">
      <formula>"Pass"</formula>
    </cfRule>
    <cfRule type="cellIs" dxfId="1903" priority="1834" stopIfTrue="1" operator="equal">
      <formula>"Fail"</formula>
    </cfRule>
  </conditionalFormatting>
  <conditionalFormatting sqref="G777:L777">
    <cfRule type="cellIs" dxfId="1902" priority="1831" stopIfTrue="1" operator="equal">
      <formula>"Pass"</formula>
    </cfRule>
    <cfRule type="cellIs" dxfId="1901" priority="1832" stopIfTrue="1" operator="equal">
      <formula>"Fail"</formula>
    </cfRule>
  </conditionalFormatting>
  <conditionalFormatting sqref="G777:L777">
    <cfRule type="cellIs" dxfId="1900" priority="1829" stopIfTrue="1" operator="equal">
      <formula>"Pass"</formula>
    </cfRule>
    <cfRule type="cellIs" dxfId="1899" priority="1830" stopIfTrue="1" operator="equal">
      <formula>"Fail"</formula>
    </cfRule>
  </conditionalFormatting>
  <conditionalFormatting sqref="G777:L777">
    <cfRule type="cellIs" dxfId="1898" priority="1827" stopIfTrue="1" operator="equal">
      <formula>"Pass"</formula>
    </cfRule>
    <cfRule type="cellIs" dxfId="1897" priority="1828" stopIfTrue="1" operator="equal">
      <formula>"Fail"</formula>
    </cfRule>
  </conditionalFormatting>
  <conditionalFormatting sqref="G777:L777">
    <cfRule type="cellIs" dxfId="1896" priority="1825" stopIfTrue="1" operator="equal">
      <formula>"Pass"</formula>
    </cfRule>
    <cfRule type="cellIs" dxfId="1895" priority="1826" stopIfTrue="1" operator="equal">
      <formula>"Fail"</formula>
    </cfRule>
  </conditionalFormatting>
  <conditionalFormatting sqref="G777:L777">
    <cfRule type="cellIs" dxfId="1894" priority="1823" stopIfTrue="1" operator="equal">
      <formula>"Pass"</formula>
    </cfRule>
    <cfRule type="cellIs" dxfId="1893" priority="1824" stopIfTrue="1" operator="equal">
      <formula>"Fail"</formula>
    </cfRule>
  </conditionalFormatting>
  <conditionalFormatting sqref="G777:L777">
    <cfRule type="cellIs" dxfId="1892" priority="1821" stopIfTrue="1" operator="equal">
      <formula>"Pass"</formula>
    </cfRule>
    <cfRule type="cellIs" dxfId="1891" priority="1822" stopIfTrue="1" operator="equal">
      <formula>"Fail"</formula>
    </cfRule>
  </conditionalFormatting>
  <conditionalFormatting sqref="G777:L777">
    <cfRule type="cellIs" dxfId="1890" priority="1819" stopIfTrue="1" operator="equal">
      <formula>"Pass"</formula>
    </cfRule>
    <cfRule type="cellIs" dxfId="1889" priority="1820" stopIfTrue="1" operator="equal">
      <formula>"Fail"</formula>
    </cfRule>
  </conditionalFormatting>
  <conditionalFormatting sqref="G777:L777">
    <cfRule type="cellIs" dxfId="1888" priority="1817" stopIfTrue="1" operator="equal">
      <formula>"Pass"</formula>
    </cfRule>
    <cfRule type="cellIs" dxfId="1887" priority="1818" stopIfTrue="1" operator="equal">
      <formula>"Fail"</formula>
    </cfRule>
  </conditionalFormatting>
  <conditionalFormatting sqref="G777:L777">
    <cfRule type="cellIs" dxfId="1886" priority="1815" stopIfTrue="1" operator="equal">
      <formula>"Pass"</formula>
    </cfRule>
    <cfRule type="cellIs" dxfId="1885" priority="1816" stopIfTrue="1" operator="equal">
      <formula>"Fail"</formula>
    </cfRule>
  </conditionalFormatting>
  <conditionalFormatting sqref="G777:L777">
    <cfRule type="cellIs" dxfId="1884" priority="1813" stopIfTrue="1" operator="equal">
      <formula>"Pass"</formula>
    </cfRule>
    <cfRule type="cellIs" dxfId="1883" priority="1814" stopIfTrue="1" operator="equal">
      <formula>"Fail"</formula>
    </cfRule>
  </conditionalFormatting>
  <conditionalFormatting sqref="G777:L777">
    <cfRule type="cellIs" dxfId="1882" priority="1811" stopIfTrue="1" operator="equal">
      <formula>"Pass"</formula>
    </cfRule>
    <cfRule type="cellIs" dxfId="1881" priority="1812" stopIfTrue="1" operator="equal">
      <formula>"Fail"</formula>
    </cfRule>
  </conditionalFormatting>
  <conditionalFormatting sqref="G777:L777">
    <cfRule type="cellIs" dxfId="1880" priority="1809" stopIfTrue="1" operator="equal">
      <formula>"Pass"</formula>
    </cfRule>
    <cfRule type="cellIs" dxfId="1879" priority="1810" stopIfTrue="1" operator="equal">
      <formula>"Fail"</formula>
    </cfRule>
  </conditionalFormatting>
  <conditionalFormatting sqref="G777:L777">
    <cfRule type="cellIs" dxfId="1878" priority="1807" stopIfTrue="1" operator="equal">
      <formula>"Pass"</formula>
    </cfRule>
    <cfRule type="cellIs" dxfId="1877" priority="1808" stopIfTrue="1" operator="equal">
      <formula>"Fail"</formula>
    </cfRule>
  </conditionalFormatting>
  <conditionalFormatting sqref="G777:L777">
    <cfRule type="cellIs" dxfId="1876" priority="1805" stopIfTrue="1" operator="equal">
      <formula>"Pass"</formula>
    </cfRule>
    <cfRule type="cellIs" dxfId="1875" priority="1806" stopIfTrue="1" operator="equal">
      <formula>"Fail"</formula>
    </cfRule>
  </conditionalFormatting>
  <conditionalFormatting sqref="G777:L777">
    <cfRule type="cellIs" dxfId="1874" priority="1803" stopIfTrue="1" operator="equal">
      <formula>"Pass"</formula>
    </cfRule>
    <cfRule type="cellIs" dxfId="1873" priority="1804" stopIfTrue="1" operator="equal">
      <formula>"Fail"</formula>
    </cfRule>
  </conditionalFormatting>
  <conditionalFormatting sqref="G777:L777">
    <cfRule type="cellIs" dxfId="1872" priority="1801" stopIfTrue="1" operator="equal">
      <formula>"Pass"</formula>
    </cfRule>
    <cfRule type="cellIs" dxfId="1871" priority="1802" stopIfTrue="1" operator="equal">
      <formula>"Fail"</formula>
    </cfRule>
  </conditionalFormatting>
  <conditionalFormatting sqref="G777:L777">
    <cfRule type="cellIs" dxfId="1870" priority="1799" stopIfTrue="1" operator="equal">
      <formula>"Pass"</formula>
    </cfRule>
    <cfRule type="cellIs" dxfId="1869" priority="1800" stopIfTrue="1" operator="equal">
      <formula>"Fail"</formula>
    </cfRule>
  </conditionalFormatting>
  <conditionalFormatting sqref="G777:L777">
    <cfRule type="cellIs" dxfId="1868" priority="1797" stopIfTrue="1" operator="equal">
      <formula>"Pass"</formula>
    </cfRule>
    <cfRule type="cellIs" dxfId="1867" priority="1798" stopIfTrue="1" operator="equal">
      <formula>"Fail"</formula>
    </cfRule>
  </conditionalFormatting>
  <conditionalFormatting sqref="G777:L777">
    <cfRule type="cellIs" dxfId="1866" priority="1795" stopIfTrue="1" operator="equal">
      <formula>"Pass"</formula>
    </cfRule>
    <cfRule type="cellIs" dxfId="1865" priority="1796" stopIfTrue="1" operator="equal">
      <formula>"Fail"</formula>
    </cfRule>
  </conditionalFormatting>
  <conditionalFormatting sqref="G777:L777">
    <cfRule type="cellIs" dxfId="1864" priority="1793" stopIfTrue="1" operator="equal">
      <formula>"Pass"</formula>
    </cfRule>
    <cfRule type="cellIs" dxfId="1863" priority="1794" stopIfTrue="1" operator="equal">
      <formula>"Fail"</formula>
    </cfRule>
  </conditionalFormatting>
  <conditionalFormatting sqref="G777:L777">
    <cfRule type="cellIs" dxfId="1862" priority="1791" stopIfTrue="1" operator="equal">
      <formula>"Pass"</formula>
    </cfRule>
    <cfRule type="cellIs" dxfId="1861" priority="1792" stopIfTrue="1" operator="equal">
      <formula>"Fail"</formula>
    </cfRule>
  </conditionalFormatting>
  <conditionalFormatting sqref="G777:L777">
    <cfRule type="cellIs" dxfId="1860" priority="1789" stopIfTrue="1" operator="equal">
      <formula>"Pass"</formula>
    </cfRule>
    <cfRule type="cellIs" dxfId="1859" priority="1790" stopIfTrue="1" operator="equal">
      <formula>"Fail"</formula>
    </cfRule>
  </conditionalFormatting>
  <conditionalFormatting sqref="G777:L777">
    <cfRule type="cellIs" dxfId="1858" priority="1787" stopIfTrue="1" operator="equal">
      <formula>"Pass"</formula>
    </cfRule>
    <cfRule type="cellIs" dxfId="1857" priority="1788" stopIfTrue="1" operator="equal">
      <formula>"Fail"</formula>
    </cfRule>
  </conditionalFormatting>
  <conditionalFormatting sqref="G777:L777">
    <cfRule type="cellIs" dxfId="1856" priority="1785" stopIfTrue="1" operator="equal">
      <formula>"Pass"</formula>
    </cfRule>
    <cfRule type="cellIs" dxfId="1855" priority="1786" stopIfTrue="1" operator="equal">
      <formula>"Fail"</formula>
    </cfRule>
  </conditionalFormatting>
  <conditionalFormatting sqref="G777:L777">
    <cfRule type="cellIs" dxfId="1854" priority="1783" stopIfTrue="1" operator="equal">
      <formula>"Pass"</formula>
    </cfRule>
    <cfRule type="cellIs" dxfId="1853" priority="1784" stopIfTrue="1" operator="equal">
      <formula>"Fail"</formula>
    </cfRule>
  </conditionalFormatting>
  <conditionalFormatting sqref="G777:L777">
    <cfRule type="cellIs" dxfId="1852" priority="1781" stopIfTrue="1" operator="equal">
      <formula>"Pass"</formula>
    </cfRule>
    <cfRule type="cellIs" dxfId="1851" priority="1782" stopIfTrue="1" operator="equal">
      <formula>"Fail"</formula>
    </cfRule>
  </conditionalFormatting>
  <conditionalFormatting sqref="G777:L777">
    <cfRule type="cellIs" dxfId="1850" priority="1779" stopIfTrue="1" operator="equal">
      <formula>"Pass"</formula>
    </cfRule>
    <cfRule type="cellIs" dxfId="1849" priority="1780" stopIfTrue="1" operator="equal">
      <formula>"Fail"</formula>
    </cfRule>
  </conditionalFormatting>
  <conditionalFormatting sqref="G777:L777">
    <cfRule type="cellIs" dxfId="1848" priority="1777" stopIfTrue="1" operator="equal">
      <formula>"Pass"</formula>
    </cfRule>
    <cfRule type="cellIs" dxfId="1847" priority="1778" stopIfTrue="1" operator="equal">
      <formula>"Fail"</formula>
    </cfRule>
  </conditionalFormatting>
  <conditionalFormatting sqref="D777:E777">
    <cfRule type="cellIs" dxfId="1846" priority="1775" stopIfTrue="1" operator="equal">
      <formula>"Pass"</formula>
    </cfRule>
    <cfRule type="cellIs" dxfId="1845" priority="1776" stopIfTrue="1" operator="equal">
      <formula>"Fail"</formula>
    </cfRule>
  </conditionalFormatting>
  <conditionalFormatting sqref="G777:L777">
    <cfRule type="cellIs" dxfId="1844" priority="1773" stopIfTrue="1" operator="equal">
      <formula>"Pass"</formula>
    </cfRule>
    <cfRule type="cellIs" dxfId="1843" priority="1774" stopIfTrue="1" operator="equal">
      <formula>"Fail"</formula>
    </cfRule>
  </conditionalFormatting>
  <conditionalFormatting sqref="I779:P780 D779:E781 G779:H781">
    <cfRule type="cellIs" dxfId="1842" priority="1771" stopIfTrue="1" operator="equal">
      <formula>"Pass"</formula>
    </cfRule>
    <cfRule type="cellIs" dxfId="1841" priority="1772" stopIfTrue="1" operator="equal">
      <formula>"Fail"</formula>
    </cfRule>
  </conditionalFormatting>
  <conditionalFormatting sqref="U779:V781">
    <cfRule type="cellIs" dxfId="1840" priority="1769" stopIfTrue="1" operator="equal">
      <formula>"Fail"</formula>
    </cfRule>
    <cfRule type="cellIs" dxfId="1839" priority="1770" stopIfTrue="1" operator="equal">
      <formula>"Pass"</formula>
    </cfRule>
  </conditionalFormatting>
  <conditionalFormatting sqref="H779:P779">
    <cfRule type="cellIs" dxfId="1838" priority="1767" stopIfTrue="1" operator="equal">
      <formula>"Pass"</formula>
    </cfRule>
    <cfRule type="cellIs" dxfId="1837" priority="1768" stopIfTrue="1" operator="equal">
      <formula>"Fail"</formula>
    </cfRule>
  </conditionalFormatting>
  <conditionalFormatting sqref="H779:P779">
    <cfRule type="cellIs" dxfId="1836" priority="1765" stopIfTrue="1" operator="equal">
      <formula>"Pass"</formula>
    </cfRule>
    <cfRule type="cellIs" dxfId="1835" priority="1766" stopIfTrue="1" operator="equal">
      <formula>"Fail"</formula>
    </cfRule>
  </conditionalFormatting>
  <conditionalFormatting sqref="H779:P779">
    <cfRule type="cellIs" dxfId="1834" priority="1763" stopIfTrue="1" operator="equal">
      <formula>"Pass"</formula>
    </cfRule>
    <cfRule type="cellIs" dxfId="1833" priority="1764" stopIfTrue="1" operator="equal">
      <formula>"Fail"</formula>
    </cfRule>
  </conditionalFormatting>
  <conditionalFormatting sqref="I779:P779">
    <cfRule type="cellIs" dxfId="1832" priority="1761" stopIfTrue="1" operator="equal">
      <formula>"Pass"</formula>
    </cfRule>
    <cfRule type="cellIs" dxfId="1831" priority="1762" stopIfTrue="1" operator="equal">
      <formula>"Fail"</formula>
    </cfRule>
  </conditionalFormatting>
  <conditionalFormatting sqref="I779:P779">
    <cfRule type="cellIs" dxfId="1830" priority="1759" stopIfTrue="1" operator="equal">
      <formula>"Pass"</formula>
    </cfRule>
    <cfRule type="cellIs" dxfId="1829" priority="1760" stopIfTrue="1" operator="equal">
      <formula>"Fail"</formula>
    </cfRule>
  </conditionalFormatting>
  <conditionalFormatting sqref="I779:P779">
    <cfRule type="cellIs" dxfId="1828" priority="1757" stopIfTrue="1" operator="equal">
      <formula>"Pass"</formula>
    </cfRule>
    <cfRule type="cellIs" dxfId="1827" priority="1758" stopIfTrue="1" operator="equal">
      <formula>"Fail"</formula>
    </cfRule>
  </conditionalFormatting>
  <conditionalFormatting sqref="I779:P779">
    <cfRule type="cellIs" dxfId="1826" priority="1755" stopIfTrue="1" operator="equal">
      <formula>"Pass"</formula>
    </cfRule>
    <cfRule type="cellIs" dxfId="1825" priority="1756" stopIfTrue="1" operator="equal">
      <formula>"Fail"</formula>
    </cfRule>
  </conditionalFormatting>
  <conditionalFormatting sqref="H779:P779">
    <cfRule type="cellIs" dxfId="1824" priority="1753" stopIfTrue="1" operator="equal">
      <formula>"Pass"</formula>
    </cfRule>
    <cfRule type="cellIs" dxfId="1823" priority="1754" stopIfTrue="1" operator="equal">
      <formula>"Fail"</formula>
    </cfRule>
  </conditionalFormatting>
  <conditionalFormatting sqref="H779:P779">
    <cfRule type="cellIs" dxfId="1822" priority="1751" stopIfTrue="1" operator="equal">
      <formula>"Pass"</formula>
    </cfRule>
    <cfRule type="cellIs" dxfId="1821" priority="1752" stopIfTrue="1" operator="equal">
      <formula>"Fail"</formula>
    </cfRule>
  </conditionalFormatting>
  <conditionalFormatting sqref="I779:P779">
    <cfRule type="cellIs" dxfId="1820" priority="1749" stopIfTrue="1" operator="equal">
      <formula>"Pass"</formula>
    </cfRule>
    <cfRule type="cellIs" dxfId="1819" priority="1750" stopIfTrue="1" operator="equal">
      <formula>"Fail"</formula>
    </cfRule>
  </conditionalFormatting>
  <conditionalFormatting sqref="I779:P779">
    <cfRule type="cellIs" dxfId="1818" priority="1747" stopIfTrue="1" operator="equal">
      <formula>"Pass"</formula>
    </cfRule>
    <cfRule type="cellIs" dxfId="1817" priority="1748" stopIfTrue="1" operator="equal">
      <formula>"Fail"</formula>
    </cfRule>
  </conditionalFormatting>
  <conditionalFormatting sqref="I779:P779">
    <cfRule type="cellIs" dxfId="1816" priority="1745" stopIfTrue="1" operator="equal">
      <formula>"Pass"</formula>
    </cfRule>
    <cfRule type="cellIs" dxfId="1815" priority="1746" stopIfTrue="1" operator="equal">
      <formula>"Fail"</formula>
    </cfRule>
  </conditionalFormatting>
  <conditionalFormatting sqref="I779:P779">
    <cfRule type="cellIs" dxfId="1814" priority="1743" stopIfTrue="1" operator="equal">
      <formula>"Pass"</formula>
    </cfRule>
    <cfRule type="cellIs" dxfId="1813" priority="1744" stopIfTrue="1" operator="equal">
      <formula>"Fail"</formula>
    </cfRule>
  </conditionalFormatting>
  <conditionalFormatting sqref="H779:P779">
    <cfRule type="cellIs" dxfId="1812" priority="1741" stopIfTrue="1" operator="equal">
      <formula>"Pass"</formula>
    </cfRule>
    <cfRule type="cellIs" dxfId="1811" priority="1742" stopIfTrue="1" operator="equal">
      <formula>"Fail"</formula>
    </cfRule>
  </conditionalFormatting>
  <conditionalFormatting sqref="H779:P779">
    <cfRule type="cellIs" dxfId="1810" priority="1739" stopIfTrue="1" operator="equal">
      <formula>"Pass"</formula>
    </cfRule>
    <cfRule type="cellIs" dxfId="1809" priority="1740" stopIfTrue="1" operator="equal">
      <formula>"Fail"</formula>
    </cfRule>
  </conditionalFormatting>
  <conditionalFormatting sqref="I779:P779">
    <cfRule type="cellIs" dxfId="1808" priority="1737" stopIfTrue="1" operator="equal">
      <formula>"Pass"</formula>
    </cfRule>
    <cfRule type="cellIs" dxfId="1807" priority="1738" stopIfTrue="1" operator="equal">
      <formula>"Fail"</formula>
    </cfRule>
  </conditionalFormatting>
  <conditionalFormatting sqref="I779:P779">
    <cfRule type="cellIs" dxfId="1806" priority="1735" stopIfTrue="1" operator="equal">
      <formula>"Pass"</formula>
    </cfRule>
    <cfRule type="cellIs" dxfId="1805" priority="1736" stopIfTrue="1" operator="equal">
      <formula>"Fail"</formula>
    </cfRule>
  </conditionalFormatting>
  <conditionalFormatting sqref="I779:P779">
    <cfRule type="cellIs" dxfId="1804" priority="1733" stopIfTrue="1" operator="equal">
      <formula>"Pass"</formula>
    </cfRule>
    <cfRule type="cellIs" dxfId="1803" priority="1734" stopIfTrue="1" operator="equal">
      <formula>"Fail"</formula>
    </cfRule>
  </conditionalFormatting>
  <conditionalFormatting sqref="I779:P779">
    <cfRule type="cellIs" dxfId="1802" priority="1731" stopIfTrue="1" operator="equal">
      <formula>"Pass"</formula>
    </cfRule>
    <cfRule type="cellIs" dxfId="1801" priority="1732" stopIfTrue="1" operator="equal">
      <formula>"Fail"</formula>
    </cfRule>
  </conditionalFormatting>
  <conditionalFormatting sqref="H779:P779">
    <cfRule type="cellIs" dxfId="1800" priority="1729" stopIfTrue="1" operator="equal">
      <formula>"Pass"</formula>
    </cfRule>
    <cfRule type="cellIs" dxfId="1799" priority="1730" stopIfTrue="1" operator="equal">
      <formula>"Fail"</formula>
    </cfRule>
  </conditionalFormatting>
  <conditionalFormatting sqref="H779:P779">
    <cfRule type="cellIs" dxfId="1798" priority="1727" stopIfTrue="1" operator="equal">
      <formula>"Pass"</formula>
    </cfRule>
    <cfRule type="cellIs" dxfId="1797" priority="1728" stopIfTrue="1" operator="equal">
      <formula>"Fail"</formula>
    </cfRule>
  </conditionalFormatting>
  <conditionalFormatting sqref="I779:P779">
    <cfRule type="cellIs" dxfId="1796" priority="1725" stopIfTrue="1" operator="equal">
      <formula>"Pass"</formula>
    </cfRule>
    <cfRule type="cellIs" dxfId="1795" priority="1726" stopIfTrue="1" operator="equal">
      <formula>"Fail"</formula>
    </cfRule>
  </conditionalFormatting>
  <conditionalFormatting sqref="I779:P779">
    <cfRule type="cellIs" dxfId="1794" priority="1723" stopIfTrue="1" operator="equal">
      <formula>"Pass"</formula>
    </cfRule>
    <cfRule type="cellIs" dxfId="1793" priority="1724" stopIfTrue="1" operator="equal">
      <formula>"Fail"</formula>
    </cfRule>
  </conditionalFormatting>
  <conditionalFormatting sqref="I779:P779">
    <cfRule type="cellIs" dxfId="1792" priority="1721" stopIfTrue="1" operator="equal">
      <formula>"Pass"</formula>
    </cfRule>
    <cfRule type="cellIs" dxfId="1791" priority="1722" stopIfTrue="1" operator="equal">
      <formula>"Fail"</formula>
    </cfRule>
  </conditionalFormatting>
  <conditionalFormatting sqref="I779:P779">
    <cfRule type="cellIs" dxfId="1790" priority="1719" stopIfTrue="1" operator="equal">
      <formula>"Pass"</formula>
    </cfRule>
    <cfRule type="cellIs" dxfId="1789" priority="1720" stopIfTrue="1" operator="equal">
      <formula>"Fail"</formula>
    </cfRule>
  </conditionalFormatting>
  <conditionalFormatting sqref="H779:P779">
    <cfRule type="cellIs" dxfId="1788" priority="1717" stopIfTrue="1" operator="equal">
      <formula>"Pass"</formula>
    </cfRule>
    <cfRule type="cellIs" dxfId="1787" priority="1718" stopIfTrue="1" operator="equal">
      <formula>"Fail"</formula>
    </cfRule>
  </conditionalFormatting>
  <conditionalFormatting sqref="H779:P779">
    <cfRule type="cellIs" dxfId="1786" priority="1715" stopIfTrue="1" operator="equal">
      <formula>"Pass"</formula>
    </cfRule>
    <cfRule type="cellIs" dxfId="1785" priority="1716" stopIfTrue="1" operator="equal">
      <formula>"Fail"</formula>
    </cfRule>
  </conditionalFormatting>
  <conditionalFormatting sqref="I779:P779">
    <cfRule type="cellIs" dxfId="1784" priority="1713" stopIfTrue="1" operator="equal">
      <formula>"Pass"</formula>
    </cfRule>
    <cfRule type="cellIs" dxfId="1783" priority="1714" stopIfTrue="1" operator="equal">
      <formula>"Fail"</formula>
    </cfRule>
  </conditionalFormatting>
  <conditionalFormatting sqref="I779:P779">
    <cfRule type="cellIs" dxfId="1782" priority="1711" stopIfTrue="1" operator="equal">
      <formula>"Pass"</formula>
    </cfRule>
    <cfRule type="cellIs" dxfId="1781" priority="1712" stopIfTrue="1" operator="equal">
      <formula>"Fail"</formula>
    </cfRule>
  </conditionalFormatting>
  <conditionalFormatting sqref="I779:P779">
    <cfRule type="cellIs" dxfId="1780" priority="1709" stopIfTrue="1" operator="equal">
      <formula>"Pass"</formula>
    </cfRule>
    <cfRule type="cellIs" dxfId="1779" priority="1710" stopIfTrue="1" operator="equal">
      <formula>"Fail"</formula>
    </cfRule>
  </conditionalFormatting>
  <conditionalFormatting sqref="I779:P779">
    <cfRule type="cellIs" dxfId="1778" priority="1707" stopIfTrue="1" operator="equal">
      <formula>"Pass"</formula>
    </cfRule>
    <cfRule type="cellIs" dxfId="1777" priority="1708" stopIfTrue="1" operator="equal">
      <formula>"Fail"</formula>
    </cfRule>
  </conditionalFormatting>
  <conditionalFormatting sqref="H779:P779">
    <cfRule type="cellIs" dxfId="1776" priority="1705" stopIfTrue="1" operator="equal">
      <formula>"Pass"</formula>
    </cfRule>
    <cfRule type="cellIs" dxfId="1775" priority="1706" stopIfTrue="1" operator="equal">
      <formula>"Fail"</formula>
    </cfRule>
  </conditionalFormatting>
  <conditionalFormatting sqref="H779:P779">
    <cfRule type="cellIs" dxfId="1774" priority="1703" stopIfTrue="1" operator="equal">
      <formula>"Pass"</formula>
    </cfRule>
    <cfRule type="cellIs" dxfId="1773" priority="1704" stopIfTrue="1" operator="equal">
      <formula>"Fail"</formula>
    </cfRule>
  </conditionalFormatting>
  <conditionalFormatting sqref="I779:P779">
    <cfRule type="cellIs" dxfId="1772" priority="1701" stopIfTrue="1" operator="equal">
      <formula>"Pass"</formula>
    </cfRule>
    <cfRule type="cellIs" dxfId="1771" priority="1702" stopIfTrue="1" operator="equal">
      <formula>"Fail"</formula>
    </cfRule>
  </conditionalFormatting>
  <conditionalFormatting sqref="I779:P779">
    <cfRule type="cellIs" dxfId="1770" priority="1699" stopIfTrue="1" operator="equal">
      <formula>"Pass"</formula>
    </cfRule>
    <cfRule type="cellIs" dxfId="1769" priority="1700" stopIfTrue="1" operator="equal">
      <formula>"Fail"</formula>
    </cfRule>
  </conditionalFormatting>
  <conditionalFormatting sqref="I779:P779">
    <cfRule type="cellIs" dxfId="1768" priority="1697" stopIfTrue="1" operator="equal">
      <formula>"Pass"</formula>
    </cfRule>
    <cfRule type="cellIs" dxfId="1767" priority="1698" stopIfTrue="1" operator="equal">
      <formula>"Fail"</formula>
    </cfRule>
  </conditionalFormatting>
  <conditionalFormatting sqref="I779:P779">
    <cfRule type="cellIs" dxfId="1766" priority="1695" stopIfTrue="1" operator="equal">
      <formula>"Pass"</formula>
    </cfRule>
    <cfRule type="cellIs" dxfId="1765" priority="1696" stopIfTrue="1" operator="equal">
      <formula>"Fail"</formula>
    </cfRule>
  </conditionalFormatting>
  <conditionalFormatting sqref="H779:P779">
    <cfRule type="cellIs" dxfId="1764" priority="1693" stopIfTrue="1" operator="equal">
      <formula>"Pass"</formula>
    </cfRule>
    <cfRule type="cellIs" dxfId="1763" priority="1694" stopIfTrue="1" operator="equal">
      <formula>"Fail"</formula>
    </cfRule>
  </conditionalFormatting>
  <conditionalFormatting sqref="H779:P779">
    <cfRule type="cellIs" dxfId="1762" priority="1691" stopIfTrue="1" operator="equal">
      <formula>"Pass"</formula>
    </cfRule>
    <cfRule type="cellIs" dxfId="1761" priority="1692" stopIfTrue="1" operator="equal">
      <formula>"Fail"</formula>
    </cfRule>
  </conditionalFormatting>
  <conditionalFormatting sqref="I779:P779">
    <cfRule type="cellIs" dxfId="1760" priority="1689" stopIfTrue="1" operator="equal">
      <formula>"Pass"</formula>
    </cfRule>
    <cfRule type="cellIs" dxfId="1759" priority="1690" stopIfTrue="1" operator="equal">
      <formula>"Fail"</formula>
    </cfRule>
  </conditionalFormatting>
  <conditionalFormatting sqref="I779:P779">
    <cfRule type="cellIs" dxfId="1758" priority="1687" stopIfTrue="1" operator="equal">
      <formula>"Pass"</formula>
    </cfRule>
    <cfRule type="cellIs" dxfId="1757" priority="1688" stopIfTrue="1" operator="equal">
      <formula>"Fail"</formula>
    </cfRule>
  </conditionalFormatting>
  <conditionalFormatting sqref="I779:P779">
    <cfRule type="cellIs" dxfId="1756" priority="1685" stopIfTrue="1" operator="equal">
      <formula>"Pass"</formula>
    </cfRule>
    <cfRule type="cellIs" dxfId="1755" priority="1686" stopIfTrue="1" operator="equal">
      <formula>"Fail"</formula>
    </cfRule>
  </conditionalFormatting>
  <conditionalFormatting sqref="I779:P779">
    <cfRule type="cellIs" dxfId="1754" priority="1683" stopIfTrue="1" operator="equal">
      <formula>"Pass"</formula>
    </cfRule>
    <cfRule type="cellIs" dxfId="1753" priority="1684" stopIfTrue="1" operator="equal">
      <formula>"Fail"</formula>
    </cfRule>
  </conditionalFormatting>
  <conditionalFormatting sqref="H779:P779">
    <cfRule type="cellIs" dxfId="1752" priority="1681" stopIfTrue="1" operator="equal">
      <formula>"Pass"</formula>
    </cfRule>
    <cfRule type="cellIs" dxfId="1751" priority="1682" stopIfTrue="1" operator="equal">
      <formula>"Fail"</formula>
    </cfRule>
  </conditionalFormatting>
  <conditionalFormatting sqref="H779:P779">
    <cfRule type="cellIs" dxfId="1750" priority="1679" stopIfTrue="1" operator="equal">
      <formula>"Pass"</formula>
    </cfRule>
    <cfRule type="cellIs" dxfId="1749" priority="1680" stopIfTrue="1" operator="equal">
      <formula>"Fail"</formula>
    </cfRule>
  </conditionalFormatting>
  <conditionalFormatting sqref="I779:P779">
    <cfRule type="cellIs" dxfId="1748" priority="1677" stopIfTrue="1" operator="equal">
      <formula>"Pass"</formula>
    </cfRule>
    <cfRule type="cellIs" dxfId="1747" priority="1678" stopIfTrue="1" operator="equal">
      <formula>"Fail"</formula>
    </cfRule>
  </conditionalFormatting>
  <conditionalFormatting sqref="I779:P779">
    <cfRule type="cellIs" dxfId="1746" priority="1675" stopIfTrue="1" operator="equal">
      <formula>"Pass"</formula>
    </cfRule>
    <cfRule type="cellIs" dxfId="1745" priority="1676" stopIfTrue="1" operator="equal">
      <formula>"Fail"</formula>
    </cfRule>
  </conditionalFormatting>
  <conditionalFormatting sqref="I779:P779">
    <cfRule type="cellIs" dxfId="1744" priority="1673" stopIfTrue="1" operator="equal">
      <formula>"Pass"</formula>
    </cfRule>
    <cfRule type="cellIs" dxfId="1743" priority="1674" stopIfTrue="1" operator="equal">
      <formula>"Fail"</formula>
    </cfRule>
  </conditionalFormatting>
  <conditionalFormatting sqref="I779:P779">
    <cfRule type="cellIs" dxfId="1742" priority="1671" stopIfTrue="1" operator="equal">
      <formula>"Pass"</formula>
    </cfRule>
    <cfRule type="cellIs" dxfId="1741" priority="1672" stopIfTrue="1" operator="equal">
      <formula>"Fail"</formula>
    </cfRule>
  </conditionalFormatting>
  <conditionalFormatting sqref="H779:O779">
    <cfRule type="cellIs" dxfId="1740" priority="1669" stopIfTrue="1" operator="equal">
      <formula>"Pass"</formula>
    </cfRule>
    <cfRule type="cellIs" dxfId="1739" priority="1670" stopIfTrue="1" operator="equal">
      <formula>"Fail"</formula>
    </cfRule>
  </conditionalFormatting>
  <conditionalFormatting sqref="H779:O779">
    <cfRule type="cellIs" dxfId="1738" priority="1667" stopIfTrue="1" operator="equal">
      <formula>"Pass"</formula>
    </cfRule>
    <cfRule type="cellIs" dxfId="1737" priority="1668" stopIfTrue="1" operator="equal">
      <formula>"Fail"</formula>
    </cfRule>
  </conditionalFormatting>
  <conditionalFormatting sqref="I779:P779">
    <cfRule type="cellIs" dxfId="1736" priority="1665" stopIfTrue="1" operator="equal">
      <formula>"Pass"</formula>
    </cfRule>
    <cfRule type="cellIs" dxfId="1735" priority="1666" stopIfTrue="1" operator="equal">
      <formula>"Fail"</formula>
    </cfRule>
  </conditionalFormatting>
  <conditionalFormatting sqref="I779:P779">
    <cfRule type="cellIs" dxfId="1734" priority="1663" stopIfTrue="1" operator="equal">
      <formula>"Pass"</formula>
    </cfRule>
    <cfRule type="cellIs" dxfId="1733" priority="1664" stopIfTrue="1" operator="equal">
      <formula>"Fail"</formula>
    </cfRule>
  </conditionalFormatting>
  <conditionalFormatting sqref="I779:P779">
    <cfRule type="cellIs" dxfId="1732" priority="1661" stopIfTrue="1" operator="equal">
      <formula>"Pass"</formula>
    </cfRule>
    <cfRule type="cellIs" dxfId="1731" priority="1662" stopIfTrue="1" operator="equal">
      <formula>"Fail"</formula>
    </cfRule>
  </conditionalFormatting>
  <conditionalFormatting sqref="I779:P779">
    <cfRule type="cellIs" dxfId="1730" priority="1659" stopIfTrue="1" operator="equal">
      <formula>"Pass"</formula>
    </cfRule>
    <cfRule type="cellIs" dxfId="1729" priority="1660" stopIfTrue="1" operator="equal">
      <formula>"Fail"</formula>
    </cfRule>
  </conditionalFormatting>
  <conditionalFormatting sqref="H779:O779">
    <cfRule type="cellIs" dxfId="1728" priority="1657" stopIfTrue="1" operator="equal">
      <formula>"Pass"</formula>
    </cfRule>
    <cfRule type="cellIs" dxfId="1727" priority="1658" stopIfTrue="1" operator="equal">
      <formula>"Fail"</formula>
    </cfRule>
  </conditionalFormatting>
  <conditionalFormatting sqref="H779:O779">
    <cfRule type="cellIs" dxfId="1726" priority="1655" stopIfTrue="1" operator="equal">
      <formula>"Pass"</formula>
    </cfRule>
    <cfRule type="cellIs" dxfId="1725" priority="1656" stopIfTrue="1" operator="equal">
      <formula>"Fail"</formula>
    </cfRule>
  </conditionalFormatting>
  <conditionalFormatting sqref="I779:P779">
    <cfRule type="cellIs" dxfId="1724" priority="1653" stopIfTrue="1" operator="equal">
      <formula>"Pass"</formula>
    </cfRule>
    <cfRule type="cellIs" dxfId="1723" priority="1654" stopIfTrue="1" operator="equal">
      <formula>"Fail"</formula>
    </cfRule>
  </conditionalFormatting>
  <conditionalFormatting sqref="I779:P779">
    <cfRule type="cellIs" dxfId="1722" priority="1651" stopIfTrue="1" operator="equal">
      <formula>"Pass"</formula>
    </cfRule>
    <cfRule type="cellIs" dxfId="1721" priority="1652" stopIfTrue="1" operator="equal">
      <formula>"Fail"</formula>
    </cfRule>
  </conditionalFormatting>
  <conditionalFormatting sqref="I779:P779">
    <cfRule type="cellIs" dxfId="1720" priority="1649" stopIfTrue="1" operator="equal">
      <formula>"Pass"</formula>
    </cfRule>
    <cfRule type="cellIs" dxfId="1719" priority="1650" stopIfTrue="1" operator="equal">
      <formula>"Fail"</formula>
    </cfRule>
  </conditionalFormatting>
  <conditionalFormatting sqref="I779:P779">
    <cfRule type="cellIs" dxfId="1718" priority="1647" stopIfTrue="1" operator="equal">
      <formula>"Pass"</formula>
    </cfRule>
    <cfRule type="cellIs" dxfId="1717" priority="1648" stopIfTrue="1" operator="equal">
      <formula>"Fail"</formula>
    </cfRule>
  </conditionalFormatting>
  <conditionalFormatting sqref="H779:P779">
    <cfRule type="cellIs" dxfId="1716" priority="1645" stopIfTrue="1" operator="equal">
      <formula>"Pass"</formula>
    </cfRule>
    <cfRule type="cellIs" dxfId="1715" priority="1646" stopIfTrue="1" operator="equal">
      <formula>"Fail"</formula>
    </cfRule>
  </conditionalFormatting>
  <conditionalFormatting sqref="H779:P779">
    <cfRule type="cellIs" dxfId="1714" priority="1643" stopIfTrue="1" operator="equal">
      <formula>"Pass"</formula>
    </cfRule>
    <cfRule type="cellIs" dxfId="1713" priority="1644" stopIfTrue="1" operator="equal">
      <formula>"Fail"</formula>
    </cfRule>
  </conditionalFormatting>
  <conditionalFormatting sqref="I779:P779">
    <cfRule type="cellIs" dxfId="1712" priority="1641" stopIfTrue="1" operator="equal">
      <formula>"Pass"</formula>
    </cfRule>
    <cfRule type="cellIs" dxfId="1711" priority="1642" stopIfTrue="1" operator="equal">
      <formula>"Fail"</formula>
    </cfRule>
  </conditionalFormatting>
  <conditionalFormatting sqref="I779:P779">
    <cfRule type="cellIs" dxfId="1710" priority="1639" stopIfTrue="1" operator="equal">
      <formula>"Pass"</formula>
    </cfRule>
    <cfRule type="cellIs" dxfId="1709" priority="1640" stopIfTrue="1" operator="equal">
      <formula>"Fail"</formula>
    </cfRule>
  </conditionalFormatting>
  <conditionalFormatting sqref="I779:P779">
    <cfRule type="cellIs" dxfId="1708" priority="1637" stopIfTrue="1" operator="equal">
      <formula>"Pass"</formula>
    </cfRule>
    <cfRule type="cellIs" dxfId="1707" priority="1638" stopIfTrue="1" operator="equal">
      <formula>"Fail"</formula>
    </cfRule>
  </conditionalFormatting>
  <conditionalFormatting sqref="I779:P779">
    <cfRule type="cellIs" dxfId="1706" priority="1635" stopIfTrue="1" operator="equal">
      <formula>"Pass"</formula>
    </cfRule>
    <cfRule type="cellIs" dxfId="1705" priority="1636" stopIfTrue="1" operator="equal">
      <formula>"Fail"</formula>
    </cfRule>
  </conditionalFormatting>
  <conditionalFormatting sqref="H779:P779">
    <cfRule type="cellIs" dxfId="1704" priority="1633" stopIfTrue="1" operator="equal">
      <formula>"Pass"</formula>
    </cfRule>
    <cfRule type="cellIs" dxfId="1703" priority="1634" stopIfTrue="1" operator="equal">
      <formula>"Fail"</formula>
    </cfRule>
  </conditionalFormatting>
  <conditionalFormatting sqref="H779:P779">
    <cfRule type="cellIs" dxfId="1702" priority="1631" stopIfTrue="1" operator="equal">
      <formula>"Pass"</formula>
    </cfRule>
    <cfRule type="cellIs" dxfId="1701" priority="1632" stopIfTrue="1" operator="equal">
      <formula>"Fail"</formula>
    </cfRule>
  </conditionalFormatting>
  <conditionalFormatting sqref="I779:P779">
    <cfRule type="cellIs" dxfId="1700" priority="1629" stopIfTrue="1" operator="equal">
      <formula>"Pass"</formula>
    </cfRule>
    <cfRule type="cellIs" dxfId="1699" priority="1630" stopIfTrue="1" operator="equal">
      <formula>"Fail"</formula>
    </cfRule>
  </conditionalFormatting>
  <conditionalFormatting sqref="I779:P779">
    <cfRule type="cellIs" dxfId="1698" priority="1627" stopIfTrue="1" operator="equal">
      <formula>"Pass"</formula>
    </cfRule>
    <cfRule type="cellIs" dxfId="1697" priority="1628" stopIfTrue="1" operator="equal">
      <formula>"Fail"</formula>
    </cfRule>
  </conditionalFormatting>
  <conditionalFormatting sqref="I779:P779">
    <cfRule type="cellIs" dxfId="1696" priority="1625" stopIfTrue="1" operator="equal">
      <formula>"Pass"</formula>
    </cfRule>
    <cfRule type="cellIs" dxfId="1695" priority="1626" stopIfTrue="1" operator="equal">
      <formula>"Fail"</formula>
    </cfRule>
  </conditionalFormatting>
  <conditionalFormatting sqref="I779:P779">
    <cfRule type="cellIs" dxfId="1694" priority="1623" stopIfTrue="1" operator="equal">
      <formula>"Pass"</formula>
    </cfRule>
    <cfRule type="cellIs" dxfId="1693" priority="1624" stopIfTrue="1" operator="equal">
      <formula>"Fail"</formula>
    </cfRule>
  </conditionalFormatting>
  <conditionalFormatting sqref="H779:P779">
    <cfRule type="cellIs" dxfId="1692" priority="1621" stopIfTrue="1" operator="equal">
      <formula>"Pass"</formula>
    </cfRule>
    <cfRule type="cellIs" dxfId="1691" priority="1622" stopIfTrue="1" operator="equal">
      <formula>"Fail"</formula>
    </cfRule>
  </conditionalFormatting>
  <conditionalFormatting sqref="H779:P779">
    <cfRule type="cellIs" dxfId="1690" priority="1619" stopIfTrue="1" operator="equal">
      <formula>"Pass"</formula>
    </cfRule>
    <cfRule type="cellIs" dxfId="1689" priority="1620" stopIfTrue="1" operator="equal">
      <formula>"Fail"</formula>
    </cfRule>
  </conditionalFormatting>
  <conditionalFormatting sqref="I779:P779">
    <cfRule type="cellIs" dxfId="1688" priority="1617" stopIfTrue="1" operator="equal">
      <formula>"Pass"</formula>
    </cfRule>
    <cfRule type="cellIs" dxfId="1687" priority="1618" stopIfTrue="1" operator="equal">
      <formula>"Fail"</formula>
    </cfRule>
  </conditionalFormatting>
  <conditionalFormatting sqref="I779:P779">
    <cfRule type="cellIs" dxfId="1686" priority="1615" stopIfTrue="1" operator="equal">
      <formula>"Pass"</formula>
    </cfRule>
    <cfRule type="cellIs" dxfId="1685" priority="1616" stopIfTrue="1" operator="equal">
      <formula>"Fail"</formula>
    </cfRule>
  </conditionalFormatting>
  <conditionalFormatting sqref="I779:P779">
    <cfRule type="cellIs" dxfId="1684" priority="1613" stopIfTrue="1" operator="equal">
      <formula>"Pass"</formula>
    </cfRule>
    <cfRule type="cellIs" dxfId="1683" priority="1614" stopIfTrue="1" operator="equal">
      <formula>"Fail"</formula>
    </cfRule>
  </conditionalFormatting>
  <conditionalFormatting sqref="I779:P779">
    <cfRule type="cellIs" dxfId="1682" priority="1611" stopIfTrue="1" operator="equal">
      <formula>"Pass"</formula>
    </cfRule>
    <cfRule type="cellIs" dxfId="1681" priority="1612" stopIfTrue="1" operator="equal">
      <formula>"Fail"</formula>
    </cfRule>
  </conditionalFormatting>
  <conditionalFormatting sqref="H779:P779">
    <cfRule type="cellIs" dxfId="1680" priority="1609" stopIfTrue="1" operator="equal">
      <formula>"Pass"</formula>
    </cfRule>
    <cfRule type="cellIs" dxfId="1679" priority="1610" stopIfTrue="1" operator="equal">
      <formula>"Fail"</formula>
    </cfRule>
  </conditionalFormatting>
  <conditionalFormatting sqref="H779:P779">
    <cfRule type="cellIs" dxfId="1678" priority="1607" stopIfTrue="1" operator="equal">
      <formula>"Pass"</formula>
    </cfRule>
    <cfRule type="cellIs" dxfId="1677" priority="1608" stopIfTrue="1" operator="equal">
      <formula>"Fail"</formula>
    </cfRule>
  </conditionalFormatting>
  <conditionalFormatting sqref="I779:P779">
    <cfRule type="cellIs" dxfId="1676" priority="1605" stopIfTrue="1" operator="equal">
      <formula>"Pass"</formula>
    </cfRule>
    <cfRule type="cellIs" dxfId="1675" priority="1606" stopIfTrue="1" operator="equal">
      <formula>"Fail"</formula>
    </cfRule>
  </conditionalFormatting>
  <conditionalFormatting sqref="I779:P779">
    <cfRule type="cellIs" dxfId="1674" priority="1603" stopIfTrue="1" operator="equal">
      <formula>"Pass"</formula>
    </cfRule>
    <cfRule type="cellIs" dxfId="1673" priority="1604" stopIfTrue="1" operator="equal">
      <formula>"Fail"</formula>
    </cfRule>
  </conditionalFormatting>
  <conditionalFormatting sqref="I779:P779">
    <cfRule type="cellIs" dxfId="1672" priority="1601" stopIfTrue="1" operator="equal">
      <formula>"Pass"</formula>
    </cfRule>
    <cfRule type="cellIs" dxfId="1671" priority="1602" stopIfTrue="1" operator="equal">
      <formula>"Fail"</formula>
    </cfRule>
  </conditionalFormatting>
  <conditionalFormatting sqref="I779:P779">
    <cfRule type="cellIs" dxfId="1670" priority="1599" stopIfTrue="1" operator="equal">
      <formula>"Pass"</formula>
    </cfRule>
    <cfRule type="cellIs" dxfId="1669" priority="1600" stopIfTrue="1" operator="equal">
      <formula>"Fail"</formula>
    </cfRule>
  </conditionalFormatting>
  <conditionalFormatting sqref="H779:P779">
    <cfRule type="cellIs" dxfId="1668" priority="1597" stopIfTrue="1" operator="equal">
      <formula>"Pass"</formula>
    </cfRule>
    <cfRule type="cellIs" dxfId="1667" priority="1598" stopIfTrue="1" operator="equal">
      <formula>"Fail"</formula>
    </cfRule>
  </conditionalFormatting>
  <conditionalFormatting sqref="H779:P779">
    <cfRule type="cellIs" dxfId="1666" priority="1595" stopIfTrue="1" operator="equal">
      <formula>"Pass"</formula>
    </cfRule>
    <cfRule type="cellIs" dxfId="1665" priority="1596" stopIfTrue="1" operator="equal">
      <formula>"Fail"</formula>
    </cfRule>
  </conditionalFormatting>
  <conditionalFormatting sqref="I779:P779">
    <cfRule type="cellIs" dxfId="1664" priority="1593" stopIfTrue="1" operator="equal">
      <formula>"Pass"</formula>
    </cfRule>
    <cfRule type="cellIs" dxfId="1663" priority="1594" stopIfTrue="1" operator="equal">
      <formula>"Fail"</formula>
    </cfRule>
  </conditionalFormatting>
  <conditionalFormatting sqref="I779:P779">
    <cfRule type="cellIs" dxfId="1662" priority="1591" stopIfTrue="1" operator="equal">
      <formula>"Pass"</formula>
    </cfRule>
    <cfRule type="cellIs" dxfId="1661" priority="1592" stopIfTrue="1" operator="equal">
      <formula>"Fail"</formula>
    </cfRule>
  </conditionalFormatting>
  <conditionalFormatting sqref="I779:P779">
    <cfRule type="cellIs" dxfId="1660" priority="1589" stopIfTrue="1" operator="equal">
      <formula>"Pass"</formula>
    </cfRule>
    <cfRule type="cellIs" dxfId="1659" priority="1590" stopIfTrue="1" operator="equal">
      <formula>"Fail"</formula>
    </cfRule>
  </conditionalFormatting>
  <conditionalFormatting sqref="I779:P779">
    <cfRule type="cellIs" dxfId="1658" priority="1587" stopIfTrue="1" operator="equal">
      <formula>"Pass"</formula>
    </cfRule>
    <cfRule type="cellIs" dxfId="1657" priority="1588" stopIfTrue="1" operator="equal">
      <formula>"Fail"</formula>
    </cfRule>
  </conditionalFormatting>
  <conditionalFormatting sqref="H779:P779">
    <cfRule type="cellIs" dxfId="1656" priority="1585" stopIfTrue="1" operator="equal">
      <formula>"Pass"</formula>
    </cfRule>
    <cfRule type="cellIs" dxfId="1655" priority="1586" stopIfTrue="1" operator="equal">
      <formula>"Fail"</formula>
    </cfRule>
  </conditionalFormatting>
  <conditionalFormatting sqref="H779:P779">
    <cfRule type="cellIs" dxfId="1654" priority="1583" stopIfTrue="1" operator="equal">
      <formula>"Pass"</formula>
    </cfRule>
    <cfRule type="cellIs" dxfId="1653" priority="1584" stopIfTrue="1" operator="equal">
      <formula>"Fail"</formula>
    </cfRule>
  </conditionalFormatting>
  <conditionalFormatting sqref="I779:P779">
    <cfRule type="cellIs" dxfId="1652" priority="1581" stopIfTrue="1" operator="equal">
      <formula>"Pass"</formula>
    </cfRule>
    <cfRule type="cellIs" dxfId="1651" priority="1582" stopIfTrue="1" operator="equal">
      <formula>"Fail"</formula>
    </cfRule>
  </conditionalFormatting>
  <conditionalFormatting sqref="I779:P779">
    <cfRule type="cellIs" dxfId="1650" priority="1579" stopIfTrue="1" operator="equal">
      <formula>"Pass"</formula>
    </cfRule>
    <cfRule type="cellIs" dxfId="1649" priority="1580" stopIfTrue="1" operator="equal">
      <formula>"Fail"</formula>
    </cfRule>
  </conditionalFormatting>
  <conditionalFormatting sqref="I779:P779">
    <cfRule type="cellIs" dxfId="1648" priority="1577" stopIfTrue="1" operator="equal">
      <formula>"Pass"</formula>
    </cfRule>
    <cfRule type="cellIs" dxfId="1647" priority="1578" stopIfTrue="1" operator="equal">
      <formula>"Fail"</formula>
    </cfRule>
  </conditionalFormatting>
  <conditionalFormatting sqref="I779:P779">
    <cfRule type="cellIs" dxfId="1646" priority="1575" stopIfTrue="1" operator="equal">
      <formula>"Pass"</formula>
    </cfRule>
    <cfRule type="cellIs" dxfId="1645" priority="1576" stopIfTrue="1" operator="equal">
      <formula>"Fail"</formula>
    </cfRule>
  </conditionalFormatting>
  <conditionalFormatting sqref="H779:P779">
    <cfRule type="cellIs" dxfId="1644" priority="1573" stopIfTrue="1" operator="equal">
      <formula>"Pass"</formula>
    </cfRule>
    <cfRule type="cellIs" dxfId="1643" priority="1574" stopIfTrue="1" operator="equal">
      <formula>"Fail"</formula>
    </cfRule>
  </conditionalFormatting>
  <conditionalFormatting sqref="H779:P779">
    <cfRule type="cellIs" dxfId="1642" priority="1571" stopIfTrue="1" operator="equal">
      <formula>"Pass"</formula>
    </cfRule>
    <cfRule type="cellIs" dxfId="1641" priority="1572" stopIfTrue="1" operator="equal">
      <formula>"Fail"</formula>
    </cfRule>
  </conditionalFormatting>
  <conditionalFormatting sqref="I779:P779">
    <cfRule type="cellIs" dxfId="1640" priority="1569" stopIfTrue="1" operator="equal">
      <formula>"Pass"</formula>
    </cfRule>
    <cfRule type="cellIs" dxfId="1639" priority="1570" stopIfTrue="1" operator="equal">
      <formula>"Fail"</formula>
    </cfRule>
  </conditionalFormatting>
  <conditionalFormatting sqref="I779:P779">
    <cfRule type="cellIs" dxfId="1638" priority="1567" stopIfTrue="1" operator="equal">
      <formula>"Pass"</formula>
    </cfRule>
    <cfRule type="cellIs" dxfId="1637" priority="1568" stopIfTrue="1" operator="equal">
      <formula>"Fail"</formula>
    </cfRule>
  </conditionalFormatting>
  <conditionalFormatting sqref="I779:P779">
    <cfRule type="cellIs" dxfId="1636" priority="1565" stopIfTrue="1" operator="equal">
      <formula>"Pass"</formula>
    </cfRule>
    <cfRule type="cellIs" dxfId="1635" priority="1566" stopIfTrue="1" operator="equal">
      <formula>"Fail"</formula>
    </cfRule>
  </conditionalFormatting>
  <conditionalFormatting sqref="I779:P779">
    <cfRule type="cellIs" dxfId="1634" priority="1563" stopIfTrue="1" operator="equal">
      <formula>"Pass"</formula>
    </cfRule>
    <cfRule type="cellIs" dxfId="1633" priority="1564" stopIfTrue="1" operator="equal">
      <formula>"Fail"</formula>
    </cfRule>
  </conditionalFormatting>
  <conditionalFormatting sqref="H779:P779">
    <cfRule type="cellIs" dxfId="1632" priority="1561" stopIfTrue="1" operator="equal">
      <formula>"Pass"</formula>
    </cfRule>
    <cfRule type="cellIs" dxfId="1631" priority="1562" stopIfTrue="1" operator="equal">
      <formula>"Fail"</formula>
    </cfRule>
  </conditionalFormatting>
  <conditionalFormatting sqref="H779:P779">
    <cfRule type="cellIs" dxfId="1630" priority="1559" stopIfTrue="1" operator="equal">
      <formula>"Pass"</formula>
    </cfRule>
    <cfRule type="cellIs" dxfId="1629" priority="1560" stopIfTrue="1" operator="equal">
      <formula>"Fail"</formula>
    </cfRule>
  </conditionalFormatting>
  <conditionalFormatting sqref="I779:P779">
    <cfRule type="cellIs" dxfId="1628" priority="1557" stopIfTrue="1" operator="equal">
      <formula>"Pass"</formula>
    </cfRule>
    <cfRule type="cellIs" dxfId="1627" priority="1558" stopIfTrue="1" operator="equal">
      <formula>"Fail"</formula>
    </cfRule>
  </conditionalFormatting>
  <conditionalFormatting sqref="I779:P779">
    <cfRule type="cellIs" dxfId="1626" priority="1555" stopIfTrue="1" operator="equal">
      <formula>"Pass"</formula>
    </cfRule>
    <cfRule type="cellIs" dxfId="1625" priority="1556" stopIfTrue="1" operator="equal">
      <formula>"Fail"</formula>
    </cfRule>
  </conditionalFormatting>
  <conditionalFormatting sqref="I779:P779">
    <cfRule type="cellIs" dxfId="1624" priority="1553" stopIfTrue="1" operator="equal">
      <formula>"Pass"</formula>
    </cfRule>
    <cfRule type="cellIs" dxfId="1623" priority="1554" stopIfTrue="1" operator="equal">
      <formula>"Fail"</formula>
    </cfRule>
  </conditionalFormatting>
  <conditionalFormatting sqref="I779:P779">
    <cfRule type="cellIs" dxfId="1622" priority="1551" stopIfTrue="1" operator="equal">
      <formula>"Pass"</formula>
    </cfRule>
    <cfRule type="cellIs" dxfId="1621" priority="1552" stopIfTrue="1" operator="equal">
      <formula>"Fail"</formula>
    </cfRule>
  </conditionalFormatting>
  <conditionalFormatting sqref="H779:P779">
    <cfRule type="cellIs" dxfId="1620" priority="1549" stopIfTrue="1" operator="equal">
      <formula>"Pass"</formula>
    </cfRule>
    <cfRule type="cellIs" dxfId="1619" priority="1550" stopIfTrue="1" operator="equal">
      <formula>"Fail"</formula>
    </cfRule>
  </conditionalFormatting>
  <conditionalFormatting sqref="H779:P779">
    <cfRule type="cellIs" dxfId="1618" priority="1547" stopIfTrue="1" operator="equal">
      <formula>"Pass"</formula>
    </cfRule>
    <cfRule type="cellIs" dxfId="1617" priority="1548" stopIfTrue="1" operator="equal">
      <formula>"Fail"</formula>
    </cfRule>
  </conditionalFormatting>
  <conditionalFormatting sqref="I779:P779">
    <cfRule type="cellIs" dxfId="1616" priority="1545" stopIfTrue="1" operator="equal">
      <formula>"Pass"</formula>
    </cfRule>
    <cfRule type="cellIs" dxfId="1615" priority="1546" stopIfTrue="1" operator="equal">
      <formula>"Fail"</formula>
    </cfRule>
  </conditionalFormatting>
  <conditionalFormatting sqref="I779:P779">
    <cfRule type="cellIs" dxfId="1614" priority="1543" stopIfTrue="1" operator="equal">
      <formula>"Pass"</formula>
    </cfRule>
    <cfRule type="cellIs" dxfId="1613" priority="1544" stopIfTrue="1" operator="equal">
      <formula>"Fail"</formula>
    </cfRule>
  </conditionalFormatting>
  <conditionalFormatting sqref="I779:P779">
    <cfRule type="cellIs" dxfId="1612" priority="1541" stopIfTrue="1" operator="equal">
      <formula>"Pass"</formula>
    </cfRule>
    <cfRule type="cellIs" dxfId="1611" priority="1542" stopIfTrue="1" operator="equal">
      <formula>"Fail"</formula>
    </cfRule>
  </conditionalFormatting>
  <conditionalFormatting sqref="I779:P779">
    <cfRule type="cellIs" dxfId="1610" priority="1539" stopIfTrue="1" operator="equal">
      <formula>"Pass"</formula>
    </cfRule>
    <cfRule type="cellIs" dxfId="1609" priority="1540" stopIfTrue="1" operator="equal">
      <formula>"Fail"</formula>
    </cfRule>
  </conditionalFormatting>
  <conditionalFormatting sqref="H779:P779">
    <cfRule type="cellIs" dxfId="1608" priority="1537" stopIfTrue="1" operator="equal">
      <formula>"Pass"</formula>
    </cfRule>
    <cfRule type="cellIs" dxfId="1607" priority="1538" stopIfTrue="1" operator="equal">
      <formula>"Fail"</formula>
    </cfRule>
  </conditionalFormatting>
  <conditionalFormatting sqref="H779:P779">
    <cfRule type="cellIs" dxfId="1606" priority="1535" stopIfTrue="1" operator="equal">
      <formula>"Pass"</formula>
    </cfRule>
    <cfRule type="cellIs" dxfId="1605" priority="1536" stopIfTrue="1" operator="equal">
      <formula>"Fail"</formula>
    </cfRule>
  </conditionalFormatting>
  <conditionalFormatting sqref="I779:P779">
    <cfRule type="cellIs" dxfId="1604" priority="1533" stopIfTrue="1" operator="equal">
      <formula>"Pass"</formula>
    </cfRule>
    <cfRule type="cellIs" dxfId="1603" priority="1534" stopIfTrue="1" operator="equal">
      <formula>"Fail"</formula>
    </cfRule>
  </conditionalFormatting>
  <conditionalFormatting sqref="I779:P779">
    <cfRule type="cellIs" dxfId="1602" priority="1531" stopIfTrue="1" operator="equal">
      <formula>"Pass"</formula>
    </cfRule>
    <cfRule type="cellIs" dxfId="1601" priority="1532" stopIfTrue="1" operator="equal">
      <formula>"Fail"</formula>
    </cfRule>
  </conditionalFormatting>
  <conditionalFormatting sqref="I779:P779">
    <cfRule type="cellIs" dxfId="1600" priority="1529" stopIfTrue="1" operator="equal">
      <formula>"Pass"</formula>
    </cfRule>
    <cfRule type="cellIs" dxfId="1599" priority="1530" stopIfTrue="1" operator="equal">
      <formula>"Fail"</formula>
    </cfRule>
  </conditionalFormatting>
  <conditionalFormatting sqref="I779:P779">
    <cfRule type="cellIs" dxfId="1598" priority="1527" stopIfTrue="1" operator="equal">
      <formula>"Pass"</formula>
    </cfRule>
    <cfRule type="cellIs" dxfId="1597" priority="1528" stopIfTrue="1" operator="equal">
      <formula>"Fail"</formula>
    </cfRule>
  </conditionalFormatting>
  <conditionalFormatting sqref="H779:P779">
    <cfRule type="cellIs" dxfId="1596" priority="1525" stopIfTrue="1" operator="equal">
      <formula>"Pass"</formula>
    </cfRule>
    <cfRule type="cellIs" dxfId="1595" priority="1526" stopIfTrue="1" operator="equal">
      <formula>"Fail"</formula>
    </cfRule>
  </conditionalFormatting>
  <conditionalFormatting sqref="H779:P779">
    <cfRule type="cellIs" dxfId="1594" priority="1523" stopIfTrue="1" operator="equal">
      <formula>"Pass"</formula>
    </cfRule>
    <cfRule type="cellIs" dxfId="1593" priority="1524" stopIfTrue="1" operator="equal">
      <formula>"Fail"</formula>
    </cfRule>
  </conditionalFormatting>
  <conditionalFormatting sqref="I779:P779">
    <cfRule type="cellIs" dxfId="1592" priority="1521" stopIfTrue="1" operator="equal">
      <formula>"Pass"</formula>
    </cfRule>
    <cfRule type="cellIs" dxfId="1591" priority="1522" stopIfTrue="1" operator="equal">
      <formula>"Fail"</formula>
    </cfRule>
  </conditionalFormatting>
  <conditionalFormatting sqref="I779:P779">
    <cfRule type="cellIs" dxfId="1590" priority="1519" stopIfTrue="1" operator="equal">
      <formula>"Pass"</formula>
    </cfRule>
    <cfRule type="cellIs" dxfId="1589" priority="1520" stopIfTrue="1" operator="equal">
      <formula>"Fail"</formula>
    </cfRule>
  </conditionalFormatting>
  <conditionalFormatting sqref="I779:P779">
    <cfRule type="cellIs" dxfId="1588" priority="1517" stopIfTrue="1" operator="equal">
      <formula>"Pass"</formula>
    </cfRule>
    <cfRule type="cellIs" dxfId="1587" priority="1518" stopIfTrue="1" operator="equal">
      <formula>"Fail"</formula>
    </cfRule>
  </conditionalFormatting>
  <conditionalFormatting sqref="I779:P779">
    <cfRule type="cellIs" dxfId="1586" priority="1515" stopIfTrue="1" operator="equal">
      <formula>"Pass"</formula>
    </cfRule>
    <cfRule type="cellIs" dxfId="1585" priority="1516" stopIfTrue="1" operator="equal">
      <formula>"Fail"</formula>
    </cfRule>
  </conditionalFormatting>
  <conditionalFormatting sqref="H779:P779">
    <cfRule type="cellIs" dxfId="1584" priority="1513" stopIfTrue="1" operator="equal">
      <formula>"Pass"</formula>
    </cfRule>
    <cfRule type="cellIs" dxfId="1583" priority="1514" stopIfTrue="1" operator="equal">
      <formula>"Fail"</formula>
    </cfRule>
  </conditionalFormatting>
  <conditionalFormatting sqref="H779:P779">
    <cfRule type="cellIs" dxfId="1582" priority="1511" stopIfTrue="1" operator="equal">
      <formula>"Pass"</formula>
    </cfRule>
    <cfRule type="cellIs" dxfId="1581" priority="1512" stopIfTrue="1" operator="equal">
      <formula>"Fail"</formula>
    </cfRule>
  </conditionalFormatting>
  <conditionalFormatting sqref="I779:P779">
    <cfRule type="cellIs" dxfId="1580" priority="1509" stopIfTrue="1" operator="equal">
      <formula>"Pass"</formula>
    </cfRule>
    <cfRule type="cellIs" dxfId="1579" priority="1510" stopIfTrue="1" operator="equal">
      <formula>"Fail"</formula>
    </cfRule>
  </conditionalFormatting>
  <conditionalFormatting sqref="I779:P779">
    <cfRule type="cellIs" dxfId="1578" priority="1507" stopIfTrue="1" operator="equal">
      <formula>"Pass"</formula>
    </cfRule>
    <cfRule type="cellIs" dxfId="1577" priority="1508" stopIfTrue="1" operator="equal">
      <formula>"Fail"</formula>
    </cfRule>
  </conditionalFormatting>
  <conditionalFormatting sqref="I779:P779">
    <cfRule type="cellIs" dxfId="1576" priority="1505" stopIfTrue="1" operator="equal">
      <formula>"Pass"</formula>
    </cfRule>
    <cfRule type="cellIs" dxfId="1575" priority="1506" stopIfTrue="1" operator="equal">
      <formula>"Fail"</formula>
    </cfRule>
  </conditionalFormatting>
  <conditionalFormatting sqref="I779:P779">
    <cfRule type="cellIs" dxfId="1574" priority="1503" stopIfTrue="1" operator="equal">
      <formula>"Pass"</formula>
    </cfRule>
    <cfRule type="cellIs" dxfId="1573" priority="1504" stopIfTrue="1" operator="equal">
      <formula>"Fail"</formula>
    </cfRule>
  </conditionalFormatting>
  <conditionalFormatting sqref="E779">
    <cfRule type="cellIs" dxfId="1572" priority="1501" stopIfTrue="1" operator="equal">
      <formula>"Pass"</formula>
    </cfRule>
    <cfRule type="cellIs" dxfId="1571" priority="1502" stopIfTrue="1" operator="equal">
      <formula>"Fail"</formula>
    </cfRule>
  </conditionalFormatting>
  <conditionalFormatting sqref="E779">
    <cfRule type="cellIs" dxfId="1570" priority="1499" stopIfTrue="1" operator="equal">
      <formula>"Pass"</formula>
    </cfRule>
    <cfRule type="cellIs" dxfId="1569" priority="1500" stopIfTrue="1" operator="equal">
      <formula>"Fail"</formula>
    </cfRule>
  </conditionalFormatting>
  <conditionalFormatting sqref="E779">
    <cfRule type="cellIs" dxfId="1568" priority="1497" stopIfTrue="1" operator="equal">
      <formula>"Pass"</formula>
    </cfRule>
    <cfRule type="cellIs" dxfId="1567" priority="1498" stopIfTrue="1" operator="equal">
      <formula>"Fail"</formula>
    </cfRule>
  </conditionalFormatting>
  <conditionalFormatting sqref="E779">
    <cfRule type="cellIs" dxfId="1566" priority="1495" stopIfTrue="1" operator="equal">
      <formula>"Pass"</formula>
    </cfRule>
    <cfRule type="cellIs" dxfId="1565" priority="1496" stopIfTrue="1" operator="equal">
      <formula>"Fail"</formula>
    </cfRule>
  </conditionalFormatting>
  <conditionalFormatting sqref="E779">
    <cfRule type="cellIs" dxfId="1564" priority="1493" stopIfTrue="1" operator="equal">
      <formula>"Pass"</formula>
    </cfRule>
    <cfRule type="cellIs" dxfId="1563" priority="1494" stopIfTrue="1" operator="equal">
      <formula>"Fail"</formula>
    </cfRule>
  </conditionalFormatting>
  <conditionalFormatting sqref="E779">
    <cfRule type="cellIs" dxfId="1562" priority="1491" stopIfTrue="1" operator="equal">
      <formula>"Pass"</formula>
    </cfRule>
    <cfRule type="cellIs" dxfId="1561" priority="1492" stopIfTrue="1" operator="equal">
      <formula>"Fail"</formula>
    </cfRule>
  </conditionalFormatting>
  <conditionalFormatting sqref="H779:P779">
    <cfRule type="cellIs" dxfId="1560" priority="1489" stopIfTrue="1" operator="equal">
      <formula>"Pass"</formula>
    </cfRule>
    <cfRule type="cellIs" dxfId="1559" priority="1490" stopIfTrue="1" operator="equal">
      <formula>"Fail"</formula>
    </cfRule>
  </conditionalFormatting>
  <conditionalFormatting sqref="H779:P779">
    <cfRule type="cellIs" dxfId="1558" priority="1487" stopIfTrue="1" operator="equal">
      <formula>"Pass"</formula>
    </cfRule>
    <cfRule type="cellIs" dxfId="1557" priority="1488" stopIfTrue="1" operator="equal">
      <formula>"Fail"</formula>
    </cfRule>
  </conditionalFormatting>
  <conditionalFormatting sqref="I779:P779">
    <cfRule type="cellIs" dxfId="1556" priority="1485" stopIfTrue="1" operator="equal">
      <formula>"Pass"</formula>
    </cfRule>
    <cfRule type="cellIs" dxfId="1555" priority="1486" stopIfTrue="1" operator="equal">
      <formula>"Fail"</formula>
    </cfRule>
  </conditionalFormatting>
  <conditionalFormatting sqref="I779:P779">
    <cfRule type="cellIs" dxfId="1554" priority="1483" stopIfTrue="1" operator="equal">
      <formula>"Pass"</formula>
    </cfRule>
    <cfRule type="cellIs" dxfId="1553" priority="1484" stopIfTrue="1" operator="equal">
      <formula>"Fail"</formula>
    </cfRule>
  </conditionalFormatting>
  <conditionalFormatting sqref="I779:P779">
    <cfRule type="cellIs" dxfId="1552" priority="1481" stopIfTrue="1" operator="equal">
      <formula>"Pass"</formula>
    </cfRule>
    <cfRule type="cellIs" dxfId="1551" priority="1482" stopIfTrue="1" operator="equal">
      <formula>"Fail"</formula>
    </cfRule>
  </conditionalFormatting>
  <conditionalFormatting sqref="I779:P779">
    <cfRule type="cellIs" dxfId="1550" priority="1479" stopIfTrue="1" operator="equal">
      <formula>"Pass"</formula>
    </cfRule>
    <cfRule type="cellIs" dxfId="1549" priority="1480" stopIfTrue="1" operator="equal">
      <formula>"Fail"</formula>
    </cfRule>
  </conditionalFormatting>
  <conditionalFormatting sqref="H779:P779">
    <cfRule type="cellIs" dxfId="1548" priority="1477" stopIfTrue="1" operator="equal">
      <formula>"Pass"</formula>
    </cfRule>
    <cfRule type="cellIs" dxfId="1547" priority="1478" stopIfTrue="1" operator="equal">
      <formula>"Fail"</formula>
    </cfRule>
  </conditionalFormatting>
  <conditionalFormatting sqref="H779:P779">
    <cfRule type="cellIs" dxfId="1546" priority="1475" stopIfTrue="1" operator="equal">
      <formula>"Pass"</formula>
    </cfRule>
    <cfRule type="cellIs" dxfId="1545" priority="1476" stopIfTrue="1" operator="equal">
      <formula>"Fail"</formula>
    </cfRule>
  </conditionalFormatting>
  <conditionalFormatting sqref="I779:P779">
    <cfRule type="cellIs" dxfId="1544" priority="1473" stopIfTrue="1" operator="equal">
      <formula>"Pass"</formula>
    </cfRule>
    <cfRule type="cellIs" dxfId="1543" priority="1474" stopIfTrue="1" operator="equal">
      <formula>"Fail"</formula>
    </cfRule>
  </conditionalFormatting>
  <conditionalFormatting sqref="I779:P779">
    <cfRule type="cellIs" dxfId="1542" priority="1471" stopIfTrue="1" operator="equal">
      <formula>"Pass"</formula>
    </cfRule>
    <cfRule type="cellIs" dxfId="1541" priority="1472" stopIfTrue="1" operator="equal">
      <formula>"Fail"</formula>
    </cfRule>
  </conditionalFormatting>
  <conditionalFormatting sqref="I779:P779">
    <cfRule type="cellIs" dxfId="1540" priority="1469" stopIfTrue="1" operator="equal">
      <formula>"Pass"</formula>
    </cfRule>
    <cfRule type="cellIs" dxfId="1539" priority="1470" stopIfTrue="1" operator="equal">
      <formula>"Fail"</formula>
    </cfRule>
  </conditionalFormatting>
  <conditionalFormatting sqref="I779:P779">
    <cfRule type="cellIs" dxfId="1538" priority="1467" stopIfTrue="1" operator="equal">
      <formula>"Pass"</formula>
    </cfRule>
    <cfRule type="cellIs" dxfId="1537" priority="1468" stopIfTrue="1" operator="equal">
      <formula>"Fail"</formula>
    </cfRule>
  </conditionalFormatting>
  <conditionalFormatting sqref="H779:P779">
    <cfRule type="cellIs" dxfId="1536" priority="1465" stopIfTrue="1" operator="equal">
      <formula>"Pass"</formula>
    </cfRule>
    <cfRule type="cellIs" dxfId="1535" priority="1466" stopIfTrue="1" operator="equal">
      <formula>"Fail"</formula>
    </cfRule>
  </conditionalFormatting>
  <conditionalFormatting sqref="H779:P779">
    <cfRule type="cellIs" dxfId="1534" priority="1463" stopIfTrue="1" operator="equal">
      <formula>"Pass"</formula>
    </cfRule>
    <cfRule type="cellIs" dxfId="1533" priority="1464" stopIfTrue="1" operator="equal">
      <formula>"Fail"</formula>
    </cfRule>
  </conditionalFormatting>
  <conditionalFormatting sqref="I779:P779">
    <cfRule type="cellIs" dxfId="1532" priority="1461" stopIfTrue="1" operator="equal">
      <formula>"Pass"</formula>
    </cfRule>
    <cfRule type="cellIs" dxfId="1531" priority="1462" stopIfTrue="1" operator="equal">
      <formula>"Fail"</formula>
    </cfRule>
  </conditionalFormatting>
  <conditionalFormatting sqref="I779:P779">
    <cfRule type="cellIs" dxfId="1530" priority="1459" stopIfTrue="1" operator="equal">
      <formula>"Pass"</formula>
    </cfRule>
    <cfRule type="cellIs" dxfId="1529" priority="1460" stopIfTrue="1" operator="equal">
      <formula>"Fail"</formula>
    </cfRule>
  </conditionalFormatting>
  <conditionalFormatting sqref="I779:P779">
    <cfRule type="cellIs" dxfId="1528" priority="1457" stopIfTrue="1" operator="equal">
      <formula>"Pass"</formula>
    </cfRule>
    <cfRule type="cellIs" dxfId="1527" priority="1458" stopIfTrue="1" operator="equal">
      <formula>"Fail"</formula>
    </cfRule>
  </conditionalFormatting>
  <conditionalFormatting sqref="I779:P779">
    <cfRule type="cellIs" dxfId="1526" priority="1455" stopIfTrue="1" operator="equal">
      <formula>"Pass"</formula>
    </cfRule>
    <cfRule type="cellIs" dxfId="1525" priority="1456" stopIfTrue="1" operator="equal">
      <formula>"Fail"</formula>
    </cfRule>
  </conditionalFormatting>
  <conditionalFormatting sqref="H779:P779">
    <cfRule type="cellIs" dxfId="1524" priority="1453" stopIfTrue="1" operator="equal">
      <formula>"Pass"</formula>
    </cfRule>
    <cfRule type="cellIs" dxfId="1523" priority="1454" stopIfTrue="1" operator="equal">
      <formula>"Fail"</formula>
    </cfRule>
  </conditionalFormatting>
  <conditionalFormatting sqref="H779:P779">
    <cfRule type="cellIs" dxfId="1522" priority="1451" stopIfTrue="1" operator="equal">
      <formula>"Pass"</formula>
    </cfRule>
    <cfRule type="cellIs" dxfId="1521" priority="1452" stopIfTrue="1" operator="equal">
      <formula>"Fail"</formula>
    </cfRule>
  </conditionalFormatting>
  <conditionalFormatting sqref="I779:P779">
    <cfRule type="cellIs" dxfId="1520" priority="1449" stopIfTrue="1" operator="equal">
      <formula>"Pass"</formula>
    </cfRule>
    <cfRule type="cellIs" dxfId="1519" priority="1450" stopIfTrue="1" operator="equal">
      <formula>"Fail"</formula>
    </cfRule>
  </conditionalFormatting>
  <conditionalFormatting sqref="I779:P779">
    <cfRule type="cellIs" dxfId="1518" priority="1447" stopIfTrue="1" operator="equal">
      <formula>"Pass"</formula>
    </cfRule>
    <cfRule type="cellIs" dxfId="1517" priority="1448" stopIfTrue="1" operator="equal">
      <formula>"Fail"</formula>
    </cfRule>
  </conditionalFormatting>
  <conditionalFormatting sqref="I779:P779">
    <cfRule type="cellIs" dxfId="1516" priority="1445" stopIfTrue="1" operator="equal">
      <formula>"Pass"</formula>
    </cfRule>
    <cfRule type="cellIs" dxfId="1515" priority="1446" stopIfTrue="1" operator="equal">
      <formula>"Fail"</formula>
    </cfRule>
  </conditionalFormatting>
  <conditionalFormatting sqref="I779:P779">
    <cfRule type="cellIs" dxfId="1514" priority="1443" stopIfTrue="1" operator="equal">
      <formula>"Pass"</formula>
    </cfRule>
    <cfRule type="cellIs" dxfId="1513" priority="1444" stopIfTrue="1" operator="equal">
      <formula>"Fail"</formula>
    </cfRule>
  </conditionalFormatting>
  <conditionalFormatting sqref="H779:P779">
    <cfRule type="cellIs" dxfId="1512" priority="1441" stopIfTrue="1" operator="equal">
      <formula>"Pass"</formula>
    </cfRule>
    <cfRule type="cellIs" dxfId="1511" priority="1442" stopIfTrue="1" operator="equal">
      <formula>"Fail"</formula>
    </cfRule>
  </conditionalFormatting>
  <conditionalFormatting sqref="H779:P779">
    <cfRule type="cellIs" dxfId="1510" priority="1439" stopIfTrue="1" operator="equal">
      <formula>"Pass"</formula>
    </cfRule>
    <cfRule type="cellIs" dxfId="1509" priority="1440" stopIfTrue="1" operator="equal">
      <formula>"Fail"</formula>
    </cfRule>
  </conditionalFormatting>
  <conditionalFormatting sqref="I779:P779">
    <cfRule type="cellIs" dxfId="1508" priority="1437" stopIfTrue="1" operator="equal">
      <formula>"Pass"</formula>
    </cfRule>
    <cfRule type="cellIs" dxfId="1507" priority="1438" stopIfTrue="1" operator="equal">
      <formula>"Fail"</formula>
    </cfRule>
  </conditionalFormatting>
  <conditionalFormatting sqref="I779:P779">
    <cfRule type="cellIs" dxfId="1506" priority="1435" stopIfTrue="1" operator="equal">
      <formula>"Pass"</formula>
    </cfRule>
    <cfRule type="cellIs" dxfId="1505" priority="1436" stopIfTrue="1" operator="equal">
      <formula>"Fail"</formula>
    </cfRule>
  </conditionalFormatting>
  <conditionalFormatting sqref="I779:P779">
    <cfRule type="cellIs" dxfId="1504" priority="1433" stopIfTrue="1" operator="equal">
      <formula>"Pass"</formula>
    </cfRule>
    <cfRule type="cellIs" dxfId="1503" priority="1434" stopIfTrue="1" operator="equal">
      <formula>"Fail"</formula>
    </cfRule>
  </conditionalFormatting>
  <conditionalFormatting sqref="I779:P779">
    <cfRule type="cellIs" dxfId="1502" priority="1431" stopIfTrue="1" operator="equal">
      <formula>"Pass"</formula>
    </cfRule>
    <cfRule type="cellIs" dxfId="1501" priority="1432" stopIfTrue="1" operator="equal">
      <formula>"Fail"</formula>
    </cfRule>
  </conditionalFormatting>
  <conditionalFormatting sqref="H779:P779">
    <cfRule type="cellIs" dxfId="1500" priority="1429" stopIfTrue="1" operator="equal">
      <formula>"Pass"</formula>
    </cfRule>
    <cfRule type="cellIs" dxfId="1499" priority="1430" stopIfTrue="1" operator="equal">
      <formula>"Fail"</formula>
    </cfRule>
  </conditionalFormatting>
  <conditionalFormatting sqref="H779:P779">
    <cfRule type="cellIs" dxfId="1498" priority="1427" stopIfTrue="1" operator="equal">
      <formula>"Pass"</formula>
    </cfRule>
    <cfRule type="cellIs" dxfId="1497" priority="1428" stopIfTrue="1" operator="equal">
      <formula>"Fail"</formula>
    </cfRule>
  </conditionalFormatting>
  <conditionalFormatting sqref="I779:P779">
    <cfRule type="cellIs" dxfId="1496" priority="1425" stopIfTrue="1" operator="equal">
      <formula>"Pass"</formula>
    </cfRule>
    <cfRule type="cellIs" dxfId="1495" priority="1426" stopIfTrue="1" operator="equal">
      <formula>"Fail"</formula>
    </cfRule>
  </conditionalFormatting>
  <conditionalFormatting sqref="I779:P779">
    <cfRule type="cellIs" dxfId="1494" priority="1423" stopIfTrue="1" operator="equal">
      <formula>"Pass"</formula>
    </cfRule>
    <cfRule type="cellIs" dxfId="1493" priority="1424" stopIfTrue="1" operator="equal">
      <formula>"Fail"</formula>
    </cfRule>
  </conditionalFormatting>
  <conditionalFormatting sqref="I779:P779">
    <cfRule type="cellIs" dxfId="1492" priority="1421" stopIfTrue="1" operator="equal">
      <formula>"Pass"</formula>
    </cfRule>
    <cfRule type="cellIs" dxfId="1491" priority="1422" stopIfTrue="1" operator="equal">
      <formula>"Fail"</formula>
    </cfRule>
  </conditionalFormatting>
  <conditionalFormatting sqref="I779:P779">
    <cfRule type="cellIs" dxfId="1490" priority="1419" stopIfTrue="1" operator="equal">
      <formula>"Pass"</formula>
    </cfRule>
    <cfRule type="cellIs" dxfId="1489" priority="1420" stopIfTrue="1" operator="equal">
      <formula>"Fail"</formula>
    </cfRule>
  </conditionalFormatting>
  <conditionalFormatting sqref="H779:P779">
    <cfRule type="cellIs" dxfId="1488" priority="1417" stopIfTrue="1" operator="equal">
      <formula>"Pass"</formula>
    </cfRule>
    <cfRule type="cellIs" dxfId="1487" priority="1418" stopIfTrue="1" operator="equal">
      <formula>"Fail"</formula>
    </cfRule>
  </conditionalFormatting>
  <conditionalFormatting sqref="H779:P779">
    <cfRule type="cellIs" dxfId="1486" priority="1415" stopIfTrue="1" operator="equal">
      <formula>"Pass"</formula>
    </cfRule>
    <cfRule type="cellIs" dxfId="1485" priority="1416" stopIfTrue="1" operator="equal">
      <formula>"Fail"</formula>
    </cfRule>
  </conditionalFormatting>
  <conditionalFormatting sqref="I779:P779">
    <cfRule type="cellIs" dxfId="1484" priority="1413" stopIfTrue="1" operator="equal">
      <formula>"Pass"</formula>
    </cfRule>
    <cfRule type="cellIs" dxfId="1483" priority="1414" stopIfTrue="1" operator="equal">
      <formula>"Fail"</formula>
    </cfRule>
  </conditionalFormatting>
  <conditionalFormatting sqref="I779:P779">
    <cfRule type="cellIs" dxfId="1482" priority="1411" stopIfTrue="1" operator="equal">
      <formula>"Pass"</formula>
    </cfRule>
    <cfRule type="cellIs" dxfId="1481" priority="1412" stopIfTrue="1" operator="equal">
      <formula>"Fail"</formula>
    </cfRule>
  </conditionalFormatting>
  <conditionalFormatting sqref="I779:P779">
    <cfRule type="cellIs" dxfId="1480" priority="1409" stopIfTrue="1" operator="equal">
      <formula>"Pass"</formula>
    </cfRule>
    <cfRule type="cellIs" dxfId="1479" priority="1410" stopIfTrue="1" operator="equal">
      <formula>"Fail"</formula>
    </cfRule>
  </conditionalFormatting>
  <conditionalFormatting sqref="I779:P779">
    <cfRule type="cellIs" dxfId="1478" priority="1407" stopIfTrue="1" operator="equal">
      <formula>"Pass"</formula>
    </cfRule>
    <cfRule type="cellIs" dxfId="1477" priority="1408" stopIfTrue="1" operator="equal">
      <formula>"Fail"</formula>
    </cfRule>
  </conditionalFormatting>
  <conditionalFormatting sqref="H779:P779">
    <cfRule type="cellIs" dxfId="1476" priority="1405" stopIfTrue="1" operator="equal">
      <formula>"Pass"</formula>
    </cfRule>
    <cfRule type="cellIs" dxfId="1475" priority="1406" stopIfTrue="1" operator="equal">
      <formula>"Fail"</formula>
    </cfRule>
  </conditionalFormatting>
  <conditionalFormatting sqref="H779:P779">
    <cfRule type="cellIs" dxfId="1474" priority="1403" stopIfTrue="1" operator="equal">
      <formula>"Pass"</formula>
    </cfRule>
    <cfRule type="cellIs" dxfId="1473" priority="1404" stopIfTrue="1" operator="equal">
      <formula>"Fail"</formula>
    </cfRule>
  </conditionalFormatting>
  <conditionalFormatting sqref="I779:P779">
    <cfRule type="cellIs" dxfId="1472" priority="1401" stopIfTrue="1" operator="equal">
      <formula>"Pass"</formula>
    </cfRule>
    <cfRule type="cellIs" dxfId="1471" priority="1402" stopIfTrue="1" operator="equal">
      <formula>"Fail"</formula>
    </cfRule>
  </conditionalFormatting>
  <conditionalFormatting sqref="I779:P779">
    <cfRule type="cellIs" dxfId="1470" priority="1399" stopIfTrue="1" operator="equal">
      <formula>"Pass"</formula>
    </cfRule>
    <cfRule type="cellIs" dxfId="1469" priority="1400" stopIfTrue="1" operator="equal">
      <formula>"Fail"</formula>
    </cfRule>
  </conditionalFormatting>
  <conditionalFormatting sqref="I779:P779">
    <cfRule type="cellIs" dxfId="1468" priority="1397" stopIfTrue="1" operator="equal">
      <formula>"Pass"</formula>
    </cfRule>
    <cfRule type="cellIs" dxfId="1467" priority="1398" stopIfTrue="1" operator="equal">
      <formula>"Fail"</formula>
    </cfRule>
  </conditionalFormatting>
  <conditionalFormatting sqref="I779:P779">
    <cfRule type="cellIs" dxfId="1466" priority="1395" stopIfTrue="1" operator="equal">
      <formula>"Pass"</formula>
    </cfRule>
    <cfRule type="cellIs" dxfId="1465" priority="1396" stopIfTrue="1" operator="equal">
      <formula>"Fail"</formula>
    </cfRule>
  </conditionalFormatting>
  <conditionalFormatting sqref="H779:O779">
    <cfRule type="cellIs" dxfId="1464" priority="1393" stopIfTrue="1" operator="equal">
      <formula>"Pass"</formula>
    </cfRule>
    <cfRule type="cellIs" dxfId="1463" priority="1394" stopIfTrue="1" operator="equal">
      <formula>"Fail"</formula>
    </cfRule>
  </conditionalFormatting>
  <conditionalFormatting sqref="H779:O779">
    <cfRule type="cellIs" dxfId="1462" priority="1391" stopIfTrue="1" operator="equal">
      <formula>"Pass"</formula>
    </cfRule>
    <cfRule type="cellIs" dxfId="1461" priority="1392" stopIfTrue="1" operator="equal">
      <formula>"Fail"</formula>
    </cfRule>
  </conditionalFormatting>
  <conditionalFormatting sqref="I779:P779">
    <cfRule type="cellIs" dxfId="1460" priority="1389" stopIfTrue="1" operator="equal">
      <formula>"Pass"</formula>
    </cfRule>
    <cfRule type="cellIs" dxfId="1459" priority="1390" stopIfTrue="1" operator="equal">
      <formula>"Fail"</formula>
    </cfRule>
  </conditionalFormatting>
  <conditionalFormatting sqref="I779:P779">
    <cfRule type="cellIs" dxfId="1458" priority="1387" stopIfTrue="1" operator="equal">
      <formula>"Pass"</formula>
    </cfRule>
    <cfRule type="cellIs" dxfId="1457" priority="1388" stopIfTrue="1" operator="equal">
      <formula>"Fail"</formula>
    </cfRule>
  </conditionalFormatting>
  <conditionalFormatting sqref="I779:P779">
    <cfRule type="cellIs" dxfId="1456" priority="1385" stopIfTrue="1" operator="equal">
      <formula>"Pass"</formula>
    </cfRule>
    <cfRule type="cellIs" dxfId="1455" priority="1386" stopIfTrue="1" operator="equal">
      <formula>"Fail"</formula>
    </cfRule>
  </conditionalFormatting>
  <conditionalFormatting sqref="I779:P779">
    <cfRule type="cellIs" dxfId="1454" priority="1383" stopIfTrue="1" operator="equal">
      <formula>"Pass"</formula>
    </cfRule>
    <cfRule type="cellIs" dxfId="1453" priority="1384" stopIfTrue="1" operator="equal">
      <formula>"Fail"</formula>
    </cfRule>
  </conditionalFormatting>
  <conditionalFormatting sqref="H779:O779">
    <cfRule type="cellIs" dxfId="1452" priority="1381" stopIfTrue="1" operator="equal">
      <formula>"Pass"</formula>
    </cfRule>
    <cfRule type="cellIs" dxfId="1451" priority="1382" stopIfTrue="1" operator="equal">
      <formula>"Fail"</formula>
    </cfRule>
  </conditionalFormatting>
  <conditionalFormatting sqref="H779:O779">
    <cfRule type="cellIs" dxfId="1450" priority="1379" stopIfTrue="1" operator="equal">
      <formula>"Pass"</formula>
    </cfRule>
    <cfRule type="cellIs" dxfId="1449" priority="1380" stopIfTrue="1" operator="equal">
      <formula>"Fail"</formula>
    </cfRule>
  </conditionalFormatting>
  <conditionalFormatting sqref="I779:P779">
    <cfRule type="cellIs" dxfId="1448" priority="1377" stopIfTrue="1" operator="equal">
      <formula>"Pass"</formula>
    </cfRule>
    <cfRule type="cellIs" dxfId="1447" priority="1378" stopIfTrue="1" operator="equal">
      <formula>"Fail"</formula>
    </cfRule>
  </conditionalFormatting>
  <conditionalFormatting sqref="I779:P779">
    <cfRule type="cellIs" dxfId="1446" priority="1375" stopIfTrue="1" operator="equal">
      <formula>"Pass"</formula>
    </cfRule>
    <cfRule type="cellIs" dxfId="1445" priority="1376" stopIfTrue="1" operator="equal">
      <formula>"Fail"</formula>
    </cfRule>
  </conditionalFormatting>
  <conditionalFormatting sqref="I779:P779">
    <cfRule type="cellIs" dxfId="1444" priority="1373" stopIfTrue="1" operator="equal">
      <formula>"Pass"</formula>
    </cfRule>
    <cfRule type="cellIs" dxfId="1443" priority="1374" stopIfTrue="1" operator="equal">
      <formula>"Fail"</formula>
    </cfRule>
  </conditionalFormatting>
  <conditionalFormatting sqref="I779:P779">
    <cfRule type="cellIs" dxfId="1442" priority="1371" stopIfTrue="1" operator="equal">
      <formula>"Pass"</formula>
    </cfRule>
    <cfRule type="cellIs" dxfId="1441" priority="1372" stopIfTrue="1" operator="equal">
      <formula>"Fail"</formula>
    </cfRule>
  </conditionalFormatting>
  <conditionalFormatting sqref="H779:P779">
    <cfRule type="cellIs" dxfId="1440" priority="1369" stopIfTrue="1" operator="equal">
      <formula>"Pass"</formula>
    </cfRule>
    <cfRule type="cellIs" dxfId="1439" priority="1370" stopIfTrue="1" operator="equal">
      <formula>"Fail"</formula>
    </cfRule>
  </conditionalFormatting>
  <conditionalFormatting sqref="H779:P779">
    <cfRule type="cellIs" dxfId="1438" priority="1367" stopIfTrue="1" operator="equal">
      <formula>"Pass"</formula>
    </cfRule>
    <cfRule type="cellIs" dxfId="1437" priority="1368" stopIfTrue="1" operator="equal">
      <formula>"Fail"</formula>
    </cfRule>
  </conditionalFormatting>
  <conditionalFormatting sqref="I779:P779">
    <cfRule type="cellIs" dxfId="1436" priority="1365" stopIfTrue="1" operator="equal">
      <formula>"Pass"</formula>
    </cfRule>
    <cfRule type="cellIs" dxfId="1435" priority="1366" stopIfTrue="1" operator="equal">
      <formula>"Fail"</formula>
    </cfRule>
  </conditionalFormatting>
  <conditionalFormatting sqref="I779:P779">
    <cfRule type="cellIs" dxfId="1434" priority="1363" stopIfTrue="1" operator="equal">
      <formula>"Pass"</formula>
    </cfRule>
    <cfRule type="cellIs" dxfId="1433" priority="1364" stopIfTrue="1" operator="equal">
      <formula>"Fail"</formula>
    </cfRule>
  </conditionalFormatting>
  <conditionalFormatting sqref="I779:P779">
    <cfRule type="cellIs" dxfId="1432" priority="1361" stopIfTrue="1" operator="equal">
      <formula>"Pass"</formula>
    </cfRule>
    <cfRule type="cellIs" dxfId="1431" priority="1362" stopIfTrue="1" operator="equal">
      <formula>"Fail"</formula>
    </cfRule>
  </conditionalFormatting>
  <conditionalFormatting sqref="I779:P779">
    <cfRule type="cellIs" dxfId="1430" priority="1359" stopIfTrue="1" operator="equal">
      <formula>"Pass"</formula>
    </cfRule>
    <cfRule type="cellIs" dxfId="1429" priority="1360" stopIfTrue="1" operator="equal">
      <formula>"Fail"</formula>
    </cfRule>
  </conditionalFormatting>
  <conditionalFormatting sqref="H779:P779">
    <cfRule type="cellIs" dxfId="1428" priority="1357" stopIfTrue="1" operator="equal">
      <formula>"Pass"</formula>
    </cfRule>
    <cfRule type="cellIs" dxfId="1427" priority="1358" stopIfTrue="1" operator="equal">
      <formula>"Fail"</formula>
    </cfRule>
  </conditionalFormatting>
  <conditionalFormatting sqref="H779:P779">
    <cfRule type="cellIs" dxfId="1426" priority="1355" stopIfTrue="1" operator="equal">
      <formula>"Pass"</formula>
    </cfRule>
    <cfRule type="cellIs" dxfId="1425" priority="1356" stopIfTrue="1" operator="equal">
      <formula>"Fail"</formula>
    </cfRule>
  </conditionalFormatting>
  <conditionalFormatting sqref="I779:P779">
    <cfRule type="cellIs" dxfId="1424" priority="1353" stopIfTrue="1" operator="equal">
      <formula>"Pass"</formula>
    </cfRule>
    <cfRule type="cellIs" dxfId="1423" priority="1354" stopIfTrue="1" operator="equal">
      <formula>"Fail"</formula>
    </cfRule>
  </conditionalFormatting>
  <conditionalFormatting sqref="I779:P779">
    <cfRule type="cellIs" dxfId="1422" priority="1351" stopIfTrue="1" operator="equal">
      <formula>"Pass"</formula>
    </cfRule>
    <cfRule type="cellIs" dxfId="1421" priority="1352" stopIfTrue="1" operator="equal">
      <formula>"Fail"</formula>
    </cfRule>
  </conditionalFormatting>
  <conditionalFormatting sqref="I779:P779">
    <cfRule type="cellIs" dxfId="1420" priority="1349" stopIfTrue="1" operator="equal">
      <formula>"Pass"</formula>
    </cfRule>
    <cfRule type="cellIs" dxfId="1419" priority="1350" stopIfTrue="1" operator="equal">
      <formula>"Fail"</formula>
    </cfRule>
  </conditionalFormatting>
  <conditionalFormatting sqref="I779:P779">
    <cfRule type="cellIs" dxfId="1418" priority="1347" stopIfTrue="1" operator="equal">
      <formula>"Pass"</formula>
    </cfRule>
    <cfRule type="cellIs" dxfId="1417" priority="1348" stopIfTrue="1" operator="equal">
      <formula>"Fail"</formula>
    </cfRule>
  </conditionalFormatting>
  <conditionalFormatting sqref="H779:P779">
    <cfRule type="cellIs" dxfId="1416" priority="1345" stopIfTrue="1" operator="equal">
      <formula>"Pass"</formula>
    </cfRule>
    <cfRule type="cellIs" dxfId="1415" priority="1346" stopIfTrue="1" operator="equal">
      <formula>"Fail"</formula>
    </cfRule>
  </conditionalFormatting>
  <conditionalFormatting sqref="H779:P779">
    <cfRule type="cellIs" dxfId="1414" priority="1343" stopIfTrue="1" operator="equal">
      <formula>"Pass"</formula>
    </cfRule>
    <cfRule type="cellIs" dxfId="1413" priority="1344" stopIfTrue="1" operator="equal">
      <formula>"Fail"</formula>
    </cfRule>
  </conditionalFormatting>
  <conditionalFormatting sqref="I779:P779">
    <cfRule type="cellIs" dxfId="1412" priority="1341" stopIfTrue="1" operator="equal">
      <formula>"Pass"</formula>
    </cfRule>
    <cfRule type="cellIs" dxfId="1411" priority="1342" stopIfTrue="1" operator="equal">
      <formula>"Fail"</formula>
    </cfRule>
  </conditionalFormatting>
  <conditionalFormatting sqref="I779:P779">
    <cfRule type="cellIs" dxfId="1410" priority="1339" stopIfTrue="1" operator="equal">
      <formula>"Pass"</formula>
    </cfRule>
    <cfRule type="cellIs" dxfId="1409" priority="1340" stopIfTrue="1" operator="equal">
      <formula>"Fail"</formula>
    </cfRule>
  </conditionalFormatting>
  <conditionalFormatting sqref="I779:P779">
    <cfRule type="cellIs" dxfId="1408" priority="1337" stopIfTrue="1" operator="equal">
      <formula>"Pass"</formula>
    </cfRule>
    <cfRule type="cellIs" dxfId="1407" priority="1338" stopIfTrue="1" operator="equal">
      <formula>"Fail"</formula>
    </cfRule>
  </conditionalFormatting>
  <conditionalFormatting sqref="I779:P779">
    <cfRule type="cellIs" dxfId="1406" priority="1335" stopIfTrue="1" operator="equal">
      <formula>"Pass"</formula>
    </cfRule>
    <cfRule type="cellIs" dxfId="1405" priority="1336" stopIfTrue="1" operator="equal">
      <formula>"Fail"</formula>
    </cfRule>
  </conditionalFormatting>
  <conditionalFormatting sqref="H779:P779">
    <cfRule type="cellIs" dxfId="1404" priority="1333" stopIfTrue="1" operator="equal">
      <formula>"Pass"</formula>
    </cfRule>
    <cfRule type="cellIs" dxfId="1403" priority="1334" stopIfTrue="1" operator="equal">
      <formula>"Fail"</formula>
    </cfRule>
  </conditionalFormatting>
  <conditionalFormatting sqref="H779:P779">
    <cfRule type="cellIs" dxfId="1402" priority="1331" stopIfTrue="1" operator="equal">
      <formula>"Pass"</formula>
    </cfRule>
    <cfRule type="cellIs" dxfId="1401" priority="1332" stopIfTrue="1" operator="equal">
      <formula>"Fail"</formula>
    </cfRule>
  </conditionalFormatting>
  <conditionalFormatting sqref="I779:P779">
    <cfRule type="cellIs" dxfId="1400" priority="1329" stopIfTrue="1" operator="equal">
      <formula>"Pass"</formula>
    </cfRule>
    <cfRule type="cellIs" dxfId="1399" priority="1330" stopIfTrue="1" operator="equal">
      <formula>"Fail"</formula>
    </cfRule>
  </conditionalFormatting>
  <conditionalFormatting sqref="I779:P779">
    <cfRule type="cellIs" dxfId="1398" priority="1327" stopIfTrue="1" operator="equal">
      <formula>"Pass"</formula>
    </cfRule>
    <cfRule type="cellIs" dxfId="1397" priority="1328" stopIfTrue="1" operator="equal">
      <formula>"Fail"</formula>
    </cfRule>
  </conditionalFormatting>
  <conditionalFormatting sqref="I779:P779">
    <cfRule type="cellIs" dxfId="1396" priority="1325" stopIfTrue="1" operator="equal">
      <formula>"Pass"</formula>
    </cfRule>
    <cfRule type="cellIs" dxfId="1395" priority="1326" stopIfTrue="1" operator="equal">
      <formula>"Fail"</formula>
    </cfRule>
  </conditionalFormatting>
  <conditionalFormatting sqref="I779:P779">
    <cfRule type="cellIs" dxfId="1394" priority="1323" stopIfTrue="1" operator="equal">
      <formula>"Pass"</formula>
    </cfRule>
    <cfRule type="cellIs" dxfId="1393" priority="1324" stopIfTrue="1" operator="equal">
      <formula>"Fail"</formula>
    </cfRule>
  </conditionalFormatting>
  <conditionalFormatting sqref="E779 H779:P779">
    <cfRule type="cellIs" dxfId="1392" priority="1321" stopIfTrue="1" operator="equal">
      <formula>"Pass"</formula>
    </cfRule>
    <cfRule type="cellIs" dxfId="1391" priority="1322" stopIfTrue="1" operator="equal">
      <formula>"Fail"</formula>
    </cfRule>
  </conditionalFormatting>
  <conditionalFormatting sqref="H779:O779">
    <cfRule type="cellIs" dxfId="1390" priority="1319" stopIfTrue="1" operator="equal">
      <formula>"Pass"</formula>
    </cfRule>
    <cfRule type="cellIs" dxfId="1389" priority="1320" stopIfTrue="1" operator="equal">
      <formula>"Fail"</formula>
    </cfRule>
  </conditionalFormatting>
  <conditionalFormatting sqref="H779:O779">
    <cfRule type="cellIs" dxfId="1388" priority="1317" stopIfTrue="1" operator="equal">
      <formula>"Pass"</formula>
    </cfRule>
    <cfRule type="cellIs" dxfId="1387" priority="1318" stopIfTrue="1" operator="equal">
      <formula>"Fail"</formula>
    </cfRule>
  </conditionalFormatting>
  <conditionalFormatting sqref="I779:P779">
    <cfRule type="cellIs" dxfId="1386" priority="1315" stopIfTrue="1" operator="equal">
      <formula>"Pass"</formula>
    </cfRule>
    <cfRule type="cellIs" dxfId="1385" priority="1316" stopIfTrue="1" operator="equal">
      <formula>"Fail"</formula>
    </cfRule>
  </conditionalFormatting>
  <conditionalFormatting sqref="I779:P779">
    <cfRule type="cellIs" dxfId="1384" priority="1313" stopIfTrue="1" operator="equal">
      <formula>"Pass"</formula>
    </cfRule>
    <cfRule type="cellIs" dxfId="1383" priority="1314" stopIfTrue="1" operator="equal">
      <formula>"Fail"</formula>
    </cfRule>
  </conditionalFormatting>
  <conditionalFormatting sqref="I779:P779">
    <cfRule type="cellIs" dxfId="1382" priority="1311" stopIfTrue="1" operator="equal">
      <formula>"Pass"</formula>
    </cfRule>
    <cfRule type="cellIs" dxfId="1381" priority="1312" stopIfTrue="1" operator="equal">
      <formula>"Fail"</formula>
    </cfRule>
  </conditionalFormatting>
  <conditionalFormatting sqref="I779:P779">
    <cfRule type="cellIs" dxfId="1380" priority="1309" stopIfTrue="1" operator="equal">
      <formula>"Pass"</formula>
    </cfRule>
    <cfRule type="cellIs" dxfId="1379" priority="1310" stopIfTrue="1" operator="equal">
      <formula>"Fail"</formula>
    </cfRule>
  </conditionalFormatting>
  <conditionalFormatting sqref="H779:O779">
    <cfRule type="cellIs" dxfId="1378" priority="1307" stopIfTrue="1" operator="equal">
      <formula>"Pass"</formula>
    </cfRule>
    <cfRule type="cellIs" dxfId="1377" priority="1308" stopIfTrue="1" operator="equal">
      <formula>"Fail"</formula>
    </cfRule>
  </conditionalFormatting>
  <conditionalFormatting sqref="H779:O779">
    <cfRule type="cellIs" dxfId="1376" priority="1305" stopIfTrue="1" operator="equal">
      <formula>"Pass"</formula>
    </cfRule>
    <cfRule type="cellIs" dxfId="1375" priority="1306" stopIfTrue="1" operator="equal">
      <formula>"Fail"</formula>
    </cfRule>
  </conditionalFormatting>
  <conditionalFormatting sqref="I779:P779">
    <cfRule type="cellIs" dxfId="1374" priority="1303" stopIfTrue="1" operator="equal">
      <formula>"Pass"</formula>
    </cfRule>
    <cfRule type="cellIs" dxfId="1373" priority="1304" stopIfTrue="1" operator="equal">
      <formula>"Fail"</formula>
    </cfRule>
  </conditionalFormatting>
  <conditionalFormatting sqref="I779:P779">
    <cfRule type="cellIs" dxfId="1372" priority="1301" stopIfTrue="1" operator="equal">
      <formula>"Pass"</formula>
    </cfRule>
    <cfRule type="cellIs" dxfId="1371" priority="1302" stopIfTrue="1" operator="equal">
      <formula>"Fail"</formula>
    </cfRule>
  </conditionalFormatting>
  <conditionalFormatting sqref="I779:P779">
    <cfRule type="cellIs" dxfId="1370" priority="1299" stopIfTrue="1" operator="equal">
      <formula>"Pass"</formula>
    </cfRule>
    <cfRule type="cellIs" dxfId="1369" priority="1300" stopIfTrue="1" operator="equal">
      <formula>"Fail"</formula>
    </cfRule>
  </conditionalFormatting>
  <conditionalFormatting sqref="I779:P779">
    <cfRule type="cellIs" dxfId="1368" priority="1297" stopIfTrue="1" operator="equal">
      <formula>"Pass"</formula>
    </cfRule>
    <cfRule type="cellIs" dxfId="1367" priority="1298" stopIfTrue="1" operator="equal">
      <formula>"Fail"</formula>
    </cfRule>
  </conditionalFormatting>
  <conditionalFormatting sqref="H779:O779">
    <cfRule type="cellIs" dxfId="1366" priority="1295" stopIfTrue="1" operator="equal">
      <formula>"Pass"</formula>
    </cfRule>
    <cfRule type="cellIs" dxfId="1365" priority="1296" stopIfTrue="1" operator="equal">
      <formula>"Fail"</formula>
    </cfRule>
  </conditionalFormatting>
  <conditionalFormatting sqref="H779:O779">
    <cfRule type="cellIs" dxfId="1364" priority="1293" stopIfTrue="1" operator="equal">
      <formula>"Pass"</formula>
    </cfRule>
    <cfRule type="cellIs" dxfId="1363" priority="1294" stopIfTrue="1" operator="equal">
      <formula>"Fail"</formula>
    </cfRule>
  </conditionalFormatting>
  <conditionalFormatting sqref="I779:P779">
    <cfRule type="cellIs" dxfId="1362" priority="1291" stopIfTrue="1" operator="equal">
      <formula>"Pass"</formula>
    </cfRule>
    <cfRule type="cellIs" dxfId="1361" priority="1292" stopIfTrue="1" operator="equal">
      <formula>"Fail"</formula>
    </cfRule>
  </conditionalFormatting>
  <conditionalFormatting sqref="I779:P779">
    <cfRule type="cellIs" dxfId="1360" priority="1289" stopIfTrue="1" operator="equal">
      <formula>"Pass"</formula>
    </cfRule>
    <cfRule type="cellIs" dxfId="1359" priority="1290" stopIfTrue="1" operator="equal">
      <formula>"Fail"</formula>
    </cfRule>
  </conditionalFormatting>
  <conditionalFormatting sqref="I779:P779">
    <cfRule type="cellIs" dxfId="1358" priority="1287" stopIfTrue="1" operator="equal">
      <formula>"Pass"</formula>
    </cfRule>
    <cfRule type="cellIs" dxfId="1357" priority="1288" stopIfTrue="1" operator="equal">
      <formula>"Fail"</formula>
    </cfRule>
  </conditionalFormatting>
  <conditionalFormatting sqref="I779:P779">
    <cfRule type="cellIs" dxfId="1356" priority="1285" stopIfTrue="1" operator="equal">
      <formula>"Pass"</formula>
    </cfRule>
    <cfRule type="cellIs" dxfId="1355" priority="1286" stopIfTrue="1" operator="equal">
      <formula>"Fail"</formula>
    </cfRule>
  </conditionalFormatting>
  <conditionalFormatting sqref="H779:O779">
    <cfRule type="cellIs" dxfId="1354" priority="1283" stopIfTrue="1" operator="equal">
      <formula>"Pass"</formula>
    </cfRule>
    <cfRule type="cellIs" dxfId="1353" priority="1284" stopIfTrue="1" operator="equal">
      <formula>"Fail"</formula>
    </cfRule>
  </conditionalFormatting>
  <conditionalFormatting sqref="H779:O779">
    <cfRule type="cellIs" dxfId="1352" priority="1281" stopIfTrue="1" operator="equal">
      <formula>"Pass"</formula>
    </cfRule>
    <cfRule type="cellIs" dxfId="1351" priority="1282" stopIfTrue="1" operator="equal">
      <formula>"Fail"</formula>
    </cfRule>
  </conditionalFormatting>
  <conditionalFormatting sqref="I779:P779">
    <cfRule type="cellIs" dxfId="1350" priority="1279" stopIfTrue="1" operator="equal">
      <formula>"Pass"</formula>
    </cfRule>
    <cfRule type="cellIs" dxfId="1349" priority="1280" stopIfTrue="1" operator="equal">
      <formula>"Fail"</formula>
    </cfRule>
  </conditionalFormatting>
  <conditionalFormatting sqref="I779:P779">
    <cfRule type="cellIs" dxfId="1348" priority="1277" stopIfTrue="1" operator="equal">
      <formula>"Pass"</formula>
    </cfRule>
    <cfRule type="cellIs" dxfId="1347" priority="1278" stopIfTrue="1" operator="equal">
      <formula>"Fail"</formula>
    </cfRule>
  </conditionalFormatting>
  <conditionalFormatting sqref="I779:P779">
    <cfRule type="cellIs" dxfId="1346" priority="1275" stopIfTrue="1" operator="equal">
      <formula>"Pass"</formula>
    </cfRule>
    <cfRule type="cellIs" dxfId="1345" priority="1276" stopIfTrue="1" operator="equal">
      <formula>"Fail"</formula>
    </cfRule>
  </conditionalFormatting>
  <conditionalFormatting sqref="I779:P779">
    <cfRule type="cellIs" dxfId="1344" priority="1273" stopIfTrue="1" operator="equal">
      <formula>"Pass"</formula>
    </cfRule>
    <cfRule type="cellIs" dxfId="1343" priority="1274" stopIfTrue="1" operator="equal">
      <formula>"Fail"</formula>
    </cfRule>
  </conditionalFormatting>
  <conditionalFormatting sqref="H779:O779">
    <cfRule type="cellIs" dxfId="1342" priority="1271" stopIfTrue="1" operator="equal">
      <formula>"Pass"</formula>
    </cfRule>
    <cfRule type="cellIs" dxfId="1341" priority="1272" stopIfTrue="1" operator="equal">
      <formula>"Fail"</formula>
    </cfRule>
  </conditionalFormatting>
  <conditionalFormatting sqref="H779:O779">
    <cfRule type="cellIs" dxfId="1340" priority="1269" stopIfTrue="1" operator="equal">
      <formula>"Pass"</formula>
    </cfRule>
    <cfRule type="cellIs" dxfId="1339" priority="1270" stopIfTrue="1" operator="equal">
      <formula>"Fail"</formula>
    </cfRule>
  </conditionalFormatting>
  <conditionalFormatting sqref="I779:P779">
    <cfRule type="cellIs" dxfId="1338" priority="1267" stopIfTrue="1" operator="equal">
      <formula>"Pass"</formula>
    </cfRule>
    <cfRule type="cellIs" dxfId="1337" priority="1268" stopIfTrue="1" operator="equal">
      <formula>"Fail"</formula>
    </cfRule>
  </conditionalFormatting>
  <conditionalFormatting sqref="I779:P779">
    <cfRule type="cellIs" dxfId="1336" priority="1265" stopIfTrue="1" operator="equal">
      <formula>"Pass"</formula>
    </cfRule>
    <cfRule type="cellIs" dxfId="1335" priority="1266" stopIfTrue="1" operator="equal">
      <formula>"Fail"</formula>
    </cfRule>
  </conditionalFormatting>
  <conditionalFormatting sqref="I779:P779">
    <cfRule type="cellIs" dxfId="1334" priority="1263" stopIfTrue="1" operator="equal">
      <formula>"Pass"</formula>
    </cfRule>
    <cfRule type="cellIs" dxfId="1333" priority="1264" stopIfTrue="1" operator="equal">
      <formula>"Fail"</formula>
    </cfRule>
  </conditionalFormatting>
  <conditionalFormatting sqref="I779:P779">
    <cfRule type="cellIs" dxfId="1332" priority="1261" stopIfTrue="1" operator="equal">
      <formula>"Pass"</formula>
    </cfRule>
    <cfRule type="cellIs" dxfId="1331" priority="1262" stopIfTrue="1" operator="equal">
      <formula>"Fail"</formula>
    </cfRule>
  </conditionalFormatting>
  <conditionalFormatting sqref="H779:O779">
    <cfRule type="cellIs" dxfId="1330" priority="1259" stopIfTrue="1" operator="equal">
      <formula>"Pass"</formula>
    </cfRule>
    <cfRule type="cellIs" dxfId="1329" priority="1260" stopIfTrue="1" operator="equal">
      <formula>"Fail"</formula>
    </cfRule>
  </conditionalFormatting>
  <conditionalFormatting sqref="H779:O779">
    <cfRule type="cellIs" dxfId="1328" priority="1257" stopIfTrue="1" operator="equal">
      <formula>"Pass"</formula>
    </cfRule>
    <cfRule type="cellIs" dxfId="1327" priority="1258" stopIfTrue="1" operator="equal">
      <formula>"Fail"</formula>
    </cfRule>
  </conditionalFormatting>
  <conditionalFormatting sqref="I779:P779">
    <cfRule type="cellIs" dxfId="1326" priority="1255" stopIfTrue="1" operator="equal">
      <formula>"Pass"</formula>
    </cfRule>
    <cfRule type="cellIs" dxfId="1325" priority="1256" stopIfTrue="1" operator="equal">
      <formula>"Fail"</formula>
    </cfRule>
  </conditionalFormatting>
  <conditionalFormatting sqref="I779:P779">
    <cfRule type="cellIs" dxfId="1324" priority="1253" stopIfTrue="1" operator="equal">
      <formula>"Pass"</formula>
    </cfRule>
    <cfRule type="cellIs" dxfId="1323" priority="1254" stopIfTrue="1" operator="equal">
      <formula>"Fail"</formula>
    </cfRule>
  </conditionalFormatting>
  <conditionalFormatting sqref="I779:P779">
    <cfRule type="cellIs" dxfId="1322" priority="1251" stopIfTrue="1" operator="equal">
      <formula>"Pass"</formula>
    </cfRule>
    <cfRule type="cellIs" dxfId="1321" priority="1252" stopIfTrue="1" operator="equal">
      <formula>"Fail"</formula>
    </cfRule>
  </conditionalFormatting>
  <conditionalFormatting sqref="I779:P779">
    <cfRule type="cellIs" dxfId="1320" priority="1249" stopIfTrue="1" operator="equal">
      <formula>"Pass"</formula>
    </cfRule>
    <cfRule type="cellIs" dxfId="1319" priority="1250" stopIfTrue="1" operator="equal">
      <formula>"Fail"</formula>
    </cfRule>
  </conditionalFormatting>
  <conditionalFormatting sqref="H779:O779">
    <cfRule type="cellIs" dxfId="1318" priority="1247" stopIfTrue="1" operator="equal">
      <formula>"Pass"</formula>
    </cfRule>
    <cfRule type="cellIs" dxfId="1317" priority="1248" stopIfTrue="1" operator="equal">
      <formula>"Fail"</formula>
    </cfRule>
  </conditionalFormatting>
  <conditionalFormatting sqref="H779:O779">
    <cfRule type="cellIs" dxfId="1316" priority="1245" stopIfTrue="1" operator="equal">
      <formula>"Pass"</formula>
    </cfRule>
    <cfRule type="cellIs" dxfId="1315" priority="1246" stopIfTrue="1" operator="equal">
      <formula>"Fail"</formula>
    </cfRule>
  </conditionalFormatting>
  <conditionalFormatting sqref="I779:P779">
    <cfRule type="cellIs" dxfId="1314" priority="1243" stopIfTrue="1" operator="equal">
      <formula>"Pass"</formula>
    </cfRule>
    <cfRule type="cellIs" dxfId="1313" priority="1244" stopIfTrue="1" operator="equal">
      <formula>"Fail"</formula>
    </cfRule>
  </conditionalFormatting>
  <conditionalFormatting sqref="I779:P779">
    <cfRule type="cellIs" dxfId="1312" priority="1241" stopIfTrue="1" operator="equal">
      <formula>"Pass"</formula>
    </cfRule>
    <cfRule type="cellIs" dxfId="1311" priority="1242" stopIfTrue="1" operator="equal">
      <formula>"Fail"</formula>
    </cfRule>
  </conditionalFormatting>
  <conditionalFormatting sqref="I779:P779">
    <cfRule type="cellIs" dxfId="1310" priority="1239" stopIfTrue="1" operator="equal">
      <formula>"Pass"</formula>
    </cfRule>
    <cfRule type="cellIs" dxfId="1309" priority="1240" stopIfTrue="1" operator="equal">
      <formula>"Fail"</formula>
    </cfRule>
  </conditionalFormatting>
  <conditionalFormatting sqref="I779:P779">
    <cfRule type="cellIs" dxfId="1308" priority="1237" stopIfTrue="1" operator="equal">
      <formula>"Pass"</formula>
    </cfRule>
    <cfRule type="cellIs" dxfId="1307" priority="1238" stopIfTrue="1" operator="equal">
      <formula>"Fail"</formula>
    </cfRule>
  </conditionalFormatting>
  <conditionalFormatting sqref="H779:O779">
    <cfRule type="cellIs" dxfId="1306" priority="1235" stopIfTrue="1" operator="equal">
      <formula>"Pass"</formula>
    </cfRule>
    <cfRule type="cellIs" dxfId="1305" priority="1236" stopIfTrue="1" operator="equal">
      <formula>"Fail"</formula>
    </cfRule>
  </conditionalFormatting>
  <conditionalFormatting sqref="H779:O779">
    <cfRule type="cellIs" dxfId="1304" priority="1233" stopIfTrue="1" operator="equal">
      <formula>"Pass"</formula>
    </cfRule>
    <cfRule type="cellIs" dxfId="1303" priority="1234" stopIfTrue="1" operator="equal">
      <formula>"Fail"</formula>
    </cfRule>
  </conditionalFormatting>
  <conditionalFormatting sqref="I779:P779">
    <cfRule type="cellIs" dxfId="1302" priority="1231" stopIfTrue="1" operator="equal">
      <formula>"Pass"</formula>
    </cfRule>
    <cfRule type="cellIs" dxfId="1301" priority="1232" stopIfTrue="1" operator="equal">
      <formula>"Fail"</formula>
    </cfRule>
  </conditionalFormatting>
  <conditionalFormatting sqref="I779:P779">
    <cfRule type="cellIs" dxfId="1300" priority="1229" stopIfTrue="1" operator="equal">
      <formula>"Pass"</formula>
    </cfRule>
    <cfRule type="cellIs" dxfId="1299" priority="1230" stopIfTrue="1" operator="equal">
      <formula>"Fail"</formula>
    </cfRule>
  </conditionalFormatting>
  <conditionalFormatting sqref="I779:P779">
    <cfRule type="cellIs" dxfId="1298" priority="1227" stopIfTrue="1" operator="equal">
      <formula>"Pass"</formula>
    </cfRule>
    <cfRule type="cellIs" dxfId="1297" priority="1228" stopIfTrue="1" operator="equal">
      <formula>"Fail"</formula>
    </cfRule>
  </conditionalFormatting>
  <conditionalFormatting sqref="I779:P779">
    <cfRule type="cellIs" dxfId="1296" priority="1225" stopIfTrue="1" operator="equal">
      <formula>"Pass"</formula>
    </cfRule>
    <cfRule type="cellIs" dxfId="1295" priority="1226" stopIfTrue="1" operator="equal">
      <formula>"Fail"</formula>
    </cfRule>
  </conditionalFormatting>
  <conditionalFormatting sqref="H779:O779">
    <cfRule type="cellIs" dxfId="1294" priority="1223" stopIfTrue="1" operator="equal">
      <formula>"Pass"</formula>
    </cfRule>
    <cfRule type="cellIs" dxfId="1293" priority="1224" stopIfTrue="1" operator="equal">
      <formula>"Fail"</formula>
    </cfRule>
  </conditionalFormatting>
  <conditionalFormatting sqref="H779:O779">
    <cfRule type="cellIs" dxfId="1292" priority="1221" stopIfTrue="1" operator="equal">
      <formula>"Pass"</formula>
    </cfRule>
    <cfRule type="cellIs" dxfId="1291" priority="1222" stopIfTrue="1" operator="equal">
      <formula>"Fail"</formula>
    </cfRule>
  </conditionalFormatting>
  <conditionalFormatting sqref="I779:P779">
    <cfRule type="cellIs" dxfId="1290" priority="1219" stopIfTrue="1" operator="equal">
      <formula>"Pass"</formula>
    </cfRule>
    <cfRule type="cellIs" dxfId="1289" priority="1220" stopIfTrue="1" operator="equal">
      <formula>"Fail"</formula>
    </cfRule>
  </conditionalFormatting>
  <conditionalFormatting sqref="I779:P779">
    <cfRule type="cellIs" dxfId="1288" priority="1217" stopIfTrue="1" operator="equal">
      <formula>"Pass"</formula>
    </cfRule>
    <cfRule type="cellIs" dxfId="1287" priority="1218" stopIfTrue="1" operator="equal">
      <formula>"Fail"</formula>
    </cfRule>
  </conditionalFormatting>
  <conditionalFormatting sqref="I779:P779">
    <cfRule type="cellIs" dxfId="1286" priority="1215" stopIfTrue="1" operator="equal">
      <formula>"Pass"</formula>
    </cfRule>
    <cfRule type="cellIs" dxfId="1285" priority="1216" stopIfTrue="1" operator="equal">
      <formula>"Fail"</formula>
    </cfRule>
  </conditionalFormatting>
  <conditionalFormatting sqref="I779:P779">
    <cfRule type="cellIs" dxfId="1284" priority="1213" stopIfTrue="1" operator="equal">
      <formula>"Pass"</formula>
    </cfRule>
    <cfRule type="cellIs" dxfId="1283" priority="1214" stopIfTrue="1" operator="equal">
      <formula>"Fail"</formula>
    </cfRule>
  </conditionalFormatting>
  <conditionalFormatting sqref="H779:O779">
    <cfRule type="cellIs" dxfId="1282" priority="1211" stopIfTrue="1" operator="equal">
      <formula>"Pass"</formula>
    </cfRule>
    <cfRule type="cellIs" dxfId="1281" priority="1212" stopIfTrue="1" operator="equal">
      <formula>"Fail"</formula>
    </cfRule>
  </conditionalFormatting>
  <conditionalFormatting sqref="H779:O779">
    <cfRule type="cellIs" dxfId="1280" priority="1209" stopIfTrue="1" operator="equal">
      <formula>"Pass"</formula>
    </cfRule>
    <cfRule type="cellIs" dxfId="1279" priority="1210" stopIfTrue="1" operator="equal">
      <formula>"Fail"</formula>
    </cfRule>
  </conditionalFormatting>
  <conditionalFormatting sqref="I779:P779">
    <cfRule type="cellIs" dxfId="1278" priority="1207" stopIfTrue="1" operator="equal">
      <formula>"Pass"</formula>
    </cfRule>
    <cfRule type="cellIs" dxfId="1277" priority="1208" stopIfTrue="1" operator="equal">
      <formula>"Fail"</formula>
    </cfRule>
  </conditionalFormatting>
  <conditionalFormatting sqref="I779:P779">
    <cfRule type="cellIs" dxfId="1276" priority="1205" stopIfTrue="1" operator="equal">
      <formula>"Pass"</formula>
    </cfRule>
    <cfRule type="cellIs" dxfId="1275" priority="1206" stopIfTrue="1" operator="equal">
      <formula>"Fail"</formula>
    </cfRule>
  </conditionalFormatting>
  <conditionalFormatting sqref="I779:P779">
    <cfRule type="cellIs" dxfId="1274" priority="1203" stopIfTrue="1" operator="equal">
      <formula>"Pass"</formula>
    </cfRule>
    <cfRule type="cellIs" dxfId="1273" priority="1204" stopIfTrue="1" operator="equal">
      <formula>"Fail"</formula>
    </cfRule>
  </conditionalFormatting>
  <conditionalFormatting sqref="I779:P779">
    <cfRule type="cellIs" dxfId="1272" priority="1201" stopIfTrue="1" operator="equal">
      <formula>"Pass"</formula>
    </cfRule>
    <cfRule type="cellIs" dxfId="1271" priority="1202" stopIfTrue="1" operator="equal">
      <formula>"Fail"</formula>
    </cfRule>
  </conditionalFormatting>
  <conditionalFormatting sqref="H779:O779">
    <cfRule type="cellIs" dxfId="1270" priority="1199" stopIfTrue="1" operator="equal">
      <formula>"Pass"</formula>
    </cfRule>
    <cfRule type="cellIs" dxfId="1269" priority="1200" stopIfTrue="1" operator="equal">
      <formula>"Fail"</formula>
    </cfRule>
  </conditionalFormatting>
  <conditionalFormatting sqref="H779:O779">
    <cfRule type="cellIs" dxfId="1268" priority="1197" stopIfTrue="1" operator="equal">
      <formula>"Pass"</formula>
    </cfRule>
    <cfRule type="cellIs" dxfId="1267" priority="1198" stopIfTrue="1" operator="equal">
      <formula>"Fail"</formula>
    </cfRule>
  </conditionalFormatting>
  <conditionalFormatting sqref="I779:P779">
    <cfRule type="cellIs" dxfId="1266" priority="1195" stopIfTrue="1" operator="equal">
      <formula>"Pass"</formula>
    </cfRule>
    <cfRule type="cellIs" dxfId="1265" priority="1196" stopIfTrue="1" operator="equal">
      <formula>"Fail"</formula>
    </cfRule>
  </conditionalFormatting>
  <conditionalFormatting sqref="I779:P779">
    <cfRule type="cellIs" dxfId="1264" priority="1193" stopIfTrue="1" operator="equal">
      <formula>"Pass"</formula>
    </cfRule>
    <cfRule type="cellIs" dxfId="1263" priority="1194" stopIfTrue="1" operator="equal">
      <formula>"Fail"</formula>
    </cfRule>
  </conditionalFormatting>
  <conditionalFormatting sqref="I779:P779">
    <cfRule type="cellIs" dxfId="1262" priority="1191" stopIfTrue="1" operator="equal">
      <formula>"Pass"</formula>
    </cfRule>
    <cfRule type="cellIs" dxfId="1261" priority="1192" stopIfTrue="1" operator="equal">
      <formula>"Fail"</formula>
    </cfRule>
  </conditionalFormatting>
  <conditionalFormatting sqref="I779:P779">
    <cfRule type="cellIs" dxfId="1260" priority="1189" stopIfTrue="1" operator="equal">
      <formula>"Pass"</formula>
    </cfRule>
    <cfRule type="cellIs" dxfId="1259" priority="1190" stopIfTrue="1" operator="equal">
      <formula>"Fail"</formula>
    </cfRule>
  </conditionalFormatting>
  <conditionalFormatting sqref="H779:O779">
    <cfRule type="cellIs" dxfId="1258" priority="1187" stopIfTrue="1" operator="equal">
      <formula>"Pass"</formula>
    </cfRule>
    <cfRule type="cellIs" dxfId="1257" priority="1188" stopIfTrue="1" operator="equal">
      <formula>"Fail"</formula>
    </cfRule>
  </conditionalFormatting>
  <conditionalFormatting sqref="H779:O779">
    <cfRule type="cellIs" dxfId="1256" priority="1185" stopIfTrue="1" operator="equal">
      <formula>"Pass"</formula>
    </cfRule>
    <cfRule type="cellIs" dxfId="1255" priority="1186" stopIfTrue="1" operator="equal">
      <formula>"Fail"</formula>
    </cfRule>
  </conditionalFormatting>
  <conditionalFormatting sqref="I779:P779">
    <cfRule type="cellIs" dxfId="1254" priority="1183" stopIfTrue="1" operator="equal">
      <formula>"Pass"</formula>
    </cfRule>
    <cfRule type="cellIs" dxfId="1253" priority="1184" stopIfTrue="1" operator="equal">
      <formula>"Fail"</formula>
    </cfRule>
  </conditionalFormatting>
  <conditionalFormatting sqref="I779:P779">
    <cfRule type="cellIs" dxfId="1252" priority="1181" stopIfTrue="1" operator="equal">
      <formula>"Pass"</formula>
    </cfRule>
    <cfRule type="cellIs" dxfId="1251" priority="1182" stopIfTrue="1" operator="equal">
      <formula>"Fail"</formula>
    </cfRule>
  </conditionalFormatting>
  <conditionalFormatting sqref="I779:P779">
    <cfRule type="cellIs" dxfId="1250" priority="1179" stopIfTrue="1" operator="equal">
      <formula>"Pass"</formula>
    </cfRule>
    <cfRule type="cellIs" dxfId="1249" priority="1180" stopIfTrue="1" operator="equal">
      <formula>"Fail"</formula>
    </cfRule>
  </conditionalFormatting>
  <conditionalFormatting sqref="I779:P779">
    <cfRule type="cellIs" dxfId="1248" priority="1177" stopIfTrue="1" operator="equal">
      <formula>"Pass"</formula>
    </cfRule>
    <cfRule type="cellIs" dxfId="1247" priority="1178" stopIfTrue="1" operator="equal">
      <formula>"Fail"</formula>
    </cfRule>
  </conditionalFormatting>
  <conditionalFormatting sqref="H779:O779">
    <cfRule type="cellIs" dxfId="1246" priority="1175" stopIfTrue="1" operator="equal">
      <formula>"Pass"</formula>
    </cfRule>
    <cfRule type="cellIs" dxfId="1245" priority="1176" stopIfTrue="1" operator="equal">
      <formula>"Fail"</formula>
    </cfRule>
  </conditionalFormatting>
  <conditionalFormatting sqref="H779:O779">
    <cfRule type="cellIs" dxfId="1244" priority="1173" stopIfTrue="1" operator="equal">
      <formula>"Pass"</formula>
    </cfRule>
    <cfRule type="cellIs" dxfId="1243" priority="1174" stopIfTrue="1" operator="equal">
      <formula>"Fail"</formula>
    </cfRule>
  </conditionalFormatting>
  <conditionalFormatting sqref="I779:P779">
    <cfRule type="cellIs" dxfId="1242" priority="1171" stopIfTrue="1" operator="equal">
      <formula>"Pass"</formula>
    </cfRule>
    <cfRule type="cellIs" dxfId="1241" priority="1172" stopIfTrue="1" operator="equal">
      <formula>"Fail"</formula>
    </cfRule>
  </conditionalFormatting>
  <conditionalFormatting sqref="I779:P779">
    <cfRule type="cellIs" dxfId="1240" priority="1169" stopIfTrue="1" operator="equal">
      <formula>"Pass"</formula>
    </cfRule>
    <cfRule type="cellIs" dxfId="1239" priority="1170" stopIfTrue="1" operator="equal">
      <formula>"Fail"</formula>
    </cfRule>
  </conditionalFormatting>
  <conditionalFormatting sqref="I779:P779">
    <cfRule type="cellIs" dxfId="1238" priority="1167" stopIfTrue="1" operator="equal">
      <formula>"Pass"</formula>
    </cfRule>
    <cfRule type="cellIs" dxfId="1237" priority="1168" stopIfTrue="1" operator="equal">
      <formula>"Fail"</formula>
    </cfRule>
  </conditionalFormatting>
  <conditionalFormatting sqref="I779:P779">
    <cfRule type="cellIs" dxfId="1236" priority="1165" stopIfTrue="1" operator="equal">
      <formula>"Pass"</formula>
    </cfRule>
    <cfRule type="cellIs" dxfId="1235" priority="1166" stopIfTrue="1" operator="equal">
      <formula>"Fail"</formula>
    </cfRule>
  </conditionalFormatting>
  <conditionalFormatting sqref="H779:O779">
    <cfRule type="cellIs" dxfId="1234" priority="1163" stopIfTrue="1" operator="equal">
      <formula>"Pass"</formula>
    </cfRule>
    <cfRule type="cellIs" dxfId="1233" priority="1164" stopIfTrue="1" operator="equal">
      <formula>"Fail"</formula>
    </cfRule>
  </conditionalFormatting>
  <conditionalFormatting sqref="H779:O779">
    <cfRule type="cellIs" dxfId="1232" priority="1161" stopIfTrue="1" operator="equal">
      <formula>"Pass"</formula>
    </cfRule>
    <cfRule type="cellIs" dxfId="1231" priority="1162" stopIfTrue="1" operator="equal">
      <formula>"Fail"</formula>
    </cfRule>
  </conditionalFormatting>
  <conditionalFormatting sqref="I779:P779">
    <cfRule type="cellIs" dxfId="1230" priority="1159" stopIfTrue="1" operator="equal">
      <formula>"Pass"</formula>
    </cfRule>
    <cfRule type="cellIs" dxfId="1229" priority="1160" stopIfTrue="1" operator="equal">
      <formula>"Fail"</formula>
    </cfRule>
  </conditionalFormatting>
  <conditionalFormatting sqref="I779:P779">
    <cfRule type="cellIs" dxfId="1228" priority="1157" stopIfTrue="1" operator="equal">
      <formula>"Pass"</formula>
    </cfRule>
    <cfRule type="cellIs" dxfId="1227" priority="1158" stopIfTrue="1" operator="equal">
      <formula>"Fail"</formula>
    </cfRule>
  </conditionalFormatting>
  <conditionalFormatting sqref="I779:P779">
    <cfRule type="cellIs" dxfId="1226" priority="1155" stopIfTrue="1" operator="equal">
      <formula>"Pass"</formula>
    </cfRule>
    <cfRule type="cellIs" dxfId="1225" priority="1156" stopIfTrue="1" operator="equal">
      <formula>"Fail"</formula>
    </cfRule>
  </conditionalFormatting>
  <conditionalFormatting sqref="I779:P779">
    <cfRule type="cellIs" dxfId="1224" priority="1153" stopIfTrue="1" operator="equal">
      <formula>"Pass"</formula>
    </cfRule>
    <cfRule type="cellIs" dxfId="1223" priority="1154" stopIfTrue="1" operator="equal">
      <formula>"Fail"</formula>
    </cfRule>
  </conditionalFormatting>
  <conditionalFormatting sqref="H779:O779">
    <cfRule type="cellIs" dxfId="1222" priority="1151" stopIfTrue="1" operator="equal">
      <formula>"Pass"</formula>
    </cfRule>
    <cfRule type="cellIs" dxfId="1221" priority="1152" stopIfTrue="1" operator="equal">
      <formula>"Fail"</formula>
    </cfRule>
  </conditionalFormatting>
  <conditionalFormatting sqref="H779:O779">
    <cfRule type="cellIs" dxfId="1220" priority="1149" stopIfTrue="1" operator="equal">
      <formula>"Pass"</formula>
    </cfRule>
    <cfRule type="cellIs" dxfId="1219" priority="1150" stopIfTrue="1" operator="equal">
      <formula>"Fail"</formula>
    </cfRule>
  </conditionalFormatting>
  <conditionalFormatting sqref="I779:P779">
    <cfRule type="cellIs" dxfId="1218" priority="1147" stopIfTrue="1" operator="equal">
      <formula>"Pass"</formula>
    </cfRule>
    <cfRule type="cellIs" dxfId="1217" priority="1148" stopIfTrue="1" operator="equal">
      <formula>"Fail"</formula>
    </cfRule>
  </conditionalFormatting>
  <conditionalFormatting sqref="I779:P779">
    <cfRule type="cellIs" dxfId="1216" priority="1145" stopIfTrue="1" operator="equal">
      <formula>"Pass"</formula>
    </cfRule>
    <cfRule type="cellIs" dxfId="1215" priority="1146" stopIfTrue="1" operator="equal">
      <formula>"Fail"</formula>
    </cfRule>
  </conditionalFormatting>
  <conditionalFormatting sqref="I779:P779">
    <cfRule type="cellIs" dxfId="1214" priority="1143" stopIfTrue="1" operator="equal">
      <formula>"Pass"</formula>
    </cfRule>
    <cfRule type="cellIs" dxfId="1213" priority="1144" stopIfTrue="1" operator="equal">
      <formula>"Fail"</formula>
    </cfRule>
  </conditionalFormatting>
  <conditionalFormatting sqref="I779:P779">
    <cfRule type="cellIs" dxfId="1212" priority="1141" stopIfTrue="1" operator="equal">
      <formula>"Pass"</formula>
    </cfRule>
    <cfRule type="cellIs" dxfId="1211" priority="1142" stopIfTrue="1" operator="equal">
      <formula>"Fail"</formula>
    </cfRule>
  </conditionalFormatting>
  <conditionalFormatting sqref="H779:O779">
    <cfRule type="cellIs" dxfId="1210" priority="1139" stopIfTrue="1" operator="equal">
      <formula>"Pass"</formula>
    </cfRule>
    <cfRule type="cellIs" dxfId="1209" priority="1140" stopIfTrue="1" operator="equal">
      <formula>"Fail"</formula>
    </cfRule>
  </conditionalFormatting>
  <conditionalFormatting sqref="H779:O779">
    <cfRule type="cellIs" dxfId="1208" priority="1137" stopIfTrue="1" operator="equal">
      <formula>"Pass"</formula>
    </cfRule>
    <cfRule type="cellIs" dxfId="1207" priority="1138" stopIfTrue="1" operator="equal">
      <formula>"Fail"</formula>
    </cfRule>
  </conditionalFormatting>
  <conditionalFormatting sqref="I779:P779">
    <cfRule type="cellIs" dxfId="1206" priority="1135" stopIfTrue="1" operator="equal">
      <formula>"Pass"</formula>
    </cfRule>
    <cfRule type="cellIs" dxfId="1205" priority="1136" stopIfTrue="1" operator="equal">
      <formula>"Fail"</formula>
    </cfRule>
  </conditionalFormatting>
  <conditionalFormatting sqref="I779:P779">
    <cfRule type="cellIs" dxfId="1204" priority="1133" stopIfTrue="1" operator="equal">
      <formula>"Pass"</formula>
    </cfRule>
    <cfRule type="cellIs" dxfId="1203" priority="1134" stopIfTrue="1" operator="equal">
      <formula>"Fail"</formula>
    </cfRule>
  </conditionalFormatting>
  <conditionalFormatting sqref="I779:P779">
    <cfRule type="cellIs" dxfId="1202" priority="1131" stopIfTrue="1" operator="equal">
      <formula>"Pass"</formula>
    </cfRule>
    <cfRule type="cellIs" dxfId="1201" priority="1132" stopIfTrue="1" operator="equal">
      <formula>"Fail"</formula>
    </cfRule>
  </conditionalFormatting>
  <conditionalFormatting sqref="I779:P779">
    <cfRule type="cellIs" dxfId="1200" priority="1129" stopIfTrue="1" operator="equal">
      <formula>"Pass"</formula>
    </cfRule>
    <cfRule type="cellIs" dxfId="1199" priority="1130" stopIfTrue="1" operator="equal">
      <formula>"Fail"</formula>
    </cfRule>
  </conditionalFormatting>
  <conditionalFormatting sqref="H779:O779">
    <cfRule type="cellIs" dxfId="1198" priority="1127" stopIfTrue="1" operator="equal">
      <formula>"Pass"</formula>
    </cfRule>
    <cfRule type="cellIs" dxfId="1197" priority="1128" stopIfTrue="1" operator="equal">
      <formula>"Fail"</formula>
    </cfRule>
  </conditionalFormatting>
  <conditionalFormatting sqref="H779:O779">
    <cfRule type="cellIs" dxfId="1196" priority="1125" stopIfTrue="1" operator="equal">
      <formula>"Pass"</formula>
    </cfRule>
    <cfRule type="cellIs" dxfId="1195" priority="1126" stopIfTrue="1" operator="equal">
      <formula>"Fail"</formula>
    </cfRule>
  </conditionalFormatting>
  <conditionalFormatting sqref="I779:P779">
    <cfRule type="cellIs" dxfId="1194" priority="1123" stopIfTrue="1" operator="equal">
      <formula>"Pass"</formula>
    </cfRule>
    <cfRule type="cellIs" dxfId="1193" priority="1124" stopIfTrue="1" operator="equal">
      <formula>"Fail"</formula>
    </cfRule>
  </conditionalFormatting>
  <conditionalFormatting sqref="I779:P779">
    <cfRule type="cellIs" dxfId="1192" priority="1121" stopIfTrue="1" operator="equal">
      <formula>"Pass"</formula>
    </cfRule>
    <cfRule type="cellIs" dxfId="1191" priority="1122" stopIfTrue="1" operator="equal">
      <formula>"Fail"</formula>
    </cfRule>
  </conditionalFormatting>
  <conditionalFormatting sqref="I779:P779">
    <cfRule type="cellIs" dxfId="1190" priority="1119" stopIfTrue="1" operator="equal">
      <formula>"Pass"</formula>
    </cfRule>
    <cfRule type="cellIs" dxfId="1189" priority="1120" stopIfTrue="1" operator="equal">
      <formula>"Fail"</formula>
    </cfRule>
  </conditionalFormatting>
  <conditionalFormatting sqref="I779:P779">
    <cfRule type="cellIs" dxfId="1188" priority="1117" stopIfTrue="1" operator="equal">
      <formula>"Pass"</formula>
    </cfRule>
    <cfRule type="cellIs" dxfId="1187" priority="1118" stopIfTrue="1" operator="equal">
      <formula>"Fail"</formula>
    </cfRule>
  </conditionalFormatting>
  <conditionalFormatting sqref="H779:O779">
    <cfRule type="cellIs" dxfId="1186" priority="1115" stopIfTrue="1" operator="equal">
      <formula>"Pass"</formula>
    </cfRule>
    <cfRule type="cellIs" dxfId="1185" priority="1116" stopIfTrue="1" operator="equal">
      <formula>"Fail"</formula>
    </cfRule>
  </conditionalFormatting>
  <conditionalFormatting sqref="H779:O779">
    <cfRule type="cellIs" dxfId="1184" priority="1113" stopIfTrue="1" operator="equal">
      <formula>"Pass"</formula>
    </cfRule>
    <cfRule type="cellIs" dxfId="1183" priority="1114" stopIfTrue="1" operator="equal">
      <formula>"Fail"</formula>
    </cfRule>
  </conditionalFormatting>
  <conditionalFormatting sqref="I779:P779">
    <cfRule type="cellIs" dxfId="1182" priority="1111" stopIfTrue="1" operator="equal">
      <formula>"Pass"</formula>
    </cfRule>
    <cfRule type="cellIs" dxfId="1181" priority="1112" stopIfTrue="1" operator="equal">
      <formula>"Fail"</formula>
    </cfRule>
  </conditionalFormatting>
  <conditionalFormatting sqref="I779:P779">
    <cfRule type="cellIs" dxfId="1180" priority="1109" stopIfTrue="1" operator="equal">
      <formula>"Pass"</formula>
    </cfRule>
    <cfRule type="cellIs" dxfId="1179" priority="1110" stopIfTrue="1" operator="equal">
      <formula>"Fail"</formula>
    </cfRule>
  </conditionalFormatting>
  <conditionalFormatting sqref="I779:P779">
    <cfRule type="cellIs" dxfId="1178" priority="1107" stopIfTrue="1" operator="equal">
      <formula>"Pass"</formula>
    </cfRule>
    <cfRule type="cellIs" dxfId="1177" priority="1108" stopIfTrue="1" operator="equal">
      <formula>"Fail"</formula>
    </cfRule>
  </conditionalFormatting>
  <conditionalFormatting sqref="I779:P779">
    <cfRule type="cellIs" dxfId="1176" priority="1105" stopIfTrue="1" operator="equal">
      <formula>"Pass"</formula>
    </cfRule>
    <cfRule type="cellIs" dxfId="1175" priority="1106" stopIfTrue="1" operator="equal">
      <formula>"Fail"</formula>
    </cfRule>
  </conditionalFormatting>
  <conditionalFormatting sqref="H779:O779">
    <cfRule type="cellIs" dxfId="1174" priority="1103" stopIfTrue="1" operator="equal">
      <formula>"Pass"</formula>
    </cfRule>
    <cfRule type="cellIs" dxfId="1173" priority="1104" stopIfTrue="1" operator="equal">
      <formula>"Fail"</formula>
    </cfRule>
  </conditionalFormatting>
  <conditionalFormatting sqref="H779:O779">
    <cfRule type="cellIs" dxfId="1172" priority="1101" stopIfTrue="1" operator="equal">
      <formula>"Pass"</formula>
    </cfRule>
    <cfRule type="cellIs" dxfId="1171" priority="1102" stopIfTrue="1" operator="equal">
      <formula>"Fail"</formula>
    </cfRule>
  </conditionalFormatting>
  <conditionalFormatting sqref="I779:P779">
    <cfRule type="cellIs" dxfId="1170" priority="1099" stopIfTrue="1" operator="equal">
      <formula>"Pass"</formula>
    </cfRule>
    <cfRule type="cellIs" dxfId="1169" priority="1100" stopIfTrue="1" operator="equal">
      <formula>"Fail"</formula>
    </cfRule>
  </conditionalFormatting>
  <conditionalFormatting sqref="I779:P779">
    <cfRule type="cellIs" dxfId="1168" priority="1097" stopIfTrue="1" operator="equal">
      <formula>"Pass"</formula>
    </cfRule>
    <cfRule type="cellIs" dxfId="1167" priority="1098" stopIfTrue="1" operator="equal">
      <formula>"Fail"</formula>
    </cfRule>
  </conditionalFormatting>
  <conditionalFormatting sqref="I779:P779">
    <cfRule type="cellIs" dxfId="1166" priority="1095" stopIfTrue="1" operator="equal">
      <formula>"Pass"</formula>
    </cfRule>
    <cfRule type="cellIs" dxfId="1165" priority="1096" stopIfTrue="1" operator="equal">
      <formula>"Fail"</formula>
    </cfRule>
  </conditionalFormatting>
  <conditionalFormatting sqref="I779:P779">
    <cfRule type="cellIs" dxfId="1164" priority="1093" stopIfTrue="1" operator="equal">
      <formula>"Pass"</formula>
    </cfRule>
    <cfRule type="cellIs" dxfId="1163" priority="1094" stopIfTrue="1" operator="equal">
      <formula>"Fail"</formula>
    </cfRule>
  </conditionalFormatting>
  <conditionalFormatting sqref="H779:O779">
    <cfRule type="cellIs" dxfId="1162" priority="1091" stopIfTrue="1" operator="equal">
      <formula>"Pass"</formula>
    </cfRule>
    <cfRule type="cellIs" dxfId="1161" priority="1092" stopIfTrue="1" operator="equal">
      <formula>"Fail"</formula>
    </cfRule>
  </conditionalFormatting>
  <conditionalFormatting sqref="H779:O779">
    <cfRule type="cellIs" dxfId="1160" priority="1089" stopIfTrue="1" operator="equal">
      <formula>"Pass"</formula>
    </cfRule>
    <cfRule type="cellIs" dxfId="1159" priority="1090" stopIfTrue="1" operator="equal">
      <formula>"Fail"</formula>
    </cfRule>
  </conditionalFormatting>
  <conditionalFormatting sqref="I779:P779">
    <cfRule type="cellIs" dxfId="1158" priority="1087" stopIfTrue="1" operator="equal">
      <formula>"Pass"</formula>
    </cfRule>
    <cfRule type="cellIs" dxfId="1157" priority="1088" stopIfTrue="1" operator="equal">
      <formula>"Fail"</formula>
    </cfRule>
  </conditionalFormatting>
  <conditionalFormatting sqref="I779:P779">
    <cfRule type="cellIs" dxfId="1156" priority="1085" stopIfTrue="1" operator="equal">
      <formula>"Pass"</formula>
    </cfRule>
    <cfRule type="cellIs" dxfId="1155" priority="1086" stopIfTrue="1" operator="equal">
      <formula>"Fail"</formula>
    </cfRule>
  </conditionalFormatting>
  <conditionalFormatting sqref="I779:P779">
    <cfRule type="cellIs" dxfId="1154" priority="1083" stopIfTrue="1" operator="equal">
      <formula>"Pass"</formula>
    </cfRule>
    <cfRule type="cellIs" dxfId="1153" priority="1084" stopIfTrue="1" operator="equal">
      <formula>"Fail"</formula>
    </cfRule>
  </conditionalFormatting>
  <conditionalFormatting sqref="I779:P779">
    <cfRule type="cellIs" dxfId="1152" priority="1081" stopIfTrue="1" operator="equal">
      <formula>"Pass"</formula>
    </cfRule>
    <cfRule type="cellIs" dxfId="1151" priority="1082" stopIfTrue="1" operator="equal">
      <formula>"Fail"</formula>
    </cfRule>
  </conditionalFormatting>
  <conditionalFormatting sqref="D779:E779">
    <cfRule type="cellIs" dxfId="1150" priority="1079" stopIfTrue="1" operator="equal">
      <formula>"Pass"</formula>
    </cfRule>
    <cfRule type="cellIs" dxfId="1149" priority="1080" stopIfTrue="1" operator="equal">
      <formula>"Fail"</formula>
    </cfRule>
  </conditionalFormatting>
  <conditionalFormatting sqref="D779:E779">
    <cfRule type="cellIs" dxfId="1148" priority="1077" stopIfTrue="1" operator="equal">
      <formula>"Pass"</formula>
    </cfRule>
    <cfRule type="cellIs" dxfId="1147" priority="1078" stopIfTrue="1" operator="equal">
      <formula>"Fail"</formula>
    </cfRule>
  </conditionalFormatting>
  <conditionalFormatting sqref="G779:H779">
    <cfRule type="cellIs" dxfId="1146" priority="1075" stopIfTrue="1" operator="equal">
      <formula>"Pass"</formula>
    </cfRule>
    <cfRule type="cellIs" dxfId="1145" priority="1076" stopIfTrue="1" operator="equal">
      <formula>"Fail"</formula>
    </cfRule>
  </conditionalFormatting>
  <conditionalFormatting sqref="G779:H779">
    <cfRule type="cellIs" dxfId="1144" priority="1073" stopIfTrue="1" operator="equal">
      <formula>"Pass"</formula>
    </cfRule>
    <cfRule type="cellIs" dxfId="1143" priority="1074" stopIfTrue="1" operator="equal">
      <formula>"Fail"</formula>
    </cfRule>
  </conditionalFormatting>
  <conditionalFormatting sqref="G779:H779">
    <cfRule type="cellIs" dxfId="1142" priority="1071" stopIfTrue="1" operator="equal">
      <formula>"Pass"</formula>
    </cfRule>
    <cfRule type="cellIs" dxfId="1141" priority="1072" stopIfTrue="1" operator="equal">
      <formula>"Fail"</formula>
    </cfRule>
  </conditionalFormatting>
  <conditionalFormatting sqref="G779:H779">
    <cfRule type="cellIs" dxfId="1140" priority="1069" stopIfTrue="1" operator="equal">
      <formula>"Pass"</formula>
    </cfRule>
    <cfRule type="cellIs" dxfId="1139" priority="1070" stopIfTrue="1" operator="equal">
      <formula>"Fail"</formula>
    </cfRule>
  </conditionalFormatting>
  <conditionalFormatting sqref="H779:O779">
    <cfRule type="cellIs" dxfId="1138" priority="1067" stopIfTrue="1" operator="equal">
      <formula>"Pass"</formula>
    </cfRule>
    <cfRule type="cellIs" dxfId="1137" priority="1068" stopIfTrue="1" operator="equal">
      <formula>"Fail"</formula>
    </cfRule>
  </conditionalFormatting>
  <conditionalFormatting sqref="H779:O779">
    <cfRule type="cellIs" dxfId="1136" priority="1065" stopIfTrue="1" operator="equal">
      <formula>"Pass"</formula>
    </cfRule>
    <cfRule type="cellIs" dxfId="1135" priority="1066" stopIfTrue="1" operator="equal">
      <formula>"Fail"</formula>
    </cfRule>
  </conditionalFormatting>
  <conditionalFormatting sqref="I779:P779">
    <cfRule type="cellIs" dxfId="1134" priority="1063" stopIfTrue="1" operator="equal">
      <formula>"Pass"</formula>
    </cfRule>
    <cfRule type="cellIs" dxfId="1133" priority="1064" stopIfTrue="1" operator="equal">
      <formula>"Fail"</formula>
    </cfRule>
  </conditionalFormatting>
  <conditionalFormatting sqref="I779:P779">
    <cfRule type="cellIs" dxfId="1132" priority="1061" stopIfTrue="1" operator="equal">
      <formula>"Pass"</formula>
    </cfRule>
    <cfRule type="cellIs" dxfId="1131" priority="1062" stopIfTrue="1" operator="equal">
      <formula>"Fail"</formula>
    </cfRule>
  </conditionalFormatting>
  <conditionalFormatting sqref="I779:P779">
    <cfRule type="cellIs" dxfId="1130" priority="1059" stopIfTrue="1" operator="equal">
      <formula>"Pass"</formula>
    </cfRule>
    <cfRule type="cellIs" dxfId="1129" priority="1060" stopIfTrue="1" operator="equal">
      <formula>"Fail"</formula>
    </cfRule>
  </conditionalFormatting>
  <conditionalFormatting sqref="I779:P779">
    <cfRule type="cellIs" dxfId="1128" priority="1057" stopIfTrue="1" operator="equal">
      <formula>"Pass"</formula>
    </cfRule>
    <cfRule type="cellIs" dxfId="1127" priority="1058" stopIfTrue="1" operator="equal">
      <formula>"Fail"</formula>
    </cfRule>
  </conditionalFormatting>
  <conditionalFormatting sqref="H779:O779">
    <cfRule type="cellIs" dxfId="1126" priority="1055" stopIfTrue="1" operator="equal">
      <formula>"Pass"</formula>
    </cfRule>
    <cfRule type="cellIs" dxfId="1125" priority="1056" stopIfTrue="1" operator="equal">
      <formula>"Fail"</formula>
    </cfRule>
  </conditionalFormatting>
  <conditionalFormatting sqref="H779:O779">
    <cfRule type="cellIs" dxfId="1124" priority="1053" stopIfTrue="1" operator="equal">
      <formula>"Pass"</formula>
    </cfRule>
    <cfRule type="cellIs" dxfId="1123" priority="1054" stopIfTrue="1" operator="equal">
      <formula>"Fail"</formula>
    </cfRule>
  </conditionalFormatting>
  <conditionalFormatting sqref="I779:P779">
    <cfRule type="cellIs" dxfId="1122" priority="1051" stopIfTrue="1" operator="equal">
      <formula>"Pass"</formula>
    </cfRule>
    <cfRule type="cellIs" dxfId="1121" priority="1052" stopIfTrue="1" operator="equal">
      <formula>"Fail"</formula>
    </cfRule>
  </conditionalFormatting>
  <conditionalFormatting sqref="I779:P779">
    <cfRule type="cellIs" dxfId="1120" priority="1049" stopIfTrue="1" operator="equal">
      <formula>"Pass"</formula>
    </cfRule>
    <cfRule type="cellIs" dxfId="1119" priority="1050" stopIfTrue="1" operator="equal">
      <formula>"Fail"</formula>
    </cfRule>
  </conditionalFormatting>
  <conditionalFormatting sqref="I779:P779">
    <cfRule type="cellIs" dxfId="1118" priority="1047" stopIfTrue="1" operator="equal">
      <formula>"Pass"</formula>
    </cfRule>
    <cfRule type="cellIs" dxfId="1117" priority="1048" stopIfTrue="1" operator="equal">
      <formula>"Fail"</formula>
    </cfRule>
  </conditionalFormatting>
  <conditionalFormatting sqref="I779:P779">
    <cfRule type="cellIs" dxfId="1116" priority="1045" stopIfTrue="1" operator="equal">
      <formula>"Pass"</formula>
    </cfRule>
    <cfRule type="cellIs" dxfId="1115" priority="1046" stopIfTrue="1" operator="equal">
      <formula>"Fail"</formula>
    </cfRule>
  </conditionalFormatting>
  <conditionalFormatting sqref="H779:O779">
    <cfRule type="cellIs" dxfId="1114" priority="1043" stopIfTrue="1" operator="equal">
      <formula>"Pass"</formula>
    </cfRule>
    <cfRule type="cellIs" dxfId="1113" priority="1044" stopIfTrue="1" operator="equal">
      <formula>"Fail"</formula>
    </cfRule>
  </conditionalFormatting>
  <conditionalFormatting sqref="H779:O779">
    <cfRule type="cellIs" dxfId="1112" priority="1041" stopIfTrue="1" operator="equal">
      <formula>"Pass"</formula>
    </cfRule>
    <cfRule type="cellIs" dxfId="1111" priority="1042" stopIfTrue="1" operator="equal">
      <formula>"Fail"</formula>
    </cfRule>
  </conditionalFormatting>
  <conditionalFormatting sqref="I779:P779">
    <cfRule type="cellIs" dxfId="1110" priority="1039" stopIfTrue="1" operator="equal">
      <formula>"Pass"</formula>
    </cfRule>
    <cfRule type="cellIs" dxfId="1109" priority="1040" stopIfTrue="1" operator="equal">
      <formula>"Fail"</formula>
    </cfRule>
  </conditionalFormatting>
  <conditionalFormatting sqref="I779:P779">
    <cfRule type="cellIs" dxfId="1108" priority="1037" stopIfTrue="1" operator="equal">
      <formula>"Pass"</formula>
    </cfRule>
    <cfRule type="cellIs" dxfId="1107" priority="1038" stopIfTrue="1" operator="equal">
      <formula>"Fail"</formula>
    </cfRule>
  </conditionalFormatting>
  <conditionalFormatting sqref="I779:P779">
    <cfRule type="cellIs" dxfId="1106" priority="1035" stopIfTrue="1" operator="equal">
      <formula>"Pass"</formula>
    </cfRule>
    <cfRule type="cellIs" dxfId="1105" priority="1036" stopIfTrue="1" operator="equal">
      <formula>"Fail"</formula>
    </cfRule>
  </conditionalFormatting>
  <conditionalFormatting sqref="I779:P779">
    <cfRule type="cellIs" dxfId="1104" priority="1033" stopIfTrue="1" operator="equal">
      <formula>"Pass"</formula>
    </cfRule>
    <cfRule type="cellIs" dxfId="1103" priority="1034" stopIfTrue="1" operator="equal">
      <formula>"Fail"</formula>
    </cfRule>
  </conditionalFormatting>
  <conditionalFormatting sqref="H779:O779">
    <cfRule type="cellIs" dxfId="1102" priority="1031" stopIfTrue="1" operator="equal">
      <formula>"Pass"</formula>
    </cfRule>
    <cfRule type="cellIs" dxfId="1101" priority="1032" stopIfTrue="1" operator="equal">
      <formula>"Fail"</formula>
    </cfRule>
  </conditionalFormatting>
  <conditionalFormatting sqref="H779:O779">
    <cfRule type="cellIs" dxfId="1100" priority="1029" stopIfTrue="1" operator="equal">
      <formula>"Pass"</formula>
    </cfRule>
    <cfRule type="cellIs" dxfId="1099" priority="1030" stopIfTrue="1" operator="equal">
      <formula>"Fail"</formula>
    </cfRule>
  </conditionalFormatting>
  <conditionalFormatting sqref="I779:P779">
    <cfRule type="cellIs" dxfId="1098" priority="1027" stopIfTrue="1" operator="equal">
      <formula>"Pass"</formula>
    </cfRule>
    <cfRule type="cellIs" dxfId="1097" priority="1028" stopIfTrue="1" operator="equal">
      <formula>"Fail"</formula>
    </cfRule>
  </conditionalFormatting>
  <conditionalFormatting sqref="I779:P779">
    <cfRule type="cellIs" dxfId="1096" priority="1025" stopIfTrue="1" operator="equal">
      <formula>"Pass"</formula>
    </cfRule>
    <cfRule type="cellIs" dxfId="1095" priority="1026" stopIfTrue="1" operator="equal">
      <formula>"Fail"</formula>
    </cfRule>
  </conditionalFormatting>
  <conditionalFormatting sqref="I779:P779">
    <cfRule type="cellIs" dxfId="1094" priority="1023" stopIfTrue="1" operator="equal">
      <formula>"Pass"</formula>
    </cfRule>
    <cfRule type="cellIs" dxfId="1093" priority="1024" stopIfTrue="1" operator="equal">
      <formula>"Fail"</formula>
    </cfRule>
  </conditionalFormatting>
  <conditionalFormatting sqref="I779:P779">
    <cfRule type="cellIs" dxfId="1092" priority="1021" stopIfTrue="1" operator="equal">
      <formula>"Pass"</formula>
    </cfRule>
    <cfRule type="cellIs" dxfId="1091" priority="1022" stopIfTrue="1" operator="equal">
      <formula>"Fail"</formula>
    </cfRule>
  </conditionalFormatting>
  <conditionalFormatting sqref="H779:O779">
    <cfRule type="cellIs" dxfId="1090" priority="1019" stopIfTrue="1" operator="equal">
      <formula>"Pass"</formula>
    </cfRule>
    <cfRule type="cellIs" dxfId="1089" priority="1020" stopIfTrue="1" operator="equal">
      <formula>"Fail"</formula>
    </cfRule>
  </conditionalFormatting>
  <conditionalFormatting sqref="H779:O779">
    <cfRule type="cellIs" dxfId="1088" priority="1017" stopIfTrue="1" operator="equal">
      <formula>"Pass"</formula>
    </cfRule>
    <cfRule type="cellIs" dxfId="1087" priority="1018" stopIfTrue="1" operator="equal">
      <formula>"Fail"</formula>
    </cfRule>
  </conditionalFormatting>
  <conditionalFormatting sqref="I779:P779">
    <cfRule type="cellIs" dxfId="1086" priority="1015" stopIfTrue="1" operator="equal">
      <formula>"Pass"</formula>
    </cfRule>
    <cfRule type="cellIs" dxfId="1085" priority="1016" stopIfTrue="1" operator="equal">
      <formula>"Fail"</formula>
    </cfRule>
  </conditionalFormatting>
  <conditionalFormatting sqref="I779:P779">
    <cfRule type="cellIs" dxfId="1084" priority="1013" stopIfTrue="1" operator="equal">
      <formula>"Pass"</formula>
    </cfRule>
    <cfRule type="cellIs" dxfId="1083" priority="1014" stopIfTrue="1" operator="equal">
      <formula>"Fail"</formula>
    </cfRule>
  </conditionalFormatting>
  <conditionalFormatting sqref="I779:P779">
    <cfRule type="cellIs" dxfId="1082" priority="1011" stopIfTrue="1" operator="equal">
      <formula>"Pass"</formula>
    </cfRule>
    <cfRule type="cellIs" dxfId="1081" priority="1012" stopIfTrue="1" operator="equal">
      <formula>"Fail"</formula>
    </cfRule>
  </conditionalFormatting>
  <conditionalFormatting sqref="I779:P779">
    <cfRule type="cellIs" dxfId="1080" priority="1009" stopIfTrue="1" operator="equal">
      <formula>"Pass"</formula>
    </cfRule>
    <cfRule type="cellIs" dxfId="1079" priority="1010" stopIfTrue="1" operator="equal">
      <formula>"Fail"</formula>
    </cfRule>
  </conditionalFormatting>
  <conditionalFormatting sqref="H779:O779">
    <cfRule type="cellIs" dxfId="1078" priority="1007" stopIfTrue="1" operator="equal">
      <formula>"Pass"</formula>
    </cfRule>
    <cfRule type="cellIs" dxfId="1077" priority="1008" stopIfTrue="1" operator="equal">
      <formula>"Fail"</formula>
    </cfRule>
  </conditionalFormatting>
  <conditionalFormatting sqref="H779:O779">
    <cfRule type="cellIs" dxfId="1076" priority="1005" stopIfTrue="1" operator="equal">
      <formula>"Pass"</formula>
    </cfRule>
    <cfRule type="cellIs" dxfId="1075" priority="1006" stopIfTrue="1" operator="equal">
      <formula>"Fail"</formula>
    </cfRule>
  </conditionalFormatting>
  <conditionalFormatting sqref="I779:P779">
    <cfRule type="cellIs" dxfId="1074" priority="1003" stopIfTrue="1" operator="equal">
      <formula>"Pass"</formula>
    </cfRule>
    <cfRule type="cellIs" dxfId="1073" priority="1004" stopIfTrue="1" operator="equal">
      <formula>"Fail"</formula>
    </cfRule>
  </conditionalFormatting>
  <conditionalFormatting sqref="I779:P779">
    <cfRule type="cellIs" dxfId="1072" priority="1001" stopIfTrue="1" operator="equal">
      <formula>"Pass"</formula>
    </cfRule>
    <cfRule type="cellIs" dxfId="1071" priority="1002" stopIfTrue="1" operator="equal">
      <formula>"Fail"</formula>
    </cfRule>
  </conditionalFormatting>
  <conditionalFormatting sqref="I779:P779">
    <cfRule type="cellIs" dxfId="1070" priority="999" stopIfTrue="1" operator="equal">
      <formula>"Pass"</formula>
    </cfRule>
    <cfRule type="cellIs" dxfId="1069" priority="1000" stopIfTrue="1" operator="equal">
      <formula>"Fail"</formula>
    </cfRule>
  </conditionalFormatting>
  <conditionalFormatting sqref="I779:P779">
    <cfRule type="cellIs" dxfId="1068" priority="997" stopIfTrue="1" operator="equal">
      <formula>"Pass"</formula>
    </cfRule>
    <cfRule type="cellIs" dxfId="1067" priority="998" stopIfTrue="1" operator="equal">
      <formula>"Fail"</formula>
    </cfRule>
  </conditionalFormatting>
  <conditionalFormatting sqref="H779:O779">
    <cfRule type="cellIs" dxfId="1066" priority="995" stopIfTrue="1" operator="equal">
      <formula>"Pass"</formula>
    </cfRule>
    <cfRule type="cellIs" dxfId="1065" priority="996" stopIfTrue="1" operator="equal">
      <formula>"Fail"</formula>
    </cfRule>
  </conditionalFormatting>
  <conditionalFormatting sqref="H779:O779">
    <cfRule type="cellIs" dxfId="1064" priority="993" stopIfTrue="1" operator="equal">
      <formula>"Pass"</formula>
    </cfRule>
    <cfRule type="cellIs" dxfId="1063" priority="994" stopIfTrue="1" operator="equal">
      <formula>"Fail"</formula>
    </cfRule>
  </conditionalFormatting>
  <conditionalFormatting sqref="I779:P779">
    <cfRule type="cellIs" dxfId="1062" priority="991" stopIfTrue="1" operator="equal">
      <formula>"Pass"</formula>
    </cfRule>
    <cfRule type="cellIs" dxfId="1061" priority="992" stopIfTrue="1" operator="equal">
      <formula>"Fail"</formula>
    </cfRule>
  </conditionalFormatting>
  <conditionalFormatting sqref="I779:P779">
    <cfRule type="cellIs" dxfId="1060" priority="989" stopIfTrue="1" operator="equal">
      <formula>"Pass"</formula>
    </cfRule>
    <cfRule type="cellIs" dxfId="1059" priority="990" stopIfTrue="1" operator="equal">
      <formula>"Fail"</formula>
    </cfRule>
  </conditionalFormatting>
  <conditionalFormatting sqref="I779:P779">
    <cfRule type="cellIs" dxfId="1058" priority="987" stopIfTrue="1" operator="equal">
      <formula>"Pass"</formula>
    </cfRule>
    <cfRule type="cellIs" dxfId="1057" priority="988" stopIfTrue="1" operator="equal">
      <formula>"Fail"</formula>
    </cfRule>
  </conditionalFormatting>
  <conditionalFormatting sqref="I779:P779">
    <cfRule type="cellIs" dxfId="1056" priority="985" stopIfTrue="1" operator="equal">
      <formula>"Pass"</formula>
    </cfRule>
    <cfRule type="cellIs" dxfId="1055" priority="986" stopIfTrue="1" operator="equal">
      <formula>"Fail"</formula>
    </cfRule>
  </conditionalFormatting>
  <conditionalFormatting sqref="H779:O779">
    <cfRule type="cellIs" dxfId="1054" priority="983" stopIfTrue="1" operator="equal">
      <formula>"Pass"</formula>
    </cfRule>
    <cfRule type="cellIs" dxfId="1053" priority="984" stopIfTrue="1" operator="equal">
      <formula>"Fail"</formula>
    </cfRule>
  </conditionalFormatting>
  <conditionalFormatting sqref="H779:O779">
    <cfRule type="cellIs" dxfId="1052" priority="981" stopIfTrue="1" operator="equal">
      <formula>"Pass"</formula>
    </cfRule>
    <cfRule type="cellIs" dxfId="1051" priority="982" stopIfTrue="1" operator="equal">
      <formula>"Fail"</formula>
    </cfRule>
  </conditionalFormatting>
  <conditionalFormatting sqref="I779:P779">
    <cfRule type="cellIs" dxfId="1050" priority="979" stopIfTrue="1" operator="equal">
      <formula>"Pass"</formula>
    </cfRule>
    <cfRule type="cellIs" dxfId="1049" priority="980" stopIfTrue="1" operator="equal">
      <formula>"Fail"</formula>
    </cfRule>
  </conditionalFormatting>
  <conditionalFormatting sqref="I779:P779">
    <cfRule type="cellIs" dxfId="1048" priority="977" stopIfTrue="1" operator="equal">
      <formula>"Pass"</formula>
    </cfRule>
    <cfRule type="cellIs" dxfId="1047" priority="978" stopIfTrue="1" operator="equal">
      <formula>"Fail"</formula>
    </cfRule>
  </conditionalFormatting>
  <conditionalFormatting sqref="I779:P779">
    <cfRule type="cellIs" dxfId="1046" priority="975" stopIfTrue="1" operator="equal">
      <formula>"Pass"</formula>
    </cfRule>
    <cfRule type="cellIs" dxfId="1045" priority="976" stopIfTrue="1" operator="equal">
      <formula>"Fail"</formula>
    </cfRule>
  </conditionalFormatting>
  <conditionalFormatting sqref="I779:P779">
    <cfRule type="cellIs" dxfId="1044" priority="973" stopIfTrue="1" operator="equal">
      <formula>"Pass"</formula>
    </cfRule>
    <cfRule type="cellIs" dxfId="1043" priority="974" stopIfTrue="1" operator="equal">
      <formula>"Fail"</formula>
    </cfRule>
  </conditionalFormatting>
  <conditionalFormatting sqref="H779:O779">
    <cfRule type="cellIs" dxfId="1042" priority="971" stopIfTrue="1" operator="equal">
      <formula>"Pass"</formula>
    </cfRule>
    <cfRule type="cellIs" dxfId="1041" priority="972" stopIfTrue="1" operator="equal">
      <formula>"Fail"</formula>
    </cfRule>
  </conditionalFormatting>
  <conditionalFormatting sqref="H779:O779">
    <cfRule type="cellIs" dxfId="1040" priority="969" stopIfTrue="1" operator="equal">
      <formula>"Pass"</formula>
    </cfRule>
    <cfRule type="cellIs" dxfId="1039" priority="970" stopIfTrue="1" operator="equal">
      <formula>"Fail"</formula>
    </cfRule>
  </conditionalFormatting>
  <conditionalFormatting sqref="I779:P779">
    <cfRule type="cellIs" dxfId="1038" priority="967" stopIfTrue="1" operator="equal">
      <formula>"Pass"</formula>
    </cfRule>
    <cfRule type="cellIs" dxfId="1037" priority="968" stopIfTrue="1" operator="equal">
      <formula>"Fail"</formula>
    </cfRule>
  </conditionalFormatting>
  <conditionalFormatting sqref="I779:P779">
    <cfRule type="cellIs" dxfId="1036" priority="965" stopIfTrue="1" operator="equal">
      <formula>"Pass"</formula>
    </cfRule>
    <cfRule type="cellIs" dxfId="1035" priority="966" stopIfTrue="1" operator="equal">
      <formula>"Fail"</formula>
    </cfRule>
  </conditionalFormatting>
  <conditionalFormatting sqref="I779:P779">
    <cfRule type="cellIs" dxfId="1034" priority="963" stopIfTrue="1" operator="equal">
      <formula>"Pass"</formula>
    </cfRule>
    <cfRule type="cellIs" dxfId="1033" priority="964" stopIfTrue="1" operator="equal">
      <formula>"Fail"</formula>
    </cfRule>
  </conditionalFormatting>
  <conditionalFormatting sqref="I779:P779">
    <cfRule type="cellIs" dxfId="1032" priority="961" stopIfTrue="1" operator="equal">
      <formula>"Pass"</formula>
    </cfRule>
    <cfRule type="cellIs" dxfId="1031" priority="962" stopIfTrue="1" operator="equal">
      <formula>"Fail"</formula>
    </cfRule>
  </conditionalFormatting>
  <conditionalFormatting sqref="H779:O779">
    <cfRule type="cellIs" dxfId="1030" priority="959" stopIfTrue="1" operator="equal">
      <formula>"Pass"</formula>
    </cfRule>
    <cfRule type="cellIs" dxfId="1029" priority="960" stopIfTrue="1" operator="equal">
      <formula>"Fail"</formula>
    </cfRule>
  </conditionalFormatting>
  <conditionalFormatting sqref="H779:O779">
    <cfRule type="cellIs" dxfId="1028" priority="957" stopIfTrue="1" operator="equal">
      <formula>"Pass"</formula>
    </cfRule>
    <cfRule type="cellIs" dxfId="1027" priority="958" stopIfTrue="1" operator="equal">
      <formula>"Fail"</formula>
    </cfRule>
  </conditionalFormatting>
  <conditionalFormatting sqref="I779:P779">
    <cfRule type="cellIs" dxfId="1026" priority="955" stopIfTrue="1" operator="equal">
      <formula>"Pass"</formula>
    </cfRule>
    <cfRule type="cellIs" dxfId="1025" priority="956" stopIfTrue="1" operator="equal">
      <formula>"Fail"</formula>
    </cfRule>
  </conditionalFormatting>
  <conditionalFormatting sqref="I779:P779">
    <cfRule type="cellIs" dxfId="1024" priority="953" stopIfTrue="1" operator="equal">
      <formula>"Pass"</formula>
    </cfRule>
    <cfRule type="cellIs" dxfId="1023" priority="954" stopIfTrue="1" operator="equal">
      <formula>"Fail"</formula>
    </cfRule>
  </conditionalFormatting>
  <conditionalFormatting sqref="I779:P779">
    <cfRule type="cellIs" dxfId="1022" priority="951" stopIfTrue="1" operator="equal">
      <formula>"Pass"</formula>
    </cfRule>
    <cfRule type="cellIs" dxfId="1021" priority="952" stopIfTrue="1" operator="equal">
      <formula>"Fail"</formula>
    </cfRule>
  </conditionalFormatting>
  <conditionalFormatting sqref="I779:P779">
    <cfRule type="cellIs" dxfId="1020" priority="949" stopIfTrue="1" operator="equal">
      <formula>"Pass"</formula>
    </cfRule>
    <cfRule type="cellIs" dxfId="1019" priority="950" stopIfTrue="1" operator="equal">
      <formula>"Fail"</formula>
    </cfRule>
  </conditionalFormatting>
  <conditionalFormatting sqref="H779:O779">
    <cfRule type="cellIs" dxfId="1018" priority="947" stopIfTrue="1" operator="equal">
      <formula>"Pass"</formula>
    </cfRule>
    <cfRule type="cellIs" dxfId="1017" priority="948" stopIfTrue="1" operator="equal">
      <formula>"Fail"</formula>
    </cfRule>
  </conditionalFormatting>
  <conditionalFormatting sqref="H779:O779">
    <cfRule type="cellIs" dxfId="1016" priority="945" stopIfTrue="1" operator="equal">
      <formula>"Pass"</formula>
    </cfRule>
    <cfRule type="cellIs" dxfId="1015" priority="946" stopIfTrue="1" operator="equal">
      <formula>"Fail"</formula>
    </cfRule>
  </conditionalFormatting>
  <conditionalFormatting sqref="I779:P779">
    <cfRule type="cellIs" dxfId="1014" priority="943" stopIfTrue="1" operator="equal">
      <formula>"Pass"</formula>
    </cfRule>
    <cfRule type="cellIs" dxfId="1013" priority="944" stopIfTrue="1" operator="equal">
      <formula>"Fail"</formula>
    </cfRule>
  </conditionalFormatting>
  <conditionalFormatting sqref="I779:P779">
    <cfRule type="cellIs" dxfId="1012" priority="941" stopIfTrue="1" operator="equal">
      <formula>"Pass"</formula>
    </cfRule>
    <cfRule type="cellIs" dxfId="1011" priority="942" stopIfTrue="1" operator="equal">
      <formula>"Fail"</formula>
    </cfRule>
  </conditionalFormatting>
  <conditionalFormatting sqref="I779:P779">
    <cfRule type="cellIs" dxfId="1010" priority="939" stopIfTrue="1" operator="equal">
      <formula>"Pass"</formula>
    </cfRule>
    <cfRule type="cellIs" dxfId="1009" priority="940" stopIfTrue="1" operator="equal">
      <formula>"Fail"</formula>
    </cfRule>
  </conditionalFormatting>
  <conditionalFormatting sqref="I779:P779">
    <cfRule type="cellIs" dxfId="1008" priority="937" stopIfTrue="1" operator="equal">
      <formula>"Pass"</formula>
    </cfRule>
    <cfRule type="cellIs" dxfId="1007" priority="938" stopIfTrue="1" operator="equal">
      <formula>"Fail"</formula>
    </cfRule>
  </conditionalFormatting>
  <conditionalFormatting sqref="H779:O779">
    <cfRule type="cellIs" dxfId="1006" priority="935" stopIfTrue="1" operator="equal">
      <formula>"Pass"</formula>
    </cfRule>
    <cfRule type="cellIs" dxfId="1005" priority="936" stopIfTrue="1" operator="equal">
      <formula>"Fail"</formula>
    </cfRule>
  </conditionalFormatting>
  <conditionalFormatting sqref="H779:O779">
    <cfRule type="cellIs" dxfId="1004" priority="933" stopIfTrue="1" operator="equal">
      <formula>"Pass"</formula>
    </cfRule>
    <cfRule type="cellIs" dxfId="1003" priority="934" stopIfTrue="1" operator="equal">
      <formula>"Fail"</formula>
    </cfRule>
  </conditionalFormatting>
  <conditionalFormatting sqref="I779:P779">
    <cfRule type="cellIs" dxfId="1002" priority="931" stopIfTrue="1" operator="equal">
      <formula>"Pass"</formula>
    </cfRule>
    <cfRule type="cellIs" dxfId="1001" priority="932" stopIfTrue="1" operator="equal">
      <formula>"Fail"</formula>
    </cfRule>
  </conditionalFormatting>
  <conditionalFormatting sqref="I779:P779">
    <cfRule type="cellIs" dxfId="1000" priority="929" stopIfTrue="1" operator="equal">
      <formula>"Pass"</formula>
    </cfRule>
    <cfRule type="cellIs" dxfId="999" priority="930" stopIfTrue="1" operator="equal">
      <formula>"Fail"</formula>
    </cfRule>
  </conditionalFormatting>
  <conditionalFormatting sqref="I779:P779">
    <cfRule type="cellIs" dxfId="998" priority="927" stopIfTrue="1" operator="equal">
      <formula>"Pass"</formula>
    </cfRule>
    <cfRule type="cellIs" dxfId="997" priority="928" stopIfTrue="1" operator="equal">
      <formula>"Fail"</formula>
    </cfRule>
  </conditionalFormatting>
  <conditionalFormatting sqref="I779:P779">
    <cfRule type="cellIs" dxfId="996" priority="925" stopIfTrue="1" operator="equal">
      <formula>"Pass"</formula>
    </cfRule>
    <cfRule type="cellIs" dxfId="995" priority="926" stopIfTrue="1" operator="equal">
      <formula>"Fail"</formula>
    </cfRule>
  </conditionalFormatting>
  <conditionalFormatting sqref="D779:E779 G779:P779">
    <cfRule type="cellIs" dxfId="994" priority="923" stopIfTrue="1" operator="equal">
      <formula>"Pass"</formula>
    </cfRule>
    <cfRule type="cellIs" dxfId="993" priority="924" stopIfTrue="1" operator="equal">
      <formula>"Fail"</formula>
    </cfRule>
  </conditionalFormatting>
  <conditionalFormatting sqref="E779 H779:P779">
    <cfRule type="cellIs" dxfId="992" priority="921" stopIfTrue="1" operator="equal">
      <formula>"Pass"</formula>
    </cfRule>
    <cfRule type="cellIs" dxfId="991" priority="922" stopIfTrue="1" operator="equal">
      <formula>"Fail"</formula>
    </cfRule>
  </conditionalFormatting>
  <conditionalFormatting sqref="E779 H779:P779">
    <cfRule type="cellIs" dxfId="990" priority="919" stopIfTrue="1" operator="equal">
      <formula>"Pass"</formula>
    </cfRule>
    <cfRule type="cellIs" dxfId="989" priority="920" stopIfTrue="1" operator="equal">
      <formula>"Fail"</formula>
    </cfRule>
  </conditionalFormatting>
  <conditionalFormatting sqref="E779 H779:P779">
    <cfRule type="cellIs" dxfId="988" priority="917" stopIfTrue="1" operator="equal">
      <formula>"Pass"</formula>
    </cfRule>
    <cfRule type="cellIs" dxfId="987" priority="918" stopIfTrue="1" operator="equal">
      <formula>"Fail"</formula>
    </cfRule>
  </conditionalFormatting>
  <conditionalFormatting sqref="E779 H779:P779">
    <cfRule type="cellIs" dxfId="986" priority="915" stopIfTrue="1" operator="equal">
      <formula>"Pass"</formula>
    </cfRule>
    <cfRule type="cellIs" dxfId="985" priority="916" stopIfTrue="1" operator="equal">
      <formula>"Fail"</formula>
    </cfRule>
  </conditionalFormatting>
  <conditionalFormatting sqref="E779 H779:P779">
    <cfRule type="cellIs" dxfId="984" priority="913" stopIfTrue="1" operator="equal">
      <formula>"Pass"</formula>
    </cfRule>
    <cfRule type="cellIs" dxfId="983" priority="914" stopIfTrue="1" operator="equal">
      <formula>"Fail"</formula>
    </cfRule>
  </conditionalFormatting>
  <conditionalFormatting sqref="E779 H779:P779">
    <cfRule type="cellIs" dxfId="982" priority="911" stopIfTrue="1" operator="equal">
      <formula>"Pass"</formula>
    </cfRule>
    <cfRule type="cellIs" dxfId="981" priority="912" stopIfTrue="1" operator="equal">
      <formula>"Fail"</formula>
    </cfRule>
  </conditionalFormatting>
  <conditionalFormatting sqref="E779 H779:P779">
    <cfRule type="cellIs" dxfId="980" priority="909" stopIfTrue="1" operator="equal">
      <formula>"Pass"</formula>
    </cfRule>
    <cfRule type="cellIs" dxfId="979" priority="910" stopIfTrue="1" operator="equal">
      <formula>"Fail"</formula>
    </cfRule>
  </conditionalFormatting>
  <conditionalFormatting sqref="E779 H779:P779">
    <cfRule type="cellIs" dxfId="978" priority="907" stopIfTrue="1" operator="equal">
      <formula>"Pass"</formula>
    </cfRule>
    <cfRule type="cellIs" dxfId="977" priority="908" stopIfTrue="1" operator="equal">
      <formula>"Fail"</formula>
    </cfRule>
  </conditionalFormatting>
  <conditionalFormatting sqref="E779 H779:P779">
    <cfRule type="cellIs" dxfId="976" priority="905" stopIfTrue="1" operator="equal">
      <formula>"Pass"</formula>
    </cfRule>
    <cfRule type="cellIs" dxfId="975" priority="906" stopIfTrue="1" operator="equal">
      <formula>"Fail"</formula>
    </cfRule>
  </conditionalFormatting>
  <conditionalFormatting sqref="E779 H779:P779">
    <cfRule type="cellIs" dxfId="974" priority="903" stopIfTrue="1" operator="equal">
      <formula>"Pass"</formula>
    </cfRule>
    <cfRule type="cellIs" dxfId="973" priority="904" stopIfTrue="1" operator="equal">
      <formula>"Fail"</formula>
    </cfRule>
  </conditionalFormatting>
  <conditionalFormatting sqref="E779 H779:P779">
    <cfRule type="cellIs" dxfId="972" priority="901" stopIfTrue="1" operator="equal">
      <formula>"Pass"</formula>
    </cfRule>
    <cfRule type="cellIs" dxfId="971" priority="902" stopIfTrue="1" operator="equal">
      <formula>"Fail"</formula>
    </cfRule>
  </conditionalFormatting>
  <conditionalFormatting sqref="E779 H779:P779">
    <cfRule type="cellIs" dxfId="970" priority="899" stopIfTrue="1" operator="equal">
      <formula>"Pass"</formula>
    </cfRule>
    <cfRule type="cellIs" dxfId="969" priority="900" stopIfTrue="1" operator="equal">
      <formula>"Fail"</formula>
    </cfRule>
  </conditionalFormatting>
  <conditionalFormatting sqref="E779 H779:P779">
    <cfRule type="cellIs" dxfId="968" priority="897" stopIfTrue="1" operator="equal">
      <formula>"Pass"</formula>
    </cfRule>
    <cfRule type="cellIs" dxfId="967" priority="898" stopIfTrue="1" operator="equal">
      <formula>"Fail"</formula>
    </cfRule>
  </conditionalFormatting>
  <conditionalFormatting sqref="E779 H779:P779">
    <cfRule type="cellIs" dxfId="966" priority="895" stopIfTrue="1" operator="equal">
      <formula>"Pass"</formula>
    </cfRule>
    <cfRule type="cellIs" dxfId="965" priority="896" stopIfTrue="1" operator="equal">
      <formula>"Fail"</formula>
    </cfRule>
  </conditionalFormatting>
  <conditionalFormatting sqref="E779 H779:P779">
    <cfRule type="cellIs" dxfId="964" priority="893" stopIfTrue="1" operator="equal">
      <formula>"Pass"</formula>
    </cfRule>
    <cfRule type="cellIs" dxfId="963" priority="894" stopIfTrue="1" operator="equal">
      <formula>"Fail"</formula>
    </cfRule>
  </conditionalFormatting>
  <conditionalFormatting sqref="E779 H779:P779">
    <cfRule type="cellIs" dxfId="962" priority="891" stopIfTrue="1" operator="equal">
      <formula>"Pass"</formula>
    </cfRule>
    <cfRule type="cellIs" dxfId="961" priority="892" stopIfTrue="1" operator="equal">
      <formula>"Fail"</formula>
    </cfRule>
  </conditionalFormatting>
  <conditionalFormatting sqref="E779 H779:P779">
    <cfRule type="cellIs" dxfId="960" priority="889" stopIfTrue="1" operator="equal">
      <formula>"Pass"</formula>
    </cfRule>
    <cfRule type="cellIs" dxfId="959" priority="890" stopIfTrue="1" operator="equal">
      <formula>"Fail"</formula>
    </cfRule>
  </conditionalFormatting>
  <conditionalFormatting sqref="E779 H779:P779">
    <cfRule type="cellIs" dxfId="958" priority="887" stopIfTrue="1" operator="equal">
      <formula>"Pass"</formula>
    </cfRule>
    <cfRule type="cellIs" dxfId="957" priority="888" stopIfTrue="1" operator="equal">
      <formula>"Fail"</formula>
    </cfRule>
  </conditionalFormatting>
  <conditionalFormatting sqref="H780:P780">
    <cfRule type="cellIs" dxfId="956" priority="885" stopIfTrue="1" operator="equal">
      <formula>"Pass"</formula>
    </cfRule>
    <cfRule type="cellIs" dxfId="955" priority="886" stopIfTrue="1" operator="equal">
      <formula>"Fail"</formula>
    </cfRule>
  </conditionalFormatting>
  <conditionalFormatting sqref="H780:O780">
    <cfRule type="cellIs" dxfId="954" priority="883" stopIfTrue="1" operator="equal">
      <formula>"Pass"</formula>
    </cfRule>
    <cfRule type="cellIs" dxfId="953" priority="884" stopIfTrue="1" operator="equal">
      <formula>"Fail"</formula>
    </cfRule>
  </conditionalFormatting>
  <conditionalFormatting sqref="H780:O780">
    <cfRule type="cellIs" dxfId="952" priority="881" stopIfTrue="1" operator="equal">
      <formula>"Pass"</formula>
    </cfRule>
    <cfRule type="cellIs" dxfId="951" priority="882" stopIfTrue="1" operator="equal">
      <formula>"Fail"</formula>
    </cfRule>
  </conditionalFormatting>
  <conditionalFormatting sqref="I780:P780">
    <cfRule type="cellIs" dxfId="950" priority="879" stopIfTrue="1" operator="equal">
      <formula>"Pass"</formula>
    </cfRule>
    <cfRule type="cellIs" dxfId="949" priority="880" stopIfTrue="1" operator="equal">
      <formula>"Fail"</formula>
    </cfRule>
  </conditionalFormatting>
  <conditionalFormatting sqref="I780:P780">
    <cfRule type="cellIs" dxfId="948" priority="877" stopIfTrue="1" operator="equal">
      <formula>"Pass"</formula>
    </cfRule>
    <cfRule type="cellIs" dxfId="947" priority="878" stopIfTrue="1" operator="equal">
      <formula>"Fail"</formula>
    </cfRule>
  </conditionalFormatting>
  <conditionalFormatting sqref="I780:P780">
    <cfRule type="cellIs" dxfId="946" priority="875" stopIfTrue="1" operator="equal">
      <formula>"Pass"</formula>
    </cfRule>
    <cfRule type="cellIs" dxfId="945" priority="876" stopIfTrue="1" operator="equal">
      <formula>"Fail"</formula>
    </cfRule>
  </conditionalFormatting>
  <conditionalFormatting sqref="I780:P780">
    <cfRule type="cellIs" dxfId="944" priority="873" stopIfTrue="1" operator="equal">
      <formula>"Pass"</formula>
    </cfRule>
    <cfRule type="cellIs" dxfId="943" priority="874" stopIfTrue="1" operator="equal">
      <formula>"Fail"</formula>
    </cfRule>
  </conditionalFormatting>
  <conditionalFormatting sqref="H780:O780">
    <cfRule type="cellIs" dxfId="942" priority="871" stopIfTrue="1" operator="equal">
      <formula>"Pass"</formula>
    </cfRule>
    <cfRule type="cellIs" dxfId="941" priority="872" stopIfTrue="1" operator="equal">
      <formula>"Fail"</formula>
    </cfRule>
  </conditionalFormatting>
  <conditionalFormatting sqref="H780:O780">
    <cfRule type="cellIs" dxfId="940" priority="869" stopIfTrue="1" operator="equal">
      <formula>"Pass"</formula>
    </cfRule>
    <cfRule type="cellIs" dxfId="939" priority="870" stopIfTrue="1" operator="equal">
      <formula>"Fail"</formula>
    </cfRule>
  </conditionalFormatting>
  <conditionalFormatting sqref="I780:P780">
    <cfRule type="cellIs" dxfId="938" priority="867" stopIfTrue="1" operator="equal">
      <formula>"Pass"</formula>
    </cfRule>
    <cfRule type="cellIs" dxfId="937" priority="868" stopIfTrue="1" operator="equal">
      <formula>"Fail"</formula>
    </cfRule>
  </conditionalFormatting>
  <conditionalFormatting sqref="I780:P780">
    <cfRule type="cellIs" dxfId="936" priority="865" stopIfTrue="1" operator="equal">
      <formula>"Pass"</formula>
    </cfRule>
    <cfRule type="cellIs" dxfId="935" priority="866" stopIfTrue="1" operator="equal">
      <formula>"Fail"</formula>
    </cfRule>
  </conditionalFormatting>
  <conditionalFormatting sqref="I780:P780">
    <cfRule type="cellIs" dxfId="934" priority="863" stopIfTrue="1" operator="equal">
      <formula>"Pass"</formula>
    </cfRule>
    <cfRule type="cellIs" dxfId="933" priority="864" stopIfTrue="1" operator="equal">
      <formula>"Fail"</formula>
    </cfRule>
  </conditionalFormatting>
  <conditionalFormatting sqref="I780:P780">
    <cfRule type="cellIs" dxfId="932" priority="861" stopIfTrue="1" operator="equal">
      <formula>"Pass"</formula>
    </cfRule>
    <cfRule type="cellIs" dxfId="931" priority="862" stopIfTrue="1" operator="equal">
      <formula>"Fail"</formula>
    </cfRule>
  </conditionalFormatting>
  <conditionalFormatting sqref="H780:O780">
    <cfRule type="cellIs" dxfId="930" priority="859" stopIfTrue="1" operator="equal">
      <formula>"Pass"</formula>
    </cfRule>
    <cfRule type="cellIs" dxfId="929" priority="860" stopIfTrue="1" operator="equal">
      <formula>"Fail"</formula>
    </cfRule>
  </conditionalFormatting>
  <conditionalFormatting sqref="H780:O780">
    <cfRule type="cellIs" dxfId="928" priority="857" stopIfTrue="1" operator="equal">
      <formula>"Pass"</formula>
    </cfRule>
    <cfRule type="cellIs" dxfId="927" priority="858" stopIfTrue="1" operator="equal">
      <formula>"Fail"</formula>
    </cfRule>
  </conditionalFormatting>
  <conditionalFormatting sqref="I780:P780">
    <cfRule type="cellIs" dxfId="926" priority="855" stopIfTrue="1" operator="equal">
      <formula>"Pass"</formula>
    </cfRule>
    <cfRule type="cellIs" dxfId="925" priority="856" stopIfTrue="1" operator="equal">
      <formula>"Fail"</formula>
    </cfRule>
  </conditionalFormatting>
  <conditionalFormatting sqref="I780:P780">
    <cfRule type="cellIs" dxfId="924" priority="853" stopIfTrue="1" operator="equal">
      <formula>"Pass"</formula>
    </cfRule>
    <cfRule type="cellIs" dxfId="923" priority="854" stopIfTrue="1" operator="equal">
      <formula>"Fail"</formula>
    </cfRule>
  </conditionalFormatting>
  <conditionalFormatting sqref="I780:P780">
    <cfRule type="cellIs" dxfId="922" priority="851" stopIfTrue="1" operator="equal">
      <formula>"Pass"</formula>
    </cfRule>
    <cfRule type="cellIs" dxfId="921" priority="852" stopIfTrue="1" operator="equal">
      <formula>"Fail"</formula>
    </cfRule>
  </conditionalFormatting>
  <conditionalFormatting sqref="I780:P780">
    <cfRule type="cellIs" dxfId="920" priority="849" stopIfTrue="1" operator="equal">
      <formula>"Pass"</formula>
    </cfRule>
    <cfRule type="cellIs" dxfId="919" priority="850" stopIfTrue="1" operator="equal">
      <formula>"Fail"</formula>
    </cfRule>
  </conditionalFormatting>
  <conditionalFormatting sqref="H780:O780">
    <cfRule type="cellIs" dxfId="918" priority="847" stopIfTrue="1" operator="equal">
      <formula>"Pass"</formula>
    </cfRule>
    <cfRule type="cellIs" dxfId="917" priority="848" stopIfTrue="1" operator="equal">
      <formula>"Fail"</formula>
    </cfRule>
  </conditionalFormatting>
  <conditionalFormatting sqref="H780:O780">
    <cfRule type="cellIs" dxfId="916" priority="845" stopIfTrue="1" operator="equal">
      <formula>"Pass"</formula>
    </cfRule>
    <cfRule type="cellIs" dxfId="915" priority="846" stopIfTrue="1" operator="equal">
      <formula>"Fail"</formula>
    </cfRule>
  </conditionalFormatting>
  <conditionalFormatting sqref="I780:P780">
    <cfRule type="cellIs" dxfId="914" priority="843" stopIfTrue="1" operator="equal">
      <formula>"Pass"</formula>
    </cfRule>
    <cfRule type="cellIs" dxfId="913" priority="844" stopIfTrue="1" operator="equal">
      <formula>"Fail"</formula>
    </cfRule>
  </conditionalFormatting>
  <conditionalFormatting sqref="I780:P780">
    <cfRule type="cellIs" dxfId="912" priority="841" stopIfTrue="1" operator="equal">
      <formula>"Pass"</formula>
    </cfRule>
    <cfRule type="cellIs" dxfId="911" priority="842" stopIfTrue="1" operator="equal">
      <formula>"Fail"</formula>
    </cfRule>
  </conditionalFormatting>
  <conditionalFormatting sqref="I780:P780">
    <cfRule type="cellIs" dxfId="910" priority="839" stopIfTrue="1" operator="equal">
      <formula>"Pass"</formula>
    </cfRule>
    <cfRule type="cellIs" dxfId="909" priority="840" stopIfTrue="1" operator="equal">
      <formula>"Fail"</formula>
    </cfRule>
  </conditionalFormatting>
  <conditionalFormatting sqref="I780:P780">
    <cfRule type="cellIs" dxfId="908" priority="837" stopIfTrue="1" operator="equal">
      <formula>"Pass"</formula>
    </cfRule>
    <cfRule type="cellIs" dxfId="907" priority="838" stopIfTrue="1" operator="equal">
      <formula>"Fail"</formula>
    </cfRule>
  </conditionalFormatting>
  <conditionalFormatting sqref="H780:O780">
    <cfRule type="cellIs" dxfId="906" priority="835" stopIfTrue="1" operator="equal">
      <formula>"Pass"</formula>
    </cfRule>
    <cfRule type="cellIs" dxfId="905" priority="836" stopIfTrue="1" operator="equal">
      <formula>"Fail"</formula>
    </cfRule>
  </conditionalFormatting>
  <conditionalFormatting sqref="H780:O780">
    <cfRule type="cellIs" dxfId="904" priority="833" stopIfTrue="1" operator="equal">
      <formula>"Pass"</formula>
    </cfRule>
    <cfRule type="cellIs" dxfId="903" priority="834" stopIfTrue="1" operator="equal">
      <formula>"Fail"</formula>
    </cfRule>
  </conditionalFormatting>
  <conditionalFormatting sqref="I780:P780">
    <cfRule type="cellIs" dxfId="902" priority="831" stopIfTrue="1" operator="equal">
      <formula>"Pass"</formula>
    </cfRule>
    <cfRule type="cellIs" dxfId="901" priority="832" stopIfTrue="1" operator="equal">
      <formula>"Fail"</formula>
    </cfRule>
  </conditionalFormatting>
  <conditionalFormatting sqref="I780:P780">
    <cfRule type="cellIs" dxfId="900" priority="829" stopIfTrue="1" operator="equal">
      <formula>"Pass"</formula>
    </cfRule>
    <cfRule type="cellIs" dxfId="899" priority="830" stopIfTrue="1" operator="equal">
      <formula>"Fail"</formula>
    </cfRule>
  </conditionalFormatting>
  <conditionalFormatting sqref="I780:P780">
    <cfRule type="cellIs" dxfId="898" priority="827" stopIfTrue="1" operator="equal">
      <formula>"Pass"</formula>
    </cfRule>
    <cfRule type="cellIs" dxfId="897" priority="828" stopIfTrue="1" operator="equal">
      <formula>"Fail"</formula>
    </cfRule>
  </conditionalFormatting>
  <conditionalFormatting sqref="I780:P780">
    <cfRule type="cellIs" dxfId="896" priority="825" stopIfTrue="1" operator="equal">
      <formula>"Pass"</formula>
    </cfRule>
    <cfRule type="cellIs" dxfId="895" priority="826" stopIfTrue="1" operator="equal">
      <formula>"Fail"</formula>
    </cfRule>
  </conditionalFormatting>
  <conditionalFormatting sqref="H780:O780">
    <cfRule type="cellIs" dxfId="894" priority="823" stopIfTrue="1" operator="equal">
      <formula>"Pass"</formula>
    </cfRule>
    <cfRule type="cellIs" dxfId="893" priority="824" stopIfTrue="1" operator="equal">
      <formula>"Fail"</formula>
    </cfRule>
  </conditionalFormatting>
  <conditionalFormatting sqref="H780:O780">
    <cfRule type="cellIs" dxfId="892" priority="821" stopIfTrue="1" operator="equal">
      <formula>"Pass"</formula>
    </cfRule>
    <cfRule type="cellIs" dxfId="891" priority="822" stopIfTrue="1" operator="equal">
      <formula>"Fail"</formula>
    </cfRule>
  </conditionalFormatting>
  <conditionalFormatting sqref="I780:P780">
    <cfRule type="cellIs" dxfId="890" priority="819" stopIfTrue="1" operator="equal">
      <formula>"Pass"</formula>
    </cfRule>
    <cfRule type="cellIs" dxfId="889" priority="820" stopIfTrue="1" operator="equal">
      <formula>"Fail"</formula>
    </cfRule>
  </conditionalFormatting>
  <conditionalFormatting sqref="I780:P780">
    <cfRule type="cellIs" dxfId="888" priority="817" stopIfTrue="1" operator="equal">
      <formula>"Pass"</formula>
    </cfRule>
    <cfRule type="cellIs" dxfId="887" priority="818" stopIfTrue="1" operator="equal">
      <formula>"Fail"</formula>
    </cfRule>
  </conditionalFormatting>
  <conditionalFormatting sqref="I780:P780">
    <cfRule type="cellIs" dxfId="886" priority="815" stopIfTrue="1" operator="equal">
      <formula>"Pass"</formula>
    </cfRule>
    <cfRule type="cellIs" dxfId="885" priority="816" stopIfTrue="1" operator="equal">
      <formula>"Fail"</formula>
    </cfRule>
  </conditionalFormatting>
  <conditionalFormatting sqref="I780:P780">
    <cfRule type="cellIs" dxfId="884" priority="813" stopIfTrue="1" operator="equal">
      <formula>"Pass"</formula>
    </cfRule>
    <cfRule type="cellIs" dxfId="883" priority="814" stopIfTrue="1" operator="equal">
      <formula>"Fail"</formula>
    </cfRule>
  </conditionalFormatting>
  <conditionalFormatting sqref="H780:O780">
    <cfRule type="cellIs" dxfId="882" priority="811" stopIfTrue="1" operator="equal">
      <formula>"Pass"</formula>
    </cfRule>
    <cfRule type="cellIs" dxfId="881" priority="812" stopIfTrue="1" operator="equal">
      <formula>"Fail"</formula>
    </cfRule>
  </conditionalFormatting>
  <conditionalFormatting sqref="H780:O780">
    <cfRule type="cellIs" dxfId="880" priority="809" stopIfTrue="1" operator="equal">
      <formula>"Pass"</formula>
    </cfRule>
    <cfRule type="cellIs" dxfId="879" priority="810" stopIfTrue="1" operator="equal">
      <formula>"Fail"</formula>
    </cfRule>
  </conditionalFormatting>
  <conditionalFormatting sqref="I780:P780">
    <cfRule type="cellIs" dxfId="878" priority="807" stopIfTrue="1" operator="equal">
      <formula>"Pass"</formula>
    </cfRule>
    <cfRule type="cellIs" dxfId="877" priority="808" stopIfTrue="1" operator="equal">
      <formula>"Fail"</formula>
    </cfRule>
  </conditionalFormatting>
  <conditionalFormatting sqref="I780:P780">
    <cfRule type="cellIs" dxfId="876" priority="805" stopIfTrue="1" operator="equal">
      <formula>"Pass"</formula>
    </cfRule>
    <cfRule type="cellIs" dxfId="875" priority="806" stopIfTrue="1" operator="equal">
      <formula>"Fail"</formula>
    </cfRule>
  </conditionalFormatting>
  <conditionalFormatting sqref="I780:P780">
    <cfRule type="cellIs" dxfId="874" priority="803" stopIfTrue="1" operator="equal">
      <formula>"Pass"</formula>
    </cfRule>
    <cfRule type="cellIs" dxfId="873" priority="804" stopIfTrue="1" operator="equal">
      <formula>"Fail"</formula>
    </cfRule>
  </conditionalFormatting>
  <conditionalFormatting sqref="I780:P780">
    <cfRule type="cellIs" dxfId="872" priority="801" stopIfTrue="1" operator="equal">
      <formula>"Pass"</formula>
    </cfRule>
    <cfRule type="cellIs" dxfId="871" priority="802" stopIfTrue="1" operator="equal">
      <formula>"Fail"</formula>
    </cfRule>
  </conditionalFormatting>
  <conditionalFormatting sqref="H780:O780">
    <cfRule type="cellIs" dxfId="870" priority="799" stopIfTrue="1" operator="equal">
      <formula>"Pass"</formula>
    </cfRule>
    <cfRule type="cellIs" dxfId="869" priority="800" stopIfTrue="1" operator="equal">
      <formula>"Fail"</formula>
    </cfRule>
  </conditionalFormatting>
  <conditionalFormatting sqref="H780:O780">
    <cfRule type="cellIs" dxfId="868" priority="797" stopIfTrue="1" operator="equal">
      <formula>"Pass"</formula>
    </cfRule>
    <cfRule type="cellIs" dxfId="867" priority="798" stopIfTrue="1" operator="equal">
      <formula>"Fail"</formula>
    </cfRule>
  </conditionalFormatting>
  <conditionalFormatting sqref="I780:P780">
    <cfRule type="cellIs" dxfId="866" priority="795" stopIfTrue="1" operator="equal">
      <formula>"Pass"</formula>
    </cfRule>
    <cfRule type="cellIs" dxfId="865" priority="796" stopIfTrue="1" operator="equal">
      <formula>"Fail"</formula>
    </cfRule>
  </conditionalFormatting>
  <conditionalFormatting sqref="I780:P780">
    <cfRule type="cellIs" dxfId="864" priority="793" stopIfTrue="1" operator="equal">
      <formula>"Pass"</formula>
    </cfRule>
    <cfRule type="cellIs" dxfId="863" priority="794" stopIfTrue="1" operator="equal">
      <formula>"Fail"</formula>
    </cfRule>
  </conditionalFormatting>
  <conditionalFormatting sqref="I780:P780">
    <cfRule type="cellIs" dxfId="862" priority="791" stopIfTrue="1" operator="equal">
      <formula>"Pass"</formula>
    </cfRule>
    <cfRule type="cellIs" dxfId="861" priority="792" stopIfTrue="1" operator="equal">
      <formula>"Fail"</formula>
    </cfRule>
  </conditionalFormatting>
  <conditionalFormatting sqref="I780:P780">
    <cfRule type="cellIs" dxfId="860" priority="789" stopIfTrue="1" operator="equal">
      <formula>"Pass"</formula>
    </cfRule>
    <cfRule type="cellIs" dxfId="859" priority="790" stopIfTrue="1" operator="equal">
      <formula>"Fail"</formula>
    </cfRule>
  </conditionalFormatting>
  <conditionalFormatting sqref="H780:O780">
    <cfRule type="cellIs" dxfId="858" priority="787" stopIfTrue="1" operator="equal">
      <formula>"Pass"</formula>
    </cfRule>
    <cfRule type="cellIs" dxfId="857" priority="788" stopIfTrue="1" operator="equal">
      <formula>"Fail"</formula>
    </cfRule>
  </conditionalFormatting>
  <conditionalFormatting sqref="H780:O780">
    <cfRule type="cellIs" dxfId="856" priority="785" stopIfTrue="1" operator="equal">
      <formula>"Pass"</formula>
    </cfRule>
    <cfRule type="cellIs" dxfId="855" priority="786" stopIfTrue="1" operator="equal">
      <formula>"Fail"</formula>
    </cfRule>
  </conditionalFormatting>
  <conditionalFormatting sqref="I780:P780">
    <cfRule type="cellIs" dxfId="854" priority="783" stopIfTrue="1" operator="equal">
      <formula>"Pass"</formula>
    </cfRule>
    <cfRule type="cellIs" dxfId="853" priority="784" stopIfTrue="1" operator="equal">
      <formula>"Fail"</formula>
    </cfRule>
  </conditionalFormatting>
  <conditionalFormatting sqref="I780:P780">
    <cfRule type="cellIs" dxfId="852" priority="781" stopIfTrue="1" operator="equal">
      <formula>"Pass"</formula>
    </cfRule>
    <cfRule type="cellIs" dxfId="851" priority="782" stopIfTrue="1" operator="equal">
      <formula>"Fail"</formula>
    </cfRule>
  </conditionalFormatting>
  <conditionalFormatting sqref="I780:P780">
    <cfRule type="cellIs" dxfId="850" priority="779" stopIfTrue="1" operator="equal">
      <formula>"Pass"</formula>
    </cfRule>
    <cfRule type="cellIs" dxfId="849" priority="780" stopIfTrue="1" operator="equal">
      <formula>"Fail"</formula>
    </cfRule>
  </conditionalFormatting>
  <conditionalFormatting sqref="I780:P780">
    <cfRule type="cellIs" dxfId="848" priority="777" stopIfTrue="1" operator="equal">
      <formula>"Pass"</formula>
    </cfRule>
    <cfRule type="cellIs" dxfId="847" priority="778" stopIfTrue="1" operator="equal">
      <formula>"Fail"</formula>
    </cfRule>
  </conditionalFormatting>
  <conditionalFormatting sqref="H780:O780">
    <cfRule type="cellIs" dxfId="846" priority="775" stopIfTrue="1" operator="equal">
      <formula>"Pass"</formula>
    </cfRule>
    <cfRule type="cellIs" dxfId="845" priority="776" stopIfTrue="1" operator="equal">
      <formula>"Fail"</formula>
    </cfRule>
  </conditionalFormatting>
  <conditionalFormatting sqref="H780:O780">
    <cfRule type="cellIs" dxfId="844" priority="773" stopIfTrue="1" operator="equal">
      <formula>"Pass"</formula>
    </cfRule>
    <cfRule type="cellIs" dxfId="843" priority="774" stopIfTrue="1" operator="equal">
      <formula>"Fail"</formula>
    </cfRule>
  </conditionalFormatting>
  <conditionalFormatting sqref="I780:P780">
    <cfRule type="cellIs" dxfId="842" priority="771" stopIfTrue="1" operator="equal">
      <formula>"Pass"</formula>
    </cfRule>
    <cfRule type="cellIs" dxfId="841" priority="772" stopIfTrue="1" operator="equal">
      <formula>"Fail"</formula>
    </cfRule>
  </conditionalFormatting>
  <conditionalFormatting sqref="I780:P780">
    <cfRule type="cellIs" dxfId="840" priority="769" stopIfTrue="1" operator="equal">
      <formula>"Pass"</formula>
    </cfRule>
    <cfRule type="cellIs" dxfId="839" priority="770" stopIfTrue="1" operator="equal">
      <formula>"Fail"</formula>
    </cfRule>
  </conditionalFormatting>
  <conditionalFormatting sqref="I780:P780">
    <cfRule type="cellIs" dxfId="838" priority="767" stopIfTrue="1" operator="equal">
      <formula>"Pass"</formula>
    </cfRule>
    <cfRule type="cellIs" dxfId="837" priority="768" stopIfTrue="1" operator="equal">
      <formula>"Fail"</formula>
    </cfRule>
  </conditionalFormatting>
  <conditionalFormatting sqref="I780:P780">
    <cfRule type="cellIs" dxfId="836" priority="765" stopIfTrue="1" operator="equal">
      <formula>"Pass"</formula>
    </cfRule>
    <cfRule type="cellIs" dxfId="835" priority="766" stopIfTrue="1" operator="equal">
      <formula>"Fail"</formula>
    </cfRule>
  </conditionalFormatting>
  <conditionalFormatting sqref="H780:O780">
    <cfRule type="cellIs" dxfId="834" priority="763" stopIfTrue="1" operator="equal">
      <formula>"Pass"</formula>
    </cfRule>
    <cfRule type="cellIs" dxfId="833" priority="764" stopIfTrue="1" operator="equal">
      <formula>"Fail"</formula>
    </cfRule>
  </conditionalFormatting>
  <conditionalFormatting sqref="H780:O780">
    <cfRule type="cellIs" dxfId="832" priority="761" stopIfTrue="1" operator="equal">
      <formula>"Pass"</formula>
    </cfRule>
    <cfRule type="cellIs" dxfId="831" priority="762" stopIfTrue="1" operator="equal">
      <formula>"Fail"</formula>
    </cfRule>
  </conditionalFormatting>
  <conditionalFormatting sqref="I780:P780">
    <cfRule type="cellIs" dxfId="830" priority="759" stopIfTrue="1" operator="equal">
      <formula>"Pass"</formula>
    </cfRule>
    <cfRule type="cellIs" dxfId="829" priority="760" stopIfTrue="1" operator="equal">
      <formula>"Fail"</formula>
    </cfRule>
  </conditionalFormatting>
  <conditionalFormatting sqref="I780:P780">
    <cfRule type="cellIs" dxfId="828" priority="757" stopIfTrue="1" operator="equal">
      <formula>"Pass"</formula>
    </cfRule>
    <cfRule type="cellIs" dxfId="827" priority="758" stopIfTrue="1" operator="equal">
      <formula>"Fail"</formula>
    </cfRule>
  </conditionalFormatting>
  <conditionalFormatting sqref="I780:P780">
    <cfRule type="cellIs" dxfId="826" priority="755" stopIfTrue="1" operator="equal">
      <formula>"Pass"</formula>
    </cfRule>
    <cfRule type="cellIs" dxfId="825" priority="756" stopIfTrue="1" operator="equal">
      <formula>"Fail"</formula>
    </cfRule>
  </conditionalFormatting>
  <conditionalFormatting sqref="I780:P780">
    <cfRule type="cellIs" dxfId="824" priority="753" stopIfTrue="1" operator="equal">
      <formula>"Pass"</formula>
    </cfRule>
    <cfRule type="cellIs" dxfId="823" priority="754" stopIfTrue="1" operator="equal">
      <formula>"Fail"</formula>
    </cfRule>
  </conditionalFormatting>
  <conditionalFormatting sqref="H780:O780">
    <cfRule type="cellIs" dxfId="822" priority="751" stopIfTrue="1" operator="equal">
      <formula>"Pass"</formula>
    </cfRule>
    <cfRule type="cellIs" dxfId="821" priority="752" stopIfTrue="1" operator="equal">
      <formula>"Fail"</formula>
    </cfRule>
  </conditionalFormatting>
  <conditionalFormatting sqref="H780:O780">
    <cfRule type="cellIs" dxfId="820" priority="749" stopIfTrue="1" operator="equal">
      <formula>"Pass"</formula>
    </cfRule>
    <cfRule type="cellIs" dxfId="819" priority="750" stopIfTrue="1" operator="equal">
      <formula>"Fail"</formula>
    </cfRule>
  </conditionalFormatting>
  <conditionalFormatting sqref="I780:P780">
    <cfRule type="cellIs" dxfId="818" priority="747" stopIfTrue="1" operator="equal">
      <formula>"Pass"</formula>
    </cfRule>
    <cfRule type="cellIs" dxfId="817" priority="748" stopIfTrue="1" operator="equal">
      <formula>"Fail"</formula>
    </cfRule>
  </conditionalFormatting>
  <conditionalFormatting sqref="I780:P780">
    <cfRule type="cellIs" dxfId="816" priority="745" stopIfTrue="1" operator="equal">
      <formula>"Pass"</formula>
    </cfRule>
    <cfRule type="cellIs" dxfId="815" priority="746" stopIfTrue="1" operator="equal">
      <formula>"Fail"</formula>
    </cfRule>
  </conditionalFormatting>
  <conditionalFormatting sqref="I780:P780">
    <cfRule type="cellIs" dxfId="814" priority="743" stopIfTrue="1" operator="equal">
      <formula>"Pass"</formula>
    </cfRule>
    <cfRule type="cellIs" dxfId="813" priority="744" stopIfTrue="1" operator="equal">
      <formula>"Fail"</formula>
    </cfRule>
  </conditionalFormatting>
  <conditionalFormatting sqref="I780:P780">
    <cfRule type="cellIs" dxfId="812" priority="741" stopIfTrue="1" operator="equal">
      <formula>"Pass"</formula>
    </cfRule>
    <cfRule type="cellIs" dxfId="811" priority="742" stopIfTrue="1" operator="equal">
      <formula>"Fail"</formula>
    </cfRule>
  </conditionalFormatting>
  <conditionalFormatting sqref="H780:O780">
    <cfRule type="cellIs" dxfId="810" priority="739" stopIfTrue="1" operator="equal">
      <formula>"Pass"</formula>
    </cfRule>
    <cfRule type="cellIs" dxfId="809" priority="740" stopIfTrue="1" operator="equal">
      <formula>"Fail"</formula>
    </cfRule>
  </conditionalFormatting>
  <conditionalFormatting sqref="H780:O780">
    <cfRule type="cellIs" dxfId="808" priority="737" stopIfTrue="1" operator="equal">
      <formula>"Pass"</formula>
    </cfRule>
    <cfRule type="cellIs" dxfId="807" priority="738" stopIfTrue="1" operator="equal">
      <formula>"Fail"</formula>
    </cfRule>
  </conditionalFormatting>
  <conditionalFormatting sqref="I780:P780">
    <cfRule type="cellIs" dxfId="806" priority="735" stopIfTrue="1" operator="equal">
      <formula>"Pass"</formula>
    </cfRule>
    <cfRule type="cellIs" dxfId="805" priority="736" stopIfTrue="1" operator="equal">
      <formula>"Fail"</formula>
    </cfRule>
  </conditionalFormatting>
  <conditionalFormatting sqref="I780:P780">
    <cfRule type="cellIs" dxfId="804" priority="733" stopIfTrue="1" operator="equal">
      <formula>"Pass"</formula>
    </cfRule>
    <cfRule type="cellIs" dxfId="803" priority="734" stopIfTrue="1" operator="equal">
      <formula>"Fail"</formula>
    </cfRule>
  </conditionalFormatting>
  <conditionalFormatting sqref="I780:P780">
    <cfRule type="cellIs" dxfId="802" priority="731" stopIfTrue="1" operator="equal">
      <formula>"Pass"</formula>
    </cfRule>
    <cfRule type="cellIs" dxfId="801" priority="732" stopIfTrue="1" operator="equal">
      <formula>"Fail"</formula>
    </cfRule>
  </conditionalFormatting>
  <conditionalFormatting sqref="I780:P780">
    <cfRule type="cellIs" dxfId="800" priority="729" stopIfTrue="1" operator="equal">
      <formula>"Pass"</formula>
    </cfRule>
    <cfRule type="cellIs" dxfId="799" priority="730" stopIfTrue="1" operator="equal">
      <formula>"Fail"</formula>
    </cfRule>
  </conditionalFormatting>
  <conditionalFormatting sqref="H780:O780">
    <cfRule type="cellIs" dxfId="798" priority="727" stopIfTrue="1" operator="equal">
      <formula>"Pass"</formula>
    </cfRule>
    <cfRule type="cellIs" dxfId="797" priority="728" stopIfTrue="1" operator="equal">
      <formula>"Fail"</formula>
    </cfRule>
  </conditionalFormatting>
  <conditionalFormatting sqref="H780:O780">
    <cfRule type="cellIs" dxfId="796" priority="725" stopIfTrue="1" operator="equal">
      <formula>"Pass"</formula>
    </cfRule>
    <cfRule type="cellIs" dxfId="795" priority="726" stopIfTrue="1" operator="equal">
      <formula>"Fail"</formula>
    </cfRule>
  </conditionalFormatting>
  <conditionalFormatting sqref="I780:P780">
    <cfRule type="cellIs" dxfId="794" priority="723" stopIfTrue="1" operator="equal">
      <formula>"Pass"</formula>
    </cfRule>
    <cfRule type="cellIs" dxfId="793" priority="724" stopIfTrue="1" operator="equal">
      <formula>"Fail"</formula>
    </cfRule>
  </conditionalFormatting>
  <conditionalFormatting sqref="I780:P780">
    <cfRule type="cellIs" dxfId="792" priority="721" stopIfTrue="1" operator="equal">
      <formula>"Pass"</formula>
    </cfRule>
    <cfRule type="cellIs" dxfId="791" priority="722" stopIfTrue="1" operator="equal">
      <formula>"Fail"</formula>
    </cfRule>
  </conditionalFormatting>
  <conditionalFormatting sqref="I780:P780">
    <cfRule type="cellIs" dxfId="790" priority="719" stopIfTrue="1" operator="equal">
      <formula>"Pass"</formula>
    </cfRule>
    <cfRule type="cellIs" dxfId="789" priority="720" stopIfTrue="1" operator="equal">
      <formula>"Fail"</formula>
    </cfRule>
  </conditionalFormatting>
  <conditionalFormatting sqref="I780:P780">
    <cfRule type="cellIs" dxfId="788" priority="717" stopIfTrue="1" operator="equal">
      <formula>"Pass"</formula>
    </cfRule>
    <cfRule type="cellIs" dxfId="787" priority="718" stopIfTrue="1" operator="equal">
      <formula>"Fail"</formula>
    </cfRule>
  </conditionalFormatting>
  <conditionalFormatting sqref="H780:O780">
    <cfRule type="cellIs" dxfId="786" priority="715" stopIfTrue="1" operator="equal">
      <formula>"Pass"</formula>
    </cfRule>
    <cfRule type="cellIs" dxfId="785" priority="716" stopIfTrue="1" operator="equal">
      <formula>"Fail"</formula>
    </cfRule>
  </conditionalFormatting>
  <conditionalFormatting sqref="H780:O780">
    <cfRule type="cellIs" dxfId="784" priority="713" stopIfTrue="1" operator="equal">
      <formula>"Pass"</formula>
    </cfRule>
    <cfRule type="cellIs" dxfId="783" priority="714" stopIfTrue="1" operator="equal">
      <formula>"Fail"</formula>
    </cfRule>
  </conditionalFormatting>
  <conditionalFormatting sqref="I780:P780">
    <cfRule type="cellIs" dxfId="782" priority="711" stopIfTrue="1" operator="equal">
      <formula>"Pass"</formula>
    </cfRule>
    <cfRule type="cellIs" dxfId="781" priority="712" stopIfTrue="1" operator="equal">
      <formula>"Fail"</formula>
    </cfRule>
  </conditionalFormatting>
  <conditionalFormatting sqref="I780:P780">
    <cfRule type="cellIs" dxfId="780" priority="709" stopIfTrue="1" operator="equal">
      <formula>"Pass"</formula>
    </cfRule>
    <cfRule type="cellIs" dxfId="779" priority="710" stopIfTrue="1" operator="equal">
      <formula>"Fail"</formula>
    </cfRule>
  </conditionalFormatting>
  <conditionalFormatting sqref="I780:P780">
    <cfRule type="cellIs" dxfId="778" priority="707" stopIfTrue="1" operator="equal">
      <formula>"Pass"</formula>
    </cfRule>
    <cfRule type="cellIs" dxfId="777" priority="708" stopIfTrue="1" operator="equal">
      <formula>"Fail"</formula>
    </cfRule>
  </conditionalFormatting>
  <conditionalFormatting sqref="I780:P780">
    <cfRule type="cellIs" dxfId="776" priority="705" stopIfTrue="1" operator="equal">
      <formula>"Pass"</formula>
    </cfRule>
    <cfRule type="cellIs" dxfId="775" priority="706" stopIfTrue="1" operator="equal">
      <formula>"Fail"</formula>
    </cfRule>
  </conditionalFormatting>
  <conditionalFormatting sqref="H780:O780">
    <cfRule type="cellIs" dxfId="774" priority="703" stopIfTrue="1" operator="equal">
      <formula>"Pass"</formula>
    </cfRule>
    <cfRule type="cellIs" dxfId="773" priority="704" stopIfTrue="1" operator="equal">
      <formula>"Fail"</formula>
    </cfRule>
  </conditionalFormatting>
  <conditionalFormatting sqref="H780:O780">
    <cfRule type="cellIs" dxfId="772" priority="701" stopIfTrue="1" operator="equal">
      <formula>"Pass"</formula>
    </cfRule>
    <cfRule type="cellIs" dxfId="771" priority="702" stopIfTrue="1" operator="equal">
      <formula>"Fail"</formula>
    </cfRule>
  </conditionalFormatting>
  <conditionalFormatting sqref="I780:P780">
    <cfRule type="cellIs" dxfId="770" priority="699" stopIfTrue="1" operator="equal">
      <formula>"Pass"</formula>
    </cfRule>
    <cfRule type="cellIs" dxfId="769" priority="700" stopIfTrue="1" operator="equal">
      <formula>"Fail"</formula>
    </cfRule>
  </conditionalFormatting>
  <conditionalFormatting sqref="I780:P780">
    <cfRule type="cellIs" dxfId="768" priority="697" stopIfTrue="1" operator="equal">
      <formula>"Pass"</formula>
    </cfRule>
    <cfRule type="cellIs" dxfId="767" priority="698" stopIfTrue="1" operator="equal">
      <formula>"Fail"</formula>
    </cfRule>
  </conditionalFormatting>
  <conditionalFormatting sqref="I780:P780">
    <cfRule type="cellIs" dxfId="766" priority="695" stopIfTrue="1" operator="equal">
      <formula>"Pass"</formula>
    </cfRule>
    <cfRule type="cellIs" dxfId="765" priority="696" stopIfTrue="1" operator="equal">
      <formula>"Fail"</formula>
    </cfRule>
  </conditionalFormatting>
  <conditionalFormatting sqref="I780:P780">
    <cfRule type="cellIs" dxfId="764" priority="693" stopIfTrue="1" operator="equal">
      <formula>"Pass"</formula>
    </cfRule>
    <cfRule type="cellIs" dxfId="763" priority="694" stopIfTrue="1" operator="equal">
      <formula>"Fail"</formula>
    </cfRule>
  </conditionalFormatting>
  <conditionalFormatting sqref="H780:O780">
    <cfRule type="cellIs" dxfId="762" priority="691" stopIfTrue="1" operator="equal">
      <formula>"Pass"</formula>
    </cfRule>
    <cfRule type="cellIs" dxfId="761" priority="692" stopIfTrue="1" operator="equal">
      <formula>"Fail"</formula>
    </cfRule>
  </conditionalFormatting>
  <conditionalFormatting sqref="H780:O780">
    <cfRule type="cellIs" dxfId="760" priority="689" stopIfTrue="1" operator="equal">
      <formula>"Pass"</formula>
    </cfRule>
    <cfRule type="cellIs" dxfId="759" priority="690" stopIfTrue="1" operator="equal">
      <formula>"Fail"</formula>
    </cfRule>
  </conditionalFormatting>
  <conditionalFormatting sqref="I780:P780">
    <cfRule type="cellIs" dxfId="758" priority="687" stopIfTrue="1" operator="equal">
      <formula>"Pass"</formula>
    </cfRule>
    <cfRule type="cellIs" dxfId="757" priority="688" stopIfTrue="1" operator="equal">
      <formula>"Fail"</formula>
    </cfRule>
  </conditionalFormatting>
  <conditionalFormatting sqref="I780:P780">
    <cfRule type="cellIs" dxfId="756" priority="685" stopIfTrue="1" operator="equal">
      <formula>"Pass"</formula>
    </cfRule>
    <cfRule type="cellIs" dxfId="755" priority="686" stopIfTrue="1" operator="equal">
      <formula>"Fail"</formula>
    </cfRule>
  </conditionalFormatting>
  <conditionalFormatting sqref="I780:P780">
    <cfRule type="cellIs" dxfId="754" priority="683" stopIfTrue="1" operator="equal">
      <formula>"Pass"</formula>
    </cfRule>
    <cfRule type="cellIs" dxfId="753" priority="684" stopIfTrue="1" operator="equal">
      <formula>"Fail"</formula>
    </cfRule>
  </conditionalFormatting>
  <conditionalFormatting sqref="I780:P780">
    <cfRule type="cellIs" dxfId="752" priority="681" stopIfTrue="1" operator="equal">
      <formula>"Pass"</formula>
    </cfRule>
    <cfRule type="cellIs" dxfId="751" priority="682" stopIfTrue="1" operator="equal">
      <formula>"Fail"</formula>
    </cfRule>
  </conditionalFormatting>
  <conditionalFormatting sqref="H780:O780">
    <cfRule type="cellIs" dxfId="750" priority="679" stopIfTrue="1" operator="equal">
      <formula>"Pass"</formula>
    </cfRule>
    <cfRule type="cellIs" dxfId="749" priority="680" stopIfTrue="1" operator="equal">
      <formula>"Fail"</formula>
    </cfRule>
  </conditionalFormatting>
  <conditionalFormatting sqref="H780:O780">
    <cfRule type="cellIs" dxfId="748" priority="677" stopIfTrue="1" operator="equal">
      <formula>"Pass"</formula>
    </cfRule>
    <cfRule type="cellIs" dxfId="747" priority="678" stopIfTrue="1" operator="equal">
      <formula>"Fail"</formula>
    </cfRule>
  </conditionalFormatting>
  <conditionalFormatting sqref="I780:P780">
    <cfRule type="cellIs" dxfId="746" priority="675" stopIfTrue="1" operator="equal">
      <formula>"Pass"</formula>
    </cfRule>
    <cfRule type="cellIs" dxfId="745" priority="676" stopIfTrue="1" operator="equal">
      <formula>"Fail"</formula>
    </cfRule>
  </conditionalFormatting>
  <conditionalFormatting sqref="I780:P780">
    <cfRule type="cellIs" dxfId="744" priority="673" stopIfTrue="1" operator="equal">
      <formula>"Pass"</formula>
    </cfRule>
    <cfRule type="cellIs" dxfId="743" priority="674" stopIfTrue="1" operator="equal">
      <formula>"Fail"</formula>
    </cfRule>
  </conditionalFormatting>
  <conditionalFormatting sqref="I780:P780">
    <cfRule type="cellIs" dxfId="742" priority="671" stopIfTrue="1" operator="equal">
      <formula>"Pass"</formula>
    </cfRule>
    <cfRule type="cellIs" dxfId="741" priority="672" stopIfTrue="1" operator="equal">
      <formula>"Fail"</formula>
    </cfRule>
  </conditionalFormatting>
  <conditionalFormatting sqref="I780:P780">
    <cfRule type="cellIs" dxfId="740" priority="669" stopIfTrue="1" operator="equal">
      <formula>"Pass"</formula>
    </cfRule>
    <cfRule type="cellIs" dxfId="739" priority="670" stopIfTrue="1" operator="equal">
      <formula>"Fail"</formula>
    </cfRule>
  </conditionalFormatting>
  <conditionalFormatting sqref="H780:O780">
    <cfRule type="cellIs" dxfId="738" priority="667" stopIfTrue="1" operator="equal">
      <formula>"Pass"</formula>
    </cfRule>
    <cfRule type="cellIs" dxfId="737" priority="668" stopIfTrue="1" operator="equal">
      <formula>"Fail"</formula>
    </cfRule>
  </conditionalFormatting>
  <conditionalFormatting sqref="H780:O780">
    <cfRule type="cellIs" dxfId="736" priority="665" stopIfTrue="1" operator="equal">
      <formula>"Pass"</formula>
    </cfRule>
    <cfRule type="cellIs" dxfId="735" priority="666" stopIfTrue="1" operator="equal">
      <formula>"Fail"</formula>
    </cfRule>
  </conditionalFormatting>
  <conditionalFormatting sqref="I780:P780">
    <cfRule type="cellIs" dxfId="734" priority="663" stopIfTrue="1" operator="equal">
      <formula>"Pass"</formula>
    </cfRule>
    <cfRule type="cellIs" dxfId="733" priority="664" stopIfTrue="1" operator="equal">
      <formula>"Fail"</formula>
    </cfRule>
  </conditionalFormatting>
  <conditionalFormatting sqref="I780:P780">
    <cfRule type="cellIs" dxfId="732" priority="661" stopIfTrue="1" operator="equal">
      <formula>"Pass"</formula>
    </cfRule>
    <cfRule type="cellIs" dxfId="731" priority="662" stopIfTrue="1" operator="equal">
      <formula>"Fail"</formula>
    </cfRule>
  </conditionalFormatting>
  <conditionalFormatting sqref="I780:P780">
    <cfRule type="cellIs" dxfId="730" priority="659" stopIfTrue="1" operator="equal">
      <formula>"Pass"</formula>
    </cfRule>
    <cfRule type="cellIs" dxfId="729" priority="660" stopIfTrue="1" operator="equal">
      <formula>"Fail"</formula>
    </cfRule>
  </conditionalFormatting>
  <conditionalFormatting sqref="I780:P780">
    <cfRule type="cellIs" dxfId="728" priority="657" stopIfTrue="1" operator="equal">
      <formula>"Pass"</formula>
    </cfRule>
    <cfRule type="cellIs" dxfId="727" priority="658" stopIfTrue="1" operator="equal">
      <formula>"Fail"</formula>
    </cfRule>
  </conditionalFormatting>
  <conditionalFormatting sqref="H780:O780">
    <cfRule type="cellIs" dxfId="726" priority="655" stopIfTrue="1" operator="equal">
      <formula>"Pass"</formula>
    </cfRule>
    <cfRule type="cellIs" dxfId="725" priority="656" stopIfTrue="1" operator="equal">
      <formula>"Fail"</formula>
    </cfRule>
  </conditionalFormatting>
  <conditionalFormatting sqref="H780:O780">
    <cfRule type="cellIs" dxfId="724" priority="653" stopIfTrue="1" operator="equal">
      <formula>"Pass"</formula>
    </cfRule>
    <cfRule type="cellIs" dxfId="723" priority="654" stopIfTrue="1" operator="equal">
      <formula>"Fail"</formula>
    </cfRule>
  </conditionalFormatting>
  <conditionalFormatting sqref="I780:P780">
    <cfRule type="cellIs" dxfId="722" priority="651" stopIfTrue="1" operator="equal">
      <formula>"Pass"</formula>
    </cfRule>
    <cfRule type="cellIs" dxfId="721" priority="652" stopIfTrue="1" operator="equal">
      <formula>"Fail"</formula>
    </cfRule>
  </conditionalFormatting>
  <conditionalFormatting sqref="I780:P780">
    <cfRule type="cellIs" dxfId="720" priority="649" stopIfTrue="1" operator="equal">
      <formula>"Pass"</formula>
    </cfRule>
    <cfRule type="cellIs" dxfId="719" priority="650" stopIfTrue="1" operator="equal">
      <formula>"Fail"</formula>
    </cfRule>
  </conditionalFormatting>
  <conditionalFormatting sqref="I780:P780">
    <cfRule type="cellIs" dxfId="718" priority="647" stopIfTrue="1" operator="equal">
      <formula>"Pass"</formula>
    </cfRule>
    <cfRule type="cellIs" dxfId="717" priority="648" stopIfTrue="1" operator="equal">
      <formula>"Fail"</formula>
    </cfRule>
  </conditionalFormatting>
  <conditionalFormatting sqref="I780:P780">
    <cfRule type="cellIs" dxfId="716" priority="645" stopIfTrue="1" operator="equal">
      <formula>"Pass"</formula>
    </cfRule>
    <cfRule type="cellIs" dxfId="715" priority="646" stopIfTrue="1" operator="equal">
      <formula>"Fail"</formula>
    </cfRule>
  </conditionalFormatting>
  <conditionalFormatting sqref="D780:E780">
    <cfRule type="cellIs" dxfId="714" priority="643" stopIfTrue="1" operator="equal">
      <formula>"Pass"</formula>
    </cfRule>
    <cfRule type="cellIs" dxfId="713" priority="644" stopIfTrue="1" operator="equal">
      <formula>"Fail"</formula>
    </cfRule>
  </conditionalFormatting>
  <conditionalFormatting sqref="D780:E780">
    <cfRule type="cellIs" dxfId="712" priority="641" stopIfTrue="1" operator="equal">
      <formula>"Pass"</formula>
    </cfRule>
    <cfRule type="cellIs" dxfId="711" priority="642" stopIfTrue="1" operator="equal">
      <formula>"Fail"</formula>
    </cfRule>
  </conditionalFormatting>
  <conditionalFormatting sqref="G780:H780">
    <cfRule type="cellIs" dxfId="710" priority="639" stopIfTrue="1" operator="equal">
      <formula>"Pass"</formula>
    </cfRule>
    <cfRule type="cellIs" dxfId="709" priority="640" stopIfTrue="1" operator="equal">
      <formula>"Fail"</formula>
    </cfRule>
  </conditionalFormatting>
  <conditionalFormatting sqref="G780:H780">
    <cfRule type="cellIs" dxfId="708" priority="637" stopIfTrue="1" operator="equal">
      <formula>"Pass"</formula>
    </cfRule>
    <cfRule type="cellIs" dxfId="707" priority="638" stopIfTrue="1" operator="equal">
      <formula>"Fail"</formula>
    </cfRule>
  </conditionalFormatting>
  <conditionalFormatting sqref="G780:H780">
    <cfRule type="cellIs" dxfId="706" priority="635" stopIfTrue="1" operator="equal">
      <formula>"Pass"</formula>
    </cfRule>
    <cfRule type="cellIs" dxfId="705" priority="636" stopIfTrue="1" operator="equal">
      <formula>"Fail"</formula>
    </cfRule>
  </conditionalFormatting>
  <conditionalFormatting sqref="G780:H780">
    <cfRule type="cellIs" dxfId="704" priority="633" stopIfTrue="1" operator="equal">
      <formula>"Pass"</formula>
    </cfRule>
    <cfRule type="cellIs" dxfId="703" priority="634" stopIfTrue="1" operator="equal">
      <formula>"Fail"</formula>
    </cfRule>
  </conditionalFormatting>
  <conditionalFormatting sqref="H780:O780">
    <cfRule type="cellIs" dxfId="702" priority="631" stopIfTrue="1" operator="equal">
      <formula>"Pass"</formula>
    </cfRule>
    <cfRule type="cellIs" dxfId="701" priority="632" stopIfTrue="1" operator="equal">
      <formula>"Fail"</formula>
    </cfRule>
  </conditionalFormatting>
  <conditionalFormatting sqref="H780:O780">
    <cfRule type="cellIs" dxfId="700" priority="629" stopIfTrue="1" operator="equal">
      <formula>"Pass"</formula>
    </cfRule>
    <cfRule type="cellIs" dxfId="699" priority="630" stopIfTrue="1" operator="equal">
      <formula>"Fail"</formula>
    </cfRule>
  </conditionalFormatting>
  <conditionalFormatting sqref="I780:P780">
    <cfRule type="cellIs" dxfId="698" priority="627" stopIfTrue="1" operator="equal">
      <formula>"Pass"</formula>
    </cfRule>
    <cfRule type="cellIs" dxfId="697" priority="628" stopIfTrue="1" operator="equal">
      <formula>"Fail"</formula>
    </cfRule>
  </conditionalFormatting>
  <conditionalFormatting sqref="I780:P780">
    <cfRule type="cellIs" dxfId="696" priority="625" stopIfTrue="1" operator="equal">
      <formula>"Pass"</formula>
    </cfRule>
    <cfRule type="cellIs" dxfId="695" priority="626" stopIfTrue="1" operator="equal">
      <formula>"Fail"</formula>
    </cfRule>
  </conditionalFormatting>
  <conditionalFormatting sqref="I780:P780">
    <cfRule type="cellIs" dxfId="694" priority="623" stopIfTrue="1" operator="equal">
      <formula>"Pass"</formula>
    </cfRule>
    <cfRule type="cellIs" dxfId="693" priority="624" stopIfTrue="1" operator="equal">
      <formula>"Fail"</formula>
    </cfRule>
  </conditionalFormatting>
  <conditionalFormatting sqref="I780:P780">
    <cfRule type="cellIs" dxfId="692" priority="621" stopIfTrue="1" operator="equal">
      <formula>"Pass"</formula>
    </cfRule>
    <cfRule type="cellIs" dxfId="691" priority="622" stopIfTrue="1" operator="equal">
      <formula>"Fail"</formula>
    </cfRule>
  </conditionalFormatting>
  <conditionalFormatting sqref="H780:O780">
    <cfRule type="cellIs" dxfId="690" priority="619" stopIfTrue="1" operator="equal">
      <formula>"Pass"</formula>
    </cfRule>
    <cfRule type="cellIs" dxfId="689" priority="620" stopIfTrue="1" operator="equal">
      <formula>"Fail"</formula>
    </cfRule>
  </conditionalFormatting>
  <conditionalFormatting sqref="H780:O780">
    <cfRule type="cellIs" dxfId="688" priority="617" stopIfTrue="1" operator="equal">
      <formula>"Pass"</formula>
    </cfRule>
    <cfRule type="cellIs" dxfId="687" priority="618" stopIfTrue="1" operator="equal">
      <formula>"Fail"</formula>
    </cfRule>
  </conditionalFormatting>
  <conditionalFormatting sqref="I780:P780">
    <cfRule type="cellIs" dxfId="686" priority="615" stopIfTrue="1" operator="equal">
      <formula>"Pass"</formula>
    </cfRule>
    <cfRule type="cellIs" dxfId="685" priority="616" stopIfTrue="1" operator="equal">
      <formula>"Fail"</formula>
    </cfRule>
  </conditionalFormatting>
  <conditionalFormatting sqref="I780:P780">
    <cfRule type="cellIs" dxfId="684" priority="613" stopIfTrue="1" operator="equal">
      <formula>"Pass"</formula>
    </cfRule>
    <cfRule type="cellIs" dxfId="683" priority="614" stopIfTrue="1" operator="equal">
      <formula>"Fail"</formula>
    </cfRule>
  </conditionalFormatting>
  <conditionalFormatting sqref="I780:P780">
    <cfRule type="cellIs" dxfId="682" priority="611" stopIfTrue="1" operator="equal">
      <formula>"Pass"</formula>
    </cfRule>
    <cfRule type="cellIs" dxfId="681" priority="612" stopIfTrue="1" operator="equal">
      <formula>"Fail"</formula>
    </cfRule>
  </conditionalFormatting>
  <conditionalFormatting sqref="I780:P780">
    <cfRule type="cellIs" dxfId="680" priority="609" stopIfTrue="1" operator="equal">
      <formula>"Pass"</formula>
    </cfRule>
    <cfRule type="cellIs" dxfId="679" priority="610" stopIfTrue="1" operator="equal">
      <formula>"Fail"</formula>
    </cfRule>
  </conditionalFormatting>
  <conditionalFormatting sqref="H780:O780">
    <cfRule type="cellIs" dxfId="678" priority="607" stopIfTrue="1" operator="equal">
      <formula>"Pass"</formula>
    </cfRule>
    <cfRule type="cellIs" dxfId="677" priority="608" stopIfTrue="1" operator="equal">
      <formula>"Fail"</formula>
    </cfRule>
  </conditionalFormatting>
  <conditionalFormatting sqref="H780:O780">
    <cfRule type="cellIs" dxfId="676" priority="605" stopIfTrue="1" operator="equal">
      <formula>"Pass"</formula>
    </cfRule>
    <cfRule type="cellIs" dxfId="675" priority="606" stopIfTrue="1" operator="equal">
      <formula>"Fail"</formula>
    </cfRule>
  </conditionalFormatting>
  <conditionalFormatting sqref="I780:P780">
    <cfRule type="cellIs" dxfId="674" priority="603" stopIfTrue="1" operator="equal">
      <formula>"Pass"</formula>
    </cfRule>
    <cfRule type="cellIs" dxfId="673" priority="604" stopIfTrue="1" operator="equal">
      <formula>"Fail"</formula>
    </cfRule>
  </conditionalFormatting>
  <conditionalFormatting sqref="I780:P780">
    <cfRule type="cellIs" dxfId="672" priority="601" stopIfTrue="1" operator="equal">
      <formula>"Pass"</formula>
    </cfRule>
    <cfRule type="cellIs" dxfId="671" priority="602" stopIfTrue="1" operator="equal">
      <formula>"Fail"</formula>
    </cfRule>
  </conditionalFormatting>
  <conditionalFormatting sqref="I780:P780">
    <cfRule type="cellIs" dxfId="670" priority="599" stopIfTrue="1" operator="equal">
      <formula>"Pass"</formula>
    </cfRule>
    <cfRule type="cellIs" dxfId="669" priority="600" stopIfTrue="1" operator="equal">
      <formula>"Fail"</formula>
    </cfRule>
  </conditionalFormatting>
  <conditionalFormatting sqref="I780:P780">
    <cfRule type="cellIs" dxfId="668" priority="597" stopIfTrue="1" operator="equal">
      <formula>"Pass"</formula>
    </cfRule>
    <cfRule type="cellIs" dxfId="667" priority="598" stopIfTrue="1" operator="equal">
      <formula>"Fail"</formula>
    </cfRule>
  </conditionalFormatting>
  <conditionalFormatting sqref="H780:O780">
    <cfRule type="cellIs" dxfId="666" priority="595" stopIfTrue="1" operator="equal">
      <formula>"Pass"</formula>
    </cfRule>
    <cfRule type="cellIs" dxfId="665" priority="596" stopIfTrue="1" operator="equal">
      <formula>"Fail"</formula>
    </cfRule>
  </conditionalFormatting>
  <conditionalFormatting sqref="H780:O780">
    <cfRule type="cellIs" dxfId="664" priority="593" stopIfTrue="1" operator="equal">
      <formula>"Pass"</formula>
    </cfRule>
    <cfRule type="cellIs" dxfId="663" priority="594" stopIfTrue="1" operator="equal">
      <formula>"Fail"</formula>
    </cfRule>
  </conditionalFormatting>
  <conditionalFormatting sqref="I780:P780">
    <cfRule type="cellIs" dxfId="662" priority="591" stopIfTrue="1" operator="equal">
      <formula>"Pass"</formula>
    </cfRule>
    <cfRule type="cellIs" dxfId="661" priority="592" stopIfTrue="1" operator="equal">
      <formula>"Fail"</formula>
    </cfRule>
  </conditionalFormatting>
  <conditionalFormatting sqref="I780:P780">
    <cfRule type="cellIs" dxfId="660" priority="589" stopIfTrue="1" operator="equal">
      <formula>"Pass"</formula>
    </cfRule>
    <cfRule type="cellIs" dxfId="659" priority="590" stopIfTrue="1" operator="equal">
      <formula>"Fail"</formula>
    </cfRule>
  </conditionalFormatting>
  <conditionalFormatting sqref="I780:P780">
    <cfRule type="cellIs" dxfId="658" priority="587" stopIfTrue="1" operator="equal">
      <formula>"Pass"</formula>
    </cfRule>
    <cfRule type="cellIs" dxfId="657" priority="588" stopIfTrue="1" operator="equal">
      <formula>"Fail"</formula>
    </cfRule>
  </conditionalFormatting>
  <conditionalFormatting sqref="I780:P780">
    <cfRule type="cellIs" dxfId="656" priority="585" stopIfTrue="1" operator="equal">
      <formula>"Pass"</formula>
    </cfRule>
    <cfRule type="cellIs" dxfId="655" priority="586" stopIfTrue="1" operator="equal">
      <formula>"Fail"</formula>
    </cfRule>
  </conditionalFormatting>
  <conditionalFormatting sqref="H780:O780">
    <cfRule type="cellIs" dxfId="654" priority="583" stopIfTrue="1" operator="equal">
      <formula>"Pass"</formula>
    </cfRule>
    <cfRule type="cellIs" dxfId="653" priority="584" stopIfTrue="1" operator="equal">
      <formula>"Fail"</formula>
    </cfRule>
  </conditionalFormatting>
  <conditionalFormatting sqref="H780:O780">
    <cfRule type="cellIs" dxfId="652" priority="581" stopIfTrue="1" operator="equal">
      <formula>"Pass"</formula>
    </cfRule>
    <cfRule type="cellIs" dxfId="651" priority="582" stopIfTrue="1" operator="equal">
      <formula>"Fail"</formula>
    </cfRule>
  </conditionalFormatting>
  <conditionalFormatting sqref="I780:P780">
    <cfRule type="cellIs" dxfId="650" priority="579" stopIfTrue="1" operator="equal">
      <formula>"Pass"</formula>
    </cfRule>
    <cfRule type="cellIs" dxfId="649" priority="580" stopIfTrue="1" operator="equal">
      <formula>"Fail"</formula>
    </cfRule>
  </conditionalFormatting>
  <conditionalFormatting sqref="I780:P780">
    <cfRule type="cellIs" dxfId="648" priority="577" stopIfTrue="1" operator="equal">
      <formula>"Pass"</formula>
    </cfRule>
    <cfRule type="cellIs" dxfId="647" priority="578" stopIfTrue="1" operator="equal">
      <formula>"Fail"</formula>
    </cfRule>
  </conditionalFormatting>
  <conditionalFormatting sqref="I780:P780">
    <cfRule type="cellIs" dxfId="646" priority="575" stopIfTrue="1" operator="equal">
      <formula>"Pass"</formula>
    </cfRule>
    <cfRule type="cellIs" dxfId="645" priority="576" stopIfTrue="1" operator="equal">
      <formula>"Fail"</formula>
    </cfRule>
  </conditionalFormatting>
  <conditionalFormatting sqref="I780:P780">
    <cfRule type="cellIs" dxfId="644" priority="573" stopIfTrue="1" operator="equal">
      <formula>"Pass"</formula>
    </cfRule>
    <cfRule type="cellIs" dxfId="643" priority="574" stopIfTrue="1" operator="equal">
      <formula>"Fail"</formula>
    </cfRule>
  </conditionalFormatting>
  <conditionalFormatting sqref="H780:O780">
    <cfRule type="cellIs" dxfId="642" priority="571" stopIfTrue="1" operator="equal">
      <formula>"Pass"</formula>
    </cfRule>
    <cfRule type="cellIs" dxfId="641" priority="572" stopIfTrue="1" operator="equal">
      <formula>"Fail"</formula>
    </cfRule>
  </conditionalFormatting>
  <conditionalFormatting sqref="H780:O780">
    <cfRule type="cellIs" dxfId="640" priority="569" stopIfTrue="1" operator="equal">
      <formula>"Pass"</formula>
    </cfRule>
    <cfRule type="cellIs" dxfId="639" priority="570" stopIfTrue="1" operator="equal">
      <formula>"Fail"</formula>
    </cfRule>
  </conditionalFormatting>
  <conditionalFormatting sqref="I780:P780">
    <cfRule type="cellIs" dxfId="638" priority="567" stopIfTrue="1" operator="equal">
      <formula>"Pass"</formula>
    </cfRule>
    <cfRule type="cellIs" dxfId="637" priority="568" stopIfTrue="1" operator="equal">
      <formula>"Fail"</formula>
    </cfRule>
  </conditionalFormatting>
  <conditionalFormatting sqref="I780:P780">
    <cfRule type="cellIs" dxfId="636" priority="565" stopIfTrue="1" operator="equal">
      <formula>"Pass"</formula>
    </cfRule>
    <cfRule type="cellIs" dxfId="635" priority="566" stopIfTrue="1" operator="equal">
      <formula>"Fail"</formula>
    </cfRule>
  </conditionalFormatting>
  <conditionalFormatting sqref="I780:P780">
    <cfRule type="cellIs" dxfId="634" priority="563" stopIfTrue="1" operator="equal">
      <formula>"Pass"</formula>
    </cfRule>
    <cfRule type="cellIs" dxfId="633" priority="564" stopIfTrue="1" operator="equal">
      <formula>"Fail"</formula>
    </cfRule>
  </conditionalFormatting>
  <conditionalFormatting sqref="I780:P780">
    <cfRule type="cellIs" dxfId="632" priority="561" stopIfTrue="1" operator="equal">
      <formula>"Pass"</formula>
    </cfRule>
    <cfRule type="cellIs" dxfId="631" priority="562" stopIfTrue="1" operator="equal">
      <formula>"Fail"</formula>
    </cfRule>
  </conditionalFormatting>
  <conditionalFormatting sqref="H780:O780">
    <cfRule type="cellIs" dxfId="630" priority="559" stopIfTrue="1" operator="equal">
      <formula>"Pass"</formula>
    </cfRule>
    <cfRule type="cellIs" dxfId="629" priority="560" stopIfTrue="1" operator="equal">
      <formula>"Fail"</formula>
    </cfRule>
  </conditionalFormatting>
  <conditionalFormatting sqref="H780:O780">
    <cfRule type="cellIs" dxfId="628" priority="557" stopIfTrue="1" operator="equal">
      <formula>"Pass"</formula>
    </cfRule>
    <cfRule type="cellIs" dxfId="627" priority="558" stopIfTrue="1" operator="equal">
      <formula>"Fail"</formula>
    </cfRule>
  </conditionalFormatting>
  <conditionalFormatting sqref="I780:P780">
    <cfRule type="cellIs" dxfId="626" priority="555" stopIfTrue="1" operator="equal">
      <formula>"Pass"</formula>
    </cfRule>
    <cfRule type="cellIs" dxfId="625" priority="556" stopIfTrue="1" operator="equal">
      <formula>"Fail"</formula>
    </cfRule>
  </conditionalFormatting>
  <conditionalFormatting sqref="I780:P780">
    <cfRule type="cellIs" dxfId="624" priority="553" stopIfTrue="1" operator="equal">
      <formula>"Pass"</formula>
    </cfRule>
    <cfRule type="cellIs" dxfId="623" priority="554" stopIfTrue="1" operator="equal">
      <formula>"Fail"</formula>
    </cfRule>
  </conditionalFormatting>
  <conditionalFormatting sqref="I780:P780">
    <cfRule type="cellIs" dxfId="622" priority="551" stopIfTrue="1" operator="equal">
      <formula>"Pass"</formula>
    </cfRule>
    <cfRule type="cellIs" dxfId="621" priority="552" stopIfTrue="1" operator="equal">
      <formula>"Fail"</formula>
    </cfRule>
  </conditionalFormatting>
  <conditionalFormatting sqref="I780:P780">
    <cfRule type="cellIs" dxfId="620" priority="549" stopIfTrue="1" operator="equal">
      <formula>"Pass"</formula>
    </cfRule>
    <cfRule type="cellIs" dxfId="619" priority="550" stopIfTrue="1" operator="equal">
      <formula>"Fail"</formula>
    </cfRule>
  </conditionalFormatting>
  <conditionalFormatting sqref="H780:O780">
    <cfRule type="cellIs" dxfId="618" priority="547" stopIfTrue="1" operator="equal">
      <formula>"Pass"</formula>
    </cfRule>
    <cfRule type="cellIs" dxfId="617" priority="548" stopIfTrue="1" operator="equal">
      <formula>"Fail"</formula>
    </cfRule>
  </conditionalFormatting>
  <conditionalFormatting sqref="H780:O780">
    <cfRule type="cellIs" dxfId="616" priority="545" stopIfTrue="1" operator="equal">
      <formula>"Pass"</formula>
    </cfRule>
    <cfRule type="cellIs" dxfId="615" priority="546" stopIfTrue="1" operator="equal">
      <formula>"Fail"</formula>
    </cfRule>
  </conditionalFormatting>
  <conditionalFormatting sqref="I780:P780">
    <cfRule type="cellIs" dxfId="614" priority="543" stopIfTrue="1" operator="equal">
      <formula>"Pass"</formula>
    </cfRule>
    <cfRule type="cellIs" dxfId="613" priority="544" stopIfTrue="1" operator="equal">
      <formula>"Fail"</formula>
    </cfRule>
  </conditionalFormatting>
  <conditionalFormatting sqref="I780:P780">
    <cfRule type="cellIs" dxfId="612" priority="541" stopIfTrue="1" operator="equal">
      <formula>"Pass"</formula>
    </cfRule>
    <cfRule type="cellIs" dxfId="611" priority="542" stopIfTrue="1" operator="equal">
      <formula>"Fail"</formula>
    </cfRule>
  </conditionalFormatting>
  <conditionalFormatting sqref="I780:P780">
    <cfRule type="cellIs" dxfId="610" priority="539" stopIfTrue="1" operator="equal">
      <formula>"Pass"</formula>
    </cfRule>
    <cfRule type="cellIs" dxfId="609" priority="540" stopIfTrue="1" operator="equal">
      <formula>"Fail"</formula>
    </cfRule>
  </conditionalFormatting>
  <conditionalFormatting sqref="I780:P780">
    <cfRule type="cellIs" dxfId="608" priority="537" stopIfTrue="1" operator="equal">
      <formula>"Pass"</formula>
    </cfRule>
    <cfRule type="cellIs" dxfId="607" priority="538" stopIfTrue="1" operator="equal">
      <formula>"Fail"</formula>
    </cfRule>
  </conditionalFormatting>
  <conditionalFormatting sqref="H780:O780">
    <cfRule type="cellIs" dxfId="606" priority="535" stopIfTrue="1" operator="equal">
      <formula>"Pass"</formula>
    </cfRule>
    <cfRule type="cellIs" dxfId="605" priority="536" stopIfTrue="1" operator="equal">
      <formula>"Fail"</formula>
    </cfRule>
  </conditionalFormatting>
  <conditionalFormatting sqref="H780:O780">
    <cfRule type="cellIs" dxfId="604" priority="533" stopIfTrue="1" operator="equal">
      <formula>"Pass"</formula>
    </cfRule>
    <cfRule type="cellIs" dxfId="603" priority="534" stopIfTrue="1" operator="equal">
      <formula>"Fail"</formula>
    </cfRule>
  </conditionalFormatting>
  <conditionalFormatting sqref="I780:P780">
    <cfRule type="cellIs" dxfId="602" priority="531" stopIfTrue="1" operator="equal">
      <formula>"Pass"</formula>
    </cfRule>
    <cfRule type="cellIs" dxfId="601" priority="532" stopIfTrue="1" operator="equal">
      <formula>"Fail"</formula>
    </cfRule>
  </conditionalFormatting>
  <conditionalFormatting sqref="I780:P780">
    <cfRule type="cellIs" dxfId="600" priority="529" stopIfTrue="1" operator="equal">
      <formula>"Pass"</formula>
    </cfRule>
    <cfRule type="cellIs" dxfId="599" priority="530" stopIfTrue="1" operator="equal">
      <formula>"Fail"</formula>
    </cfRule>
  </conditionalFormatting>
  <conditionalFormatting sqref="I780:P780">
    <cfRule type="cellIs" dxfId="598" priority="527" stopIfTrue="1" operator="equal">
      <formula>"Pass"</formula>
    </cfRule>
    <cfRule type="cellIs" dxfId="597" priority="528" stopIfTrue="1" operator="equal">
      <formula>"Fail"</formula>
    </cfRule>
  </conditionalFormatting>
  <conditionalFormatting sqref="I780:P780">
    <cfRule type="cellIs" dxfId="596" priority="525" stopIfTrue="1" operator="equal">
      <formula>"Pass"</formula>
    </cfRule>
    <cfRule type="cellIs" dxfId="595" priority="526" stopIfTrue="1" operator="equal">
      <formula>"Fail"</formula>
    </cfRule>
  </conditionalFormatting>
  <conditionalFormatting sqref="H780:O780">
    <cfRule type="cellIs" dxfId="594" priority="523" stopIfTrue="1" operator="equal">
      <formula>"Pass"</formula>
    </cfRule>
    <cfRule type="cellIs" dxfId="593" priority="524" stopIfTrue="1" operator="equal">
      <formula>"Fail"</formula>
    </cfRule>
  </conditionalFormatting>
  <conditionalFormatting sqref="H780:O780">
    <cfRule type="cellIs" dxfId="592" priority="521" stopIfTrue="1" operator="equal">
      <formula>"Pass"</formula>
    </cfRule>
    <cfRule type="cellIs" dxfId="591" priority="522" stopIfTrue="1" operator="equal">
      <formula>"Fail"</formula>
    </cfRule>
  </conditionalFormatting>
  <conditionalFormatting sqref="I780:P780">
    <cfRule type="cellIs" dxfId="590" priority="519" stopIfTrue="1" operator="equal">
      <formula>"Pass"</formula>
    </cfRule>
    <cfRule type="cellIs" dxfId="589" priority="520" stopIfTrue="1" operator="equal">
      <formula>"Fail"</formula>
    </cfRule>
  </conditionalFormatting>
  <conditionalFormatting sqref="I780:P780">
    <cfRule type="cellIs" dxfId="588" priority="517" stopIfTrue="1" operator="equal">
      <formula>"Pass"</formula>
    </cfRule>
    <cfRule type="cellIs" dxfId="587" priority="518" stopIfTrue="1" operator="equal">
      <formula>"Fail"</formula>
    </cfRule>
  </conditionalFormatting>
  <conditionalFormatting sqref="I780:P780">
    <cfRule type="cellIs" dxfId="586" priority="515" stopIfTrue="1" operator="equal">
      <formula>"Pass"</formula>
    </cfRule>
    <cfRule type="cellIs" dxfId="585" priority="516" stopIfTrue="1" operator="equal">
      <formula>"Fail"</formula>
    </cfRule>
  </conditionalFormatting>
  <conditionalFormatting sqref="I780:P780">
    <cfRule type="cellIs" dxfId="584" priority="513" stopIfTrue="1" operator="equal">
      <formula>"Pass"</formula>
    </cfRule>
    <cfRule type="cellIs" dxfId="583" priority="514" stopIfTrue="1" operator="equal">
      <formula>"Fail"</formula>
    </cfRule>
  </conditionalFormatting>
  <conditionalFormatting sqref="H780:O780">
    <cfRule type="cellIs" dxfId="582" priority="511" stopIfTrue="1" operator="equal">
      <formula>"Pass"</formula>
    </cfRule>
    <cfRule type="cellIs" dxfId="581" priority="512" stopIfTrue="1" operator="equal">
      <formula>"Fail"</formula>
    </cfRule>
  </conditionalFormatting>
  <conditionalFormatting sqref="H780:O780">
    <cfRule type="cellIs" dxfId="580" priority="509" stopIfTrue="1" operator="equal">
      <formula>"Pass"</formula>
    </cfRule>
    <cfRule type="cellIs" dxfId="579" priority="510" stopIfTrue="1" operator="equal">
      <formula>"Fail"</formula>
    </cfRule>
  </conditionalFormatting>
  <conditionalFormatting sqref="I780:P780">
    <cfRule type="cellIs" dxfId="578" priority="507" stopIfTrue="1" operator="equal">
      <formula>"Pass"</formula>
    </cfRule>
    <cfRule type="cellIs" dxfId="577" priority="508" stopIfTrue="1" operator="equal">
      <formula>"Fail"</formula>
    </cfRule>
  </conditionalFormatting>
  <conditionalFormatting sqref="I780:P780">
    <cfRule type="cellIs" dxfId="576" priority="505" stopIfTrue="1" operator="equal">
      <formula>"Pass"</formula>
    </cfRule>
    <cfRule type="cellIs" dxfId="575" priority="506" stopIfTrue="1" operator="equal">
      <formula>"Fail"</formula>
    </cfRule>
  </conditionalFormatting>
  <conditionalFormatting sqref="I780:P780">
    <cfRule type="cellIs" dxfId="574" priority="503" stopIfTrue="1" operator="equal">
      <formula>"Pass"</formula>
    </cfRule>
    <cfRule type="cellIs" dxfId="573" priority="504" stopIfTrue="1" operator="equal">
      <formula>"Fail"</formula>
    </cfRule>
  </conditionalFormatting>
  <conditionalFormatting sqref="I780:P780">
    <cfRule type="cellIs" dxfId="572" priority="501" stopIfTrue="1" operator="equal">
      <formula>"Pass"</formula>
    </cfRule>
    <cfRule type="cellIs" dxfId="571" priority="502" stopIfTrue="1" operator="equal">
      <formula>"Fail"</formula>
    </cfRule>
  </conditionalFormatting>
  <conditionalFormatting sqref="H780:O780">
    <cfRule type="cellIs" dxfId="570" priority="499" stopIfTrue="1" operator="equal">
      <formula>"Pass"</formula>
    </cfRule>
    <cfRule type="cellIs" dxfId="569" priority="500" stopIfTrue="1" operator="equal">
      <formula>"Fail"</formula>
    </cfRule>
  </conditionalFormatting>
  <conditionalFormatting sqref="H780:O780">
    <cfRule type="cellIs" dxfId="568" priority="497" stopIfTrue="1" operator="equal">
      <formula>"Pass"</formula>
    </cfRule>
    <cfRule type="cellIs" dxfId="567" priority="498" stopIfTrue="1" operator="equal">
      <formula>"Fail"</formula>
    </cfRule>
  </conditionalFormatting>
  <conditionalFormatting sqref="I780:P780">
    <cfRule type="cellIs" dxfId="566" priority="495" stopIfTrue="1" operator="equal">
      <formula>"Pass"</formula>
    </cfRule>
    <cfRule type="cellIs" dxfId="565" priority="496" stopIfTrue="1" operator="equal">
      <formula>"Fail"</formula>
    </cfRule>
  </conditionalFormatting>
  <conditionalFormatting sqref="I780:P780">
    <cfRule type="cellIs" dxfId="564" priority="493" stopIfTrue="1" operator="equal">
      <formula>"Pass"</formula>
    </cfRule>
    <cfRule type="cellIs" dxfId="563" priority="494" stopIfTrue="1" operator="equal">
      <formula>"Fail"</formula>
    </cfRule>
  </conditionalFormatting>
  <conditionalFormatting sqref="I780:P780">
    <cfRule type="cellIs" dxfId="562" priority="491" stopIfTrue="1" operator="equal">
      <formula>"Pass"</formula>
    </cfRule>
    <cfRule type="cellIs" dxfId="561" priority="492" stopIfTrue="1" operator="equal">
      <formula>"Fail"</formula>
    </cfRule>
  </conditionalFormatting>
  <conditionalFormatting sqref="I780:P780">
    <cfRule type="cellIs" dxfId="560" priority="489" stopIfTrue="1" operator="equal">
      <formula>"Pass"</formula>
    </cfRule>
    <cfRule type="cellIs" dxfId="559" priority="490" stopIfTrue="1" operator="equal">
      <formula>"Fail"</formula>
    </cfRule>
  </conditionalFormatting>
  <conditionalFormatting sqref="D780:E780 G780:P780">
    <cfRule type="cellIs" dxfId="558" priority="487" stopIfTrue="1" operator="equal">
      <formula>"Pass"</formula>
    </cfRule>
    <cfRule type="cellIs" dxfId="557" priority="488" stopIfTrue="1" operator="equal">
      <formula>"Fail"</formula>
    </cfRule>
  </conditionalFormatting>
  <conditionalFormatting sqref="D780:E780 G780:P780">
    <cfRule type="cellIs" dxfId="556" priority="485" stopIfTrue="1" operator="equal">
      <formula>"Pass"</formula>
    </cfRule>
    <cfRule type="cellIs" dxfId="555" priority="486" stopIfTrue="1" operator="equal">
      <formula>"Fail"</formula>
    </cfRule>
  </conditionalFormatting>
  <conditionalFormatting sqref="D780:E780 G780:P780">
    <cfRule type="cellIs" dxfId="554" priority="483" stopIfTrue="1" operator="equal">
      <formula>"Pass"</formula>
    </cfRule>
    <cfRule type="cellIs" dxfId="553" priority="484" stopIfTrue="1" operator="equal">
      <formula>"Fail"</formula>
    </cfRule>
  </conditionalFormatting>
  <conditionalFormatting sqref="D780:E780 G780:P780">
    <cfRule type="cellIs" dxfId="552" priority="481" stopIfTrue="1" operator="equal">
      <formula>"Pass"</formula>
    </cfRule>
    <cfRule type="cellIs" dxfId="551" priority="482" stopIfTrue="1" operator="equal">
      <formula>"Fail"</formula>
    </cfRule>
  </conditionalFormatting>
  <conditionalFormatting sqref="D780:E780 G780:P780">
    <cfRule type="cellIs" dxfId="550" priority="479" stopIfTrue="1" operator="equal">
      <formula>"Pass"</formula>
    </cfRule>
    <cfRule type="cellIs" dxfId="549" priority="480" stopIfTrue="1" operator="equal">
      <formula>"Fail"</formula>
    </cfRule>
  </conditionalFormatting>
  <conditionalFormatting sqref="D780:E780 G780:P780">
    <cfRule type="cellIs" dxfId="548" priority="477" stopIfTrue="1" operator="equal">
      <formula>"Pass"</formula>
    </cfRule>
    <cfRule type="cellIs" dxfId="547" priority="478" stopIfTrue="1" operator="equal">
      <formula>"Fail"</formula>
    </cfRule>
  </conditionalFormatting>
  <conditionalFormatting sqref="D780:E780 G780:P780">
    <cfRule type="cellIs" dxfId="546" priority="475" stopIfTrue="1" operator="equal">
      <formula>"Pass"</formula>
    </cfRule>
    <cfRule type="cellIs" dxfId="545" priority="476" stopIfTrue="1" operator="equal">
      <formula>"Fail"</formula>
    </cfRule>
  </conditionalFormatting>
  <conditionalFormatting sqref="D780:E780 G780:P780">
    <cfRule type="cellIs" dxfId="544" priority="473" stopIfTrue="1" operator="equal">
      <formula>"Pass"</formula>
    </cfRule>
    <cfRule type="cellIs" dxfId="543" priority="474" stopIfTrue="1" operator="equal">
      <formula>"Fail"</formula>
    </cfRule>
  </conditionalFormatting>
  <conditionalFormatting sqref="D780:E780 G780:P780">
    <cfRule type="cellIs" dxfId="542" priority="471" stopIfTrue="1" operator="equal">
      <formula>"Pass"</formula>
    </cfRule>
    <cfRule type="cellIs" dxfId="541" priority="472" stopIfTrue="1" operator="equal">
      <formula>"Fail"</formula>
    </cfRule>
  </conditionalFormatting>
  <conditionalFormatting sqref="D780:E780 G780:P780">
    <cfRule type="cellIs" dxfId="540" priority="469" stopIfTrue="1" operator="equal">
      <formula>"Pass"</formula>
    </cfRule>
    <cfRule type="cellIs" dxfId="539" priority="470" stopIfTrue="1" operator="equal">
      <formula>"Fail"</formula>
    </cfRule>
  </conditionalFormatting>
  <conditionalFormatting sqref="D780:E780 G780:P780">
    <cfRule type="cellIs" dxfId="538" priority="467" stopIfTrue="1" operator="equal">
      <formula>"Pass"</formula>
    </cfRule>
    <cfRule type="cellIs" dxfId="537" priority="468" stopIfTrue="1" operator="equal">
      <formula>"Fail"</formula>
    </cfRule>
  </conditionalFormatting>
  <conditionalFormatting sqref="D780:E780 G780:P780">
    <cfRule type="cellIs" dxfId="536" priority="465" stopIfTrue="1" operator="equal">
      <formula>"Pass"</formula>
    </cfRule>
    <cfRule type="cellIs" dxfId="535" priority="466" stopIfTrue="1" operator="equal">
      <formula>"Fail"</formula>
    </cfRule>
  </conditionalFormatting>
  <conditionalFormatting sqref="D780:E780 G780:P780">
    <cfRule type="cellIs" dxfId="534" priority="463" stopIfTrue="1" operator="equal">
      <formula>"Pass"</formula>
    </cfRule>
    <cfRule type="cellIs" dxfId="533" priority="464" stopIfTrue="1" operator="equal">
      <formula>"Fail"</formula>
    </cfRule>
  </conditionalFormatting>
  <conditionalFormatting sqref="D780:E780 G780:P780">
    <cfRule type="cellIs" dxfId="532" priority="461" stopIfTrue="1" operator="equal">
      <formula>"Pass"</formula>
    </cfRule>
    <cfRule type="cellIs" dxfId="531" priority="462" stopIfTrue="1" operator="equal">
      <formula>"Fail"</formula>
    </cfRule>
  </conditionalFormatting>
  <conditionalFormatting sqref="D780:E780 G780:P780">
    <cfRule type="cellIs" dxfId="530" priority="459" stopIfTrue="1" operator="equal">
      <formula>"Pass"</formula>
    </cfRule>
    <cfRule type="cellIs" dxfId="529" priority="460" stopIfTrue="1" operator="equal">
      <formula>"Fail"</formula>
    </cfRule>
  </conditionalFormatting>
  <conditionalFormatting sqref="D780:E780 G780:P780">
    <cfRule type="cellIs" dxfId="528" priority="457" stopIfTrue="1" operator="equal">
      <formula>"Pass"</formula>
    </cfRule>
    <cfRule type="cellIs" dxfId="527" priority="458" stopIfTrue="1" operator="equal">
      <formula>"Fail"</formula>
    </cfRule>
  </conditionalFormatting>
  <conditionalFormatting sqref="D780:E780 G780:P780">
    <cfRule type="cellIs" dxfId="526" priority="455" stopIfTrue="1" operator="equal">
      <formula>"Pass"</formula>
    </cfRule>
    <cfRule type="cellIs" dxfId="525" priority="456" stopIfTrue="1" operator="equal">
      <formula>"Fail"</formula>
    </cfRule>
  </conditionalFormatting>
  <conditionalFormatting sqref="D780:E780 G780:P780">
    <cfRule type="cellIs" dxfId="524" priority="453" stopIfTrue="1" operator="equal">
      <formula>"Pass"</formula>
    </cfRule>
    <cfRule type="cellIs" dxfId="523" priority="454" stopIfTrue="1" operator="equal">
      <formula>"Fail"</formula>
    </cfRule>
  </conditionalFormatting>
  <conditionalFormatting sqref="D780:E780 G780:P780">
    <cfRule type="cellIs" dxfId="522" priority="451" stopIfTrue="1" operator="equal">
      <formula>"Pass"</formula>
    </cfRule>
    <cfRule type="cellIs" dxfId="521" priority="452" stopIfTrue="1" operator="equal">
      <formula>"Fail"</formula>
    </cfRule>
  </conditionalFormatting>
  <conditionalFormatting sqref="D780:E780 G780:P780">
    <cfRule type="cellIs" dxfId="520" priority="449" stopIfTrue="1" operator="equal">
      <formula>"Pass"</formula>
    </cfRule>
    <cfRule type="cellIs" dxfId="519" priority="450" stopIfTrue="1" operator="equal">
      <formula>"Fail"</formula>
    </cfRule>
  </conditionalFormatting>
  <conditionalFormatting sqref="D780:E780 G780:P780">
    <cfRule type="cellIs" dxfId="518" priority="447" stopIfTrue="1" operator="equal">
      <formula>"Pass"</formula>
    </cfRule>
    <cfRule type="cellIs" dxfId="517" priority="448" stopIfTrue="1" operator="equal">
      <formula>"Fail"</formula>
    </cfRule>
  </conditionalFormatting>
  <conditionalFormatting sqref="H779:P779">
    <cfRule type="cellIs" dxfId="516" priority="445" stopIfTrue="1" operator="equal">
      <formula>"Pass"</formula>
    </cfRule>
    <cfRule type="cellIs" dxfId="515" priority="446" stopIfTrue="1" operator="equal">
      <formula>"Fail"</formula>
    </cfRule>
  </conditionalFormatting>
  <conditionalFormatting sqref="H779:O779">
    <cfRule type="cellIs" dxfId="514" priority="443" stopIfTrue="1" operator="equal">
      <formula>"Pass"</formula>
    </cfRule>
    <cfRule type="cellIs" dxfId="513" priority="444" stopIfTrue="1" operator="equal">
      <formula>"Fail"</formula>
    </cfRule>
  </conditionalFormatting>
  <conditionalFormatting sqref="H779:O779">
    <cfRule type="cellIs" dxfId="512" priority="441" stopIfTrue="1" operator="equal">
      <formula>"Pass"</formula>
    </cfRule>
    <cfRule type="cellIs" dxfId="511" priority="442" stopIfTrue="1" operator="equal">
      <formula>"Fail"</formula>
    </cfRule>
  </conditionalFormatting>
  <conditionalFormatting sqref="I779:P779">
    <cfRule type="cellIs" dxfId="510" priority="439" stopIfTrue="1" operator="equal">
      <formula>"Pass"</formula>
    </cfRule>
    <cfRule type="cellIs" dxfId="509" priority="440" stopIfTrue="1" operator="equal">
      <formula>"Fail"</formula>
    </cfRule>
  </conditionalFormatting>
  <conditionalFormatting sqref="I779:P779">
    <cfRule type="cellIs" dxfId="508" priority="437" stopIfTrue="1" operator="equal">
      <formula>"Pass"</formula>
    </cfRule>
    <cfRule type="cellIs" dxfId="507" priority="438" stopIfTrue="1" operator="equal">
      <formula>"Fail"</formula>
    </cfRule>
  </conditionalFormatting>
  <conditionalFormatting sqref="I779:P779">
    <cfRule type="cellIs" dxfId="506" priority="435" stopIfTrue="1" operator="equal">
      <formula>"Pass"</formula>
    </cfRule>
    <cfRule type="cellIs" dxfId="505" priority="436" stopIfTrue="1" operator="equal">
      <formula>"Fail"</formula>
    </cfRule>
  </conditionalFormatting>
  <conditionalFormatting sqref="I779:P779">
    <cfRule type="cellIs" dxfId="504" priority="433" stopIfTrue="1" operator="equal">
      <formula>"Pass"</formula>
    </cfRule>
    <cfRule type="cellIs" dxfId="503" priority="434" stopIfTrue="1" operator="equal">
      <formula>"Fail"</formula>
    </cfRule>
  </conditionalFormatting>
  <conditionalFormatting sqref="H779:O779">
    <cfRule type="cellIs" dxfId="502" priority="431" stopIfTrue="1" operator="equal">
      <formula>"Pass"</formula>
    </cfRule>
    <cfRule type="cellIs" dxfId="501" priority="432" stopIfTrue="1" operator="equal">
      <formula>"Fail"</formula>
    </cfRule>
  </conditionalFormatting>
  <conditionalFormatting sqref="H779:O779">
    <cfRule type="cellIs" dxfId="500" priority="429" stopIfTrue="1" operator="equal">
      <formula>"Pass"</formula>
    </cfRule>
    <cfRule type="cellIs" dxfId="499" priority="430" stopIfTrue="1" operator="equal">
      <formula>"Fail"</formula>
    </cfRule>
  </conditionalFormatting>
  <conditionalFormatting sqref="I779:P779">
    <cfRule type="cellIs" dxfId="498" priority="427" stopIfTrue="1" operator="equal">
      <formula>"Pass"</formula>
    </cfRule>
    <cfRule type="cellIs" dxfId="497" priority="428" stopIfTrue="1" operator="equal">
      <formula>"Fail"</formula>
    </cfRule>
  </conditionalFormatting>
  <conditionalFormatting sqref="I779:P779">
    <cfRule type="cellIs" dxfId="496" priority="425" stopIfTrue="1" operator="equal">
      <formula>"Pass"</formula>
    </cfRule>
    <cfRule type="cellIs" dxfId="495" priority="426" stopIfTrue="1" operator="equal">
      <formula>"Fail"</formula>
    </cfRule>
  </conditionalFormatting>
  <conditionalFormatting sqref="I779:P779">
    <cfRule type="cellIs" dxfId="494" priority="423" stopIfTrue="1" operator="equal">
      <formula>"Pass"</formula>
    </cfRule>
    <cfRule type="cellIs" dxfId="493" priority="424" stopIfTrue="1" operator="equal">
      <formula>"Fail"</formula>
    </cfRule>
  </conditionalFormatting>
  <conditionalFormatting sqref="I779:P779">
    <cfRule type="cellIs" dxfId="492" priority="421" stopIfTrue="1" operator="equal">
      <formula>"Pass"</formula>
    </cfRule>
    <cfRule type="cellIs" dxfId="491" priority="422" stopIfTrue="1" operator="equal">
      <formula>"Fail"</formula>
    </cfRule>
  </conditionalFormatting>
  <conditionalFormatting sqref="H779:O779">
    <cfRule type="cellIs" dxfId="490" priority="419" stopIfTrue="1" operator="equal">
      <formula>"Pass"</formula>
    </cfRule>
    <cfRule type="cellIs" dxfId="489" priority="420" stopIfTrue="1" operator="equal">
      <formula>"Fail"</formula>
    </cfRule>
  </conditionalFormatting>
  <conditionalFormatting sqref="H779:O779">
    <cfRule type="cellIs" dxfId="488" priority="417" stopIfTrue="1" operator="equal">
      <formula>"Pass"</formula>
    </cfRule>
    <cfRule type="cellIs" dxfId="487" priority="418" stopIfTrue="1" operator="equal">
      <formula>"Fail"</formula>
    </cfRule>
  </conditionalFormatting>
  <conditionalFormatting sqref="I779:P779">
    <cfRule type="cellIs" dxfId="486" priority="415" stopIfTrue="1" operator="equal">
      <formula>"Pass"</formula>
    </cfRule>
    <cfRule type="cellIs" dxfId="485" priority="416" stopIfTrue="1" operator="equal">
      <formula>"Fail"</formula>
    </cfRule>
  </conditionalFormatting>
  <conditionalFormatting sqref="I779:P779">
    <cfRule type="cellIs" dxfId="484" priority="413" stopIfTrue="1" operator="equal">
      <formula>"Pass"</formula>
    </cfRule>
    <cfRule type="cellIs" dxfId="483" priority="414" stopIfTrue="1" operator="equal">
      <formula>"Fail"</formula>
    </cfRule>
  </conditionalFormatting>
  <conditionalFormatting sqref="I779:P779">
    <cfRule type="cellIs" dxfId="482" priority="411" stopIfTrue="1" operator="equal">
      <formula>"Pass"</formula>
    </cfRule>
    <cfRule type="cellIs" dxfId="481" priority="412" stopIfTrue="1" operator="equal">
      <formula>"Fail"</formula>
    </cfRule>
  </conditionalFormatting>
  <conditionalFormatting sqref="I779:P779">
    <cfRule type="cellIs" dxfId="480" priority="409" stopIfTrue="1" operator="equal">
      <formula>"Pass"</formula>
    </cfRule>
    <cfRule type="cellIs" dxfId="479" priority="410" stopIfTrue="1" operator="equal">
      <formula>"Fail"</formula>
    </cfRule>
  </conditionalFormatting>
  <conditionalFormatting sqref="H779:O779">
    <cfRule type="cellIs" dxfId="478" priority="407" stopIfTrue="1" operator="equal">
      <formula>"Pass"</formula>
    </cfRule>
    <cfRule type="cellIs" dxfId="477" priority="408" stopIfTrue="1" operator="equal">
      <formula>"Fail"</formula>
    </cfRule>
  </conditionalFormatting>
  <conditionalFormatting sqref="H779:O779">
    <cfRule type="cellIs" dxfId="476" priority="405" stopIfTrue="1" operator="equal">
      <formula>"Pass"</formula>
    </cfRule>
    <cfRule type="cellIs" dxfId="475" priority="406" stopIfTrue="1" operator="equal">
      <formula>"Fail"</formula>
    </cfRule>
  </conditionalFormatting>
  <conditionalFormatting sqref="I779:P779">
    <cfRule type="cellIs" dxfId="474" priority="403" stopIfTrue="1" operator="equal">
      <formula>"Pass"</formula>
    </cfRule>
    <cfRule type="cellIs" dxfId="473" priority="404" stopIfTrue="1" operator="equal">
      <formula>"Fail"</formula>
    </cfRule>
  </conditionalFormatting>
  <conditionalFormatting sqref="I779:P779">
    <cfRule type="cellIs" dxfId="472" priority="401" stopIfTrue="1" operator="equal">
      <formula>"Pass"</formula>
    </cfRule>
    <cfRule type="cellIs" dxfId="471" priority="402" stopIfTrue="1" operator="equal">
      <formula>"Fail"</formula>
    </cfRule>
  </conditionalFormatting>
  <conditionalFormatting sqref="I779:P779">
    <cfRule type="cellIs" dxfId="470" priority="399" stopIfTrue="1" operator="equal">
      <formula>"Pass"</formula>
    </cfRule>
    <cfRule type="cellIs" dxfId="469" priority="400" stopIfTrue="1" operator="equal">
      <formula>"Fail"</formula>
    </cfRule>
  </conditionalFormatting>
  <conditionalFormatting sqref="I779:P779">
    <cfRule type="cellIs" dxfId="468" priority="397" stopIfTrue="1" operator="equal">
      <formula>"Pass"</formula>
    </cfRule>
    <cfRule type="cellIs" dxfId="467" priority="398" stopIfTrue="1" operator="equal">
      <formula>"Fail"</formula>
    </cfRule>
  </conditionalFormatting>
  <conditionalFormatting sqref="H779:O779">
    <cfRule type="cellIs" dxfId="466" priority="395" stopIfTrue="1" operator="equal">
      <formula>"Pass"</formula>
    </cfRule>
    <cfRule type="cellIs" dxfId="465" priority="396" stopIfTrue="1" operator="equal">
      <formula>"Fail"</formula>
    </cfRule>
  </conditionalFormatting>
  <conditionalFormatting sqref="H779:O779">
    <cfRule type="cellIs" dxfId="464" priority="393" stopIfTrue="1" operator="equal">
      <formula>"Pass"</formula>
    </cfRule>
    <cfRule type="cellIs" dxfId="463" priority="394" stopIfTrue="1" operator="equal">
      <formula>"Fail"</formula>
    </cfRule>
  </conditionalFormatting>
  <conditionalFormatting sqref="I779:P779">
    <cfRule type="cellIs" dxfId="462" priority="391" stopIfTrue="1" operator="equal">
      <formula>"Pass"</formula>
    </cfRule>
    <cfRule type="cellIs" dxfId="461" priority="392" stopIfTrue="1" operator="equal">
      <formula>"Fail"</formula>
    </cfRule>
  </conditionalFormatting>
  <conditionalFormatting sqref="I779:P779">
    <cfRule type="cellIs" dxfId="460" priority="389" stopIfTrue="1" operator="equal">
      <formula>"Pass"</formula>
    </cfRule>
    <cfRule type="cellIs" dxfId="459" priority="390" stopIfTrue="1" operator="equal">
      <formula>"Fail"</formula>
    </cfRule>
  </conditionalFormatting>
  <conditionalFormatting sqref="I779:P779">
    <cfRule type="cellIs" dxfId="458" priority="387" stopIfTrue="1" operator="equal">
      <formula>"Pass"</formula>
    </cfRule>
    <cfRule type="cellIs" dxfId="457" priority="388" stopIfTrue="1" operator="equal">
      <formula>"Fail"</formula>
    </cfRule>
  </conditionalFormatting>
  <conditionalFormatting sqref="I779:P779">
    <cfRule type="cellIs" dxfId="456" priority="385" stopIfTrue="1" operator="equal">
      <formula>"Pass"</formula>
    </cfRule>
    <cfRule type="cellIs" dxfId="455" priority="386" stopIfTrue="1" operator="equal">
      <formula>"Fail"</formula>
    </cfRule>
  </conditionalFormatting>
  <conditionalFormatting sqref="H779:O779">
    <cfRule type="cellIs" dxfId="454" priority="383" stopIfTrue="1" operator="equal">
      <formula>"Pass"</formula>
    </cfRule>
    <cfRule type="cellIs" dxfId="453" priority="384" stopIfTrue="1" operator="equal">
      <formula>"Fail"</formula>
    </cfRule>
  </conditionalFormatting>
  <conditionalFormatting sqref="H779:O779">
    <cfRule type="cellIs" dxfId="452" priority="381" stopIfTrue="1" operator="equal">
      <formula>"Pass"</formula>
    </cfRule>
    <cfRule type="cellIs" dxfId="451" priority="382" stopIfTrue="1" operator="equal">
      <formula>"Fail"</formula>
    </cfRule>
  </conditionalFormatting>
  <conditionalFormatting sqref="I779:P779">
    <cfRule type="cellIs" dxfId="450" priority="379" stopIfTrue="1" operator="equal">
      <formula>"Pass"</formula>
    </cfRule>
    <cfRule type="cellIs" dxfId="449" priority="380" stopIfTrue="1" operator="equal">
      <formula>"Fail"</formula>
    </cfRule>
  </conditionalFormatting>
  <conditionalFormatting sqref="I779:P779">
    <cfRule type="cellIs" dxfId="448" priority="377" stopIfTrue="1" operator="equal">
      <formula>"Pass"</formula>
    </cfRule>
    <cfRule type="cellIs" dxfId="447" priority="378" stopIfTrue="1" operator="equal">
      <formula>"Fail"</formula>
    </cfRule>
  </conditionalFormatting>
  <conditionalFormatting sqref="I779:P779">
    <cfRule type="cellIs" dxfId="446" priority="375" stopIfTrue="1" operator="equal">
      <formula>"Pass"</formula>
    </cfRule>
    <cfRule type="cellIs" dxfId="445" priority="376" stopIfTrue="1" operator="equal">
      <formula>"Fail"</formula>
    </cfRule>
  </conditionalFormatting>
  <conditionalFormatting sqref="I779:P779">
    <cfRule type="cellIs" dxfId="444" priority="373" stopIfTrue="1" operator="equal">
      <formula>"Pass"</formula>
    </cfRule>
    <cfRule type="cellIs" dxfId="443" priority="374" stopIfTrue="1" operator="equal">
      <formula>"Fail"</formula>
    </cfRule>
  </conditionalFormatting>
  <conditionalFormatting sqref="H779:O779">
    <cfRule type="cellIs" dxfId="442" priority="371" stopIfTrue="1" operator="equal">
      <formula>"Pass"</formula>
    </cfRule>
    <cfRule type="cellIs" dxfId="441" priority="372" stopIfTrue="1" operator="equal">
      <formula>"Fail"</formula>
    </cfRule>
  </conditionalFormatting>
  <conditionalFormatting sqref="H779:O779">
    <cfRule type="cellIs" dxfId="440" priority="369" stopIfTrue="1" operator="equal">
      <formula>"Pass"</formula>
    </cfRule>
    <cfRule type="cellIs" dxfId="439" priority="370" stopIfTrue="1" operator="equal">
      <formula>"Fail"</formula>
    </cfRule>
  </conditionalFormatting>
  <conditionalFormatting sqref="I779:P779">
    <cfRule type="cellIs" dxfId="438" priority="367" stopIfTrue="1" operator="equal">
      <formula>"Pass"</formula>
    </cfRule>
    <cfRule type="cellIs" dxfId="437" priority="368" stopIfTrue="1" operator="equal">
      <formula>"Fail"</formula>
    </cfRule>
  </conditionalFormatting>
  <conditionalFormatting sqref="I779:P779">
    <cfRule type="cellIs" dxfId="436" priority="365" stopIfTrue="1" operator="equal">
      <formula>"Pass"</formula>
    </cfRule>
    <cfRule type="cellIs" dxfId="435" priority="366" stopIfTrue="1" operator="equal">
      <formula>"Fail"</formula>
    </cfRule>
  </conditionalFormatting>
  <conditionalFormatting sqref="I779:P779">
    <cfRule type="cellIs" dxfId="434" priority="363" stopIfTrue="1" operator="equal">
      <formula>"Pass"</formula>
    </cfRule>
    <cfRule type="cellIs" dxfId="433" priority="364" stopIfTrue="1" operator="equal">
      <formula>"Fail"</formula>
    </cfRule>
  </conditionalFormatting>
  <conditionalFormatting sqref="I779:P779">
    <cfRule type="cellIs" dxfId="432" priority="361" stopIfTrue="1" operator="equal">
      <formula>"Pass"</formula>
    </cfRule>
    <cfRule type="cellIs" dxfId="431" priority="362" stopIfTrue="1" operator="equal">
      <formula>"Fail"</formula>
    </cfRule>
  </conditionalFormatting>
  <conditionalFormatting sqref="H779:O779">
    <cfRule type="cellIs" dxfId="430" priority="359" stopIfTrue="1" operator="equal">
      <formula>"Pass"</formula>
    </cfRule>
    <cfRule type="cellIs" dxfId="429" priority="360" stopIfTrue="1" operator="equal">
      <formula>"Fail"</formula>
    </cfRule>
  </conditionalFormatting>
  <conditionalFormatting sqref="H779:O779">
    <cfRule type="cellIs" dxfId="428" priority="357" stopIfTrue="1" operator="equal">
      <formula>"Pass"</formula>
    </cfRule>
    <cfRule type="cellIs" dxfId="427" priority="358" stopIfTrue="1" operator="equal">
      <formula>"Fail"</formula>
    </cfRule>
  </conditionalFormatting>
  <conditionalFormatting sqref="I779:P779">
    <cfRule type="cellIs" dxfId="426" priority="355" stopIfTrue="1" operator="equal">
      <formula>"Pass"</formula>
    </cfRule>
    <cfRule type="cellIs" dxfId="425" priority="356" stopIfTrue="1" operator="equal">
      <formula>"Fail"</formula>
    </cfRule>
  </conditionalFormatting>
  <conditionalFormatting sqref="I779:P779">
    <cfRule type="cellIs" dxfId="424" priority="353" stopIfTrue="1" operator="equal">
      <formula>"Pass"</formula>
    </cfRule>
    <cfRule type="cellIs" dxfId="423" priority="354" stopIfTrue="1" operator="equal">
      <formula>"Fail"</formula>
    </cfRule>
  </conditionalFormatting>
  <conditionalFormatting sqref="I779:P779">
    <cfRule type="cellIs" dxfId="422" priority="351" stopIfTrue="1" operator="equal">
      <formula>"Pass"</formula>
    </cfRule>
    <cfRule type="cellIs" dxfId="421" priority="352" stopIfTrue="1" operator="equal">
      <formula>"Fail"</formula>
    </cfRule>
  </conditionalFormatting>
  <conditionalFormatting sqref="I779:P779">
    <cfRule type="cellIs" dxfId="420" priority="349" stopIfTrue="1" operator="equal">
      <formula>"Pass"</formula>
    </cfRule>
    <cfRule type="cellIs" dxfId="419" priority="350" stopIfTrue="1" operator="equal">
      <formula>"Fail"</formula>
    </cfRule>
  </conditionalFormatting>
  <conditionalFormatting sqref="H779:O779">
    <cfRule type="cellIs" dxfId="418" priority="347" stopIfTrue="1" operator="equal">
      <formula>"Pass"</formula>
    </cfRule>
    <cfRule type="cellIs" dxfId="417" priority="348" stopIfTrue="1" operator="equal">
      <formula>"Fail"</formula>
    </cfRule>
  </conditionalFormatting>
  <conditionalFormatting sqref="H779:O779">
    <cfRule type="cellIs" dxfId="416" priority="345" stopIfTrue="1" operator="equal">
      <formula>"Pass"</formula>
    </cfRule>
    <cfRule type="cellIs" dxfId="415" priority="346" stopIfTrue="1" operator="equal">
      <formula>"Fail"</formula>
    </cfRule>
  </conditionalFormatting>
  <conditionalFormatting sqref="I779:P779">
    <cfRule type="cellIs" dxfId="414" priority="343" stopIfTrue="1" operator="equal">
      <formula>"Pass"</formula>
    </cfRule>
    <cfRule type="cellIs" dxfId="413" priority="344" stopIfTrue="1" operator="equal">
      <formula>"Fail"</formula>
    </cfRule>
  </conditionalFormatting>
  <conditionalFormatting sqref="I779:P779">
    <cfRule type="cellIs" dxfId="412" priority="341" stopIfTrue="1" operator="equal">
      <formula>"Pass"</formula>
    </cfRule>
    <cfRule type="cellIs" dxfId="411" priority="342" stopIfTrue="1" operator="equal">
      <formula>"Fail"</formula>
    </cfRule>
  </conditionalFormatting>
  <conditionalFormatting sqref="I779:P779">
    <cfRule type="cellIs" dxfId="410" priority="339" stopIfTrue="1" operator="equal">
      <formula>"Pass"</formula>
    </cfRule>
    <cfRule type="cellIs" dxfId="409" priority="340" stopIfTrue="1" operator="equal">
      <formula>"Fail"</formula>
    </cfRule>
  </conditionalFormatting>
  <conditionalFormatting sqref="I779:P779">
    <cfRule type="cellIs" dxfId="408" priority="337" stopIfTrue="1" operator="equal">
      <formula>"Pass"</formula>
    </cfRule>
    <cfRule type="cellIs" dxfId="407" priority="338" stopIfTrue="1" operator="equal">
      <formula>"Fail"</formula>
    </cfRule>
  </conditionalFormatting>
  <conditionalFormatting sqref="H779:O779">
    <cfRule type="cellIs" dxfId="406" priority="335" stopIfTrue="1" operator="equal">
      <formula>"Pass"</formula>
    </cfRule>
    <cfRule type="cellIs" dxfId="405" priority="336" stopIfTrue="1" operator="equal">
      <formula>"Fail"</formula>
    </cfRule>
  </conditionalFormatting>
  <conditionalFormatting sqref="H779:O779">
    <cfRule type="cellIs" dxfId="404" priority="333" stopIfTrue="1" operator="equal">
      <formula>"Pass"</formula>
    </cfRule>
    <cfRule type="cellIs" dxfId="403" priority="334" stopIfTrue="1" operator="equal">
      <formula>"Fail"</formula>
    </cfRule>
  </conditionalFormatting>
  <conditionalFormatting sqref="I779:P779">
    <cfRule type="cellIs" dxfId="402" priority="331" stopIfTrue="1" operator="equal">
      <formula>"Pass"</formula>
    </cfRule>
    <cfRule type="cellIs" dxfId="401" priority="332" stopIfTrue="1" operator="equal">
      <formula>"Fail"</formula>
    </cfRule>
  </conditionalFormatting>
  <conditionalFormatting sqref="I779:P779">
    <cfRule type="cellIs" dxfId="400" priority="329" stopIfTrue="1" operator="equal">
      <formula>"Pass"</formula>
    </cfRule>
    <cfRule type="cellIs" dxfId="399" priority="330" stopIfTrue="1" operator="equal">
      <formula>"Fail"</formula>
    </cfRule>
  </conditionalFormatting>
  <conditionalFormatting sqref="I779:P779">
    <cfRule type="cellIs" dxfId="398" priority="327" stopIfTrue="1" operator="equal">
      <formula>"Pass"</formula>
    </cfRule>
    <cfRule type="cellIs" dxfId="397" priority="328" stopIfTrue="1" operator="equal">
      <formula>"Fail"</formula>
    </cfRule>
  </conditionalFormatting>
  <conditionalFormatting sqref="I779:P779">
    <cfRule type="cellIs" dxfId="396" priority="325" stopIfTrue="1" operator="equal">
      <formula>"Pass"</formula>
    </cfRule>
    <cfRule type="cellIs" dxfId="395" priority="326" stopIfTrue="1" operator="equal">
      <formula>"Fail"</formula>
    </cfRule>
  </conditionalFormatting>
  <conditionalFormatting sqref="H779:O779">
    <cfRule type="cellIs" dxfId="394" priority="323" stopIfTrue="1" operator="equal">
      <formula>"Pass"</formula>
    </cfRule>
    <cfRule type="cellIs" dxfId="393" priority="324" stopIfTrue="1" operator="equal">
      <formula>"Fail"</formula>
    </cfRule>
  </conditionalFormatting>
  <conditionalFormatting sqref="H779:O779">
    <cfRule type="cellIs" dxfId="392" priority="321" stopIfTrue="1" operator="equal">
      <formula>"Pass"</formula>
    </cfRule>
    <cfRule type="cellIs" dxfId="391" priority="322" stopIfTrue="1" operator="equal">
      <formula>"Fail"</formula>
    </cfRule>
  </conditionalFormatting>
  <conditionalFormatting sqref="I779:P779">
    <cfRule type="cellIs" dxfId="390" priority="319" stopIfTrue="1" operator="equal">
      <formula>"Pass"</formula>
    </cfRule>
    <cfRule type="cellIs" dxfId="389" priority="320" stopIfTrue="1" operator="equal">
      <formula>"Fail"</formula>
    </cfRule>
  </conditionalFormatting>
  <conditionalFormatting sqref="I779:P779">
    <cfRule type="cellIs" dxfId="388" priority="317" stopIfTrue="1" operator="equal">
      <formula>"Pass"</formula>
    </cfRule>
    <cfRule type="cellIs" dxfId="387" priority="318" stopIfTrue="1" operator="equal">
      <formula>"Fail"</formula>
    </cfRule>
  </conditionalFormatting>
  <conditionalFormatting sqref="I779:P779">
    <cfRule type="cellIs" dxfId="386" priority="315" stopIfTrue="1" operator="equal">
      <formula>"Pass"</formula>
    </cfRule>
    <cfRule type="cellIs" dxfId="385" priority="316" stopIfTrue="1" operator="equal">
      <formula>"Fail"</formula>
    </cfRule>
  </conditionalFormatting>
  <conditionalFormatting sqref="I779:P779">
    <cfRule type="cellIs" dxfId="384" priority="313" stopIfTrue="1" operator="equal">
      <formula>"Pass"</formula>
    </cfRule>
    <cfRule type="cellIs" dxfId="383" priority="314" stopIfTrue="1" operator="equal">
      <formula>"Fail"</formula>
    </cfRule>
  </conditionalFormatting>
  <conditionalFormatting sqref="H779:O779">
    <cfRule type="cellIs" dxfId="382" priority="311" stopIfTrue="1" operator="equal">
      <formula>"Pass"</formula>
    </cfRule>
    <cfRule type="cellIs" dxfId="381" priority="312" stopIfTrue="1" operator="equal">
      <formula>"Fail"</formula>
    </cfRule>
  </conditionalFormatting>
  <conditionalFormatting sqref="H779:O779">
    <cfRule type="cellIs" dxfId="380" priority="309" stopIfTrue="1" operator="equal">
      <formula>"Pass"</formula>
    </cfRule>
    <cfRule type="cellIs" dxfId="379" priority="310" stopIfTrue="1" operator="equal">
      <formula>"Fail"</formula>
    </cfRule>
  </conditionalFormatting>
  <conditionalFormatting sqref="I779:P779">
    <cfRule type="cellIs" dxfId="378" priority="307" stopIfTrue="1" operator="equal">
      <formula>"Pass"</formula>
    </cfRule>
    <cfRule type="cellIs" dxfId="377" priority="308" stopIfTrue="1" operator="equal">
      <formula>"Fail"</formula>
    </cfRule>
  </conditionalFormatting>
  <conditionalFormatting sqref="I779:P779">
    <cfRule type="cellIs" dxfId="376" priority="305" stopIfTrue="1" operator="equal">
      <formula>"Pass"</formula>
    </cfRule>
    <cfRule type="cellIs" dxfId="375" priority="306" stopIfTrue="1" operator="equal">
      <formula>"Fail"</formula>
    </cfRule>
  </conditionalFormatting>
  <conditionalFormatting sqref="I779:P779">
    <cfRule type="cellIs" dxfId="374" priority="303" stopIfTrue="1" operator="equal">
      <formula>"Pass"</formula>
    </cfRule>
    <cfRule type="cellIs" dxfId="373" priority="304" stopIfTrue="1" operator="equal">
      <formula>"Fail"</formula>
    </cfRule>
  </conditionalFormatting>
  <conditionalFormatting sqref="I779:P779">
    <cfRule type="cellIs" dxfId="372" priority="301" stopIfTrue="1" operator="equal">
      <formula>"Pass"</formula>
    </cfRule>
    <cfRule type="cellIs" dxfId="371" priority="302" stopIfTrue="1" operator="equal">
      <formula>"Fail"</formula>
    </cfRule>
  </conditionalFormatting>
  <conditionalFormatting sqref="H779:O779">
    <cfRule type="cellIs" dxfId="370" priority="299" stopIfTrue="1" operator="equal">
      <formula>"Pass"</formula>
    </cfRule>
    <cfRule type="cellIs" dxfId="369" priority="300" stopIfTrue="1" operator="equal">
      <formula>"Fail"</formula>
    </cfRule>
  </conditionalFormatting>
  <conditionalFormatting sqref="H779:O779">
    <cfRule type="cellIs" dxfId="368" priority="297" stopIfTrue="1" operator="equal">
      <formula>"Pass"</formula>
    </cfRule>
    <cfRule type="cellIs" dxfId="367" priority="298" stopIfTrue="1" operator="equal">
      <formula>"Fail"</formula>
    </cfRule>
  </conditionalFormatting>
  <conditionalFormatting sqref="I779:P779">
    <cfRule type="cellIs" dxfId="366" priority="295" stopIfTrue="1" operator="equal">
      <formula>"Pass"</formula>
    </cfRule>
    <cfRule type="cellIs" dxfId="365" priority="296" stopIfTrue="1" operator="equal">
      <formula>"Fail"</formula>
    </cfRule>
  </conditionalFormatting>
  <conditionalFormatting sqref="I779:P779">
    <cfRule type="cellIs" dxfId="364" priority="293" stopIfTrue="1" operator="equal">
      <formula>"Pass"</formula>
    </cfRule>
    <cfRule type="cellIs" dxfId="363" priority="294" stopIfTrue="1" operator="equal">
      <formula>"Fail"</formula>
    </cfRule>
  </conditionalFormatting>
  <conditionalFormatting sqref="I779:P779">
    <cfRule type="cellIs" dxfId="362" priority="291" stopIfTrue="1" operator="equal">
      <formula>"Pass"</formula>
    </cfRule>
    <cfRule type="cellIs" dxfId="361" priority="292" stopIfTrue="1" operator="equal">
      <formula>"Fail"</formula>
    </cfRule>
  </conditionalFormatting>
  <conditionalFormatting sqref="I779:P779">
    <cfRule type="cellIs" dxfId="360" priority="289" stopIfTrue="1" operator="equal">
      <formula>"Pass"</formula>
    </cfRule>
    <cfRule type="cellIs" dxfId="359" priority="290" stopIfTrue="1" operator="equal">
      <formula>"Fail"</formula>
    </cfRule>
  </conditionalFormatting>
  <conditionalFormatting sqref="H779:O779">
    <cfRule type="cellIs" dxfId="358" priority="287" stopIfTrue="1" operator="equal">
      <formula>"Pass"</formula>
    </cfRule>
    <cfRule type="cellIs" dxfId="357" priority="288" stopIfTrue="1" operator="equal">
      <formula>"Fail"</formula>
    </cfRule>
  </conditionalFormatting>
  <conditionalFormatting sqref="H779:O779">
    <cfRule type="cellIs" dxfId="356" priority="285" stopIfTrue="1" operator="equal">
      <formula>"Pass"</formula>
    </cfRule>
    <cfRule type="cellIs" dxfId="355" priority="286" stopIfTrue="1" operator="equal">
      <formula>"Fail"</formula>
    </cfRule>
  </conditionalFormatting>
  <conditionalFormatting sqref="I779:P779">
    <cfRule type="cellIs" dxfId="354" priority="283" stopIfTrue="1" operator="equal">
      <formula>"Pass"</formula>
    </cfRule>
    <cfRule type="cellIs" dxfId="353" priority="284" stopIfTrue="1" operator="equal">
      <formula>"Fail"</formula>
    </cfRule>
  </conditionalFormatting>
  <conditionalFormatting sqref="I779:P779">
    <cfRule type="cellIs" dxfId="352" priority="281" stopIfTrue="1" operator="equal">
      <formula>"Pass"</formula>
    </cfRule>
    <cfRule type="cellIs" dxfId="351" priority="282" stopIfTrue="1" operator="equal">
      <formula>"Fail"</formula>
    </cfRule>
  </conditionalFormatting>
  <conditionalFormatting sqref="I779:P779">
    <cfRule type="cellIs" dxfId="350" priority="279" stopIfTrue="1" operator="equal">
      <formula>"Pass"</formula>
    </cfRule>
    <cfRule type="cellIs" dxfId="349" priority="280" stopIfTrue="1" operator="equal">
      <formula>"Fail"</formula>
    </cfRule>
  </conditionalFormatting>
  <conditionalFormatting sqref="I779:P779">
    <cfRule type="cellIs" dxfId="348" priority="277" stopIfTrue="1" operator="equal">
      <formula>"Pass"</formula>
    </cfRule>
    <cfRule type="cellIs" dxfId="347" priority="278" stopIfTrue="1" operator="equal">
      <formula>"Fail"</formula>
    </cfRule>
  </conditionalFormatting>
  <conditionalFormatting sqref="H779:O779">
    <cfRule type="cellIs" dxfId="346" priority="275" stopIfTrue="1" operator="equal">
      <formula>"Pass"</formula>
    </cfRule>
    <cfRule type="cellIs" dxfId="345" priority="276" stopIfTrue="1" operator="equal">
      <formula>"Fail"</formula>
    </cfRule>
  </conditionalFormatting>
  <conditionalFormatting sqref="H779:O779">
    <cfRule type="cellIs" dxfId="344" priority="273" stopIfTrue="1" operator="equal">
      <formula>"Pass"</formula>
    </cfRule>
    <cfRule type="cellIs" dxfId="343" priority="274" stopIfTrue="1" operator="equal">
      <formula>"Fail"</formula>
    </cfRule>
  </conditionalFormatting>
  <conditionalFormatting sqref="I779:P779">
    <cfRule type="cellIs" dxfId="342" priority="271" stopIfTrue="1" operator="equal">
      <formula>"Pass"</formula>
    </cfRule>
    <cfRule type="cellIs" dxfId="341" priority="272" stopIfTrue="1" operator="equal">
      <formula>"Fail"</formula>
    </cfRule>
  </conditionalFormatting>
  <conditionalFormatting sqref="I779:P779">
    <cfRule type="cellIs" dxfId="340" priority="269" stopIfTrue="1" operator="equal">
      <formula>"Pass"</formula>
    </cfRule>
    <cfRule type="cellIs" dxfId="339" priority="270" stopIfTrue="1" operator="equal">
      <formula>"Fail"</formula>
    </cfRule>
  </conditionalFormatting>
  <conditionalFormatting sqref="I779:P779">
    <cfRule type="cellIs" dxfId="338" priority="267" stopIfTrue="1" operator="equal">
      <formula>"Pass"</formula>
    </cfRule>
    <cfRule type="cellIs" dxfId="337" priority="268" stopIfTrue="1" operator="equal">
      <formula>"Fail"</formula>
    </cfRule>
  </conditionalFormatting>
  <conditionalFormatting sqref="I779:P779">
    <cfRule type="cellIs" dxfId="336" priority="265" stopIfTrue="1" operator="equal">
      <formula>"Pass"</formula>
    </cfRule>
    <cfRule type="cellIs" dxfId="335" priority="266" stopIfTrue="1" operator="equal">
      <formula>"Fail"</formula>
    </cfRule>
  </conditionalFormatting>
  <conditionalFormatting sqref="H779:O779">
    <cfRule type="cellIs" dxfId="334" priority="263" stopIfTrue="1" operator="equal">
      <formula>"Pass"</formula>
    </cfRule>
    <cfRule type="cellIs" dxfId="333" priority="264" stopIfTrue="1" operator="equal">
      <formula>"Fail"</formula>
    </cfRule>
  </conditionalFormatting>
  <conditionalFormatting sqref="H779:O779">
    <cfRule type="cellIs" dxfId="332" priority="261" stopIfTrue="1" operator="equal">
      <formula>"Pass"</formula>
    </cfRule>
    <cfRule type="cellIs" dxfId="331" priority="262" stopIfTrue="1" operator="equal">
      <formula>"Fail"</formula>
    </cfRule>
  </conditionalFormatting>
  <conditionalFormatting sqref="I779:P779">
    <cfRule type="cellIs" dxfId="330" priority="259" stopIfTrue="1" operator="equal">
      <formula>"Pass"</formula>
    </cfRule>
    <cfRule type="cellIs" dxfId="329" priority="260" stopIfTrue="1" operator="equal">
      <formula>"Fail"</formula>
    </cfRule>
  </conditionalFormatting>
  <conditionalFormatting sqref="I779:P779">
    <cfRule type="cellIs" dxfId="328" priority="257" stopIfTrue="1" operator="equal">
      <formula>"Pass"</formula>
    </cfRule>
    <cfRule type="cellIs" dxfId="327" priority="258" stopIfTrue="1" operator="equal">
      <formula>"Fail"</formula>
    </cfRule>
  </conditionalFormatting>
  <conditionalFormatting sqref="I779:P779">
    <cfRule type="cellIs" dxfId="326" priority="255" stopIfTrue="1" operator="equal">
      <formula>"Pass"</formula>
    </cfRule>
    <cfRule type="cellIs" dxfId="325" priority="256" stopIfTrue="1" operator="equal">
      <formula>"Fail"</formula>
    </cfRule>
  </conditionalFormatting>
  <conditionalFormatting sqref="I779:P779">
    <cfRule type="cellIs" dxfId="324" priority="253" stopIfTrue="1" operator="equal">
      <formula>"Pass"</formula>
    </cfRule>
    <cfRule type="cellIs" dxfId="323" priority="254" stopIfTrue="1" operator="equal">
      <formula>"Fail"</formula>
    </cfRule>
  </conditionalFormatting>
  <conditionalFormatting sqref="H779:O779">
    <cfRule type="cellIs" dxfId="322" priority="251" stopIfTrue="1" operator="equal">
      <formula>"Pass"</formula>
    </cfRule>
    <cfRule type="cellIs" dxfId="321" priority="252" stopIfTrue="1" operator="equal">
      <formula>"Fail"</formula>
    </cfRule>
  </conditionalFormatting>
  <conditionalFormatting sqref="H779:O779">
    <cfRule type="cellIs" dxfId="320" priority="249" stopIfTrue="1" operator="equal">
      <formula>"Pass"</formula>
    </cfRule>
    <cfRule type="cellIs" dxfId="319" priority="250" stopIfTrue="1" operator="equal">
      <formula>"Fail"</formula>
    </cfRule>
  </conditionalFormatting>
  <conditionalFormatting sqref="I779:P779">
    <cfRule type="cellIs" dxfId="318" priority="247" stopIfTrue="1" operator="equal">
      <formula>"Pass"</formula>
    </cfRule>
    <cfRule type="cellIs" dxfId="317" priority="248" stopIfTrue="1" operator="equal">
      <formula>"Fail"</formula>
    </cfRule>
  </conditionalFormatting>
  <conditionalFormatting sqref="I779:P779">
    <cfRule type="cellIs" dxfId="316" priority="245" stopIfTrue="1" operator="equal">
      <formula>"Pass"</formula>
    </cfRule>
    <cfRule type="cellIs" dxfId="315" priority="246" stopIfTrue="1" operator="equal">
      <formula>"Fail"</formula>
    </cfRule>
  </conditionalFormatting>
  <conditionalFormatting sqref="I779:P779">
    <cfRule type="cellIs" dxfId="314" priority="243" stopIfTrue="1" operator="equal">
      <formula>"Pass"</formula>
    </cfRule>
    <cfRule type="cellIs" dxfId="313" priority="244" stopIfTrue="1" operator="equal">
      <formula>"Fail"</formula>
    </cfRule>
  </conditionalFormatting>
  <conditionalFormatting sqref="I779:P779">
    <cfRule type="cellIs" dxfId="312" priority="241" stopIfTrue="1" operator="equal">
      <formula>"Pass"</formula>
    </cfRule>
    <cfRule type="cellIs" dxfId="311" priority="242" stopIfTrue="1" operator="equal">
      <formula>"Fail"</formula>
    </cfRule>
  </conditionalFormatting>
  <conditionalFormatting sqref="H779:O779">
    <cfRule type="cellIs" dxfId="310" priority="239" stopIfTrue="1" operator="equal">
      <formula>"Pass"</formula>
    </cfRule>
    <cfRule type="cellIs" dxfId="309" priority="240" stopIfTrue="1" operator="equal">
      <formula>"Fail"</formula>
    </cfRule>
  </conditionalFormatting>
  <conditionalFormatting sqref="H779:O779">
    <cfRule type="cellIs" dxfId="308" priority="237" stopIfTrue="1" operator="equal">
      <formula>"Pass"</formula>
    </cfRule>
    <cfRule type="cellIs" dxfId="307" priority="238" stopIfTrue="1" operator="equal">
      <formula>"Fail"</formula>
    </cfRule>
  </conditionalFormatting>
  <conditionalFormatting sqref="I779:P779">
    <cfRule type="cellIs" dxfId="306" priority="235" stopIfTrue="1" operator="equal">
      <formula>"Pass"</formula>
    </cfRule>
    <cfRule type="cellIs" dxfId="305" priority="236" stopIfTrue="1" operator="equal">
      <formula>"Fail"</formula>
    </cfRule>
  </conditionalFormatting>
  <conditionalFormatting sqref="I779:P779">
    <cfRule type="cellIs" dxfId="304" priority="233" stopIfTrue="1" operator="equal">
      <formula>"Pass"</formula>
    </cfRule>
    <cfRule type="cellIs" dxfId="303" priority="234" stopIfTrue="1" operator="equal">
      <formula>"Fail"</formula>
    </cfRule>
  </conditionalFormatting>
  <conditionalFormatting sqref="I779:P779">
    <cfRule type="cellIs" dxfId="302" priority="231" stopIfTrue="1" operator="equal">
      <formula>"Pass"</formula>
    </cfRule>
    <cfRule type="cellIs" dxfId="301" priority="232" stopIfTrue="1" operator="equal">
      <formula>"Fail"</formula>
    </cfRule>
  </conditionalFormatting>
  <conditionalFormatting sqref="I779:P779">
    <cfRule type="cellIs" dxfId="300" priority="229" stopIfTrue="1" operator="equal">
      <formula>"Pass"</formula>
    </cfRule>
    <cfRule type="cellIs" dxfId="299" priority="230" stopIfTrue="1" operator="equal">
      <formula>"Fail"</formula>
    </cfRule>
  </conditionalFormatting>
  <conditionalFormatting sqref="H779:O779">
    <cfRule type="cellIs" dxfId="298" priority="227" stopIfTrue="1" operator="equal">
      <formula>"Pass"</formula>
    </cfRule>
    <cfRule type="cellIs" dxfId="297" priority="228" stopIfTrue="1" operator="equal">
      <formula>"Fail"</formula>
    </cfRule>
  </conditionalFormatting>
  <conditionalFormatting sqref="H779:O779">
    <cfRule type="cellIs" dxfId="296" priority="225" stopIfTrue="1" operator="equal">
      <formula>"Pass"</formula>
    </cfRule>
    <cfRule type="cellIs" dxfId="295" priority="226" stopIfTrue="1" operator="equal">
      <formula>"Fail"</formula>
    </cfRule>
  </conditionalFormatting>
  <conditionalFormatting sqref="I779:P779">
    <cfRule type="cellIs" dxfId="294" priority="223" stopIfTrue="1" operator="equal">
      <formula>"Pass"</formula>
    </cfRule>
    <cfRule type="cellIs" dxfId="293" priority="224" stopIfTrue="1" operator="equal">
      <formula>"Fail"</formula>
    </cfRule>
  </conditionalFormatting>
  <conditionalFormatting sqref="I779:P779">
    <cfRule type="cellIs" dxfId="292" priority="221" stopIfTrue="1" operator="equal">
      <formula>"Pass"</formula>
    </cfRule>
    <cfRule type="cellIs" dxfId="291" priority="222" stopIfTrue="1" operator="equal">
      <formula>"Fail"</formula>
    </cfRule>
  </conditionalFormatting>
  <conditionalFormatting sqref="I779:P779">
    <cfRule type="cellIs" dxfId="290" priority="219" stopIfTrue="1" operator="equal">
      <formula>"Pass"</formula>
    </cfRule>
    <cfRule type="cellIs" dxfId="289" priority="220" stopIfTrue="1" operator="equal">
      <formula>"Fail"</formula>
    </cfRule>
  </conditionalFormatting>
  <conditionalFormatting sqref="I779:P779">
    <cfRule type="cellIs" dxfId="288" priority="217" stopIfTrue="1" operator="equal">
      <formula>"Pass"</formula>
    </cfRule>
    <cfRule type="cellIs" dxfId="287" priority="218" stopIfTrue="1" operator="equal">
      <formula>"Fail"</formula>
    </cfRule>
  </conditionalFormatting>
  <conditionalFormatting sqref="H779:O779">
    <cfRule type="cellIs" dxfId="286" priority="215" stopIfTrue="1" operator="equal">
      <formula>"Pass"</formula>
    </cfRule>
    <cfRule type="cellIs" dxfId="285" priority="216" stopIfTrue="1" operator="equal">
      <formula>"Fail"</formula>
    </cfRule>
  </conditionalFormatting>
  <conditionalFormatting sqref="H779:O779">
    <cfRule type="cellIs" dxfId="284" priority="213" stopIfTrue="1" operator="equal">
      <formula>"Pass"</formula>
    </cfRule>
    <cfRule type="cellIs" dxfId="283" priority="214" stopIfTrue="1" operator="equal">
      <formula>"Fail"</formula>
    </cfRule>
  </conditionalFormatting>
  <conditionalFormatting sqref="I779:P779">
    <cfRule type="cellIs" dxfId="282" priority="211" stopIfTrue="1" operator="equal">
      <formula>"Pass"</formula>
    </cfRule>
    <cfRule type="cellIs" dxfId="281" priority="212" stopIfTrue="1" operator="equal">
      <formula>"Fail"</formula>
    </cfRule>
  </conditionalFormatting>
  <conditionalFormatting sqref="I779:P779">
    <cfRule type="cellIs" dxfId="280" priority="209" stopIfTrue="1" operator="equal">
      <formula>"Pass"</formula>
    </cfRule>
    <cfRule type="cellIs" dxfId="279" priority="210" stopIfTrue="1" operator="equal">
      <formula>"Fail"</formula>
    </cfRule>
  </conditionalFormatting>
  <conditionalFormatting sqref="I779:P779">
    <cfRule type="cellIs" dxfId="278" priority="207" stopIfTrue="1" operator="equal">
      <formula>"Pass"</formula>
    </cfRule>
    <cfRule type="cellIs" dxfId="277" priority="208" stopIfTrue="1" operator="equal">
      <formula>"Fail"</formula>
    </cfRule>
  </conditionalFormatting>
  <conditionalFormatting sqref="I779:P779">
    <cfRule type="cellIs" dxfId="276" priority="205" stopIfTrue="1" operator="equal">
      <formula>"Pass"</formula>
    </cfRule>
    <cfRule type="cellIs" dxfId="275" priority="206" stopIfTrue="1" operator="equal">
      <formula>"Fail"</formula>
    </cfRule>
  </conditionalFormatting>
  <conditionalFormatting sqref="D779:E779">
    <cfRule type="cellIs" dxfId="274" priority="203" stopIfTrue="1" operator="equal">
      <formula>"Pass"</formula>
    </cfRule>
    <cfRule type="cellIs" dxfId="273" priority="204" stopIfTrue="1" operator="equal">
      <formula>"Fail"</formula>
    </cfRule>
  </conditionalFormatting>
  <conditionalFormatting sqref="D779:E779">
    <cfRule type="cellIs" dxfId="272" priority="201" stopIfTrue="1" operator="equal">
      <formula>"Pass"</formula>
    </cfRule>
    <cfRule type="cellIs" dxfId="271" priority="202" stopIfTrue="1" operator="equal">
      <formula>"Fail"</formula>
    </cfRule>
  </conditionalFormatting>
  <conditionalFormatting sqref="G779:H779">
    <cfRule type="cellIs" dxfId="270" priority="199" stopIfTrue="1" operator="equal">
      <formula>"Pass"</formula>
    </cfRule>
    <cfRule type="cellIs" dxfId="269" priority="200" stopIfTrue="1" operator="equal">
      <formula>"Fail"</formula>
    </cfRule>
  </conditionalFormatting>
  <conditionalFormatting sqref="G779:H779">
    <cfRule type="cellIs" dxfId="268" priority="197" stopIfTrue="1" operator="equal">
      <formula>"Pass"</formula>
    </cfRule>
    <cfRule type="cellIs" dxfId="267" priority="198" stopIfTrue="1" operator="equal">
      <formula>"Fail"</formula>
    </cfRule>
  </conditionalFormatting>
  <conditionalFormatting sqref="G779:H779">
    <cfRule type="cellIs" dxfId="266" priority="195" stopIfTrue="1" operator="equal">
      <formula>"Pass"</formula>
    </cfRule>
    <cfRule type="cellIs" dxfId="265" priority="196" stopIfTrue="1" operator="equal">
      <formula>"Fail"</formula>
    </cfRule>
  </conditionalFormatting>
  <conditionalFormatting sqref="G779:H779">
    <cfRule type="cellIs" dxfId="264" priority="193" stopIfTrue="1" operator="equal">
      <formula>"Pass"</formula>
    </cfRule>
    <cfRule type="cellIs" dxfId="263" priority="194" stopIfTrue="1" operator="equal">
      <formula>"Fail"</formula>
    </cfRule>
  </conditionalFormatting>
  <conditionalFormatting sqref="H779:O779">
    <cfRule type="cellIs" dxfId="262" priority="191" stopIfTrue="1" operator="equal">
      <formula>"Pass"</formula>
    </cfRule>
    <cfRule type="cellIs" dxfId="261" priority="192" stopIfTrue="1" operator="equal">
      <formula>"Fail"</formula>
    </cfRule>
  </conditionalFormatting>
  <conditionalFormatting sqref="H779:O779">
    <cfRule type="cellIs" dxfId="260" priority="189" stopIfTrue="1" operator="equal">
      <formula>"Pass"</formula>
    </cfRule>
    <cfRule type="cellIs" dxfId="259" priority="190" stopIfTrue="1" operator="equal">
      <formula>"Fail"</formula>
    </cfRule>
  </conditionalFormatting>
  <conditionalFormatting sqref="I779:P779">
    <cfRule type="cellIs" dxfId="258" priority="187" stopIfTrue="1" operator="equal">
      <formula>"Pass"</formula>
    </cfRule>
    <cfRule type="cellIs" dxfId="257" priority="188" stopIfTrue="1" operator="equal">
      <formula>"Fail"</formula>
    </cfRule>
  </conditionalFormatting>
  <conditionalFormatting sqref="I779:P779">
    <cfRule type="cellIs" dxfId="256" priority="185" stopIfTrue="1" operator="equal">
      <formula>"Pass"</formula>
    </cfRule>
    <cfRule type="cellIs" dxfId="255" priority="186" stopIfTrue="1" operator="equal">
      <formula>"Fail"</formula>
    </cfRule>
  </conditionalFormatting>
  <conditionalFormatting sqref="I779:P779">
    <cfRule type="cellIs" dxfId="254" priority="183" stopIfTrue="1" operator="equal">
      <formula>"Pass"</formula>
    </cfRule>
    <cfRule type="cellIs" dxfId="253" priority="184" stopIfTrue="1" operator="equal">
      <formula>"Fail"</formula>
    </cfRule>
  </conditionalFormatting>
  <conditionalFormatting sqref="I779:P779">
    <cfRule type="cellIs" dxfId="252" priority="181" stopIfTrue="1" operator="equal">
      <formula>"Pass"</formula>
    </cfRule>
    <cfRule type="cellIs" dxfId="251" priority="182" stopIfTrue="1" operator="equal">
      <formula>"Fail"</formula>
    </cfRule>
  </conditionalFormatting>
  <conditionalFormatting sqref="H779:O779">
    <cfRule type="cellIs" dxfId="250" priority="179" stopIfTrue="1" operator="equal">
      <formula>"Pass"</formula>
    </cfRule>
    <cfRule type="cellIs" dxfId="249" priority="180" stopIfTrue="1" operator="equal">
      <formula>"Fail"</formula>
    </cfRule>
  </conditionalFormatting>
  <conditionalFormatting sqref="H779:O779">
    <cfRule type="cellIs" dxfId="248" priority="177" stopIfTrue="1" operator="equal">
      <formula>"Pass"</formula>
    </cfRule>
    <cfRule type="cellIs" dxfId="247" priority="178" stopIfTrue="1" operator="equal">
      <formula>"Fail"</formula>
    </cfRule>
  </conditionalFormatting>
  <conditionalFormatting sqref="I779:P779">
    <cfRule type="cellIs" dxfId="246" priority="175" stopIfTrue="1" operator="equal">
      <formula>"Pass"</formula>
    </cfRule>
    <cfRule type="cellIs" dxfId="245" priority="176" stopIfTrue="1" operator="equal">
      <formula>"Fail"</formula>
    </cfRule>
  </conditionalFormatting>
  <conditionalFormatting sqref="I779:P779">
    <cfRule type="cellIs" dxfId="244" priority="173" stopIfTrue="1" operator="equal">
      <formula>"Pass"</formula>
    </cfRule>
    <cfRule type="cellIs" dxfId="243" priority="174" stopIfTrue="1" operator="equal">
      <formula>"Fail"</formula>
    </cfRule>
  </conditionalFormatting>
  <conditionalFormatting sqref="I779:P779">
    <cfRule type="cellIs" dxfId="242" priority="171" stopIfTrue="1" operator="equal">
      <formula>"Pass"</formula>
    </cfRule>
    <cfRule type="cellIs" dxfId="241" priority="172" stopIfTrue="1" operator="equal">
      <formula>"Fail"</formula>
    </cfRule>
  </conditionalFormatting>
  <conditionalFormatting sqref="I779:P779">
    <cfRule type="cellIs" dxfId="240" priority="169" stopIfTrue="1" operator="equal">
      <formula>"Pass"</formula>
    </cfRule>
    <cfRule type="cellIs" dxfId="239" priority="170" stopIfTrue="1" operator="equal">
      <formula>"Fail"</formula>
    </cfRule>
  </conditionalFormatting>
  <conditionalFormatting sqref="H779:O779">
    <cfRule type="cellIs" dxfId="238" priority="167" stopIfTrue="1" operator="equal">
      <formula>"Pass"</formula>
    </cfRule>
    <cfRule type="cellIs" dxfId="237" priority="168" stopIfTrue="1" operator="equal">
      <formula>"Fail"</formula>
    </cfRule>
  </conditionalFormatting>
  <conditionalFormatting sqref="H779:O779">
    <cfRule type="cellIs" dxfId="236" priority="165" stopIfTrue="1" operator="equal">
      <formula>"Pass"</formula>
    </cfRule>
    <cfRule type="cellIs" dxfId="235" priority="166" stopIfTrue="1" operator="equal">
      <formula>"Fail"</formula>
    </cfRule>
  </conditionalFormatting>
  <conditionalFormatting sqref="I779:P779">
    <cfRule type="cellIs" dxfId="234" priority="163" stopIfTrue="1" operator="equal">
      <formula>"Pass"</formula>
    </cfRule>
    <cfRule type="cellIs" dxfId="233" priority="164" stopIfTrue="1" operator="equal">
      <formula>"Fail"</formula>
    </cfRule>
  </conditionalFormatting>
  <conditionalFormatting sqref="I779:P779">
    <cfRule type="cellIs" dxfId="232" priority="161" stopIfTrue="1" operator="equal">
      <formula>"Pass"</formula>
    </cfRule>
    <cfRule type="cellIs" dxfId="231" priority="162" stopIfTrue="1" operator="equal">
      <formula>"Fail"</formula>
    </cfRule>
  </conditionalFormatting>
  <conditionalFormatting sqref="I779:P779">
    <cfRule type="cellIs" dxfId="230" priority="159" stopIfTrue="1" operator="equal">
      <formula>"Pass"</formula>
    </cfRule>
    <cfRule type="cellIs" dxfId="229" priority="160" stopIfTrue="1" operator="equal">
      <formula>"Fail"</formula>
    </cfRule>
  </conditionalFormatting>
  <conditionalFormatting sqref="I779:P779">
    <cfRule type="cellIs" dxfId="228" priority="157" stopIfTrue="1" operator="equal">
      <formula>"Pass"</formula>
    </cfRule>
    <cfRule type="cellIs" dxfId="227" priority="158" stopIfTrue="1" operator="equal">
      <formula>"Fail"</formula>
    </cfRule>
  </conditionalFormatting>
  <conditionalFormatting sqref="H779:O779">
    <cfRule type="cellIs" dxfId="226" priority="155" stopIfTrue="1" operator="equal">
      <formula>"Pass"</formula>
    </cfRule>
    <cfRule type="cellIs" dxfId="225" priority="156" stopIfTrue="1" operator="equal">
      <formula>"Fail"</formula>
    </cfRule>
  </conditionalFormatting>
  <conditionalFormatting sqref="H779:O779">
    <cfRule type="cellIs" dxfId="224" priority="153" stopIfTrue="1" operator="equal">
      <formula>"Pass"</formula>
    </cfRule>
    <cfRule type="cellIs" dxfId="223" priority="154" stopIfTrue="1" operator="equal">
      <formula>"Fail"</formula>
    </cfRule>
  </conditionalFormatting>
  <conditionalFormatting sqref="I779:P779">
    <cfRule type="cellIs" dxfId="222" priority="151" stopIfTrue="1" operator="equal">
      <formula>"Pass"</formula>
    </cfRule>
    <cfRule type="cellIs" dxfId="221" priority="152" stopIfTrue="1" operator="equal">
      <formula>"Fail"</formula>
    </cfRule>
  </conditionalFormatting>
  <conditionalFormatting sqref="I779:P779">
    <cfRule type="cellIs" dxfId="220" priority="149" stopIfTrue="1" operator="equal">
      <formula>"Pass"</formula>
    </cfRule>
    <cfRule type="cellIs" dxfId="219" priority="150" stopIfTrue="1" operator="equal">
      <formula>"Fail"</formula>
    </cfRule>
  </conditionalFormatting>
  <conditionalFormatting sqref="I779:P779">
    <cfRule type="cellIs" dxfId="218" priority="147" stopIfTrue="1" operator="equal">
      <formula>"Pass"</formula>
    </cfRule>
    <cfRule type="cellIs" dxfId="217" priority="148" stopIfTrue="1" operator="equal">
      <formula>"Fail"</formula>
    </cfRule>
  </conditionalFormatting>
  <conditionalFormatting sqref="I779:P779">
    <cfRule type="cellIs" dxfId="216" priority="145" stopIfTrue="1" operator="equal">
      <formula>"Pass"</formula>
    </cfRule>
    <cfRule type="cellIs" dxfId="215" priority="146" stopIfTrue="1" operator="equal">
      <formula>"Fail"</formula>
    </cfRule>
  </conditionalFormatting>
  <conditionalFormatting sqref="H779:O779">
    <cfRule type="cellIs" dxfId="214" priority="143" stopIfTrue="1" operator="equal">
      <formula>"Pass"</formula>
    </cfRule>
    <cfRule type="cellIs" dxfId="213" priority="144" stopIfTrue="1" operator="equal">
      <formula>"Fail"</formula>
    </cfRule>
  </conditionalFormatting>
  <conditionalFormatting sqref="H779:O779">
    <cfRule type="cellIs" dxfId="212" priority="141" stopIfTrue="1" operator="equal">
      <formula>"Pass"</formula>
    </cfRule>
    <cfRule type="cellIs" dxfId="211" priority="142" stopIfTrue="1" operator="equal">
      <formula>"Fail"</formula>
    </cfRule>
  </conditionalFormatting>
  <conditionalFormatting sqref="I779:P779">
    <cfRule type="cellIs" dxfId="210" priority="139" stopIfTrue="1" operator="equal">
      <formula>"Pass"</formula>
    </cfRule>
    <cfRule type="cellIs" dxfId="209" priority="140" stopIfTrue="1" operator="equal">
      <formula>"Fail"</formula>
    </cfRule>
  </conditionalFormatting>
  <conditionalFormatting sqref="I779:P779">
    <cfRule type="cellIs" dxfId="208" priority="137" stopIfTrue="1" operator="equal">
      <formula>"Pass"</formula>
    </cfRule>
    <cfRule type="cellIs" dxfId="207" priority="138" stopIfTrue="1" operator="equal">
      <formula>"Fail"</formula>
    </cfRule>
  </conditionalFormatting>
  <conditionalFormatting sqref="I779:P779">
    <cfRule type="cellIs" dxfId="206" priority="135" stopIfTrue="1" operator="equal">
      <formula>"Pass"</formula>
    </cfRule>
    <cfRule type="cellIs" dxfId="205" priority="136" stopIfTrue="1" operator="equal">
      <formula>"Fail"</formula>
    </cfRule>
  </conditionalFormatting>
  <conditionalFormatting sqref="I779:P779">
    <cfRule type="cellIs" dxfId="204" priority="133" stopIfTrue="1" operator="equal">
      <formula>"Pass"</formula>
    </cfRule>
    <cfRule type="cellIs" dxfId="203" priority="134" stopIfTrue="1" operator="equal">
      <formula>"Fail"</formula>
    </cfRule>
  </conditionalFormatting>
  <conditionalFormatting sqref="H779:O779">
    <cfRule type="cellIs" dxfId="202" priority="131" stopIfTrue="1" operator="equal">
      <formula>"Pass"</formula>
    </cfRule>
    <cfRule type="cellIs" dxfId="201" priority="132" stopIfTrue="1" operator="equal">
      <formula>"Fail"</formula>
    </cfRule>
  </conditionalFormatting>
  <conditionalFormatting sqref="H779:O779">
    <cfRule type="cellIs" dxfId="200" priority="129" stopIfTrue="1" operator="equal">
      <formula>"Pass"</formula>
    </cfRule>
    <cfRule type="cellIs" dxfId="199" priority="130" stopIfTrue="1" operator="equal">
      <formula>"Fail"</formula>
    </cfRule>
  </conditionalFormatting>
  <conditionalFormatting sqref="I779:P779">
    <cfRule type="cellIs" dxfId="198" priority="127" stopIfTrue="1" operator="equal">
      <formula>"Pass"</formula>
    </cfRule>
    <cfRule type="cellIs" dxfId="197" priority="128" stopIfTrue="1" operator="equal">
      <formula>"Fail"</formula>
    </cfRule>
  </conditionalFormatting>
  <conditionalFormatting sqref="I779:P779">
    <cfRule type="cellIs" dxfId="196" priority="125" stopIfTrue="1" operator="equal">
      <formula>"Pass"</formula>
    </cfRule>
    <cfRule type="cellIs" dxfId="195" priority="126" stopIfTrue="1" operator="equal">
      <formula>"Fail"</formula>
    </cfRule>
  </conditionalFormatting>
  <conditionalFormatting sqref="I779:P779">
    <cfRule type="cellIs" dxfId="194" priority="123" stopIfTrue="1" operator="equal">
      <formula>"Pass"</formula>
    </cfRule>
    <cfRule type="cellIs" dxfId="193" priority="124" stopIfTrue="1" operator="equal">
      <formula>"Fail"</formula>
    </cfRule>
  </conditionalFormatting>
  <conditionalFormatting sqref="I779:P779">
    <cfRule type="cellIs" dxfId="192" priority="121" stopIfTrue="1" operator="equal">
      <formula>"Pass"</formula>
    </cfRule>
    <cfRule type="cellIs" dxfId="191" priority="122" stopIfTrue="1" operator="equal">
      <formula>"Fail"</formula>
    </cfRule>
  </conditionalFormatting>
  <conditionalFormatting sqref="H779:O779">
    <cfRule type="cellIs" dxfId="190" priority="119" stopIfTrue="1" operator="equal">
      <formula>"Pass"</formula>
    </cfRule>
    <cfRule type="cellIs" dxfId="189" priority="120" stopIfTrue="1" operator="equal">
      <formula>"Fail"</formula>
    </cfRule>
  </conditionalFormatting>
  <conditionalFormatting sqref="H779:O779">
    <cfRule type="cellIs" dxfId="188" priority="117" stopIfTrue="1" operator="equal">
      <formula>"Pass"</formula>
    </cfRule>
    <cfRule type="cellIs" dxfId="187" priority="118" stopIfTrue="1" operator="equal">
      <formula>"Fail"</formula>
    </cfRule>
  </conditionalFormatting>
  <conditionalFormatting sqref="I779:P779">
    <cfRule type="cellIs" dxfId="186" priority="115" stopIfTrue="1" operator="equal">
      <formula>"Pass"</formula>
    </cfRule>
    <cfRule type="cellIs" dxfId="185" priority="116" stopIfTrue="1" operator="equal">
      <formula>"Fail"</formula>
    </cfRule>
  </conditionalFormatting>
  <conditionalFormatting sqref="I779:P779">
    <cfRule type="cellIs" dxfId="184" priority="113" stopIfTrue="1" operator="equal">
      <formula>"Pass"</formula>
    </cfRule>
    <cfRule type="cellIs" dxfId="183" priority="114" stopIfTrue="1" operator="equal">
      <formula>"Fail"</formula>
    </cfRule>
  </conditionalFormatting>
  <conditionalFormatting sqref="I779:P779">
    <cfRule type="cellIs" dxfId="182" priority="111" stopIfTrue="1" operator="equal">
      <formula>"Pass"</formula>
    </cfRule>
    <cfRule type="cellIs" dxfId="181" priority="112" stopIfTrue="1" operator="equal">
      <formula>"Fail"</formula>
    </cfRule>
  </conditionalFormatting>
  <conditionalFormatting sqref="I779:P779">
    <cfRule type="cellIs" dxfId="180" priority="109" stopIfTrue="1" operator="equal">
      <formula>"Pass"</formula>
    </cfRule>
    <cfRule type="cellIs" dxfId="179" priority="110" stopIfTrue="1" operator="equal">
      <formula>"Fail"</formula>
    </cfRule>
  </conditionalFormatting>
  <conditionalFormatting sqref="H779:O779">
    <cfRule type="cellIs" dxfId="178" priority="107" stopIfTrue="1" operator="equal">
      <formula>"Pass"</formula>
    </cfRule>
    <cfRule type="cellIs" dxfId="177" priority="108" stopIfTrue="1" operator="equal">
      <formula>"Fail"</formula>
    </cfRule>
  </conditionalFormatting>
  <conditionalFormatting sqref="H779:O779">
    <cfRule type="cellIs" dxfId="176" priority="105" stopIfTrue="1" operator="equal">
      <formula>"Pass"</formula>
    </cfRule>
    <cfRule type="cellIs" dxfId="175" priority="106" stopIfTrue="1" operator="equal">
      <formula>"Fail"</formula>
    </cfRule>
  </conditionalFormatting>
  <conditionalFormatting sqref="I779:P779">
    <cfRule type="cellIs" dxfId="174" priority="103" stopIfTrue="1" operator="equal">
      <formula>"Pass"</formula>
    </cfRule>
    <cfRule type="cellIs" dxfId="173" priority="104" stopIfTrue="1" operator="equal">
      <formula>"Fail"</formula>
    </cfRule>
  </conditionalFormatting>
  <conditionalFormatting sqref="I779:P779">
    <cfRule type="cellIs" dxfId="172" priority="101" stopIfTrue="1" operator="equal">
      <formula>"Pass"</formula>
    </cfRule>
    <cfRule type="cellIs" dxfId="171" priority="102" stopIfTrue="1" operator="equal">
      <formula>"Fail"</formula>
    </cfRule>
  </conditionalFormatting>
  <conditionalFormatting sqref="I779:P779">
    <cfRule type="cellIs" dxfId="170" priority="99" stopIfTrue="1" operator="equal">
      <formula>"Pass"</formula>
    </cfRule>
    <cfRule type="cellIs" dxfId="169" priority="100" stopIfTrue="1" operator="equal">
      <formula>"Fail"</formula>
    </cfRule>
  </conditionalFormatting>
  <conditionalFormatting sqref="I779:P779">
    <cfRule type="cellIs" dxfId="168" priority="97" stopIfTrue="1" operator="equal">
      <formula>"Pass"</formula>
    </cfRule>
    <cfRule type="cellIs" dxfId="167" priority="98" stopIfTrue="1" operator="equal">
      <formula>"Fail"</formula>
    </cfRule>
  </conditionalFormatting>
  <conditionalFormatting sqref="H779:O779">
    <cfRule type="cellIs" dxfId="166" priority="95" stopIfTrue="1" operator="equal">
      <formula>"Pass"</formula>
    </cfRule>
    <cfRule type="cellIs" dxfId="165" priority="96" stopIfTrue="1" operator="equal">
      <formula>"Fail"</formula>
    </cfRule>
  </conditionalFormatting>
  <conditionalFormatting sqref="H779:O779">
    <cfRule type="cellIs" dxfId="164" priority="93" stopIfTrue="1" operator="equal">
      <formula>"Pass"</formula>
    </cfRule>
    <cfRule type="cellIs" dxfId="163" priority="94" stopIfTrue="1" operator="equal">
      <formula>"Fail"</formula>
    </cfRule>
  </conditionalFormatting>
  <conditionalFormatting sqref="I779:P779">
    <cfRule type="cellIs" dxfId="162" priority="91" stopIfTrue="1" operator="equal">
      <formula>"Pass"</formula>
    </cfRule>
    <cfRule type="cellIs" dxfId="161" priority="92" stopIfTrue="1" operator="equal">
      <formula>"Fail"</formula>
    </cfRule>
  </conditionalFormatting>
  <conditionalFormatting sqref="I779:P779">
    <cfRule type="cellIs" dxfId="160" priority="89" stopIfTrue="1" operator="equal">
      <formula>"Pass"</formula>
    </cfRule>
    <cfRule type="cellIs" dxfId="159" priority="90" stopIfTrue="1" operator="equal">
      <formula>"Fail"</formula>
    </cfRule>
  </conditionalFormatting>
  <conditionalFormatting sqref="I779:P779">
    <cfRule type="cellIs" dxfId="158" priority="87" stopIfTrue="1" operator="equal">
      <formula>"Pass"</formula>
    </cfRule>
    <cfRule type="cellIs" dxfId="157" priority="88" stopIfTrue="1" operator="equal">
      <formula>"Fail"</formula>
    </cfRule>
  </conditionalFormatting>
  <conditionalFormatting sqref="I779:P779">
    <cfRule type="cellIs" dxfId="156" priority="85" stopIfTrue="1" operator="equal">
      <formula>"Pass"</formula>
    </cfRule>
    <cfRule type="cellIs" dxfId="155" priority="86" stopIfTrue="1" operator="equal">
      <formula>"Fail"</formula>
    </cfRule>
  </conditionalFormatting>
  <conditionalFormatting sqref="H779:O779">
    <cfRule type="cellIs" dxfId="154" priority="83" stopIfTrue="1" operator="equal">
      <formula>"Pass"</formula>
    </cfRule>
    <cfRule type="cellIs" dxfId="153" priority="84" stopIfTrue="1" operator="equal">
      <formula>"Fail"</formula>
    </cfRule>
  </conditionalFormatting>
  <conditionalFormatting sqref="H779:O779">
    <cfRule type="cellIs" dxfId="152" priority="81" stopIfTrue="1" operator="equal">
      <formula>"Pass"</formula>
    </cfRule>
    <cfRule type="cellIs" dxfId="151" priority="82" stopIfTrue="1" operator="equal">
      <formula>"Fail"</formula>
    </cfRule>
  </conditionalFormatting>
  <conditionalFormatting sqref="I779:P779">
    <cfRule type="cellIs" dxfId="150" priority="79" stopIfTrue="1" operator="equal">
      <formula>"Pass"</formula>
    </cfRule>
    <cfRule type="cellIs" dxfId="149" priority="80" stopIfTrue="1" operator="equal">
      <formula>"Fail"</formula>
    </cfRule>
  </conditionalFormatting>
  <conditionalFormatting sqref="I779:P779">
    <cfRule type="cellIs" dxfId="148" priority="77" stopIfTrue="1" operator="equal">
      <formula>"Pass"</formula>
    </cfRule>
    <cfRule type="cellIs" dxfId="147" priority="78" stopIfTrue="1" operator="equal">
      <formula>"Fail"</formula>
    </cfRule>
  </conditionalFormatting>
  <conditionalFormatting sqref="I779:P779">
    <cfRule type="cellIs" dxfId="146" priority="75" stopIfTrue="1" operator="equal">
      <formula>"Pass"</formula>
    </cfRule>
    <cfRule type="cellIs" dxfId="145" priority="76" stopIfTrue="1" operator="equal">
      <formula>"Fail"</formula>
    </cfRule>
  </conditionalFormatting>
  <conditionalFormatting sqref="I779:P779">
    <cfRule type="cellIs" dxfId="144" priority="73" stopIfTrue="1" operator="equal">
      <formula>"Pass"</formula>
    </cfRule>
    <cfRule type="cellIs" dxfId="143" priority="74" stopIfTrue="1" operator="equal">
      <formula>"Fail"</formula>
    </cfRule>
  </conditionalFormatting>
  <conditionalFormatting sqref="H779:O779">
    <cfRule type="cellIs" dxfId="142" priority="71" stopIfTrue="1" operator="equal">
      <formula>"Pass"</formula>
    </cfRule>
    <cfRule type="cellIs" dxfId="141" priority="72" stopIfTrue="1" operator="equal">
      <formula>"Fail"</formula>
    </cfRule>
  </conditionalFormatting>
  <conditionalFormatting sqref="H779:O779">
    <cfRule type="cellIs" dxfId="140" priority="69" stopIfTrue="1" operator="equal">
      <formula>"Pass"</formula>
    </cfRule>
    <cfRule type="cellIs" dxfId="139" priority="70" stopIfTrue="1" operator="equal">
      <formula>"Fail"</formula>
    </cfRule>
  </conditionalFormatting>
  <conditionalFormatting sqref="I779:P779">
    <cfRule type="cellIs" dxfId="138" priority="67" stopIfTrue="1" operator="equal">
      <formula>"Pass"</formula>
    </cfRule>
    <cfRule type="cellIs" dxfId="137" priority="68" stopIfTrue="1" operator="equal">
      <formula>"Fail"</formula>
    </cfRule>
  </conditionalFormatting>
  <conditionalFormatting sqref="I779:P779">
    <cfRule type="cellIs" dxfId="136" priority="65" stopIfTrue="1" operator="equal">
      <formula>"Pass"</formula>
    </cfRule>
    <cfRule type="cellIs" dxfId="135" priority="66" stopIfTrue="1" operator="equal">
      <formula>"Fail"</formula>
    </cfRule>
  </conditionalFormatting>
  <conditionalFormatting sqref="I779:P779">
    <cfRule type="cellIs" dxfId="134" priority="63" stopIfTrue="1" operator="equal">
      <formula>"Pass"</formula>
    </cfRule>
    <cfRule type="cellIs" dxfId="133" priority="64" stopIfTrue="1" operator="equal">
      <formula>"Fail"</formula>
    </cfRule>
  </conditionalFormatting>
  <conditionalFormatting sqref="I779:P779">
    <cfRule type="cellIs" dxfId="132" priority="61" stopIfTrue="1" operator="equal">
      <formula>"Pass"</formula>
    </cfRule>
    <cfRule type="cellIs" dxfId="131" priority="62" stopIfTrue="1" operator="equal">
      <formula>"Fail"</formula>
    </cfRule>
  </conditionalFormatting>
  <conditionalFormatting sqref="H779:O779">
    <cfRule type="cellIs" dxfId="130" priority="59" stopIfTrue="1" operator="equal">
      <formula>"Pass"</formula>
    </cfRule>
    <cfRule type="cellIs" dxfId="129" priority="60" stopIfTrue="1" operator="equal">
      <formula>"Fail"</formula>
    </cfRule>
  </conditionalFormatting>
  <conditionalFormatting sqref="H779:O779">
    <cfRule type="cellIs" dxfId="128" priority="57" stopIfTrue="1" operator="equal">
      <formula>"Pass"</formula>
    </cfRule>
    <cfRule type="cellIs" dxfId="127" priority="58" stopIfTrue="1" operator="equal">
      <formula>"Fail"</formula>
    </cfRule>
  </conditionalFormatting>
  <conditionalFormatting sqref="I779:P779">
    <cfRule type="cellIs" dxfId="126" priority="55" stopIfTrue="1" operator="equal">
      <formula>"Pass"</formula>
    </cfRule>
    <cfRule type="cellIs" dxfId="125" priority="56" stopIfTrue="1" operator="equal">
      <formula>"Fail"</formula>
    </cfRule>
  </conditionalFormatting>
  <conditionalFormatting sqref="I779:P779">
    <cfRule type="cellIs" dxfId="124" priority="53" stopIfTrue="1" operator="equal">
      <formula>"Pass"</formula>
    </cfRule>
    <cfRule type="cellIs" dxfId="123" priority="54" stopIfTrue="1" operator="equal">
      <formula>"Fail"</formula>
    </cfRule>
  </conditionalFormatting>
  <conditionalFormatting sqref="I779:P779">
    <cfRule type="cellIs" dxfId="122" priority="51" stopIfTrue="1" operator="equal">
      <formula>"Pass"</formula>
    </cfRule>
    <cfRule type="cellIs" dxfId="121" priority="52" stopIfTrue="1" operator="equal">
      <formula>"Fail"</formula>
    </cfRule>
  </conditionalFormatting>
  <conditionalFormatting sqref="I779:P779">
    <cfRule type="cellIs" dxfId="120" priority="49" stopIfTrue="1" operator="equal">
      <formula>"Pass"</formula>
    </cfRule>
    <cfRule type="cellIs" dxfId="119" priority="50" stopIfTrue="1" operator="equal">
      <formula>"Fail"</formula>
    </cfRule>
  </conditionalFormatting>
  <conditionalFormatting sqref="D779:E779 G779:P779">
    <cfRule type="cellIs" dxfId="118" priority="47" stopIfTrue="1" operator="equal">
      <formula>"Pass"</formula>
    </cfRule>
    <cfRule type="cellIs" dxfId="117" priority="48" stopIfTrue="1" operator="equal">
      <formula>"Fail"</formula>
    </cfRule>
  </conditionalFormatting>
  <conditionalFormatting sqref="D779:E779 G779:P779">
    <cfRule type="cellIs" dxfId="116" priority="45" stopIfTrue="1" operator="equal">
      <formula>"Pass"</formula>
    </cfRule>
    <cfRule type="cellIs" dxfId="115" priority="46" stopIfTrue="1" operator="equal">
      <formula>"Fail"</formula>
    </cfRule>
  </conditionalFormatting>
  <conditionalFormatting sqref="D779:E779 G779:P779">
    <cfRule type="cellIs" dxfId="114" priority="43" stopIfTrue="1" operator="equal">
      <formula>"Pass"</formula>
    </cfRule>
    <cfRule type="cellIs" dxfId="113" priority="44" stopIfTrue="1" operator="equal">
      <formula>"Fail"</formula>
    </cfRule>
  </conditionalFormatting>
  <conditionalFormatting sqref="D779:E779 G779:P779">
    <cfRule type="cellIs" dxfId="112" priority="41" stopIfTrue="1" operator="equal">
      <formula>"Pass"</formula>
    </cfRule>
    <cfRule type="cellIs" dxfId="111" priority="42" stopIfTrue="1" operator="equal">
      <formula>"Fail"</formula>
    </cfRule>
  </conditionalFormatting>
  <conditionalFormatting sqref="D779:E779 G779:P779">
    <cfRule type="cellIs" dxfId="110" priority="39" stopIfTrue="1" operator="equal">
      <formula>"Pass"</formula>
    </cfRule>
    <cfRule type="cellIs" dxfId="109" priority="40" stopIfTrue="1" operator="equal">
      <formula>"Fail"</formula>
    </cfRule>
  </conditionalFormatting>
  <conditionalFormatting sqref="D779:E779 G779:P779">
    <cfRule type="cellIs" dxfId="108" priority="37" stopIfTrue="1" operator="equal">
      <formula>"Pass"</formula>
    </cfRule>
    <cfRule type="cellIs" dxfId="107" priority="38" stopIfTrue="1" operator="equal">
      <formula>"Fail"</formula>
    </cfRule>
  </conditionalFormatting>
  <conditionalFormatting sqref="D779:E779 G779:P779">
    <cfRule type="cellIs" dxfId="106" priority="35" stopIfTrue="1" operator="equal">
      <formula>"Pass"</formula>
    </cfRule>
    <cfRule type="cellIs" dxfId="105" priority="36" stopIfTrue="1" operator="equal">
      <formula>"Fail"</formula>
    </cfRule>
  </conditionalFormatting>
  <conditionalFormatting sqref="D779:E779 G779:P779">
    <cfRule type="cellIs" dxfId="104" priority="33" stopIfTrue="1" operator="equal">
      <formula>"Pass"</formula>
    </cfRule>
    <cfRule type="cellIs" dxfId="103" priority="34" stopIfTrue="1" operator="equal">
      <formula>"Fail"</formula>
    </cfRule>
  </conditionalFormatting>
  <conditionalFormatting sqref="D779:E779 G779:P779">
    <cfRule type="cellIs" dxfId="102" priority="31" stopIfTrue="1" operator="equal">
      <formula>"Pass"</formula>
    </cfRule>
    <cfRule type="cellIs" dxfId="101" priority="32" stopIfTrue="1" operator="equal">
      <formula>"Fail"</formula>
    </cfRule>
  </conditionalFormatting>
  <conditionalFormatting sqref="D779:E779 G779:P779">
    <cfRule type="cellIs" dxfId="100" priority="29" stopIfTrue="1" operator="equal">
      <formula>"Pass"</formula>
    </cfRule>
    <cfRule type="cellIs" dxfId="99" priority="30" stopIfTrue="1" operator="equal">
      <formula>"Fail"</formula>
    </cfRule>
  </conditionalFormatting>
  <conditionalFormatting sqref="D779:E779 G779:P779">
    <cfRule type="cellIs" dxfId="98" priority="27" stopIfTrue="1" operator="equal">
      <formula>"Pass"</formula>
    </cfRule>
    <cfRule type="cellIs" dxfId="97" priority="28" stopIfTrue="1" operator="equal">
      <formula>"Fail"</formula>
    </cfRule>
  </conditionalFormatting>
  <conditionalFormatting sqref="D779:E779 G779:P779">
    <cfRule type="cellIs" dxfId="96" priority="25" stopIfTrue="1" operator="equal">
      <formula>"Pass"</formula>
    </cfRule>
    <cfRule type="cellIs" dxfId="95" priority="26" stopIfTrue="1" operator="equal">
      <formula>"Fail"</formula>
    </cfRule>
  </conditionalFormatting>
  <conditionalFormatting sqref="D779:E779 G779:P779">
    <cfRule type="cellIs" dxfId="94" priority="23" stopIfTrue="1" operator="equal">
      <formula>"Pass"</formula>
    </cfRule>
    <cfRule type="cellIs" dxfId="93" priority="24" stopIfTrue="1" operator="equal">
      <formula>"Fail"</formula>
    </cfRule>
  </conditionalFormatting>
  <conditionalFormatting sqref="D779:E779 G779:P779">
    <cfRule type="cellIs" dxfId="92" priority="21" stopIfTrue="1" operator="equal">
      <formula>"Pass"</formula>
    </cfRule>
    <cfRule type="cellIs" dxfId="91" priority="22" stopIfTrue="1" operator="equal">
      <formula>"Fail"</formula>
    </cfRule>
  </conditionalFormatting>
  <conditionalFormatting sqref="D779:E779 G779:P779">
    <cfRule type="cellIs" dxfId="90" priority="19" stopIfTrue="1" operator="equal">
      <formula>"Pass"</formula>
    </cfRule>
    <cfRule type="cellIs" dxfId="89" priority="20" stopIfTrue="1" operator="equal">
      <formula>"Fail"</formula>
    </cfRule>
  </conditionalFormatting>
  <conditionalFormatting sqref="D779:E779 G779:P779">
    <cfRule type="cellIs" dxfId="88" priority="17" stopIfTrue="1" operator="equal">
      <formula>"Pass"</formula>
    </cfRule>
    <cfRule type="cellIs" dxfId="87" priority="18" stopIfTrue="1" operator="equal">
      <formula>"Fail"</formula>
    </cfRule>
  </conditionalFormatting>
  <conditionalFormatting sqref="D779:E779 G779:P779">
    <cfRule type="cellIs" dxfId="86" priority="15" stopIfTrue="1" operator="equal">
      <formula>"Pass"</formula>
    </cfRule>
    <cfRule type="cellIs" dxfId="85" priority="16" stopIfTrue="1" operator="equal">
      <formula>"Fail"</formula>
    </cfRule>
  </conditionalFormatting>
  <conditionalFormatting sqref="D779:E779 G779:P779">
    <cfRule type="cellIs" dxfId="84" priority="13" stopIfTrue="1" operator="equal">
      <formula>"Pass"</formula>
    </cfRule>
    <cfRule type="cellIs" dxfId="83" priority="14" stopIfTrue="1" operator="equal">
      <formula>"Fail"</formula>
    </cfRule>
  </conditionalFormatting>
  <conditionalFormatting sqref="D779:E779 G779:P779">
    <cfRule type="cellIs" dxfId="82" priority="11" stopIfTrue="1" operator="equal">
      <formula>"Pass"</formula>
    </cfRule>
    <cfRule type="cellIs" dxfId="81" priority="12" stopIfTrue="1" operator="equal">
      <formula>"Fail"</formula>
    </cfRule>
  </conditionalFormatting>
  <conditionalFormatting sqref="D779:E779 G779:P779">
    <cfRule type="cellIs" dxfId="80" priority="9" stopIfTrue="1" operator="equal">
      <formula>"Pass"</formula>
    </cfRule>
    <cfRule type="cellIs" dxfId="79" priority="10" stopIfTrue="1" operator="equal">
      <formula>"Fail"</formula>
    </cfRule>
  </conditionalFormatting>
  <conditionalFormatting sqref="D779:E779 G779:P779">
    <cfRule type="cellIs" dxfId="78" priority="7" stopIfTrue="1" operator="equal">
      <formula>"Pass"</formula>
    </cfRule>
    <cfRule type="cellIs" dxfId="77" priority="8" stopIfTrue="1" operator="equal">
      <formula>"Fail"</formula>
    </cfRule>
  </conditionalFormatting>
  <conditionalFormatting sqref="D782:E783">
    <cfRule type="cellIs" dxfId="76" priority="5" stopIfTrue="1" operator="equal">
      <formula>"Pass"</formula>
    </cfRule>
    <cfRule type="cellIs" dxfId="75" priority="6" stopIfTrue="1" operator="equal">
      <formula>"Fail"</formula>
    </cfRule>
  </conditionalFormatting>
  <conditionalFormatting sqref="D786:E787 G786:H787 E785 G782:P783 H785 I785:P786">
    <cfRule type="cellIs" dxfId="74" priority="3" stopIfTrue="1" operator="equal">
      <formula>"Pass"</formula>
    </cfRule>
    <cfRule type="cellIs" dxfId="73" priority="4" stopIfTrue="1" operator="equal">
      <formula>"Fail"</formula>
    </cfRule>
  </conditionalFormatting>
  <conditionalFormatting sqref="U782:V787">
    <cfRule type="cellIs" dxfId="72" priority="1" stopIfTrue="1" operator="equal">
      <formula>"Fail"</formula>
    </cfRule>
    <cfRule type="cellIs" dxfId="71" priority="2" stopIfTrue="1" operator="equal">
      <formula>"Pass"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100000000000001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100000000000001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100000000000001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0"/>
  <sheetViews>
    <sheetView topLeftCell="A7" zoomScale="85" zoomScaleNormal="85" workbookViewId="0">
      <selection activeCell="S13" sqref="S13"/>
    </sheetView>
  </sheetViews>
  <sheetFormatPr defaultRowHeight="12.75" x14ac:dyDescent="0.25"/>
  <cols>
    <col min="1" max="1" width="12.81640625" style="35" bestFit="1" customWidth="1"/>
    <col min="2" max="2" width="5.08984375" style="35" bestFit="1" customWidth="1"/>
    <col min="3" max="3" width="12.7265625" style="35" customWidth="1"/>
    <col min="4" max="5" width="7.36328125" style="35" bestFit="1" customWidth="1"/>
    <col min="6" max="6" width="8.08984375" style="35" customWidth="1"/>
    <col min="7" max="9" width="7.36328125" style="35" bestFit="1" customWidth="1"/>
    <col min="10" max="10" width="7.54296875" style="35" customWidth="1"/>
    <col min="11" max="16" width="7.36328125" style="35" bestFit="1" customWidth="1"/>
    <col min="17" max="18" width="8.7265625" style="35"/>
    <col min="19" max="19" width="9.08984375" style="35" bestFit="1" customWidth="1"/>
    <col min="20" max="20" width="9.1796875" style="35" bestFit="1" customWidth="1"/>
    <col min="21" max="21" width="8.7265625" style="35"/>
    <col min="22" max="23" width="7" style="35" bestFit="1" customWidth="1"/>
    <col min="24" max="24" width="17" style="35" customWidth="1"/>
    <col min="25" max="16384" width="8.7265625" style="35"/>
  </cols>
  <sheetData>
    <row r="1" spans="1:30" s="170" customFormat="1" x14ac:dyDescent="0.25">
      <c r="A1" s="236" t="s">
        <v>14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236"/>
      <c r="P1" s="237"/>
      <c r="Q1" s="175"/>
      <c r="R1" s="175"/>
      <c r="S1" s="175"/>
      <c r="T1" s="175"/>
      <c r="U1" s="175"/>
      <c r="V1" s="174"/>
      <c r="W1" s="174"/>
      <c r="X1" s="173"/>
      <c r="Y1" s="172"/>
      <c r="Z1" s="172"/>
      <c r="AA1" s="172"/>
      <c r="AB1" s="172"/>
      <c r="AC1" s="171"/>
    </row>
    <row r="2" spans="1:30" x14ac:dyDescent="0.25">
      <c r="A2" s="238" t="s">
        <v>15</v>
      </c>
      <c r="B2" s="238"/>
      <c r="C2" s="238"/>
      <c r="D2" s="238"/>
      <c r="E2" s="238"/>
      <c r="F2" s="238"/>
      <c r="G2" s="238"/>
      <c r="H2" s="238"/>
      <c r="I2" s="238"/>
      <c r="J2" s="154" t="s">
        <v>16</v>
      </c>
      <c r="K2" s="154"/>
      <c r="L2" s="154"/>
      <c r="M2" s="154"/>
      <c r="N2" s="154"/>
      <c r="O2" s="154"/>
      <c r="P2" s="168"/>
      <c r="Q2" s="167" t="s">
        <v>294</v>
      </c>
      <c r="R2" s="166"/>
      <c r="S2" s="165" t="s">
        <v>275</v>
      </c>
      <c r="T2" s="165" t="s">
        <v>274</v>
      </c>
      <c r="U2" s="165"/>
      <c r="V2" s="164" t="s">
        <v>276</v>
      </c>
      <c r="W2" s="164" t="s">
        <v>48</v>
      </c>
      <c r="X2" s="163"/>
      <c r="Y2" s="37"/>
      <c r="Z2" s="37"/>
      <c r="AA2" s="37"/>
      <c r="AB2" s="37"/>
      <c r="AC2" s="36"/>
    </row>
    <row r="3" spans="1:30" ht="12.75" customHeight="1" x14ac:dyDescent="0.3">
      <c r="A3" s="238" t="s">
        <v>293</v>
      </c>
      <c r="B3" s="238"/>
      <c r="C3" s="238"/>
      <c r="D3" s="238"/>
      <c r="E3" s="238"/>
      <c r="F3" s="152" t="s">
        <v>292</v>
      </c>
      <c r="G3" s="152"/>
      <c r="H3" s="152"/>
      <c r="I3" s="152"/>
      <c r="J3" s="152"/>
      <c r="K3" s="152"/>
      <c r="L3" s="152"/>
      <c r="M3" s="152"/>
      <c r="N3" s="152"/>
      <c r="O3" s="152"/>
      <c r="P3" s="151"/>
      <c r="Q3" s="160" t="s">
        <v>291</v>
      </c>
      <c r="R3" s="159"/>
      <c r="S3" s="158">
        <v>4720</v>
      </c>
      <c r="T3" s="158">
        <v>5640</v>
      </c>
      <c r="U3" s="158"/>
      <c r="V3" s="157">
        <v>4470</v>
      </c>
      <c r="W3" s="157">
        <v>6020</v>
      </c>
      <c r="X3" s="156"/>
      <c r="Y3" s="37"/>
      <c r="Z3" s="37"/>
      <c r="AA3" s="37"/>
      <c r="AB3" s="37"/>
      <c r="AC3" s="36"/>
    </row>
    <row r="4" spans="1:30" ht="16.5" customHeight="1" x14ac:dyDescent="0.25">
      <c r="A4" s="238" t="s">
        <v>290</v>
      </c>
      <c r="B4" s="238"/>
      <c r="C4" s="238"/>
      <c r="D4" s="238"/>
      <c r="E4" s="238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9"/>
      <c r="Q4" s="160" t="s">
        <v>286</v>
      </c>
      <c r="R4" s="159"/>
      <c r="S4" s="158">
        <v>0</v>
      </c>
      <c r="T4" s="158">
        <v>2.5</v>
      </c>
      <c r="U4" s="158"/>
      <c r="V4" s="157">
        <v>0</v>
      </c>
      <c r="W4" s="157">
        <v>10</v>
      </c>
      <c r="X4" s="156"/>
      <c r="Y4" s="37"/>
      <c r="Z4" s="37"/>
      <c r="AA4" s="37"/>
      <c r="AB4" s="37"/>
      <c r="AC4" s="36"/>
    </row>
    <row r="5" spans="1:30" ht="12.75" customHeight="1" x14ac:dyDescent="0.25">
      <c r="A5" s="238" t="s">
        <v>289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  <c r="L5" s="238"/>
      <c r="M5" s="238"/>
      <c r="N5" s="238"/>
      <c r="O5" s="238"/>
      <c r="P5" s="239"/>
      <c r="Q5" s="160" t="s">
        <v>288</v>
      </c>
      <c r="R5" s="159"/>
      <c r="S5" s="158">
        <v>6300</v>
      </c>
      <c r="T5" s="158">
        <v>8260</v>
      </c>
      <c r="U5" s="158"/>
      <c r="V5" s="157">
        <v>4955</v>
      </c>
      <c r="W5" s="157">
        <v>9645</v>
      </c>
      <c r="X5" s="156"/>
      <c r="Y5" s="37"/>
      <c r="Z5" s="37"/>
      <c r="AA5" s="37"/>
      <c r="AB5" s="37"/>
      <c r="AC5" s="36"/>
    </row>
    <row r="6" spans="1:30" ht="12.75" customHeight="1" x14ac:dyDescent="0.25">
      <c r="A6" s="238" t="s">
        <v>287</v>
      </c>
      <c r="B6" s="238"/>
      <c r="C6" s="238"/>
      <c r="D6" s="238"/>
      <c r="E6" s="238"/>
      <c r="F6" s="238"/>
      <c r="G6" s="238"/>
      <c r="H6" s="238"/>
      <c r="I6" s="238"/>
      <c r="J6" s="238"/>
      <c r="K6" s="238"/>
      <c r="L6" s="238"/>
      <c r="M6" s="238"/>
      <c r="N6" s="238"/>
      <c r="O6" s="238"/>
      <c r="P6" s="239"/>
      <c r="Q6" s="160" t="s">
        <v>286</v>
      </c>
      <c r="R6" s="159"/>
      <c r="S6" s="158">
        <v>0</v>
      </c>
      <c r="T6" s="158">
        <v>10</v>
      </c>
      <c r="U6" s="158"/>
      <c r="V6" s="157">
        <v>0</v>
      </c>
      <c r="W6" s="157">
        <v>10</v>
      </c>
      <c r="X6" s="156"/>
      <c r="Y6" s="37"/>
      <c r="Z6" s="37"/>
      <c r="AA6" s="37"/>
      <c r="AB6" s="37"/>
      <c r="AC6" s="36"/>
    </row>
    <row r="7" spans="1:30" ht="12.75" customHeight="1" x14ac:dyDescent="0.25">
      <c r="A7" s="238" t="s">
        <v>285</v>
      </c>
      <c r="B7" s="238"/>
      <c r="C7" s="238"/>
      <c r="D7" s="238"/>
      <c r="E7" s="238"/>
      <c r="F7" s="238"/>
      <c r="G7" s="238"/>
      <c r="H7" s="238"/>
      <c r="I7" s="238"/>
      <c r="J7" s="238"/>
      <c r="K7" s="238"/>
      <c r="L7" s="238"/>
      <c r="M7" s="238"/>
      <c r="N7" s="238"/>
      <c r="O7" s="238"/>
      <c r="P7" s="239"/>
      <c r="Q7" s="150"/>
      <c r="R7" s="150"/>
      <c r="S7" s="149"/>
      <c r="T7" s="148"/>
      <c r="U7" s="148"/>
      <c r="V7" s="147"/>
      <c r="W7" s="146"/>
      <c r="X7" s="145"/>
      <c r="Y7" s="37"/>
      <c r="Z7" s="37"/>
      <c r="AA7" s="37"/>
      <c r="AB7" s="37"/>
      <c r="AC7" s="36"/>
    </row>
    <row r="8" spans="1:30" ht="12.75" customHeight="1" x14ac:dyDescent="0.25">
      <c r="A8" s="144"/>
      <c r="B8" s="142"/>
      <c r="C8" s="143"/>
      <c r="D8" s="143"/>
      <c r="E8" s="143"/>
      <c r="F8" s="143"/>
      <c r="G8" s="143"/>
      <c r="H8" s="143"/>
      <c r="I8" s="143"/>
      <c r="J8" s="143"/>
      <c r="K8" s="142"/>
      <c r="L8" s="142"/>
      <c r="M8" s="142"/>
      <c r="N8" s="142"/>
      <c r="O8" s="142"/>
      <c r="P8" s="141"/>
      <c r="Q8" s="140"/>
      <c r="R8" s="140"/>
      <c r="S8" s="139"/>
      <c r="T8" s="139"/>
      <c r="U8" s="139"/>
      <c r="V8" s="138"/>
      <c r="W8" s="138"/>
      <c r="X8" s="137"/>
      <c r="Y8" s="37"/>
      <c r="Z8" s="37"/>
      <c r="AA8" s="37"/>
      <c r="AB8" s="37"/>
      <c r="AC8" s="36"/>
    </row>
    <row r="9" spans="1:30" ht="36.700000000000003" customHeight="1" thickBot="1" x14ac:dyDescent="0.3">
      <c r="A9" s="136" t="s">
        <v>284</v>
      </c>
      <c r="B9" s="135"/>
      <c r="C9" s="135"/>
      <c r="D9" s="243" t="s">
        <v>283</v>
      </c>
      <c r="E9" s="244"/>
      <c r="F9" s="244"/>
      <c r="G9" s="244"/>
      <c r="H9" s="244"/>
      <c r="I9" s="244"/>
      <c r="J9" s="244"/>
      <c r="K9" s="244"/>
      <c r="L9" s="244"/>
      <c r="M9" s="244"/>
      <c r="N9" s="244"/>
      <c r="O9" s="244"/>
      <c r="P9" s="244"/>
      <c r="Q9" s="132" t="s">
        <v>282</v>
      </c>
      <c r="R9" s="132" t="s">
        <v>281</v>
      </c>
      <c r="S9" s="131" t="s">
        <v>280</v>
      </c>
      <c r="T9" s="131" t="s">
        <v>279</v>
      </c>
      <c r="U9" s="131" t="s">
        <v>299</v>
      </c>
      <c r="V9" s="129" t="s">
        <v>32</v>
      </c>
      <c r="W9" s="130" t="s">
        <v>277</v>
      </c>
      <c r="X9" s="129" t="s">
        <v>34</v>
      </c>
      <c r="Y9" s="37" t="s">
        <v>276</v>
      </c>
      <c r="Z9" s="37" t="s">
        <v>48</v>
      </c>
      <c r="AA9" s="37" t="s">
        <v>275</v>
      </c>
      <c r="AB9" s="37" t="s">
        <v>274</v>
      </c>
      <c r="AC9" s="69" t="s">
        <v>273</v>
      </c>
      <c r="AD9" s="70" t="s">
        <v>272</v>
      </c>
    </row>
    <row r="10" spans="1:30" x14ac:dyDescent="0.25">
      <c r="A10" s="126">
        <v>42146</v>
      </c>
      <c r="B10" s="57" t="s">
        <v>206</v>
      </c>
      <c r="C10" s="61" t="s">
        <v>205</v>
      </c>
      <c r="D10" s="35">
        <v>6947.26</v>
      </c>
      <c r="E10" s="35">
        <v>7122.67</v>
      </c>
      <c r="F10" s="35">
        <v>6999.62</v>
      </c>
      <c r="G10" s="35">
        <v>7044.9</v>
      </c>
      <c r="H10" s="35">
        <v>7134.36</v>
      </c>
      <c r="I10" s="35">
        <v>7108.98</v>
      </c>
      <c r="J10" s="35">
        <v>7138.8</v>
      </c>
      <c r="K10" s="35">
        <v>7114.34</v>
      </c>
      <c r="L10" s="35">
        <v>7153.3</v>
      </c>
      <c r="M10" s="35">
        <v>7226.35</v>
      </c>
      <c r="N10" s="35">
        <v>7395.69</v>
      </c>
      <c r="O10" s="35">
        <v>7265.95</v>
      </c>
      <c r="P10" s="35">
        <v>7391.76</v>
      </c>
      <c r="Q10" s="125">
        <v>2735.41</v>
      </c>
      <c r="R10" s="125">
        <v>2630.1799999999994</v>
      </c>
      <c r="S10" s="53">
        <v>2698.7053846153844</v>
      </c>
      <c r="T10" s="53">
        <v>1.9612009117357176</v>
      </c>
      <c r="U10" s="52">
        <v>30.91467790962756</v>
      </c>
      <c r="V10" s="58" t="s">
        <v>197</v>
      </c>
      <c r="W10" s="57">
        <v>102</v>
      </c>
      <c r="X10" s="240" t="s">
        <v>295</v>
      </c>
      <c r="Y10" s="71">
        <v>4470</v>
      </c>
      <c r="Z10" s="71">
        <v>6020</v>
      </c>
      <c r="AA10" s="71">
        <v>5360</v>
      </c>
      <c r="AB10" s="71">
        <v>5550</v>
      </c>
      <c r="AC10" s="70">
        <v>1.5</v>
      </c>
      <c r="AD10" s="69">
        <v>10</v>
      </c>
    </row>
    <row r="11" spans="1:30" x14ac:dyDescent="0.25">
      <c r="A11" s="120"/>
      <c r="B11" s="47"/>
      <c r="C11" s="56" t="s">
        <v>204</v>
      </c>
      <c r="D11" s="35">
        <v>4274.51</v>
      </c>
      <c r="E11" s="35">
        <v>4470.4799999999996</v>
      </c>
      <c r="F11" s="35">
        <v>4311.7700000000004</v>
      </c>
      <c r="G11" s="35">
        <v>4347.37</v>
      </c>
      <c r="H11" s="35">
        <v>4504.18</v>
      </c>
      <c r="I11" s="35">
        <v>4401.51</v>
      </c>
      <c r="J11" s="35">
        <v>4424.8999999999996</v>
      </c>
      <c r="K11" s="35">
        <v>4392.25</v>
      </c>
      <c r="L11" s="35">
        <v>4444.08</v>
      </c>
      <c r="M11" s="35">
        <v>4497.7700000000004</v>
      </c>
      <c r="N11" s="35">
        <v>4692.76</v>
      </c>
      <c r="O11" s="35">
        <v>4542.88</v>
      </c>
      <c r="P11" s="35">
        <v>4656.3500000000004</v>
      </c>
      <c r="Q11" s="47"/>
      <c r="R11" s="47"/>
      <c r="S11" s="47"/>
      <c r="T11" s="47"/>
      <c r="U11" s="47"/>
      <c r="V11" s="176" t="s">
        <v>297</v>
      </c>
      <c r="W11" s="177"/>
      <c r="X11" s="241"/>
    </row>
    <row r="12" spans="1:30" ht="21.75" customHeight="1" thickBot="1" x14ac:dyDescent="0.3">
      <c r="A12" s="121"/>
      <c r="B12" s="80"/>
      <c r="C12" s="56" t="s">
        <v>203</v>
      </c>
      <c r="D12" s="97">
        <v>2672.75</v>
      </c>
      <c r="E12" s="97">
        <v>2652.1900000000005</v>
      </c>
      <c r="F12" s="97">
        <v>2687.8499999999995</v>
      </c>
      <c r="G12" s="97">
        <v>2697.5299999999997</v>
      </c>
      <c r="H12" s="97">
        <v>2630.1799999999994</v>
      </c>
      <c r="I12" s="97">
        <v>2707.4699999999993</v>
      </c>
      <c r="J12" s="97">
        <v>2713.9000000000005</v>
      </c>
      <c r="K12" s="97">
        <v>2722.09</v>
      </c>
      <c r="L12" s="97">
        <v>2709.2200000000003</v>
      </c>
      <c r="M12" s="97">
        <v>2728.58</v>
      </c>
      <c r="N12" s="97">
        <v>2702.9299999999994</v>
      </c>
      <c r="O12" s="97">
        <v>2723.0699999999997</v>
      </c>
      <c r="P12" s="97">
        <v>2735.41</v>
      </c>
      <c r="Q12" s="80"/>
      <c r="R12" s="80"/>
      <c r="S12" s="80"/>
      <c r="T12" s="80"/>
      <c r="U12" s="80"/>
      <c r="V12" s="85"/>
      <c r="W12" s="80"/>
      <c r="X12" s="241"/>
    </row>
    <row r="13" spans="1:30" x14ac:dyDescent="0.25">
      <c r="A13" s="126">
        <v>42150</v>
      </c>
      <c r="B13" s="57" t="s">
        <v>206</v>
      </c>
      <c r="C13" s="61" t="s">
        <v>205</v>
      </c>
      <c r="D13" s="35">
        <v>7058</v>
      </c>
      <c r="E13" s="35">
        <v>7230.37</v>
      </c>
      <c r="F13" s="35">
        <v>7107.84</v>
      </c>
      <c r="G13" s="35">
        <v>7134.8</v>
      </c>
      <c r="H13" s="35">
        <v>7254.27</v>
      </c>
      <c r="I13" s="35">
        <v>7213.63</v>
      </c>
      <c r="J13" s="35">
        <v>7222.34</v>
      </c>
      <c r="K13" s="35">
        <v>7196.47</v>
      </c>
      <c r="L13" s="35">
        <v>7253.46</v>
      </c>
      <c r="M13" s="35">
        <v>7312.05</v>
      </c>
      <c r="N13" s="35">
        <v>7505.14</v>
      </c>
      <c r="O13" s="35">
        <v>7361.28</v>
      </c>
      <c r="P13" s="35">
        <v>7501.09</v>
      </c>
      <c r="Q13" s="125">
        <v>5537.32</v>
      </c>
      <c r="R13" s="125">
        <v>5355.5300000000007</v>
      </c>
      <c r="S13" s="53">
        <v>5465.4815384615376</v>
      </c>
      <c r="T13" s="53">
        <v>1.6688928976346784</v>
      </c>
      <c r="U13" s="52">
        <v>62.567650034006263</v>
      </c>
      <c r="V13" s="58" t="s">
        <v>298</v>
      </c>
      <c r="W13" s="57">
        <v>102</v>
      </c>
      <c r="X13" s="241"/>
    </row>
    <row r="14" spans="1:30" x14ac:dyDescent="0.25">
      <c r="A14" s="120"/>
      <c r="B14" s="47"/>
      <c r="C14" s="56" t="s">
        <v>204</v>
      </c>
      <c r="D14" s="35">
        <v>1669.97</v>
      </c>
      <c r="E14" s="35">
        <v>1864.11</v>
      </c>
      <c r="F14" s="35">
        <v>1682.94</v>
      </c>
      <c r="G14" s="35">
        <v>1665.69</v>
      </c>
      <c r="H14" s="35">
        <v>1898.74</v>
      </c>
      <c r="I14" s="35">
        <v>1706.6</v>
      </c>
      <c r="J14" s="35">
        <v>1713.33</v>
      </c>
      <c r="K14" s="35">
        <v>1675.41</v>
      </c>
      <c r="L14" s="35">
        <v>1791.79</v>
      </c>
      <c r="M14" s="35">
        <v>1781.64</v>
      </c>
      <c r="N14" s="35">
        <v>2018.81</v>
      </c>
      <c r="O14" s="35">
        <v>1866.68</v>
      </c>
      <c r="P14" s="35">
        <v>1963.77</v>
      </c>
      <c r="Q14" s="47"/>
      <c r="R14" s="47"/>
      <c r="S14" s="47"/>
      <c r="T14" s="47"/>
      <c r="U14" s="47"/>
      <c r="V14" s="176" t="s">
        <v>297</v>
      </c>
      <c r="W14" s="177"/>
      <c r="X14" s="241"/>
    </row>
    <row r="15" spans="1:30" ht="30.05" customHeight="1" thickBot="1" x14ac:dyDescent="0.3">
      <c r="A15" s="121"/>
      <c r="B15" s="80"/>
      <c r="C15" s="56" t="s">
        <v>203</v>
      </c>
      <c r="D15" s="97">
        <v>5388.03</v>
      </c>
      <c r="E15" s="97">
        <v>5366.26</v>
      </c>
      <c r="F15" s="97">
        <v>5424.9</v>
      </c>
      <c r="G15" s="97">
        <v>5469.1100000000006</v>
      </c>
      <c r="H15" s="97">
        <v>5355.5300000000007</v>
      </c>
      <c r="I15" s="97">
        <v>5507.0300000000007</v>
      </c>
      <c r="J15" s="97">
        <v>5509.01</v>
      </c>
      <c r="K15" s="97">
        <v>5521.06</v>
      </c>
      <c r="L15" s="97">
        <v>5461.67</v>
      </c>
      <c r="M15" s="97">
        <v>5530.41</v>
      </c>
      <c r="N15" s="97">
        <v>5486.33</v>
      </c>
      <c r="O15" s="97">
        <v>5494.5999999999995</v>
      </c>
      <c r="P15" s="97">
        <v>5537.32</v>
      </c>
      <c r="Q15" s="80"/>
      <c r="R15" s="80"/>
      <c r="S15" s="80"/>
      <c r="T15" s="80"/>
      <c r="U15" s="80"/>
      <c r="V15" s="85"/>
      <c r="W15" s="80"/>
      <c r="X15" s="241"/>
    </row>
    <row r="16" spans="1:30" x14ac:dyDescent="0.25">
      <c r="A16" s="126">
        <v>42146</v>
      </c>
      <c r="B16" s="50" t="s">
        <v>208</v>
      </c>
      <c r="C16" s="56" t="s">
        <v>205</v>
      </c>
      <c r="D16" s="35">
        <v>5944.61</v>
      </c>
      <c r="E16" s="35">
        <v>6080.86</v>
      </c>
      <c r="F16" s="35">
        <v>6103.77</v>
      </c>
      <c r="G16" s="35">
        <v>6102.61</v>
      </c>
      <c r="H16" s="35">
        <v>5979.94</v>
      </c>
      <c r="I16" s="35">
        <v>6092.4</v>
      </c>
      <c r="J16" s="35">
        <v>6078.84</v>
      </c>
      <c r="K16" s="35">
        <v>6107.9</v>
      </c>
      <c r="L16" s="35">
        <v>6041.13</v>
      </c>
      <c r="M16" s="55"/>
      <c r="N16" s="55"/>
      <c r="O16" s="55"/>
      <c r="P16" s="55"/>
      <c r="Q16" s="50">
        <v>8875.7999999999993</v>
      </c>
      <c r="R16" s="50">
        <v>8470.66</v>
      </c>
      <c r="S16" s="77">
        <v>8766.0777777777766</v>
      </c>
      <c r="T16" s="77">
        <v>2.3355774031127932</v>
      </c>
      <c r="U16" s="50">
        <v>138.90782571345144</v>
      </c>
      <c r="V16" s="51" t="s">
        <v>298</v>
      </c>
      <c r="W16" s="50">
        <v>102</v>
      </c>
      <c r="X16" s="241"/>
      <c r="Y16" s="37">
        <v>4955</v>
      </c>
      <c r="Z16" s="37">
        <v>9645</v>
      </c>
      <c r="AA16" s="37">
        <v>6980</v>
      </c>
      <c r="AB16" s="37">
        <v>7960</v>
      </c>
      <c r="AC16" s="69">
        <v>5.8</v>
      </c>
      <c r="AD16" s="69">
        <v>10</v>
      </c>
    </row>
    <row r="17" spans="1:24" x14ac:dyDescent="0.25">
      <c r="A17" s="120"/>
      <c r="B17" s="47"/>
      <c r="C17" s="56" t="s">
        <v>204</v>
      </c>
      <c r="D17" s="35">
        <v>1709.28</v>
      </c>
      <c r="E17" s="35">
        <v>1670.58</v>
      </c>
      <c r="F17" s="35">
        <v>1670.81</v>
      </c>
      <c r="G17" s="35">
        <v>1670.94</v>
      </c>
      <c r="H17" s="35">
        <v>1675.83</v>
      </c>
      <c r="I17" s="35">
        <v>1675.83</v>
      </c>
      <c r="J17" s="35">
        <v>1670.44</v>
      </c>
      <c r="K17" s="35">
        <v>1670</v>
      </c>
      <c r="L17" s="35">
        <v>1671</v>
      </c>
      <c r="M17" s="55"/>
      <c r="N17" s="55"/>
      <c r="O17" s="55"/>
      <c r="P17" s="55"/>
      <c r="Q17" s="47"/>
      <c r="R17" s="47"/>
      <c r="S17" s="47"/>
      <c r="T17" s="47"/>
      <c r="U17" s="47"/>
      <c r="V17" s="176" t="s">
        <v>297</v>
      </c>
      <c r="W17" s="47"/>
      <c r="X17" s="241"/>
    </row>
    <row r="18" spans="1:24" ht="25.5" customHeight="1" thickBot="1" x14ac:dyDescent="0.3">
      <c r="A18" s="119"/>
      <c r="B18" s="42"/>
      <c r="C18" s="76" t="s">
        <v>203</v>
      </c>
      <c r="D18" s="84">
        <v>8470.66</v>
      </c>
      <c r="E18" s="84">
        <v>8820.56</v>
      </c>
      <c r="F18" s="84">
        <v>8865.9200000000019</v>
      </c>
      <c r="G18" s="84">
        <v>8863.34</v>
      </c>
      <c r="H18" s="84">
        <v>8608.2199999999993</v>
      </c>
      <c r="I18" s="84">
        <v>8833.14</v>
      </c>
      <c r="J18" s="84">
        <v>8816.7999999999993</v>
      </c>
      <c r="K18" s="84">
        <v>8875.7999999999993</v>
      </c>
      <c r="L18" s="84">
        <v>8740.26</v>
      </c>
      <c r="M18" s="84"/>
      <c r="N18" s="84"/>
      <c r="O18" s="84"/>
      <c r="P18" s="84" t="s">
        <v>296</v>
      </c>
      <c r="Q18" s="42"/>
      <c r="R18" s="42"/>
      <c r="S18" s="42"/>
      <c r="T18" s="42"/>
      <c r="U18" s="80"/>
      <c r="V18" s="43"/>
      <c r="W18" s="42"/>
      <c r="X18" s="242"/>
    </row>
    <row r="19" spans="1:24" ht="12.75" customHeight="1" x14ac:dyDescent="0.25">
      <c r="A19" s="126">
        <v>42158</v>
      </c>
      <c r="B19" s="57" t="s">
        <v>206</v>
      </c>
      <c r="C19" s="61" t="s">
        <v>205</v>
      </c>
      <c r="D19" s="35">
        <v>6933.96</v>
      </c>
      <c r="E19" s="35">
        <v>7114.6</v>
      </c>
      <c r="F19" s="35">
        <v>6982.66</v>
      </c>
      <c r="G19" s="35">
        <v>7017.04</v>
      </c>
      <c r="H19" s="35">
        <v>7143.62</v>
      </c>
      <c r="I19" s="35">
        <v>7101.02</v>
      </c>
      <c r="J19" s="35">
        <v>7109.31</v>
      </c>
      <c r="K19" s="35">
        <v>7083.02</v>
      </c>
      <c r="L19" s="35">
        <v>7132.27</v>
      </c>
      <c r="M19" s="35">
        <v>7200.58</v>
      </c>
      <c r="N19" s="35">
        <v>7397.59</v>
      </c>
      <c r="O19" s="35">
        <v>7244.97</v>
      </c>
      <c r="P19" s="35">
        <v>7386.1</v>
      </c>
      <c r="Q19" s="125">
        <f>IF((P20=""),"",MAX(D21:P21))</f>
        <v>5494.5400000000009</v>
      </c>
      <c r="R19" s="125">
        <f>IF(P20="","",MIN(D21:P21))</f>
        <v>5306.94</v>
      </c>
      <c r="S19" s="53">
        <f>IF((P21=""),"",AVERAGE(D21:P21))</f>
        <v>5423.4053846153838</v>
      </c>
      <c r="T19" s="53">
        <f>IF((P20=""),"",(Q19-R19)/(Q19+R19)*100)</f>
        <v>1.7367990312438784</v>
      </c>
      <c r="U19" s="52">
        <f>STDEV(D21:P21)</f>
        <v>58.231969257356951</v>
      </c>
      <c r="V19" s="58" t="str">
        <f>IF(P20="","",IF(T19&lt;10,IF(S19&gt;4470,IF(S19&lt;6020,"Pass","Fail"),"Fail"),"Fail"))</f>
        <v>Pass</v>
      </c>
      <c r="X19" s="233" t="s">
        <v>295</v>
      </c>
    </row>
    <row r="20" spans="1:24" x14ac:dyDescent="0.25">
      <c r="A20" s="120"/>
      <c r="B20" s="47"/>
      <c r="C20" s="56" t="s">
        <v>204</v>
      </c>
      <c r="D20" s="35">
        <v>1568.13</v>
      </c>
      <c r="E20" s="35">
        <v>1779.12</v>
      </c>
      <c r="F20" s="35">
        <v>1595.34</v>
      </c>
      <c r="G20" s="35">
        <v>1592.26</v>
      </c>
      <c r="H20" s="35">
        <v>1836.68</v>
      </c>
      <c r="I20" s="35">
        <v>1644.96</v>
      </c>
      <c r="J20" s="35">
        <v>1652.48</v>
      </c>
      <c r="K20" s="35">
        <v>1613.46</v>
      </c>
      <c r="L20" s="35">
        <v>1713.53</v>
      </c>
      <c r="M20" s="35">
        <v>1715.99</v>
      </c>
      <c r="N20" s="35">
        <v>1949.38</v>
      </c>
      <c r="O20" s="35">
        <v>1789.58</v>
      </c>
      <c r="P20" s="35">
        <v>1891.56</v>
      </c>
      <c r="Q20" s="47"/>
      <c r="R20" s="47"/>
      <c r="S20" s="47"/>
      <c r="T20" s="47"/>
      <c r="U20" s="47"/>
      <c r="V20" s="48"/>
      <c r="X20" s="234"/>
    </row>
    <row r="21" spans="1:24" ht="22.75" thickBot="1" x14ac:dyDescent="0.3">
      <c r="A21" s="121"/>
      <c r="B21" s="80"/>
      <c r="C21" s="56" t="s">
        <v>203</v>
      </c>
      <c r="D21" s="97">
        <f t="shared" ref="D21:P21" si="0">IF(((D19="")*AND(D20="")),"",(D19-D20))</f>
        <v>5365.83</v>
      </c>
      <c r="E21" s="97">
        <f t="shared" si="0"/>
        <v>5335.4800000000005</v>
      </c>
      <c r="F21" s="97">
        <f t="shared" si="0"/>
        <v>5387.32</v>
      </c>
      <c r="G21" s="97">
        <f t="shared" si="0"/>
        <v>5424.78</v>
      </c>
      <c r="H21" s="97">
        <f t="shared" si="0"/>
        <v>5306.94</v>
      </c>
      <c r="I21" s="97">
        <f t="shared" si="0"/>
        <v>5456.06</v>
      </c>
      <c r="J21" s="97">
        <f t="shared" si="0"/>
        <v>5456.83</v>
      </c>
      <c r="K21" s="97">
        <f t="shared" si="0"/>
        <v>5469.56</v>
      </c>
      <c r="L21" s="97">
        <f t="shared" si="0"/>
        <v>5418.7400000000007</v>
      </c>
      <c r="M21" s="97">
        <f t="shared" si="0"/>
        <v>5484.59</v>
      </c>
      <c r="N21" s="97">
        <f t="shared" si="0"/>
        <v>5448.21</v>
      </c>
      <c r="O21" s="97">
        <f t="shared" si="0"/>
        <v>5455.39</v>
      </c>
      <c r="P21" s="97">
        <f t="shared" si="0"/>
        <v>5494.5400000000009</v>
      </c>
      <c r="Q21" s="80"/>
      <c r="R21" s="80"/>
      <c r="S21" s="80"/>
      <c r="T21" s="80"/>
      <c r="U21" s="80"/>
      <c r="V21" s="85"/>
      <c r="X21" s="234"/>
    </row>
    <row r="22" spans="1:24" x14ac:dyDescent="0.25">
      <c r="A22" s="126">
        <v>42158</v>
      </c>
      <c r="B22" s="50" t="s">
        <v>208</v>
      </c>
      <c r="C22" s="56" t="s">
        <v>205</v>
      </c>
      <c r="D22" s="35">
        <v>5929.39</v>
      </c>
      <c r="E22" s="35">
        <v>6064.54</v>
      </c>
      <c r="F22" s="35">
        <v>6094.55</v>
      </c>
      <c r="G22" s="35">
        <v>6087.38</v>
      </c>
      <c r="H22" s="35">
        <v>5952.65</v>
      </c>
      <c r="I22" s="35">
        <v>6080</v>
      </c>
      <c r="J22" s="35">
        <v>6067.51</v>
      </c>
      <c r="K22" s="35">
        <v>6100.3</v>
      </c>
      <c r="L22" s="35">
        <v>6021.86</v>
      </c>
      <c r="M22" s="55"/>
      <c r="N22" s="55"/>
      <c r="O22" s="55"/>
      <c r="P22" s="55"/>
      <c r="Q22" s="50">
        <f>IF((L23=""),"",MAX(D24:L24))</f>
        <v>6195.42</v>
      </c>
      <c r="R22" s="50">
        <f>IF(L23="","",MIN(D24:L24))</f>
        <v>5629.4400000000005</v>
      </c>
      <c r="S22" s="77">
        <f>IF((L24=""),"",AVERAGE(D24:L24))</f>
        <v>5951.9600000000009</v>
      </c>
      <c r="T22" s="77">
        <f>IF((L14=""),"",(Q22-R22)/(Q22+R22)*100)</f>
        <v>4.7863568786438018</v>
      </c>
      <c r="U22" s="50">
        <f>STDEV(D24:P24)</f>
        <v>191.76648064768793</v>
      </c>
      <c r="V22" s="51" t="str">
        <f>IF(L23="","",IF(T22&lt;10,IF(S22&gt;4955,IF(S22&lt;9645,"Pass","Fail"),"Fail"),"Fail"))</f>
        <v>Pass</v>
      </c>
      <c r="X22" s="234"/>
    </row>
    <row r="23" spans="1:24" x14ac:dyDescent="0.25">
      <c r="A23" s="120"/>
      <c r="B23" s="47"/>
      <c r="C23" s="56" t="s">
        <v>204</v>
      </c>
      <c r="D23" s="35">
        <v>3114.67</v>
      </c>
      <c r="E23" s="35">
        <v>3082.62</v>
      </c>
      <c r="F23" s="35">
        <v>3044.79</v>
      </c>
      <c r="G23" s="35">
        <v>2989.67</v>
      </c>
      <c r="H23" s="35">
        <v>3101.07</v>
      </c>
      <c r="I23" s="35">
        <v>3138.7</v>
      </c>
      <c r="J23" s="35">
        <v>3028.63</v>
      </c>
      <c r="K23" s="35">
        <v>3046.1</v>
      </c>
      <c r="L23" s="35">
        <v>3068.11</v>
      </c>
      <c r="M23" s="55"/>
      <c r="N23" s="55"/>
      <c r="O23" s="55"/>
      <c r="P23" s="55"/>
      <c r="Q23" s="47"/>
      <c r="R23" s="47"/>
      <c r="S23" s="47"/>
      <c r="T23" s="47"/>
      <c r="U23" s="47"/>
      <c r="V23" s="48"/>
      <c r="X23" s="234"/>
    </row>
    <row r="24" spans="1:24" ht="22.75" thickBot="1" x14ac:dyDescent="0.3">
      <c r="A24" s="119"/>
      <c r="B24" s="42"/>
      <c r="C24" s="76" t="s">
        <v>203</v>
      </c>
      <c r="D24" s="84">
        <f t="shared" ref="D24:L24" si="1">IF(((D22="")*AND(D23="")),"",(D22-D23)*2)</f>
        <v>5629.4400000000005</v>
      </c>
      <c r="E24" s="84">
        <f t="shared" si="1"/>
        <v>5963.84</v>
      </c>
      <c r="F24" s="84">
        <f t="shared" si="1"/>
        <v>6099.52</v>
      </c>
      <c r="G24" s="84">
        <f t="shared" si="1"/>
        <v>6195.42</v>
      </c>
      <c r="H24" s="84">
        <f t="shared" si="1"/>
        <v>5703.1599999999989</v>
      </c>
      <c r="I24" s="84">
        <f t="shared" si="1"/>
        <v>5882.6</v>
      </c>
      <c r="J24" s="84">
        <f t="shared" si="1"/>
        <v>6077.76</v>
      </c>
      <c r="K24" s="84">
        <f t="shared" si="1"/>
        <v>6108.4000000000005</v>
      </c>
      <c r="L24" s="84">
        <f t="shared" si="1"/>
        <v>5907.4999999999991</v>
      </c>
      <c r="M24" s="84"/>
      <c r="N24" s="84"/>
      <c r="O24" s="84"/>
      <c r="P24" s="84" t="str">
        <f>IF(((P22="")*AND(P23="")),"",(P22-P23)*2)</f>
        <v/>
      </c>
      <c r="Q24" s="42"/>
      <c r="R24" s="42"/>
      <c r="S24" s="42"/>
      <c r="T24" s="42"/>
      <c r="U24" s="80"/>
      <c r="V24" s="43"/>
      <c r="X24" s="235"/>
    </row>
    <row r="25" spans="1:24" x14ac:dyDescent="0.25">
      <c r="A25" s="126">
        <v>42158</v>
      </c>
      <c r="B25" s="57" t="s">
        <v>206</v>
      </c>
      <c r="C25" s="61" t="s">
        <v>205</v>
      </c>
      <c r="D25" s="35">
        <v>6942.98</v>
      </c>
      <c r="E25" s="35">
        <v>7124.23</v>
      </c>
      <c r="F25" s="35">
        <v>6993.09</v>
      </c>
      <c r="G25" s="35">
        <v>7033.12</v>
      </c>
      <c r="H25" s="35">
        <v>7152.18</v>
      </c>
      <c r="I25" s="35">
        <v>7115.23</v>
      </c>
      <c r="J25" s="35">
        <v>7127.49</v>
      </c>
      <c r="K25" s="35">
        <v>7100.62</v>
      </c>
      <c r="L25" s="35">
        <v>7146.68</v>
      </c>
      <c r="M25" s="35">
        <v>7219.23</v>
      </c>
      <c r="N25" s="35">
        <v>7411.13</v>
      </c>
      <c r="O25" s="35">
        <v>7260.88</v>
      </c>
      <c r="P25" s="35">
        <v>7401.08</v>
      </c>
      <c r="Q25" s="125">
        <f>IF((P26=""),"",MAX(D27:P27))</f>
        <v>5512.42</v>
      </c>
      <c r="R25" s="125">
        <f>IF(P26="","",MIN(D27:P27))</f>
        <v>5307.31</v>
      </c>
      <c r="S25" s="53">
        <f>IF((P27=""),"",AVERAGE(D27:P27))</f>
        <v>5440.2138461538461</v>
      </c>
      <c r="T25" s="53">
        <f>IF((P26=""),"",(Q25-R25)/(Q25+R25)*100)</f>
        <v>1.8957034972222013</v>
      </c>
      <c r="U25" s="52">
        <f>STDEV(D27:P27)</f>
        <v>64.121507252307211</v>
      </c>
      <c r="V25" s="58" t="str">
        <f>IF(P26="","",IF(T25&lt;10,IF(S25&gt;4470,IF(S25&lt;6020,"Pass","Fail"),"Fail"),"Fail"))</f>
        <v>Pass</v>
      </c>
      <c r="X25" s="233" t="s">
        <v>295</v>
      </c>
    </row>
    <row r="26" spans="1:24" x14ac:dyDescent="0.25">
      <c r="A26" s="120"/>
      <c r="B26" s="47"/>
      <c r="C26" s="56" t="s">
        <v>204</v>
      </c>
      <c r="D26" s="35">
        <v>1566.69</v>
      </c>
      <c r="E26" s="35">
        <v>1781.15</v>
      </c>
      <c r="F26" s="35">
        <v>1587.96</v>
      </c>
      <c r="G26" s="35">
        <v>1586.87</v>
      </c>
      <c r="H26" s="35">
        <v>1844.87</v>
      </c>
      <c r="I26" s="35">
        <v>1640.25</v>
      </c>
      <c r="J26" s="35">
        <v>1647.36</v>
      </c>
      <c r="K26" s="35">
        <v>1609.04</v>
      </c>
      <c r="L26" s="35">
        <v>1706.52</v>
      </c>
      <c r="M26" s="35">
        <v>1711.8</v>
      </c>
      <c r="N26" s="35">
        <v>1947.42</v>
      </c>
      <c r="O26" s="35">
        <v>1786.57</v>
      </c>
      <c r="P26" s="35">
        <v>1888.66</v>
      </c>
      <c r="Q26" s="47"/>
      <c r="R26" s="47"/>
      <c r="S26" s="47"/>
      <c r="T26" s="47"/>
      <c r="U26" s="47"/>
      <c r="V26" s="48"/>
      <c r="X26" s="234"/>
    </row>
    <row r="27" spans="1:24" ht="22.75" thickBot="1" x14ac:dyDescent="0.3">
      <c r="A27" s="121"/>
      <c r="B27" s="80"/>
      <c r="C27" s="56" t="s">
        <v>203</v>
      </c>
      <c r="D27" s="97">
        <f t="shared" ref="D27:P27" si="2">IF(((D25="")*AND(D26="")),"",(D25-D26))</f>
        <v>5376.2899999999991</v>
      </c>
      <c r="E27" s="97">
        <f t="shared" si="2"/>
        <v>5343.08</v>
      </c>
      <c r="F27" s="97">
        <f t="shared" si="2"/>
        <v>5405.13</v>
      </c>
      <c r="G27" s="97">
        <f t="shared" si="2"/>
        <v>5446.25</v>
      </c>
      <c r="H27" s="97">
        <f t="shared" si="2"/>
        <v>5307.31</v>
      </c>
      <c r="I27" s="97">
        <f t="shared" si="2"/>
        <v>5474.98</v>
      </c>
      <c r="J27" s="97">
        <f t="shared" si="2"/>
        <v>5480.13</v>
      </c>
      <c r="K27" s="97">
        <f t="shared" si="2"/>
        <v>5491.58</v>
      </c>
      <c r="L27" s="97">
        <f t="shared" si="2"/>
        <v>5440.16</v>
      </c>
      <c r="M27" s="97">
        <f t="shared" si="2"/>
        <v>5507.4299999999994</v>
      </c>
      <c r="N27" s="97">
        <f t="shared" si="2"/>
        <v>5463.71</v>
      </c>
      <c r="O27" s="97">
        <f t="shared" si="2"/>
        <v>5474.31</v>
      </c>
      <c r="P27" s="97">
        <f t="shared" si="2"/>
        <v>5512.42</v>
      </c>
      <c r="Q27" s="80"/>
      <c r="R27" s="80"/>
      <c r="S27" s="80"/>
      <c r="T27" s="80"/>
      <c r="U27" s="80"/>
      <c r="V27" s="85"/>
      <c r="X27" s="234"/>
    </row>
    <row r="28" spans="1:24" x14ac:dyDescent="0.25">
      <c r="A28" s="126">
        <v>42158</v>
      </c>
      <c r="B28" s="50" t="s">
        <v>208</v>
      </c>
      <c r="C28" s="56" t="s">
        <v>205</v>
      </c>
      <c r="D28" s="35">
        <v>5926.35</v>
      </c>
      <c r="E28" s="35">
        <v>6069.17</v>
      </c>
      <c r="F28" s="35">
        <v>6099.83</v>
      </c>
      <c r="G28" s="35">
        <v>6087.5</v>
      </c>
      <c r="H28" s="35">
        <v>5954.51</v>
      </c>
      <c r="I28" s="35">
        <v>6067.11</v>
      </c>
      <c r="J28" s="35">
        <v>6069.52</v>
      </c>
      <c r="K28" s="35">
        <v>6106.8</v>
      </c>
      <c r="L28" s="35">
        <v>6031.64</v>
      </c>
      <c r="M28" s="55"/>
      <c r="N28" s="55"/>
      <c r="O28" s="55"/>
      <c r="P28" s="55"/>
      <c r="Q28" s="50">
        <f>IF((L29=""),"",MAX(D30:L30))</f>
        <v>6090.7</v>
      </c>
      <c r="R28" s="50">
        <f>IF(L29="","",MIN(D30:L30))</f>
        <v>5487.3399999999992</v>
      </c>
      <c r="S28" s="77">
        <f>IF((L30=""),"",AVERAGE(D30:L30))</f>
        <v>5867.3355555555554</v>
      </c>
      <c r="T28" s="77">
        <f>IF((L20=""),"",(Q28-R28)/(Q28+R28)*100)</f>
        <v>5.2112447357238416</v>
      </c>
      <c r="U28" s="50">
        <f>STDEV(D30:P30)</f>
        <v>212.70747701427388</v>
      </c>
      <c r="V28" s="51" t="str">
        <f>IF(L29="","",IF(T28&lt;10,IF(S28&gt;4955,IF(S28&lt;9645,"Pass","Fail"),"Fail"),"Fail"))</f>
        <v>Pass</v>
      </c>
      <c r="W28" s="35">
        <v>102</v>
      </c>
      <c r="X28" s="234"/>
    </row>
    <row r="29" spans="1:24" x14ac:dyDescent="0.25">
      <c r="A29" s="120"/>
      <c r="B29" s="47"/>
      <c r="C29" s="56" t="s">
        <v>204</v>
      </c>
      <c r="D29" s="35">
        <v>3117.26</v>
      </c>
      <c r="E29" s="35">
        <v>3104.39</v>
      </c>
      <c r="F29" s="35">
        <v>3078.61</v>
      </c>
      <c r="G29" s="35">
        <v>3042.15</v>
      </c>
      <c r="H29" s="35">
        <v>3089.45</v>
      </c>
      <c r="I29" s="35">
        <v>3323.44</v>
      </c>
      <c r="J29" s="35">
        <v>3082.89</v>
      </c>
      <c r="K29" s="35">
        <v>3071.89</v>
      </c>
      <c r="L29" s="35">
        <v>3099.34</v>
      </c>
      <c r="M29" s="55"/>
      <c r="N29" s="55"/>
      <c r="O29" s="55"/>
      <c r="P29" s="55"/>
      <c r="Q29" s="47"/>
      <c r="R29" s="47"/>
      <c r="S29" s="47"/>
      <c r="T29" s="47"/>
      <c r="U29" s="47"/>
      <c r="V29" s="48"/>
      <c r="X29" s="234"/>
    </row>
    <row r="30" spans="1:24" ht="22.75" thickBot="1" x14ac:dyDescent="0.3">
      <c r="A30" s="119"/>
      <c r="B30" s="42"/>
      <c r="C30" s="76" t="s">
        <v>203</v>
      </c>
      <c r="D30" s="84">
        <f t="shared" ref="D30:L30" si="3">IF(((D28="")*AND(D29="")),"",(D28-D29)*2)</f>
        <v>5618.18</v>
      </c>
      <c r="E30" s="84">
        <f t="shared" si="3"/>
        <v>5929.56</v>
      </c>
      <c r="F30" s="84">
        <f t="shared" si="3"/>
        <v>6042.44</v>
      </c>
      <c r="G30" s="84">
        <f t="shared" si="3"/>
        <v>6090.7</v>
      </c>
      <c r="H30" s="84">
        <f t="shared" si="3"/>
        <v>5730.1200000000008</v>
      </c>
      <c r="I30" s="84">
        <f t="shared" si="3"/>
        <v>5487.3399999999992</v>
      </c>
      <c r="J30" s="84">
        <f t="shared" si="3"/>
        <v>5973.2600000000011</v>
      </c>
      <c r="K30" s="84">
        <f t="shared" si="3"/>
        <v>6069.8200000000006</v>
      </c>
      <c r="L30" s="84">
        <f t="shared" si="3"/>
        <v>5864.6</v>
      </c>
      <c r="M30" s="84"/>
      <c r="N30" s="84"/>
      <c r="O30" s="84"/>
      <c r="P30" s="84" t="str">
        <f>IF(((P28="")*AND(P29="")),"",(P28-P29)*2)</f>
        <v/>
      </c>
      <c r="Q30" s="42"/>
      <c r="R30" s="42"/>
      <c r="S30" s="42"/>
      <c r="T30" s="42"/>
      <c r="U30" s="80"/>
      <c r="V30" s="43"/>
      <c r="X30" s="235"/>
    </row>
  </sheetData>
  <mergeCells count="11">
    <mergeCell ref="X25:X30"/>
    <mergeCell ref="A1:P1"/>
    <mergeCell ref="A2:I2"/>
    <mergeCell ref="A3:E3"/>
    <mergeCell ref="A7:P7"/>
    <mergeCell ref="X19:X24"/>
    <mergeCell ref="X10:X18"/>
    <mergeCell ref="D9:P9"/>
    <mergeCell ref="A4:P4"/>
    <mergeCell ref="A5:P5"/>
    <mergeCell ref="A6:P6"/>
  </mergeCells>
  <conditionalFormatting sqref="I10:I11 J16:P17 I16 I13:I14 I19:I20 I22:P23">
    <cfRule type="cellIs" dxfId="70" priority="7" stopIfTrue="1" operator="equal">
      <formula>"Pass"</formula>
    </cfRule>
    <cfRule type="cellIs" dxfId="69" priority="8" stopIfTrue="1" operator="equal">
      <formula>"Fail"</formula>
    </cfRule>
  </conditionalFormatting>
  <conditionalFormatting sqref="V10:V24">
    <cfRule type="cellIs" dxfId="68" priority="5" stopIfTrue="1" operator="equal">
      <formula>"Fail"</formula>
    </cfRule>
    <cfRule type="cellIs" dxfId="67" priority="6" stopIfTrue="1" operator="equal">
      <formula>"Pass"</formula>
    </cfRule>
  </conditionalFormatting>
  <conditionalFormatting sqref="I25:I26 I28:P29">
    <cfRule type="cellIs" dxfId="66" priority="3" stopIfTrue="1" operator="equal">
      <formula>"Pass"</formula>
    </cfRule>
    <cfRule type="cellIs" dxfId="65" priority="4" stopIfTrue="1" operator="equal">
      <formula>"Fail"</formula>
    </cfRule>
  </conditionalFormatting>
  <conditionalFormatting sqref="V25:V30">
    <cfRule type="cellIs" dxfId="64" priority="1" stopIfTrue="1" operator="equal">
      <formula>"Fail"</formula>
    </cfRule>
    <cfRule type="cellIs" dxfId="63" priority="2" stopIfTrue="1" operator="equal">
      <formula>"Pass"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27"/>
  <sheetViews>
    <sheetView topLeftCell="A8" zoomScale="85" zoomScaleNormal="85" workbookViewId="0">
      <selection activeCell="O30" sqref="O30"/>
    </sheetView>
  </sheetViews>
  <sheetFormatPr defaultRowHeight="12.75" x14ac:dyDescent="0.25"/>
  <cols>
    <col min="1" max="1" width="10.90625" style="40" customWidth="1"/>
    <col min="2" max="2" width="10.08984375" style="35" customWidth="1"/>
    <col min="3" max="3" width="13.36328125" style="35" customWidth="1"/>
    <col min="4" max="16" width="6.08984375" style="35" customWidth="1"/>
    <col min="17" max="17" width="10.36328125" style="39" bestFit="1" customWidth="1"/>
    <col min="18" max="18" width="7.26953125" style="39" bestFit="1" customWidth="1"/>
    <col min="19" max="19" width="9" style="39" customWidth="1"/>
    <col min="20" max="21" width="10.36328125" style="39" customWidth="1"/>
    <col min="22" max="22" width="6.26953125" style="38" customWidth="1"/>
    <col min="23" max="23" width="11.1796875" style="38" customWidth="1"/>
    <col min="24" max="24" width="26.08984375" style="38" customWidth="1"/>
    <col min="25" max="28" width="8.26953125" style="37" customWidth="1"/>
    <col min="29" max="29" width="8.26953125" style="36" customWidth="1"/>
    <col min="30" max="256" width="8.7265625" style="35"/>
    <col min="257" max="257" width="10.90625" style="35" customWidth="1"/>
    <col min="258" max="258" width="10.08984375" style="35" customWidth="1"/>
    <col min="259" max="259" width="13.36328125" style="35" customWidth="1"/>
    <col min="260" max="272" width="6.08984375" style="35" customWidth="1"/>
    <col min="273" max="273" width="10.36328125" style="35" bestFit="1" customWidth="1"/>
    <col min="274" max="274" width="7.26953125" style="35" bestFit="1" customWidth="1"/>
    <col min="275" max="275" width="9" style="35" customWidth="1"/>
    <col min="276" max="277" width="10.36328125" style="35" customWidth="1"/>
    <col min="278" max="278" width="6.26953125" style="35" customWidth="1"/>
    <col min="279" max="279" width="11.1796875" style="35" customWidth="1"/>
    <col min="280" max="280" width="26.08984375" style="35" customWidth="1"/>
    <col min="281" max="285" width="8.26953125" style="35" customWidth="1"/>
    <col min="286" max="512" width="8.7265625" style="35"/>
    <col min="513" max="513" width="10.90625" style="35" customWidth="1"/>
    <col min="514" max="514" width="10.08984375" style="35" customWidth="1"/>
    <col min="515" max="515" width="13.36328125" style="35" customWidth="1"/>
    <col min="516" max="528" width="6.08984375" style="35" customWidth="1"/>
    <col min="529" max="529" width="10.36328125" style="35" bestFit="1" customWidth="1"/>
    <col min="530" max="530" width="7.26953125" style="35" bestFit="1" customWidth="1"/>
    <col min="531" max="531" width="9" style="35" customWidth="1"/>
    <col min="532" max="533" width="10.36328125" style="35" customWidth="1"/>
    <col min="534" max="534" width="6.26953125" style="35" customWidth="1"/>
    <col min="535" max="535" width="11.1796875" style="35" customWidth="1"/>
    <col min="536" max="536" width="26.08984375" style="35" customWidth="1"/>
    <col min="537" max="541" width="8.26953125" style="35" customWidth="1"/>
    <col min="542" max="768" width="8.7265625" style="35"/>
    <col min="769" max="769" width="10.90625" style="35" customWidth="1"/>
    <col min="770" max="770" width="10.08984375" style="35" customWidth="1"/>
    <col min="771" max="771" width="13.36328125" style="35" customWidth="1"/>
    <col min="772" max="784" width="6.08984375" style="35" customWidth="1"/>
    <col min="785" max="785" width="10.36328125" style="35" bestFit="1" customWidth="1"/>
    <col min="786" max="786" width="7.26953125" style="35" bestFit="1" customWidth="1"/>
    <col min="787" max="787" width="9" style="35" customWidth="1"/>
    <col min="788" max="789" width="10.36328125" style="35" customWidth="1"/>
    <col min="790" max="790" width="6.26953125" style="35" customWidth="1"/>
    <col min="791" max="791" width="11.1796875" style="35" customWidth="1"/>
    <col min="792" max="792" width="26.08984375" style="35" customWidth="1"/>
    <col min="793" max="797" width="8.26953125" style="35" customWidth="1"/>
    <col min="798" max="1024" width="8.7265625" style="35"/>
    <col min="1025" max="1025" width="10.90625" style="35" customWidth="1"/>
    <col min="1026" max="1026" width="10.08984375" style="35" customWidth="1"/>
    <col min="1027" max="1027" width="13.36328125" style="35" customWidth="1"/>
    <col min="1028" max="1040" width="6.08984375" style="35" customWidth="1"/>
    <col min="1041" max="1041" width="10.36328125" style="35" bestFit="1" customWidth="1"/>
    <col min="1042" max="1042" width="7.26953125" style="35" bestFit="1" customWidth="1"/>
    <col min="1043" max="1043" width="9" style="35" customWidth="1"/>
    <col min="1044" max="1045" width="10.36328125" style="35" customWidth="1"/>
    <col min="1046" max="1046" width="6.26953125" style="35" customWidth="1"/>
    <col min="1047" max="1047" width="11.1796875" style="35" customWidth="1"/>
    <col min="1048" max="1048" width="26.08984375" style="35" customWidth="1"/>
    <col min="1049" max="1053" width="8.26953125" style="35" customWidth="1"/>
    <col min="1054" max="1280" width="8.7265625" style="35"/>
    <col min="1281" max="1281" width="10.90625" style="35" customWidth="1"/>
    <col min="1282" max="1282" width="10.08984375" style="35" customWidth="1"/>
    <col min="1283" max="1283" width="13.36328125" style="35" customWidth="1"/>
    <col min="1284" max="1296" width="6.08984375" style="35" customWidth="1"/>
    <col min="1297" max="1297" width="10.36328125" style="35" bestFit="1" customWidth="1"/>
    <col min="1298" max="1298" width="7.26953125" style="35" bestFit="1" customWidth="1"/>
    <col min="1299" max="1299" width="9" style="35" customWidth="1"/>
    <col min="1300" max="1301" width="10.36328125" style="35" customWidth="1"/>
    <col min="1302" max="1302" width="6.26953125" style="35" customWidth="1"/>
    <col min="1303" max="1303" width="11.1796875" style="35" customWidth="1"/>
    <col min="1304" max="1304" width="26.08984375" style="35" customWidth="1"/>
    <col min="1305" max="1309" width="8.26953125" style="35" customWidth="1"/>
    <col min="1310" max="1536" width="8.7265625" style="35"/>
    <col min="1537" max="1537" width="10.90625" style="35" customWidth="1"/>
    <col min="1538" max="1538" width="10.08984375" style="35" customWidth="1"/>
    <col min="1539" max="1539" width="13.36328125" style="35" customWidth="1"/>
    <col min="1540" max="1552" width="6.08984375" style="35" customWidth="1"/>
    <col min="1553" max="1553" width="10.36328125" style="35" bestFit="1" customWidth="1"/>
    <col min="1554" max="1554" width="7.26953125" style="35" bestFit="1" customWidth="1"/>
    <col min="1555" max="1555" width="9" style="35" customWidth="1"/>
    <col min="1556" max="1557" width="10.36328125" style="35" customWidth="1"/>
    <col min="1558" max="1558" width="6.26953125" style="35" customWidth="1"/>
    <col min="1559" max="1559" width="11.1796875" style="35" customWidth="1"/>
    <col min="1560" max="1560" width="26.08984375" style="35" customWidth="1"/>
    <col min="1561" max="1565" width="8.26953125" style="35" customWidth="1"/>
    <col min="1566" max="1792" width="8.7265625" style="35"/>
    <col min="1793" max="1793" width="10.90625" style="35" customWidth="1"/>
    <col min="1794" max="1794" width="10.08984375" style="35" customWidth="1"/>
    <col min="1795" max="1795" width="13.36328125" style="35" customWidth="1"/>
    <col min="1796" max="1808" width="6.08984375" style="35" customWidth="1"/>
    <col min="1809" max="1809" width="10.36328125" style="35" bestFit="1" customWidth="1"/>
    <col min="1810" max="1810" width="7.26953125" style="35" bestFit="1" customWidth="1"/>
    <col min="1811" max="1811" width="9" style="35" customWidth="1"/>
    <col min="1812" max="1813" width="10.36328125" style="35" customWidth="1"/>
    <col min="1814" max="1814" width="6.26953125" style="35" customWidth="1"/>
    <col min="1815" max="1815" width="11.1796875" style="35" customWidth="1"/>
    <col min="1816" max="1816" width="26.08984375" style="35" customWidth="1"/>
    <col min="1817" max="1821" width="8.26953125" style="35" customWidth="1"/>
    <col min="1822" max="2048" width="8.7265625" style="35"/>
    <col min="2049" max="2049" width="10.90625" style="35" customWidth="1"/>
    <col min="2050" max="2050" width="10.08984375" style="35" customWidth="1"/>
    <col min="2051" max="2051" width="13.36328125" style="35" customWidth="1"/>
    <col min="2052" max="2064" width="6.08984375" style="35" customWidth="1"/>
    <col min="2065" max="2065" width="10.36328125" style="35" bestFit="1" customWidth="1"/>
    <col min="2066" max="2066" width="7.26953125" style="35" bestFit="1" customWidth="1"/>
    <col min="2067" max="2067" width="9" style="35" customWidth="1"/>
    <col min="2068" max="2069" width="10.36328125" style="35" customWidth="1"/>
    <col min="2070" max="2070" width="6.26953125" style="35" customWidth="1"/>
    <col min="2071" max="2071" width="11.1796875" style="35" customWidth="1"/>
    <col min="2072" max="2072" width="26.08984375" style="35" customWidth="1"/>
    <col min="2073" max="2077" width="8.26953125" style="35" customWidth="1"/>
    <col min="2078" max="2304" width="8.7265625" style="35"/>
    <col min="2305" max="2305" width="10.90625" style="35" customWidth="1"/>
    <col min="2306" max="2306" width="10.08984375" style="35" customWidth="1"/>
    <col min="2307" max="2307" width="13.36328125" style="35" customWidth="1"/>
    <col min="2308" max="2320" width="6.08984375" style="35" customWidth="1"/>
    <col min="2321" max="2321" width="10.36328125" style="35" bestFit="1" customWidth="1"/>
    <col min="2322" max="2322" width="7.26953125" style="35" bestFit="1" customWidth="1"/>
    <col min="2323" max="2323" width="9" style="35" customWidth="1"/>
    <col min="2324" max="2325" width="10.36328125" style="35" customWidth="1"/>
    <col min="2326" max="2326" width="6.26953125" style="35" customWidth="1"/>
    <col min="2327" max="2327" width="11.1796875" style="35" customWidth="1"/>
    <col min="2328" max="2328" width="26.08984375" style="35" customWidth="1"/>
    <col min="2329" max="2333" width="8.26953125" style="35" customWidth="1"/>
    <col min="2334" max="2560" width="8.7265625" style="35"/>
    <col min="2561" max="2561" width="10.90625" style="35" customWidth="1"/>
    <col min="2562" max="2562" width="10.08984375" style="35" customWidth="1"/>
    <col min="2563" max="2563" width="13.36328125" style="35" customWidth="1"/>
    <col min="2564" max="2576" width="6.08984375" style="35" customWidth="1"/>
    <col min="2577" max="2577" width="10.36328125" style="35" bestFit="1" customWidth="1"/>
    <col min="2578" max="2578" width="7.26953125" style="35" bestFit="1" customWidth="1"/>
    <col min="2579" max="2579" width="9" style="35" customWidth="1"/>
    <col min="2580" max="2581" width="10.36328125" style="35" customWidth="1"/>
    <col min="2582" max="2582" width="6.26953125" style="35" customWidth="1"/>
    <col min="2583" max="2583" width="11.1796875" style="35" customWidth="1"/>
    <col min="2584" max="2584" width="26.08984375" style="35" customWidth="1"/>
    <col min="2585" max="2589" width="8.26953125" style="35" customWidth="1"/>
    <col min="2590" max="2816" width="8.7265625" style="35"/>
    <col min="2817" max="2817" width="10.90625" style="35" customWidth="1"/>
    <col min="2818" max="2818" width="10.08984375" style="35" customWidth="1"/>
    <col min="2819" max="2819" width="13.36328125" style="35" customWidth="1"/>
    <col min="2820" max="2832" width="6.08984375" style="35" customWidth="1"/>
    <col min="2833" max="2833" width="10.36328125" style="35" bestFit="1" customWidth="1"/>
    <col min="2834" max="2834" width="7.26953125" style="35" bestFit="1" customWidth="1"/>
    <col min="2835" max="2835" width="9" style="35" customWidth="1"/>
    <col min="2836" max="2837" width="10.36328125" style="35" customWidth="1"/>
    <col min="2838" max="2838" width="6.26953125" style="35" customWidth="1"/>
    <col min="2839" max="2839" width="11.1796875" style="35" customWidth="1"/>
    <col min="2840" max="2840" width="26.08984375" style="35" customWidth="1"/>
    <col min="2841" max="2845" width="8.26953125" style="35" customWidth="1"/>
    <col min="2846" max="3072" width="8.7265625" style="35"/>
    <col min="3073" max="3073" width="10.90625" style="35" customWidth="1"/>
    <col min="3074" max="3074" width="10.08984375" style="35" customWidth="1"/>
    <col min="3075" max="3075" width="13.36328125" style="35" customWidth="1"/>
    <col min="3076" max="3088" width="6.08984375" style="35" customWidth="1"/>
    <col min="3089" max="3089" width="10.36328125" style="35" bestFit="1" customWidth="1"/>
    <col min="3090" max="3090" width="7.26953125" style="35" bestFit="1" customWidth="1"/>
    <col min="3091" max="3091" width="9" style="35" customWidth="1"/>
    <col min="3092" max="3093" width="10.36328125" style="35" customWidth="1"/>
    <col min="3094" max="3094" width="6.26953125" style="35" customWidth="1"/>
    <col min="3095" max="3095" width="11.1796875" style="35" customWidth="1"/>
    <col min="3096" max="3096" width="26.08984375" style="35" customWidth="1"/>
    <col min="3097" max="3101" width="8.26953125" style="35" customWidth="1"/>
    <col min="3102" max="3328" width="8.7265625" style="35"/>
    <col min="3329" max="3329" width="10.90625" style="35" customWidth="1"/>
    <col min="3330" max="3330" width="10.08984375" style="35" customWidth="1"/>
    <col min="3331" max="3331" width="13.36328125" style="35" customWidth="1"/>
    <col min="3332" max="3344" width="6.08984375" style="35" customWidth="1"/>
    <col min="3345" max="3345" width="10.36328125" style="35" bestFit="1" customWidth="1"/>
    <col min="3346" max="3346" width="7.26953125" style="35" bestFit="1" customWidth="1"/>
    <col min="3347" max="3347" width="9" style="35" customWidth="1"/>
    <col min="3348" max="3349" width="10.36328125" style="35" customWidth="1"/>
    <col min="3350" max="3350" width="6.26953125" style="35" customWidth="1"/>
    <col min="3351" max="3351" width="11.1796875" style="35" customWidth="1"/>
    <col min="3352" max="3352" width="26.08984375" style="35" customWidth="1"/>
    <col min="3353" max="3357" width="8.26953125" style="35" customWidth="1"/>
    <col min="3358" max="3584" width="8.7265625" style="35"/>
    <col min="3585" max="3585" width="10.90625" style="35" customWidth="1"/>
    <col min="3586" max="3586" width="10.08984375" style="35" customWidth="1"/>
    <col min="3587" max="3587" width="13.36328125" style="35" customWidth="1"/>
    <col min="3588" max="3600" width="6.08984375" style="35" customWidth="1"/>
    <col min="3601" max="3601" width="10.36328125" style="35" bestFit="1" customWidth="1"/>
    <col min="3602" max="3602" width="7.26953125" style="35" bestFit="1" customWidth="1"/>
    <col min="3603" max="3603" width="9" style="35" customWidth="1"/>
    <col min="3604" max="3605" width="10.36328125" style="35" customWidth="1"/>
    <col min="3606" max="3606" width="6.26953125" style="35" customWidth="1"/>
    <col min="3607" max="3607" width="11.1796875" style="35" customWidth="1"/>
    <col min="3608" max="3608" width="26.08984375" style="35" customWidth="1"/>
    <col min="3609" max="3613" width="8.26953125" style="35" customWidth="1"/>
    <col min="3614" max="3840" width="8.7265625" style="35"/>
    <col min="3841" max="3841" width="10.90625" style="35" customWidth="1"/>
    <col min="3842" max="3842" width="10.08984375" style="35" customWidth="1"/>
    <col min="3843" max="3843" width="13.36328125" style="35" customWidth="1"/>
    <col min="3844" max="3856" width="6.08984375" style="35" customWidth="1"/>
    <col min="3857" max="3857" width="10.36328125" style="35" bestFit="1" customWidth="1"/>
    <col min="3858" max="3858" width="7.26953125" style="35" bestFit="1" customWidth="1"/>
    <col min="3859" max="3859" width="9" style="35" customWidth="1"/>
    <col min="3860" max="3861" width="10.36328125" style="35" customWidth="1"/>
    <col min="3862" max="3862" width="6.26953125" style="35" customWidth="1"/>
    <col min="3863" max="3863" width="11.1796875" style="35" customWidth="1"/>
    <col min="3864" max="3864" width="26.08984375" style="35" customWidth="1"/>
    <col min="3865" max="3869" width="8.26953125" style="35" customWidth="1"/>
    <col min="3870" max="4096" width="8.7265625" style="35"/>
    <col min="4097" max="4097" width="10.90625" style="35" customWidth="1"/>
    <col min="4098" max="4098" width="10.08984375" style="35" customWidth="1"/>
    <col min="4099" max="4099" width="13.36328125" style="35" customWidth="1"/>
    <col min="4100" max="4112" width="6.08984375" style="35" customWidth="1"/>
    <col min="4113" max="4113" width="10.36328125" style="35" bestFit="1" customWidth="1"/>
    <col min="4114" max="4114" width="7.26953125" style="35" bestFit="1" customWidth="1"/>
    <col min="4115" max="4115" width="9" style="35" customWidth="1"/>
    <col min="4116" max="4117" width="10.36328125" style="35" customWidth="1"/>
    <col min="4118" max="4118" width="6.26953125" style="35" customWidth="1"/>
    <col min="4119" max="4119" width="11.1796875" style="35" customWidth="1"/>
    <col min="4120" max="4120" width="26.08984375" style="35" customWidth="1"/>
    <col min="4121" max="4125" width="8.26953125" style="35" customWidth="1"/>
    <col min="4126" max="4352" width="8.7265625" style="35"/>
    <col min="4353" max="4353" width="10.90625" style="35" customWidth="1"/>
    <col min="4354" max="4354" width="10.08984375" style="35" customWidth="1"/>
    <col min="4355" max="4355" width="13.36328125" style="35" customWidth="1"/>
    <col min="4356" max="4368" width="6.08984375" style="35" customWidth="1"/>
    <col min="4369" max="4369" width="10.36328125" style="35" bestFit="1" customWidth="1"/>
    <col min="4370" max="4370" width="7.26953125" style="35" bestFit="1" customWidth="1"/>
    <col min="4371" max="4371" width="9" style="35" customWidth="1"/>
    <col min="4372" max="4373" width="10.36328125" style="35" customWidth="1"/>
    <col min="4374" max="4374" width="6.26953125" style="35" customWidth="1"/>
    <col min="4375" max="4375" width="11.1796875" style="35" customWidth="1"/>
    <col min="4376" max="4376" width="26.08984375" style="35" customWidth="1"/>
    <col min="4377" max="4381" width="8.26953125" style="35" customWidth="1"/>
    <col min="4382" max="4608" width="8.7265625" style="35"/>
    <col min="4609" max="4609" width="10.90625" style="35" customWidth="1"/>
    <col min="4610" max="4610" width="10.08984375" style="35" customWidth="1"/>
    <col min="4611" max="4611" width="13.36328125" style="35" customWidth="1"/>
    <col min="4612" max="4624" width="6.08984375" style="35" customWidth="1"/>
    <col min="4625" max="4625" width="10.36328125" style="35" bestFit="1" customWidth="1"/>
    <col min="4626" max="4626" width="7.26953125" style="35" bestFit="1" customWidth="1"/>
    <col min="4627" max="4627" width="9" style="35" customWidth="1"/>
    <col min="4628" max="4629" width="10.36328125" style="35" customWidth="1"/>
    <col min="4630" max="4630" width="6.26953125" style="35" customWidth="1"/>
    <col min="4631" max="4631" width="11.1796875" style="35" customWidth="1"/>
    <col min="4632" max="4632" width="26.08984375" style="35" customWidth="1"/>
    <col min="4633" max="4637" width="8.26953125" style="35" customWidth="1"/>
    <col min="4638" max="4864" width="8.7265625" style="35"/>
    <col min="4865" max="4865" width="10.90625" style="35" customWidth="1"/>
    <col min="4866" max="4866" width="10.08984375" style="35" customWidth="1"/>
    <col min="4867" max="4867" width="13.36328125" style="35" customWidth="1"/>
    <col min="4868" max="4880" width="6.08984375" style="35" customWidth="1"/>
    <col min="4881" max="4881" width="10.36328125" style="35" bestFit="1" customWidth="1"/>
    <col min="4882" max="4882" width="7.26953125" style="35" bestFit="1" customWidth="1"/>
    <col min="4883" max="4883" width="9" style="35" customWidth="1"/>
    <col min="4884" max="4885" width="10.36328125" style="35" customWidth="1"/>
    <col min="4886" max="4886" width="6.26953125" style="35" customWidth="1"/>
    <col min="4887" max="4887" width="11.1796875" style="35" customWidth="1"/>
    <col min="4888" max="4888" width="26.08984375" style="35" customWidth="1"/>
    <col min="4889" max="4893" width="8.26953125" style="35" customWidth="1"/>
    <col min="4894" max="5120" width="8.7265625" style="35"/>
    <col min="5121" max="5121" width="10.90625" style="35" customWidth="1"/>
    <col min="5122" max="5122" width="10.08984375" style="35" customWidth="1"/>
    <col min="5123" max="5123" width="13.36328125" style="35" customWidth="1"/>
    <col min="5124" max="5136" width="6.08984375" style="35" customWidth="1"/>
    <col min="5137" max="5137" width="10.36328125" style="35" bestFit="1" customWidth="1"/>
    <col min="5138" max="5138" width="7.26953125" style="35" bestFit="1" customWidth="1"/>
    <col min="5139" max="5139" width="9" style="35" customWidth="1"/>
    <col min="5140" max="5141" width="10.36328125" style="35" customWidth="1"/>
    <col min="5142" max="5142" width="6.26953125" style="35" customWidth="1"/>
    <col min="5143" max="5143" width="11.1796875" style="35" customWidth="1"/>
    <col min="5144" max="5144" width="26.08984375" style="35" customWidth="1"/>
    <col min="5145" max="5149" width="8.26953125" style="35" customWidth="1"/>
    <col min="5150" max="5376" width="8.7265625" style="35"/>
    <col min="5377" max="5377" width="10.90625" style="35" customWidth="1"/>
    <col min="5378" max="5378" width="10.08984375" style="35" customWidth="1"/>
    <col min="5379" max="5379" width="13.36328125" style="35" customWidth="1"/>
    <col min="5380" max="5392" width="6.08984375" style="35" customWidth="1"/>
    <col min="5393" max="5393" width="10.36328125" style="35" bestFit="1" customWidth="1"/>
    <col min="5394" max="5394" width="7.26953125" style="35" bestFit="1" customWidth="1"/>
    <col min="5395" max="5395" width="9" style="35" customWidth="1"/>
    <col min="5396" max="5397" width="10.36328125" style="35" customWidth="1"/>
    <col min="5398" max="5398" width="6.26953125" style="35" customWidth="1"/>
    <col min="5399" max="5399" width="11.1796875" style="35" customWidth="1"/>
    <col min="5400" max="5400" width="26.08984375" style="35" customWidth="1"/>
    <col min="5401" max="5405" width="8.26953125" style="35" customWidth="1"/>
    <col min="5406" max="5632" width="8.7265625" style="35"/>
    <col min="5633" max="5633" width="10.90625" style="35" customWidth="1"/>
    <col min="5634" max="5634" width="10.08984375" style="35" customWidth="1"/>
    <col min="5635" max="5635" width="13.36328125" style="35" customWidth="1"/>
    <col min="5636" max="5648" width="6.08984375" style="35" customWidth="1"/>
    <col min="5649" max="5649" width="10.36328125" style="35" bestFit="1" customWidth="1"/>
    <col min="5650" max="5650" width="7.26953125" style="35" bestFit="1" customWidth="1"/>
    <col min="5651" max="5651" width="9" style="35" customWidth="1"/>
    <col min="5652" max="5653" width="10.36328125" style="35" customWidth="1"/>
    <col min="5654" max="5654" width="6.26953125" style="35" customWidth="1"/>
    <col min="5655" max="5655" width="11.1796875" style="35" customWidth="1"/>
    <col min="5656" max="5656" width="26.08984375" style="35" customWidth="1"/>
    <col min="5657" max="5661" width="8.26953125" style="35" customWidth="1"/>
    <col min="5662" max="5888" width="8.7265625" style="35"/>
    <col min="5889" max="5889" width="10.90625" style="35" customWidth="1"/>
    <col min="5890" max="5890" width="10.08984375" style="35" customWidth="1"/>
    <col min="5891" max="5891" width="13.36328125" style="35" customWidth="1"/>
    <col min="5892" max="5904" width="6.08984375" style="35" customWidth="1"/>
    <col min="5905" max="5905" width="10.36328125" style="35" bestFit="1" customWidth="1"/>
    <col min="5906" max="5906" width="7.26953125" style="35" bestFit="1" customWidth="1"/>
    <col min="5907" max="5907" width="9" style="35" customWidth="1"/>
    <col min="5908" max="5909" width="10.36328125" style="35" customWidth="1"/>
    <col min="5910" max="5910" width="6.26953125" style="35" customWidth="1"/>
    <col min="5911" max="5911" width="11.1796875" style="35" customWidth="1"/>
    <col min="5912" max="5912" width="26.08984375" style="35" customWidth="1"/>
    <col min="5913" max="5917" width="8.26953125" style="35" customWidth="1"/>
    <col min="5918" max="6144" width="8.7265625" style="35"/>
    <col min="6145" max="6145" width="10.90625" style="35" customWidth="1"/>
    <col min="6146" max="6146" width="10.08984375" style="35" customWidth="1"/>
    <col min="6147" max="6147" width="13.36328125" style="35" customWidth="1"/>
    <col min="6148" max="6160" width="6.08984375" style="35" customWidth="1"/>
    <col min="6161" max="6161" width="10.36328125" style="35" bestFit="1" customWidth="1"/>
    <col min="6162" max="6162" width="7.26953125" style="35" bestFit="1" customWidth="1"/>
    <col min="6163" max="6163" width="9" style="35" customWidth="1"/>
    <col min="6164" max="6165" width="10.36328125" style="35" customWidth="1"/>
    <col min="6166" max="6166" width="6.26953125" style="35" customWidth="1"/>
    <col min="6167" max="6167" width="11.1796875" style="35" customWidth="1"/>
    <col min="6168" max="6168" width="26.08984375" style="35" customWidth="1"/>
    <col min="6169" max="6173" width="8.26953125" style="35" customWidth="1"/>
    <col min="6174" max="6400" width="8.7265625" style="35"/>
    <col min="6401" max="6401" width="10.90625" style="35" customWidth="1"/>
    <col min="6402" max="6402" width="10.08984375" style="35" customWidth="1"/>
    <col min="6403" max="6403" width="13.36328125" style="35" customWidth="1"/>
    <col min="6404" max="6416" width="6.08984375" style="35" customWidth="1"/>
    <col min="6417" max="6417" width="10.36328125" style="35" bestFit="1" customWidth="1"/>
    <col min="6418" max="6418" width="7.26953125" style="35" bestFit="1" customWidth="1"/>
    <col min="6419" max="6419" width="9" style="35" customWidth="1"/>
    <col min="6420" max="6421" width="10.36328125" style="35" customWidth="1"/>
    <col min="6422" max="6422" width="6.26953125" style="35" customWidth="1"/>
    <col min="6423" max="6423" width="11.1796875" style="35" customWidth="1"/>
    <col min="6424" max="6424" width="26.08984375" style="35" customWidth="1"/>
    <col min="6425" max="6429" width="8.26953125" style="35" customWidth="1"/>
    <col min="6430" max="6656" width="8.7265625" style="35"/>
    <col min="6657" max="6657" width="10.90625" style="35" customWidth="1"/>
    <col min="6658" max="6658" width="10.08984375" style="35" customWidth="1"/>
    <col min="6659" max="6659" width="13.36328125" style="35" customWidth="1"/>
    <col min="6660" max="6672" width="6.08984375" style="35" customWidth="1"/>
    <col min="6673" max="6673" width="10.36328125" style="35" bestFit="1" customWidth="1"/>
    <col min="6674" max="6674" width="7.26953125" style="35" bestFit="1" customWidth="1"/>
    <col min="6675" max="6675" width="9" style="35" customWidth="1"/>
    <col min="6676" max="6677" width="10.36328125" style="35" customWidth="1"/>
    <col min="6678" max="6678" width="6.26953125" style="35" customWidth="1"/>
    <col min="6679" max="6679" width="11.1796875" style="35" customWidth="1"/>
    <col min="6680" max="6680" width="26.08984375" style="35" customWidth="1"/>
    <col min="6681" max="6685" width="8.26953125" style="35" customWidth="1"/>
    <col min="6686" max="6912" width="8.7265625" style="35"/>
    <col min="6913" max="6913" width="10.90625" style="35" customWidth="1"/>
    <col min="6914" max="6914" width="10.08984375" style="35" customWidth="1"/>
    <col min="6915" max="6915" width="13.36328125" style="35" customWidth="1"/>
    <col min="6916" max="6928" width="6.08984375" style="35" customWidth="1"/>
    <col min="6929" max="6929" width="10.36328125" style="35" bestFit="1" customWidth="1"/>
    <col min="6930" max="6930" width="7.26953125" style="35" bestFit="1" customWidth="1"/>
    <col min="6931" max="6931" width="9" style="35" customWidth="1"/>
    <col min="6932" max="6933" width="10.36328125" style="35" customWidth="1"/>
    <col min="6934" max="6934" width="6.26953125" style="35" customWidth="1"/>
    <col min="6935" max="6935" width="11.1796875" style="35" customWidth="1"/>
    <col min="6936" max="6936" width="26.08984375" style="35" customWidth="1"/>
    <col min="6937" max="6941" width="8.26953125" style="35" customWidth="1"/>
    <col min="6942" max="7168" width="8.7265625" style="35"/>
    <col min="7169" max="7169" width="10.90625" style="35" customWidth="1"/>
    <col min="7170" max="7170" width="10.08984375" style="35" customWidth="1"/>
    <col min="7171" max="7171" width="13.36328125" style="35" customWidth="1"/>
    <col min="7172" max="7184" width="6.08984375" style="35" customWidth="1"/>
    <col min="7185" max="7185" width="10.36328125" style="35" bestFit="1" customWidth="1"/>
    <col min="7186" max="7186" width="7.26953125" style="35" bestFit="1" customWidth="1"/>
    <col min="7187" max="7187" width="9" style="35" customWidth="1"/>
    <col min="7188" max="7189" width="10.36328125" style="35" customWidth="1"/>
    <col min="7190" max="7190" width="6.26953125" style="35" customWidth="1"/>
    <col min="7191" max="7191" width="11.1796875" style="35" customWidth="1"/>
    <col min="7192" max="7192" width="26.08984375" style="35" customWidth="1"/>
    <col min="7193" max="7197" width="8.26953125" style="35" customWidth="1"/>
    <col min="7198" max="7424" width="8.7265625" style="35"/>
    <col min="7425" max="7425" width="10.90625" style="35" customWidth="1"/>
    <col min="7426" max="7426" width="10.08984375" style="35" customWidth="1"/>
    <col min="7427" max="7427" width="13.36328125" style="35" customWidth="1"/>
    <col min="7428" max="7440" width="6.08984375" style="35" customWidth="1"/>
    <col min="7441" max="7441" width="10.36328125" style="35" bestFit="1" customWidth="1"/>
    <col min="7442" max="7442" width="7.26953125" style="35" bestFit="1" customWidth="1"/>
    <col min="7443" max="7443" width="9" style="35" customWidth="1"/>
    <col min="7444" max="7445" width="10.36328125" style="35" customWidth="1"/>
    <col min="7446" max="7446" width="6.26953125" style="35" customWidth="1"/>
    <col min="7447" max="7447" width="11.1796875" style="35" customWidth="1"/>
    <col min="7448" max="7448" width="26.08984375" style="35" customWidth="1"/>
    <col min="7449" max="7453" width="8.26953125" style="35" customWidth="1"/>
    <col min="7454" max="7680" width="8.7265625" style="35"/>
    <col min="7681" max="7681" width="10.90625" style="35" customWidth="1"/>
    <col min="7682" max="7682" width="10.08984375" style="35" customWidth="1"/>
    <col min="7683" max="7683" width="13.36328125" style="35" customWidth="1"/>
    <col min="7684" max="7696" width="6.08984375" style="35" customWidth="1"/>
    <col min="7697" max="7697" width="10.36328125" style="35" bestFit="1" customWidth="1"/>
    <col min="7698" max="7698" width="7.26953125" style="35" bestFit="1" customWidth="1"/>
    <col min="7699" max="7699" width="9" style="35" customWidth="1"/>
    <col min="7700" max="7701" width="10.36328125" style="35" customWidth="1"/>
    <col min="7702" max="7702" width="6.26953125" style="35" customWidth="1"/>
    <col min="7703" max="7703" width="11.1796875" style="35" customWidth="1"/>
    <col min="7704" max="7704" width="26.08984375" style="35" customWidth="1"/>
    <col min="7705" max="7709" width="8.26953125" style="35" customWidth="1"/>
    <col min="7710" max="7936" width="8.7265625" style="35"/>
    <col min="7937" max="7937" width="10.90625" style="35" customWidth="1"/>
    <col min="7938" max="7938" width="10.08984375" style="35" customWidth="1"/>
    <col min="7939" max="7939" width="13.36328125" style="35" customWidth="1"/>
    <col min="7940" max="7952" width="6.08984375" style="35" customWidth="1"/>
    <col min="7953" max="7953" width="10.36328125" style="35" bestFit="1" customWidth="1"/>
    <col min="7954" max="7954" width="7.26953125" style="35" bestFit="1" customWidth="1"/>
    <col min="7955" max="7955" width="9" style="35" customWidth="1"/>
    <col min="7956" max="7957" width="10.36328125" style="35" customWidth="1"/>
    <col min="7958" max="7958" width="6.26953125" style="35" customWidth="1"/>
    <col min="7959" max="7959" width="11.1796875" style="35" customWidth="1"/>
    <col min="7960" max="7960" width="26.08984375" style="35" customWidth="1"/>
    <col min="7961" max="7965" width="8.26953125" style="35" customWidth="1"/>
    <col min="7966" max="8192" width="8.7265625" style="35"/>
    <col min="8193" max="8193" width="10.90625" style="35" customWidth="1"/>
    <col min="8194" max="8194" width="10.08984375" style="35" customWidth="1"/>
    <col min="8195" max="8195" width="13.36328125" style="35" customWidth="1"/>
    <col min="8196" max="8208" width="6.08984375" style="35" customWidth="1"/>
    <col min="8209" max="8209" width="10.36328125" style="35" bestFit="1" customWidth="1"/>
    <col min="8210" max="8210" width="7.26953125" style="35" bestFit="1" customWidth="1"/>
    <col min="8211" max="8211" width="9" style="35" customWidth="1"/>
    <col min="8212" max="8213" width="10.36328125" style="35" customWidth="1"/>
    <col min="8214" max="8214" width="6.26953125" style="35" customWidth="1"/>
    <col min="8215" max="8215" width="11.1796875" style="35" customWidth="1"/>
    <col min="8216" max="8216" width="26.08984375" style="35" customWidth="1"/>
    <col min="8217" max="8221" width="8.26953125" style="35" customWidth="1"/>
    <col min="8222" max="8448" width="8.7265625" style="35"/>
    <col min="8449" max="8449" width="10.90625" style="35" customWidth="1"/>
    <col min="8450" max="8450" width="10.08984375" style="35" customWidth="1"/>
    <col min="8451" max="8451" width="13.36328125" style="35" customWidth="1"/>
    <col min="8452" max="8464" width="6.08984375" style="35" customWidth="1"/>
    <col min="8465" max="8465" width="10.36328125" style="35" bestFit="1" customWidth="1"/>
    <col min="8466" max="8466" width="7.26953125" style="35" bestFit="1" customWidth="1"/>
    <col min="8467" max="8467" width="9" style="35" customWidth="1"/>
    <col min="8468" max="8469" width="10.36328125" style="35" customWidth="1"/>
    <col min="8470" max="8470" width="6.26953125" style="35" customWidth="1"/>
    <col min="8471" max="8471" width="11.1796875" style="35" customWidth="1"/>
    <col min="8472" max="8472" width="26.08984375" style="35" customWidth="1"/>
    <col min="8473" max="8477" width="8.26953125" style="35" customWidth="1"/>
    <col min="8478" max="8704" width="8.7265625" style="35"/>
    <col min="8705" max="8705" width="10.90625" style="35" customWidth="1"/>
    <col min="8706" max="8706" width="10.08984375" style="35" customWidth="1"/>
    <col min="8707" max="8707" width="13.36328125" style="35" customWidth="1"/>
    <col min="8708" max="8720" width="6.08984375" style="35" customWidth="1"/>
    <col min="8721" max="8721" width="10.36328125" style="35" bestFit="1" customWidth="1"/>
    <col min="8722" max="8722" width="7.26953125" style="35" bestFit="1" customWidth="1"/>
    <col min="8723" max="8723" width="9" style="35" customWidth="1"/>
    <col min="8724" max="8725" width="10.36328125" style="35" customWidth="1"/>
    <col min="8726" max="8726" width="6.26953125" style="35" customWidth="1"/>
    <col min="8727" max="8727" width="11.1796875" style="35" customWidth="1"/>
    <col min="8728" max="8728" width="26.08984375" style="35" customWidth="1"/>
    <col min="8729" max="8733" width="8.26953125" style="35" customWidth="1"/>
    <col min="8734" max="8960" width="8.7265625" style="35"/>
    <col min="8961" max="8961" width="10.90625" style="35" customWidth="1"/>
    <col min="8962" max="8962" width="10.08984375" style="35" customWidth="1"/>
    <col min="8963" max="8963" width="13.36328125" style="35" customWidth="1"/>
    <col min="8964" max="8976" width="6.08984375" style="35" customWidth="1"/>
    <col min="8977" max="8977" width="10.36328125" style="35" bestFit="1" customWidth="1"/>
    <col min="8978" max="8978" width="7.26953125" style="35" bestFit="1" customWidth="1"/>
    <col min="8979" max="8979" width="9" style="35" customWidth="1"/>
    <col min="8980" max="8981" width="10.36328125" style="35" customWidth="1"/>
    <col min="8982" max="8982" width="6.26953125" style="35" customWidth="1"/>
    <col min="8983" max="8983" width="11.1796875" style="35" customWidth="1"/>
    <col min="8984" max="8984" width="26.08984375" style="35" customWidth="1"/>
    <col min="8985" max="8989" width="8.26953125" style="35" customWidth="1"/>
    <col min="8990" max="9216" width="8.7265625" style="35"/>
    <col min="9217" max="9217" width="10.90625" style="35" customWidth="1"/>
    <col min="9218" max="9218" width="10.08984375" style="35" customWidth="1"/>
    <col min="9219" max="9219" width="13.36328125" style="35" customWidth="1"/>
    <col min="9220" max="9232" width="6.08984375" style="35" customWidth="1"/>
    <col min="9233" max="9233" width="10.36328125" style="35" bestFit="1" customWidth="1"/>
    <col min="9234" max="9234" width="7.26953125" style="35" bestFit="1" customWidth="1"/>
    <col min="9235" max="9235" width="9" style="35" customWidth="1"/>
    <col min="9236" max="9237" width="10.36328125" style="35" customWidth="1"/>
    <col min="9238" max="9238" width="6.26953125" style="35" customWidth="1"/>
    <col min="9239" max="9239" width="11.1796875" style="35" customWidth="1"/>
    <col min="9240" max="9240" width="26.08984375" style="35" customWidth="1"/>
    <col min="9241" max="9245" width="8.26953125" style="35" customWidth="1"/>
    <col min="9246" max="9472" width="8.7265625" style="35"/>
    <col min="9473" max="9473" width="10.90625" style="35" customWidth="1"/>
    <col min="9474" max="9474" width="10.08984375" style="35" customWidth="1"/>
    <col min="9475" max="9475" width="13.36328125" style="35" customWidth="1"/>
    <col min="9476" max="9488" width="6.08984375" style="35" customWidth="1"/>
    <col min="9489" max="9489" width="10.36328125" style="35" bestFit="1" customWidth="1"/>
    <col min="9490" max="9490" width="7.26953125" style="35" bestFit="1" customWidth="1"/>
    <col min="9491" max="9491" width="9" style="35" customWidth="1"/>
    <col min="9492" max="9493" width="10.36328125" style="35" customWidth="1"/>
    <col min="9494" max="9494" width="6.26953125" style="35" customWidth="1"/>
    <col min="9495" max="9495" width="11.1796875" style="35" customWidth="1"/>
    <col min="9496" max="9496" width="26.08984375" style="35" customWidth="1"/>
    <col min="9497" max="9501" width="8.26953125" style="35" customWidth="1"/>
    <col min="9502" max="9728" width="8.7265625" style="35"/>
    <col min="9729" max="9729" width="10.90625" style="35" customWidth="1"/>
    <col min="9730" max="9730" width="10.08984375" style="35" customWidth="1"/>
    <col min="9731" max="9731" width="13.36328125" style="35" customWidth="1"/>
    <col min="9732" max="9744" width="6.08984375" style="35" customWidth="1"/>
    <col min="9745" max="9745" width="10.36328125" style="35" bestFit="1" customWidth="1"/>
    <col min="9746" max="9746" width="7.26953125" style="35" bestFit="1" customWidth="1"/>
    <col min="9747" max="9747" width="9" style="35" customWidth="1"/>
    <col min="9748" max="9749" width="10.36328125" style="35" customWidth="1"/>
    <col min="9750" max="9750" width="6.26953125" style="35" customWidth="1"/>
    <col min="9751" max="9751" width="11.1796875" style="35" customWidth="1"/>
    <col min="9752" max="9752" width="26.08984375" style="35" customWidth="1"/>
    <col min="9753" max="9757" width="8.26953125" style="35" customWidth="1"/>
    <col min="9758" max="9984" width="8.7265625" style="35"/>
    <col min="9985" max="9985" width="10.90625" style="35" customWidth="1"/>
    <col min="9986" max="9986" width="10.08984375" style="35" customWidth="1"/>
    <col min="9987" max="9987" width="13.36328125" style="35" customWidth="1"/>
    <col min="9988" max="10000" width="6.08984375" style="35" customWidth="1"/>
    <col min="10001" max="10001" width="10.36328125" style="35" bestFit="1" customWidth="1"/>
    <col min="10002" max="10002" width="7.26953125" style="35" bestFit="1" customWidth="1"/>
    <col min="10003" max="10003" width="9" style="35" customWidth="1"/>
    <col min="10004" max="10005" width="10.36328125" style="35" customWidth="1"/>
    <col min="10006" max="10006" width="6.26953125" style="35" customWidth="1"/>
    <col min="10007" max="10007" width="11.1796875" style="35" customWidth="1"/>
    <col min="10008" max="10008" width="26.08984375" style="35" customWidth="1"/>
    <col min="10009" max="10013" width="8.26953125" style="35" customWidth="1"/>
    <col min="10014" max="10240" width="8.7265625" style="35"/>
    <col min="10241" max="10241" width="10.90625" style="35" customWidth="1"/>
    <col min="10242" max="10242" width="10.08984375" style="35" customWidth="1"/>
    <col min="10243" max="10243" width="13.36328125" style="35" customWidth="1"/>
    <col min="10244" max="10256" width="6.08984375" style="35" customWidth="1"/>
    <col min="10257" max="10257" width="10.36328125" style="35" bestFit="1" customWidth="1"/>
    <col min="10258" max="10258" width="7.26953125" style="35" bestFit="1" customWidth="1"/>
    <col min="10259" max="10259" width="9" style="35" customWidth="1"/>
    <col min="10260" max="10261" width="10.36328125" style="35" customWidth="1"/>
    <col min="10262" max="10262" width="6.26953125" style="35" customWidth="1"/>
    <col min="10263" max="10263" width="11.1796875" style="35" customWidth="1"/>
    <col min="10264" max="10264" width="26.08984375" style="35" customWidth="1"/>
    <col min="10265" max="10269" width="8.26953125" style="35" customWidth="1"/>
    <col min="10270" max="10496" width="8.7265625" style="35"/>
    <col min="10497" max="10497" width="10.90625" style="35" customWidth="1"/>
    <col min="10498" max="10498" width="10.08984375" style="35" customWidth="1"/>
    <col min="10499" max="10499" width="13.36328125" style="35" customWidth="1"/>
    <col min="10500" max="10512" width="6.08984375" style="35" customWidth="1"/>
    <col min="10513" max="10513" width="10.36328125" style="35" bestFit="1" customWidth="1"/>
    <col min="10514" max="10514" width="7.26953125" style="35" bestFit="1" customWidth="1"/>
    <col min="10515" max="10515" width="9" style="35" customWidth="1"/>
    <col min="10516" max="10517" width="10.36328125" style="35" customWidth="1"/>
    <col min="10518" max="10518" width="6.26953125" style="35" customWidth="1"/>
    <col min="10519" max="10519" width="11.1796875" style="35" customWidth="1"/>
    <col min="10520" max="10520" width="26.08984375" style="35" customWidth="1"/>
    <col min="10521" max="10525" width="8.26953125" style="35" customWidth="1"/>
    <col min="10526" max="10752" width="8.7265625" style="35"/>
    <col min="10753" max="10753" width="10.90625" style="35" customWidth="1"/>
    <col min="10754" max="10754" width="10.08984375" style="35" customWidth="1"/>
    <col min="10755" max="10755" width="13.36328125" style="35" customWidth="1"/>
    <col min="10756" max="10768" width="6.08984375" style="35" customWidth="1"/>
    <col min="10769" max="10769" width="10.36328125" style="35" bestFit="1" customWidth="1"/>
    <col min="10770" max="10770" width="7.26953125" style="35" bestFit="1" customWidth="1"/>
    <col min="10771" max="10771" width="9" style="35" customWidth="1"/>
    <col min="10772" max="10773" width="10.36328125" style="35" customWidth="1"/>
    <col min="10774" max="10774" width="6.26953125" style="35" customWidth="1"/>
    <col min="10775" max="10775" width="11.1796875" style="35" customWidth="1"/>
    <col min="10776" max="10776" width="26.08984375" style="35" customWidth="1"/>
    <col min="10777" max="10781" width="8.26953125" style="35" customWidth="1"/>
    <col min="10782" max="11008" width="8.7265625" style="35"/>
    <col min="11009" max="11009" width="10.90625" style="35" customWidth="1"/>
    <col min="11010" max="11010" width="10.08984375" style="35" customWidth="1"/>
    <col min="11011" max="11011" width="13.36328125" style="35" customWidth="1"/>
    <col min="11012" max="11024" width="6.08984375" style="35" customWidth="1"/>
    <col min="11025" max="11025" width="10.36328125" style="35" bestFit="1" customWidth="1"/>
    <col min="11026" max="11026" width="7.26953125" style="35" bestFit="1" customWidth="1"/>
    <col min="11027" max="11027" width="9" style="35" customWidth="1"/>
    <col min="11028" max="11029" width="10.36328125" style="35" customWidth="1"/>
    <col min="11030" max="11030" width="6.26953125" style="35" customWidth="1"/>
    <col min="11031" max="11031" width="11.1796875" style="35" customWidth="1"/>
    <col min="11032" max="11032" width="26.08984375" style="35" customWidth="1"/>
    <col min="11033" max="11037" width="8.26953125" style="35" customWidth="1"/>
    <col min="11038" max="11264" width="8.7265625" style="35"/>
    <col min="11265" max="11265" width="10.90625" style="35" customWidth="1"/>
    <col min="11266" max="11266" width="10.08984375" style="35" customWidth="1"/>
    <col min="11267" max="11267" width="13.36328125" style="35" customWidth="1"/>
    <col min="11268" max="11280" width="6.08984375" style="35" customWidth="1"/>
    <col min="11281" max="11281" width="10.36328125" style="35" bestFit="1" customWidth="1"/>
    <col min="11282" max="11282" width="7.26953125" style="35" bestFit="1" customWidth="1"/>
    <col min="11283" max="11283" width="9" style="35" customWidth="1"/>
    <col min="11284" max="11285" width="10.36328125" style="35" customWidth="1"/>
    <col min="11286" max="11286" width="6.26953125" style="35" customWidth="1"/>
    <col min="11287" max="11287" width="11.1796875" style="35" customWidth="1"/>
    <col min="11288" max="11288" width="26.08984375" style="35" customWidth="1"/>
    <col min="11289" max="11293" width="8.26953125" style="35" customWidth="1"/>
    <col min="11294" max="11520" width="8.7265625" style="35"/>
    <col min="11521" max="11521" width="10.90625" style="35" customWidth="1"/>
    <col min="11522" max="11522" width="10.08984375" style="35" customWidth="1"/>
    <col min="11523" max="11523" width="13.36328125" style="35" customWidth="1"/>
    <col min="11524" max="11536" width="6.08984375" style="35" customWidth="1"/>
    <col min="11537" max="11537" width="10.36328125" style="35" bestFit="1" customWidth="1"/>
    <col min="11538" max="11538" width="7.26953125" style="35" bestFit="1" customWidth="1"/>
    <col min="11539" max="11539" width="9" style="35" customWidth="1"/>
    <col min="11540" max="11541" width="10.36328125" style="35" customWidth="1"/>
    <col min="11542" max="11542" width="6.26953125" style="35" customWidth="1"/>
    <col min="11543" max="11543" width="11.1796875" style="35" customWidth="1"/>
    <col min="11544" max="11544" width="26.08984375" style="35" customWidth="1"/>
    <col min="11545" max="11549" width="8.26953125" style="35" customWidth="1"/>
    <col min="11550" max="11776" width="8.7265625" style="35"/>
    <col min="11777" max="11777" width="10.90625" style="35" customWidth="1"/>
    <col min="11778" max="11778" width="10.08984375" style="35" customWidth="1"/>
    <col min="11779" max="11779" width="13.36328125" style="35" customWidth="1"/>
    <col min="11780" max="11792" width="6.08984375" style="35" customWidth="1"/>
    <col min="11793" max="11793" width="10.36328125" style="35" bestFit="1" customWidth="1"/>
    <col min="11794" max="11794" width="7.26953125" style="35" bestFit="1" customWidth="1"/>
    <col min="11795" max="11795" width="9" style="35" customWidth="1"/>
    <col min="11796" max="11797" width="10.36328125" style="35" customWidth="1"/>
    <col min="11798" max="11798" width="6.26953125" style="35" customWidth="1"/>
    <col min="11799" max="11799" width="11.1796875" style="35" customWidth="1"/>
    <col min="11800" max="11800" width="26.08984375" style="35" customWidth="1"/>
    <col min="11801" max="11805" width="8.26953125" style="35" customWidth="1"/>
    <col min="11806" max="12032" width="8.7265625" style="35"/>
    <col min="12033" max="12033" width="10.90625" style="35" customWidth="1"/>
    <col min="12034" max="12034" width="10.08984375" style="35" customWidth="1"/>
    <col min="12035" max="12035" width="13.36328125" style="35" customWidth="1"/>
    <col min="12036" max="12048" width="6.08984375" style="35" customWidth="1"/>
    <col min="12049" max="12049" width="10.36328125" style="35" bestFit="1" customWidth="1"/>
    <col min="12050" max="12050" width="7.26953125" style="35" bestFit="1" customWidth="1"/>
    <col min="12051" max="12051" width="9" style="35" customWidth="1"/>
    <col min="12052" max="12053" width="10.36328125" style="35" customWidth="1"/>
    <col min="12054" max="12054" width="6.26953125" style="35" customWidth="1"/>
    <col min="12055" max="12055" width="11.1796875" style="35" customWidth="1"/>
    <col min="12056" max="12056" width="26.08984375" style="35" customWidth="1"/>
    <col min="12057" max="12061" width="8.26953125" style="35" customWidth="1"/>
    <col min="12062" max="12288" width="8.7265625" style="35"/>
    <col min="12289" max="12289" width="10.90625" style="35" customWidth="1"/>
    <col min="12290" max="12290" width="10.08984375" style="35" customWidth="1"/>
    <col min="12291" max="12291" width="13.36328125" style="35" customWidth="1"/>
    <col min="12292" max="12304" width="6.08984375" style="35" customWidth="1"/>
    <col min="12305" max="12305" width="10.36328125" style="35" bestFit="1" customWidth="1"/>
    <col min="12306" max="12306" width="7.26953125" style="35" bestFit="1" customWidth="1"/>
    <col min="12307" max="12307" width="9" style="35" customWidth="1"/>
    <col min="12308" max="12309" width="10.36328125" style="35" customWidth="1"/>
    <col min="12310" max="12310" width="6.26953125" style="35" customWidth="1"/>
    <col min="12311" max="12311" width="11.1796875" style="35" customWidth="1"/>
    <col min="12312" max="12312" width="26.08984375" style="35" customWidth="1"/>
    <col min="12313" max="12317" width="8.26953125" style="35" customWidth="1"/>
    <col min="12318" max="12544" width="8.7265625" style="35"/>
    <col min="12545" max="12545" width="10.90625" style="35" customWidth="1"/>
    <col min="12546" max="12546" width="10.08984375" style="35" customWidth="1"/>
    <col min="12547" max="12547" width="13.36328125" style="35" customWidth="1"/>
    <col min="12548" max="12560" width="6.08984375" style="35" customWidth="1"/>
    <col min="12561" max="12561" width="10.36328125" style="35" bestFit="1" customWidth="1"/>
    <col min="12562" max="12562" width="7.26953125" style="35" bestFit="1" customWidth="1"/>
    <col min="12563" max="12563" width="9" style="35" customWidth="1"/>
    <col min="12564" max="12565" width="10.36328125" style="35" customWidth="1"/>
    <col min="12566" max="12566" width="6.26953125" style="35" customWidth="1"/>
    <col min="12567" max="12567" width="11.1796875" style="35" customWidth="1"/>
    <col min="12568" max="12568" width="26.08984375" style="35" customWidth="1"/>
    <col min="12569" max="12573" width="8.26953125" style="35" customWidth="1"/>
    <col min="12574" max="12800" width="8.7265625" style="35"/>
    <col min="12801" max="12801" width="10.90625" style="35" customWidth="1"/>
    <col min="12802" max="12802" width="10.08984375" style="35" customWidth="1"/>
    <col min="12803" max="12803" width="13.36328125" style="35" customWidth="1"/>
    <col min="12804" max="12816" width="6.08984375" style="35" customWidth="1"/>
    <col min="12817" max="12817" width="10.36328125" style="35" bestFit="1" customWidth="1"/>
    <col min="12818" max="12818" width="7.26953125" style="35" bestFit="1" customWidth="1"/>
    <col min="12819" max="12819" width="9" style="35" customWidth="1"/>
    <col min="12820" max="12821" width="10.36328125" style="35" customWidth="1"/>
    <col min="12822" max="12822" width="6.26953125" style="35" customWidth="1"/>
    <col min="12823" max="12823" width="11.1796875" style="35" customWidth="1"/>
    <col min="12824" max="12824" width="26.08984375" style="35" customWidth="1"/>
    <col min="12825" max="12829" width="8.26953125" style="35" customWidth="1"/>
    <col min="12830" max="13056" width="8.7265625" style="35"/>
    <col min="13057" max="13057" width="10.90625" style="35" customWidth="1"/>
    <col min="13058" max="13058" width="10.08984375" style="35" customWidth="1"/>
    <col min="13059" max="13059" width="13.36328125" style="35" customWidth="1"/>
    <col min="13060" max="13072" width="6.08984375" style="35" customWidth="1"/>
    <col min="13073" max="13073" width="10.36328125" style="35" bestFit="1" customWidth="1"/>
    <col min="13074" max="13074" width="7.26953125" style="35" bestFit="1" customWidth="1"/>
    <col min="13075" max="13075" width="9" style="35" customWidth="1"/>
    <col min="13076" max="13077" width="10.36328125" style="35" customWidth="1"/>
    <col min="13078" max="13078" width="6.26953125" style="35" customWidth="1"/>
    <col min="13079" max="13079" width="11.1796875" style="35" customWidth="1"/>
    <col min="13080" max="13080" width="26.08984375" style="35" customWidth="1"/>
    <col min="13081" max="13085" width="8.26953125" style="35" customWidth="1"/>
    <col min="13086" max="13312" width="8.7265625" style="35"/>
    <col min="13313" max="13313" width="10.90625" style="35" customWidth="1"/>
    <col min="13314" max="13314" width="10.08984375" style="35" customWidth="1"/>
    <col min="13315" max="13315" width="13.36328125" style="35" customWidth="1"/>
    <col min="13316" max="13328" width="6.08984375" style="35" customWidth="1"/>
    <col min="13329" max="13329" width="10.36328125" style="35" bestFit="1" customWidth="1"/>
    <col min="13330" max="13330" width="7.26953125" style="35" bestFit="1" customWidth="1"/>
    <col min="13331" max="13331" width="9" style="35" customWidth="1"/>
    <col min="13332" max="13333" width="10.36328125" style="35" customWidth="1"/>
    <col min="13334" max="13334" width="6.26953125" style="35" customWidth="1"/>
    <col min="13335" max="13335" width="11.1796875" style="35" customWidth="1"/>
    <col min="13336" max="13336" width="26.08984375" style="35" customWidth="1"/>
    <col min="13337" max="13341" width="8.26953125" style="35" customWidth="1"/>
    <col min="13342" max="13568" width="8.7265625" style="35"/>
    <col min="13569" max="13569" width="10.90625" style="35" customWidth="1"/>
    <col min="13570" max="13570" width="10.08984375" style="35" customWidth="1"/>
    <col min="13571" max="13571" width="13.36328125" style="35" customWidth="1"/>
    <col min="13572" max="13584" width="6.08984375" style="35" customWidth="1"/>
    <col min="13585" max="13585" width="10.36328125" style="35" bestFit="1" customWidth="1"/>
    <col min="13586" max="13586" width="7.26953125" style="35" bestFit="1" customWidth="1"/>
    <col min="13587" max="13587" width="9" style="35" customWidth="1"/>
    <col min="13588" max="13589" width="10.36328125" style="35" customWidth="1"/>
    <col min="13590" max="13590" width="6.26953125" style="35" customWidth="1"/>
    <col min="13591" max="13591" width="11.1796875" style="35" customWidth="1"/>
    <col min="13592" max="13592" width="26.08984375" style="35" customWidth="1"/>
    <col min="13593" max="13597" width="8.26953125" style="35" customWidth="1"/>
    <col min="13598" max="13824" width="8.7265625" style="35"/>
    <col min="13825" max="13825" width="10.90625" style="35" customWidth="1"/>
    <col min="13826" max="13826" width="10.08984375" style="35" customWidth="1"/>
    <col min="13827" max="13827" width="13.36328125" style="35" customWidth="1"/>
    <col min="13828" max="13840" width="6.08984375" style="35" customWidth="1"/>
    <col min="13841" max="13841" width="10.36328125" style="35" bestFit="1" customWidth="1"/>
    <col min="13842" max="13842" width="7.26953125" style="35" bestFit="1" customWidth="1"/>
    <col min="13843" max="13843" width="9" style="35" customWidth="1"/>
    <col min="13844" max="13845" width="10.36328125" style="35" customWidth="1"/>
    <col min="13846" max="13846" width="6.26953125" style="35" customWidth="1"/>
    <col min="13847" max="13847" width="11.1796875" style="35" customWidth="1"/>
    <col min="13848" max="13848" width="26.08984375" style="35" customWidth="1"/>
    <col min="13849" max="13853" width="8.26953125" style="35" customWidth="1"/>
    <col min="13854" max="14080" width="8.7265625" style="35"/>
    <col min="14081" max="14081" width="10.90625" style="35" customWidth="1"/>
    <col min="14082" max="14082" width="10.08984375" style="35" customWidth="1"/>
    <col min="14083" max="14083" width="13.36328125" style="35" customWidth="1"/>
    <col min="14084" max="14096" width="6.08984375" style="35" customWidth="1"/>
    <col min="14097" max="14097" width="10.36328125" style="35" bestFit="1" customWidth="1"/>
    <col min="14098" max="14098" width="7.26953125" style="35" bestFit="1" customWidth="1"/>
    <col min="14099" max="14099" width="9" style="35" customWidth="1"/>
    <col min="14100" max="14101" width="10.36328125" style="35" customWidth="1"/>
    <col min="14102" max="14102" width="6.26953125" style="35" customWidth="1"/>
    <col min="14103" max="14103" width="11.1796875" style="35" customWidth="1"/>
    <col min="14104" max="14104" width="26.08984375" style="35" customWidth="1"/>
    <col min="14105" max="14109" width="8.26953125" style="35" customWidth="1"/>
    <col min="14110" max="14336" width="8.7265625" style="35"/>
    <col min="14337" max="14337" width="10.90625" style="35" customWidth="1"/>
    <col min="14338" max="14338" width="10.08984375" style="35" customWidth="1"/>
    <col min="14339" max="14339" width="13.36328125" style="35" customWidth="1"/>
    <col min="14340" max="14352" width="6.08984375" style="35" customWidth="1"/>
    <col min="14353" max="14353" width="10.36328125" style="35" bestFit="1" customWidth="1"/>
    <col min="14354" max="14354" width="7.26953125" style="35" bestFit="1" customWidth="1"/>
    <col min="14355" max="14355" width="9" style="35" customWidth="1"/>
    <col min="14356" max="14357" width="10.36328125" style="35" customWidth="1"/>
    <col min="14358" max="14358" width="6.26953125" style="35" customWidth="1"/>
    <col min="14359" max="14359" width="11.1796875" style="35" customWidth="1"/>
    <col min="14360" max="14360" width="26.08984375" style="35" customWidth="1"/>
    <col min="14361" max="14365" width="8.26953125" style="35" customWidth="1"/>
    <col min="14366" max="14592" width="8.7265625" style="35"/>
    <col min="14593" max="14593" width="10.90625" style="35" customWidth="1"/>
    <col min="14594" max="14594" width="10.08984375" style="35" customWidth="1"/>
    <col min="14595" max="14595" width="13.36328125" style="35" customWidth="1"/>
    <col min="14596" max="14608" width="6.08984375" style="35" customWidth="1"/>
    <col min="14609" max="14609" width="10.36328125" style="35" bestFit="1" customWidth="1"/>
    <col min="14610" max="14610" width="7.26953125" style="35" bestFit="1" customWidth="1"/>
    <col min="14611" max="14611" width="9" style="35" customWidth="1"/>
    <col min="14612" max="14613" width="10.36328125" style="35" customWidth="1"/>
    <col min="14614" max="14614" width="6.26953125" style="35" customWidth="1"/>
    <col min="14615" max="14615" width="11.1796875" style="35" customWidth="1"/>
    <col min="14616" max="14616" width="26.08984375" style="35" customWidth="1"/>
    <col min="14617" max="14621" width="8.26953125" style="35" customWidth="1"/>
    <col min="14622" max="14848" width="8.7265625" style="35"/>
    <col min="14849" max="14849" width="10.90625" style="35" customWidth="1"/>
    <col min="14850" max="14850" width="10.08984375" style="35" customWidth="1"/>
    <col min="14851" max="14851" width="13.36328125" style="35" customWidth="1"/>
    <col min="14852" max="14864" width="6.08984375" style="35" customWidth="1"/>
    <col min="14865" max="14865" width="10.36328125" style="35" bestFit="1" customWidth="1"/>
    <col min="14866" max="14866" width="7.26953125" style="35" bestFit="1" customWidth="1"/>
    <col min="14867" max="14867" width="9" style="35" customWidth="1"/>
    <col min="14868" max="14869" width="10.36328125" style="35" customWidth="1"/>
    <col min="14870" max="14870" width="6.26953125" style="35" customWidth="1"/>
    <col min="14871" max="14871" width="11.1796875" style="35" customWidth="1"/>
    <col min="14872" max="14872" width="26.08984375" style="35" customWidth="1"/>
    <col min="14873" max="14877" width="8.26953125" style="35" customWidth="1"/>
    <col min="14878" max="15104" width="8.7265625" style="35"/>
    <col min="15105" max="15105" width="10.90625" style="35" customWidth="1"/>
    <col min="15106" max="15106" width="10.08984375" style="35" customWidth="1"/>
    <col min="15107" max="15107" width="13.36328125" style="35" customWidth="1"/>
    <col min="15108" max="15120" width="6.08984375" style="35" customWidth="1"/>
    <col min="15121" max="15121" width="10.36328125" style="35" bestFit="1" customWidth="1"/>
    <col min="15122" max="15122" width="7.26953125" style="35" bestFit="1" customWidth="1"/>
    <col min="15123" max="15123" width="9" style="35" customWidth="1"/>
    <col min="15124" max="15125" width="10.36328125" style="35" customWidth="1"/>
    <col min="15126" max="15126" width="6.26953125" style="35" customWidth="1"/>
    <col min="15127" max="15127" width="11.1796875" style="35" customWidth="1"/>
    <col min="15128" max="15128" width="26.08984375" style="35" customWidth="1"/>
    <col min="15129" max="15133" width="8.26953125" style="35" customWidth="1"/>
    <col min="15134" max="15360" width="8.7265625" style="35"/>
    <col min="15361" max="15361" width="10.90625" style="35" customWidth="1"/>
    <col min="15362" max="15362" width="10.08984375" style="35" customWidth="1"/>
    <col min="15363" max="15363" width="13.36328125" style="35" customWidth="1"/>
    <col min="15364" max="15376" width="6.08984375" style="35" customWidth="1"/>
    <col min="15377" max="15377" width="10.36328125" style="35" bestFit="1" customWidth="1"/>
    <col min="15378" max="15378" width="7.26953125" style="35" bestFit="1" customWidth="1"/>
    <col min="15379" max="15379" width="9" style="35" customWidth="1"/>
    <col min="15380" max="15381" width="10.36328125" style="35" customWidth="1"/>
    <col min="15382" max="15382" width="6.26953125" style="35" customWidth="1"/>
    <col min="15383" max="15383" width="11.1796875" style="35" customWidth="1"/>
    <col min="15384" max="15384" width="26.08984375" style="35" customWidth="1"/>
    <col min="15385" max="15389" width="8.26953125" style="35" customWidth="1"/>
    <col min="15390" max="15616" width="8.7265625" style="35"/>
    <col min="15617" max="15617" width="10.90625" style="35" customWidth="1"/>
    <col min="15618" max="15618" width="10.08984375" style="35" customWidth="1"/>
    <col min="15619" max="15619" width="13.36328125" style="35" customWidth="1"/>
    <col min="15620" max="15632" width="6.08984375" style="35" customWidth="1"/>
    <col min="15633" max="15633" width="10.36328125" style="35" bestFit="1" customWidth="1"/>
    <col min="15634" max="15634" width="7.26953125" style="35" bestFit="1" customWidth="1"/>
    <col min="15635" max="15635" width="9" style="35" customWidth="1"/>
    <col min="15636" max="15637" width="10.36328125" style="35" customWidth="1"/>
    <col min="15638" max="15638" width="6.26953125" style="35" customWidth="1"/>
    <col min="15639" max="15639" width="11.1796875" style="35" customWidth="1"/>
    <col min="15640" max="15640" width="26.08984375" style="35" customWidth="1"/>
    <col min="15641" max="15645" width="8.26953125" style="35" customWidth="1"/>
    <col min="15646" max="15872" width="8.7265625" style="35"/>
    <col min="15873" max="15873" width="10.90625" style="35" customWidth="1"/>
    <col min="15874" max="15874" width="10.08984375" style="35" customWidth="1"/>
    <col min="15875" max="15875" width="13.36328125" style="35" customWidth="1"/>
    <col min="15876" max="15888" width="6.08984375" style="35" customWidth="1"/>
    <col min="15889" max="15889" width="10.36328125" style="35" bestFit="1" customWidth="1"/>
    <col min="15890" max="15890" width="7.26953125" style="35" bestFit="1" customWidth="1"/>
    <col min="15891" max="15891" width="9" style="35" customWidth="1"/>
    <col min="15892" max="15893" width="10.36328125" style="35" customWidth="1"/>
    <col min="15894" max="15894" width="6.26953125" style="35" customWidth="1"/>
    <col min="15895" max="15895" width="11.1796875" style="35" customWidth="1"/>
    <col min="15896" max="15896" width="26.08984375" style="35" customWidth="1"/>
    <col min="15897" max="15901" width="8.26953125" style="35" customWidth="1"/>
    <col min="15902" max="16128" width="8.7265625" style="35"/>
    <col min="16129" max="16129" width="10.90625" style="35" customWidth="1"/>
    <col min="16130" max="16130" width="10.08984375" style="35" customWidth="1"/>
    <col min="16131" max="16131" width="13.36328125" style="35" customWidth="1"/>
    <col min="16132" max="16144" width="6.08984375" style="35" customWidth="1"/>
    <col min="16145" max="16145" width="10.36328125" style="35" bestFit="1" customWidth="1"/>
    <col min="16146" max="16146" width="7.26953125" style="35" bestFit="1" customWidth="1"/>
    <col min="16147" max="16147" width="9" style="35" customWidth="1"/>
    <col min="16148" max="16149" width="10.36328125" style="35" customWidth="1"/>
    <col min="16150" max="16150" width="6.26953125" style="35" customWidth="1"/>
    <col min="16151" max="16151" width="11.1796875" style="35" customWidth="1"/>
    <col min="16152" max="16152" width="26.08984375" style="35" customWidth="1"/>
    <col min="16153" max="16157" width="8.26953125" style="35" customWidth="1"/>
    <col min="16158" max="16384" width="8.7265625" style="35"/>
  </cols>
  <sheetData>
    <row r="1" spans="1:30" s="170" customFormat="1" ht="12.75" customHeight="1" x14ac:dyDescent="0.25">
      <c r="A1" s="154" t="s">
        <v>14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68"/>
      <c r="Q1" s="175"/>
      <c r="R1" s="175"/>
      <c r="S1" s="175"/>
      <c r="T1" s="175"/>
      <c r="U1" s="175"/>
      <c r="V1" s="174"/>
      <c r="W1" s="174"/>
      <c r="X1" s="173"/>
      <c r="Y1" s="172"/>
      <c r="Z1" s="172"/>
      <c r="AA1" s="172"/>
      <c r="AB1" s="172"/>
      <c r="AC1" s="171"/>
    </row>
    <row r="2" spans="1:30" ht="12.75" customHeight="1" x14ac:dyDescent="0.25">
      <c r="A2" s="155" t="s">
        <v>15</v>
      </c>
      <c r="B2" s="154"/>
      <c r="C2" s="169"/>
      <c r="D2" s="153"/>
      <c r="E2" s="154"/>
      <c r="F2" s="154"/>
      <c r="G2" s="154"/>
      <c r="H2" s="154"/>
      <c r="I2" s="152"/>
      <c r="J2" s="154" t="s">
        <v>16</v>
      </c>
      <c r="K2" s="154"/>
      <c r="L2" s="154"/>
      <c r="M2" s="154"/>
      <c r="N2" s="154"/>
      <c r="O2" s="154"/>
      <c r="P2" s="168"/>
      <c r="Q2" s="167" t="s">
        <v>294</v>
      </c>
      <c r="R2" s="166"/>
      <c r="S2" s="165" t="s">
        <v>275</v>
      </c>
      <c r="T2" s="165" t="s">
        <v>274</v>
      </c>
      <c r="U2" s="165"/>
      <c r="V2" s="164" t="s">
        <v>276</v>
      </c>
      <c r="W2" s="164" t="s">
        <v>48</v>
      </c>
      <c r="X2" s="163"/>
    </row>
    <row r="3" spans="1:30" ht="12.75" customHeight="1" x14ac:dyDescent="0.3">
      <c r="A3" s="155" t="s">
        <v>293</v>
      </c>
      <c r="B3" s="162"/>
      <c r="C3" s="161"/>
      <c r="D3" s="161"/>
      <c r="E3" s="152"/>
      <c r="F3" s="152" t="s">
        <v>292</v>
      </c>
      <c r="G3" s="152"/>
      <c r="H3" s="152"/>
      <c r="I3" s="152"/>
      <c r="J3" s="152"/>
      <c r="K3" s="152"/>
      <c r="L3" s="152"/>
      <c r="M3" s="152"/>
      <c r="N3" s="152"/>
      <c r="O3" s="152"/>
      <c r="P3" s="151"/>
      <c r="Q3" s="160" t="s">
        <v>291</v>
      </c>
      <c r="R3" s="159"/>
      <c r="S3" s="158">
        <v>4720</v>
      </c>
      <c r="T3" s="158">
        <v>5640</v>
      </c>
      <c r="U3" s="158"/>
      <c r="V3" s="157">
        <v>4470</v>
      </c>
      <c r="W3" s="157">
        <v>6020</v>
      </c>
      <c r="X3" s="156"/>
    </row>
    <row r="4" spans="1:30" ht="12.75" customHeight="1" x14ac:dyDescent="0.25">
      <c r="A4" s="155" t="s">
        <v>290</v>
      </c>
      <c r="B4" s="154"/>
      <c r="C4" s="153"/>
      <c r="D4" s="153"/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1"/>
      <c r="Q4" s="160" t="s">
        <v>286</v>
      </c>
      <c r="R4" s="159"/>
      <c r="S4" s="158">
        <v>0</v>
      </c>
      <c r="T4" s="158">
        <v>2.5</v>
      </c>
      <c r="U4" s="158"/>
      <c r="V4" s="157">
        <v>0</v>
      </c>
      <c r="W4" s="157">
        <v>10</v>
      </c>
      <c r="X4" s="156"/>
    </row>
    <row r="5" spans="1:30" ht="12.75" customHeight="1" x14ac:dyDescent="0.25">
      <c r="A5" s="155" t="s">
        <v>289</v>
      </c>
      <c r="B5" s="154"/>
      <c r="C5" s="153"/>
      <c r="D5" s="153"/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1"/>
      <c r="Q5" s="160" t="s">
        <v>288</v>
      </c>
      <c r="R5" s="159"/>
      <c r="S5" s="158">
        <v>6300</v>
      </c>
      <c r="T5" s="158">
        <v>8260</v>
      </c>
      <c r="U5" s="158"/>
      <c r="V5" s="157">
        <v>4955</v>
      </c>
      <c r="W5" s="157">
        <v>9645</v>
      </c>
      <c r="X5" s="156"/>
    </row>
    <row r="6" spans="1:30" ht="12.75" customHeight="1" x14ac:dyDescent="0.25">
      <c r="A6" s="155" t="s">
        <v>287</v>
      </c>
      <c r="B6" s="154"/>
      <c r="C6" s="153"/>
      <c r="D6" s="153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1"/>
      <c r="Q6" s="160" t="s">
        <v>286</v>
      </c>
      <c r="R6" s="159"/>
      <c r="S6" s="158">
        <v>0</v>
      </c>
      <c r="T6" s="158">
        <v>10</v>
      </c>
      <c r="U6" s="158"/>
      <c r="V6" s="157">
        <v>0</v>
      </c>
      <c r="W6" s="157">
        <v>10</v>
      </c>
      <c r="X6" s="156"/>
    </row>
    <row r="7" spans="1:30" ht="12.75" customHeight="1" x14ac:dyDescent="0.25">
      <c r="A7" s="155" t="s">
        <v>285</v>
      </c>
      <c r="B7" s="154"/>
      <c r="C7" s="153"/>
      <c r="D7" s="153"/>
      <c r="E7" s="87"/>
      <c r="F7" s="87"/>
      <c r="G7" s="87"/>
      <c r="H7" s="87"/>
      <c r="I7" s="87"/>
      <c r="K7" s="152"/>
      <c r="L7" s="152"/>
      <c r="M7" s="152"/>
      <c r="N7" s="152"/>
      <c r="O7" s="152"/>
      <c r="P7" s="151"/>
      <c r="Q7" s="150"/>
      <c r="R7" s="150"/>
      <c r="S7" s="149"/>
      <c r="T7" s="148"/>
      <c r="U7" s="148"/>
      <c r="V7" s="147"/>
      <c r="W7" s="146"/>
      <c r="X7" s="145"/>
    </row>
    <row r="8" spans="1:30" ht="12.75" customHeight="1" x14ac:dyDescent="0.25">
      <c r="A8" s="144"/>
      <c r="B8" s="142"/>
      <c r="C8" s="143"/>
      <c r="D8" s="143"/>
      <c r="E8" s="143"/>
      <c r="F8" s="143"/>
      <c r="G8" s="143"/>
      <c r="H8" s="143"/>
      <c r="I8" s="143"/>
      <c r="J8" s="143"/>
      <c r="K8" s="142"/>
      <c r="L8" s="142"/>
      <c r="M8" s="142"/>
      <c r="N8" s="142"/>
      <c r="O8" s="142"/>
      <c r="P8" s="141"/>
      <c r="Q8" s="140"/>
      <c r="R8" s="140"/>
      <c r="S8" s="139"/>
      <c r="T8" s="139"/>
      <c r="U8" s="139"/>
      <c r="V8" s="138"/>
      <c r="W8" s="138"/>
      <c r="X8" s="137"/>
    </row>
    <row r="9" spans="1:30" ht="36.700000000000003" customHeight="1" thickBot="1" x14ac:dyDescent="0.3">
      <c r="A9" s="136" t="s">
        <v>284</v>
      </c>
      <c r="B9" s="135"/>
      <c r="C9" s="135"/>
      <c r="D9" s="134" t="s">
        <v>283</v>
      </c>
      <c r="E9" s="133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2" t="s">
        <v>282</v>
      </c>
      <c r="R9" s="132" t="s">
        <v>281</v>
      </c>
      <c r="S9" s="131" t="s">
        <v>280</v>
      </c>
      <c r="T9" s="131" t="s">
        <v>279</v>
      </c>
      <c r="U9" s="131" t="s">
        <v>278</v>
      </c>
      <c r="V9" s="129" t="s">
        <v>32</v>
      </c>
      <c r="W9" s="130" t="s">
        <v>277</v>
      </c>
      <c r="X9" s="129" t="s">
        <v>34</v>
      </c>
      <c r="Y9" s="37" t="s">
        <v>276</v>
      </c>
      <c r="Z9" s="37" t="s">
        <v>48</v>
      </c>
      <c r="AA9" s="37" t="s">
        <v>275</v>
      </c>
      <c r="AB9" s="37" t="s">
        <v>274</v>
      </c>
      <c r="AC9" s="69" t="s">
        <v>273</v>
      </c>
      <c r="AD9" s="70" t="s">
        <v>272</v>
      </c>
    </row>
    <row r="10" spans="1:30" ht="12.75" customHeight="1" x14ac:dyDescent="0.25">
      <c r="A10" s="96">
        <v>43286</v>
      </c>
      <c r="B10" s="57" t="s">
        <v>206</v>
      </c>
      <c r="C10" s="61" t="s">
        <v>205</v>
      </c>
      <c r="D10" s="35">
        <v>6744.67</v>
      </c>
      <c r="E10" s="35">
        <v>6931.42</v>
      </c>
      <c r="F10" s="35">
        <v>6666.07</v>
      </c>
      <c r="G10" s="35">
        <v>6710.51</v>
      </c>
      <c r="H10" s="35">
        <v>6823.19</v>
      </c>
      <c r="I10" s="35">
        <v>6771.92</v>
      </c>
      <c r="J10" s="35">
        <v>6758.99</v>
      </c>
      <c r="K10" s="35">
        <v>6707.61</v>
      </c>
      <c r="L10" s="35">
        <v>6737.18</v>
      </c>
      <c r="M10" s="35">
        <v>6826.74</v>
      </c>
      <c r="N10" s="35">
        <v>6980.26</v>
      </c>
      <c r="O10" s="35">
        <v>6817.25</v>
      </c>
      <c r="P10" s="35">
        <v>6890.34</v>
      </c>
      <c r="Q10" s="57">
        <f>IF((L11=""),"",MAX(D12:L12))</f>
        <v>5307.98</v>
      </c>
      <c r="R10" s="57">
        <f>IF(L11="","",MIN(D12:L12))</f>
        <v>5082.7800000000007</v>
      </c>
      <c r="S10" s="59">
        <f>IF((L12=""),"",AVERAGE(D12:L12))</f>
        <v>5195.4866666666667</v>
      </c>
      <c r="T10" s="53">
        <f>IF((L11=""),"",(Q10-R10)/(Q10+R10)*100)</f>
        <v>2.167310187127784</v>
      </c>
      <c r="U10" s="57">
        <f>STDEV(D12:P12)</f>
        <v>76.27487528668911</v>
      </c>
      <c r="V10" s="58" t="str">
        <f>IF(P11="","",IF(T10&lt;2.7,IF(S10&gt;5150,IF(S10&lt;5600,"Pass","Fail"),"Fail"),"Fail"))</f>
        <v>Pass</v>
      </c>
      <c r="W10" s="57">
        <v>1159</v>
      </c>
      <c r="X10" s="229" t="s">
        <v>300</v>
      </c>
      <c r="Y10" s="71">
        <v>4470</v>
      </c>
      <c r="Z10" s="71">
        <v>6020</v>
      </c>
      <c r="AA10" s="71">
        <v>5150</v>
      </c>
      <c r="AB10" s="71">
        <v>5600</v>
      </c>
      <c r="AC10" s="70">
        <v>2.7</v>
      </c>
      <c r="AD10" s="69">
        <v>10</v>
      </c>
    </row>
    <row r="11" spans="1:30" ht="12.75" customHeight="1" x14ac:dyDescent="0.25">
      <c r="A11" s="96"/>
      <c r="B11" s="47"/>
      <c r="C11" s="56" t="s">
        <v>204</v>
      </c>
      <c r="D11" s="35">
        <v>4185.7</v>
      </c>
      <c r="E11" s="35">
        <v>4390.03</v>
      </c>
      <c r="F11" s="35">
        <v>4068.4</v>
      </c>
      <c r="G11" s="35">
        <v>4080.39</v>
      </c>
      <c r="H11" s="35">
        <v>4275.28</v>
      </c>
      <c r="I11" s="35">
        <v>4191.95</v>
      </c>
      <c r="J11" s="35">
        <v>4115.66</v>
      </c>
      <c r="K11" s="35">
        <v>4053.62</v>
      </c>
      <c r="L11" s="35">
        <v>4110.84</v>
      </c>
      <c r="M11" s="35">
        <v>4199.88</v>
      </c>
      <c r="N11" s="35">
        <v>4417.63</v>
      </c>
      <c r="O11" s="35">
        <v>4190.7</v>
      </c>
      <c r="P11" s="35">
        <v>4290.2299999999996</v>
      </c>
      <c r="Q11" s="47"/>
      <c r="R11" s="47"/>
      <c r="S11" s="47"/>
      <c r="T11" s="47"/>
      <c r="U11" s="47"/>
      <c r="V11" s="48"/>
      <c r="W11" s="47"/>
      <c r="X11" s="227"/>
    </row>
    <row r="12" spans="1:30" ht="23.95" customHeight="1" x14ac:dyDescent="0.25">
      <c r="A12" s="96"/>
      <c r="B12" s="80"/>
      <c r="C12" s="56" t="s">
        <v>203</v>
      </c>
      <c r="D12" s="97">
        <f t="shared" ref="D12:P12" si="0">IF(((D10="")*AND(D11="")),"",(D10-D11)*2)</f>
        <v>5117.9400000000005</v>
      </c>
      <c r="E12" s="97">
        <f t="shared" si="0"/>
        <v>5082.7800000000007</v>
      </c>
      <c r="F12" s="97">
        <f t="shared" si="0"/>
        <v>5195.3399999999992</v>
      </c>
      <c r="G12" s="97">
        <f t="shared" si="0"/>
        <v>5260.2400000000007</v>
      </c>
      <c r="H12" s="97">
        <f t="shared" si="0"/>
        <v>5095.82</v>
      </c>
      <c r="I12" s="97">
        <f t="shared" si="0"/>
        <v>5159.9400000000005</v>
      </c>
      <c r="J12" s="97">
        <f t="shared" si="0"/>
        <v>5286.66</v>
      </c>
      <c r="K12" s="97">
        <f t="shared" si="0"/>
        <v>5307.98</v>
      </c>
      <c r="L12" s="97">
        <f t="shared" si="0"/>
        <v>5252.68</v>
      </c>
      <c r="M12" s="97">
        <f t="shared" si="0"/>
        <v>5253.7199999999993</v>
      </c>
      <c r="N12" s="97">
        <f t="shared" si="0"/>
        <v>5125.26</v>
      </c>
      <c r="O12" s="97">
        <f t="shared" si="0"/>
        <v>5253.1</v>
      </c>
      <c r="P12" s="97">
        <f t="shared" si="0"/>
        <v>5200.2200000000012</v>
      </c>
      <c r="Q12" s="80"/>
      <c r="R12" s="80"/>
      <c r="S12" s="80"/>
      <c r="T12" s="47"/>
      <c r="U12" s="80"/>
      <c r="V12" s="85"/>
      <c r="W12" s="80"/>
      <c r="X12" s="227"/>
    </row>
    <row r="13" spans="1:30" x14ac:dyDescent="0.25">
      <c r="A13" s="96">
        <v>43286</v>
      </c>
      <c r="B13" s="50" t="s">
        <v>208</v>
      </c>
      <c r="C13" s="56" t="s">
        <v>205</v>
      </c>
      <c r="D13" s="35">
        <v>5964.29</v>
      </c>
      <c r="E13" s="35">
        <v>6112.58</v>
      </c>
      <c r="F13" s="35">
        <v>6141.88</v>
      </c>
      <c r="G13" s="35">
        <v>6082.15</v>
      </c>
      <c r="H13" s="35">
        <v>5950.6</v>
      </c>
      <c r="I13" s="35">
        <v>5932.64</v>
      </c>
      <c r="J13" s="35">
        <v>6095.32</v>
      </c>
      <c r="K13" s="35">
        <v>6142.15</v>
      </c>
      <c r="L13" s="35">
        <v>5932.86</v>
      </c>
      <c r="M13" s="55"/>
      <c r="N13" s="55"/>
      <c r="O13" s="55"/>
      <c r="P13" s="55"/>
      <c r="Q13" s="50">
        <f>IF((L14=""),"",MAX(D15:L15))</f>
        <v>6237.6899999999987</v>
      </c>
      <c r="R13" s="50">
        <f>IF(L14="","",MIN(D15:L15))</f>
        <v>5904.33</v>
      </c>
      <c r="S13" s="77">
        <f>IF((L15=""),"",AVERAGE(D15:L15))</f>
        <v>6109.8833333333332</v>
      </c>
      <c r="T13" s="52">
        <f>IF((L14=""),"",(Q13-R13)/(Q13+R13)*100)</f>
        <v>2.7455069255362683</v>
      </c>
      <c r="U13" s="50">
        <f>STDEV(D15:P15)</f>
        <v>126.82783300600853</v>
      </c>
      <c r="V13" s="51" t="str">
        <f>IF(L14="","",IF(T13&lt;7.3,IF(S13&gt;5700,IF(S13&lt;7200,"Pass","Fail"),"Fail"),"Fail"))</f>
        <v>Pass</v>
      </c>
      <c r="W13" s="47">
        <v>1159</v>
      </c>
      <c r="X13" s="227"/>
      <c r="Y13" s="37">
        <v>4955</v>
      </c>
      <c r="Z13" s="37">
        <v>9645</v>
      </c>
      <c r="AA13" s="37">
        <v>5700</v>
      </c>
      <c r="AB13" s="37">
        <v>7200</v>
      </c>
      <c r="AC13" s="69">
        <v>7.3</v>
      </c>
      <c r="AD13" s="69">
        <v>10</v>
      </c>
    </row>
    <row r="14" spans="1:30" ht="12.75" customHeight="1" x14ac:dyDescent="0.25">
      <c r="A14" s="49"/>
      <c r="B14" s="47"/>
      <c r="C14" s="56" t="s">
        <v>204</v>
      </c>
      <c r="D14" s="35">
        <v>3996.11</v>
      </c>
      <c r="E14" s="35">
        <v>4049.2</v>
      </c>
      <c r="F14" s="35">
        <v>4068.77</v>
      </c>
      <c r="G14" s="35">
        <v>4023.37</v>
      </c>
      <c r="H14" s="35">
        <v>3915.28</v>
      </c>
      <c r="I14" s="35">
        <v>3964.53</v>
      </c>
      <c r="J14" s="35">
        <v>4037.56</v>
      </c>
      <c r="K14" s="35">
        <v>4062.92</v>
      </c>
      <c r="L14" s="35">
        <v>3907.08</v>
      </c>
      <c r="M14" s="55"/>
      <c r="N14" s="55"/>
      <c r="O14" s="55"/>
      <c r="P14" s="55"/>
      <c r="Q14" s="47"/>
      <c r="R14" s="47"/>
      <c r="S14" s="47"/>
      <c r="T14" s="47"/>
      <c r="U14" s="47"/>
      <c r="V14" s="48"/>
      <c r="W14" s="47"/>
      <c r="X14" s="227"/>
    </row>
    <row r="15" spans="1:30" ht="24.8" customHeight="1" thickBot="1" x14ac:dyDescent="0.3">
      <c r="A15" s="45"/>
      <c r="B15" s="42"/>
      <c r="C15" s="76" t="s">
        <v>203</v>
      </c>
      <c r="D15" s="84">
        <f t="shared" ref="D15:L15" si="1">IF(((D13="")*AND(D14="")),"",(D13-D14)*3)</f>
        <v>5904.5399999999991</v>
      </c>
      <c r="E15" s="84">
        <f t="shared" si="1"/>
        <v>6190.14</v>
      </c>
      <c r="F15" s="84">
        <f t="shared" si="1"/>
        <v>6219.33</v>
      </c>
      <c r="G15" s="84">
        <f t="shared" si="1"/>
        <v>6176.3399999999992</v>
      </c>
      <c r="H15" s="84">
        <f t="shared" si="1"/>
        <v>6105.9600000000009</v>
      </c>
      <c r="I15" s="84">
        <f t="shared" si="1"/>
        <v>5904.33</v>
      </c>
      <c r="J15" s="84">
        <f t="shared" si="1"/>
        <v>6173.2799999999988</v>
      </c>
      <c r="K15" s="84">
        <f t="shared" si="1"/>
        <v>6237.6899999999987</v>
      </c>
      <c r="L15" s="84">
        <f t="shared" si="1"/>
        <v>6077.3399999999992</v>
      </c>
      <c r="M15" s="84"/>
      <c r="N15" s="84"/>
      <c r="O15" s="84"/>
      <c r="P15" s="84" t="str">
        <f>IF(((P13="")*AND(P14="")),"",(P13-P14)*2)</f>
        <v/>
      </c>
      <c r="Q15" s="42"/>
      <c r="R15" s="42"/>
      <c r="S15" s="42"/>
      <c r="T15" s="42"/>
      <c r="U15" s="42"/>
      <c r="V15" s="43"/>
      <c r="W15" s="42"/>
      <c r="X15" s="228"/>
    </row>
    <row r="16" spans="1:30" x14ac:dyDescent="0.25">
      <c r="A16" s="96">
        <v>43290</v>
      </c>
      <c r="B16" s="57" t="s">
        <v>206</v>
      </c>
      <c r="C16" s="61" t="s">
        <v>205</v>
      </c>
      <c r="D16" s="35">
        <v>4185.7</v>
      </c>
      <c r="E16" s="35">
        <v>4390.03</v>
      </c>
      <c r="F16" s="35">
        <v>4068.4</v>
      </c>
      <c r="G16" s="35">
        <v>4080.39</v>
      </c>
      <c r="H16" s="35">
        <v>4275.28</v>
      </c>
      <c r="I16" s="35">
        <v>4191.95</v>
      </c>
      <c r="J16" s="35">
        <v>4115.66</v>
      </c>
      <c r="K16" s="35">
        <v>4053.62</v>
      </c>
      <c r="L16" s="35">
        <v>4110.84</v>
      </c>
      <c r="M16" s="35">
        <v>4199.88</v>
      </c>
      <c r="N16" s="35">
        <v>4417.63</v>
      </c>
      <c r="O16" s="35">
        <v>4190.7</v>
      </c>
      <c r="P16" s="35">
        <v>4290.2299999999996</v>
      </c>
      <c r="Q16" s="57">
        <f>IF((L17=""),"",MAX(D18:L18))</f>
        <v>5395.2199999999993</v>
      </c>
      <c r="R16" s="57">
        <f>IF(L17="","",MIN(D18:L18))</f>
        <v>5096.42</v>
      </c>
      <c r="S16" s="59">
        <f>IF((L18=""),"",AVERAGE(D18:L18))</f>
        <v>5252.4844444444434</v>
      </c>
      <c r="T16" s="53">
        <f>IF((L17=""),"",(Q16-R16)/(Q16+R16)*100)</f>
        <v>2.8479818217170938</v>
      </c>
      <c r="U16" s="57">
        <f>STDEV(D18:P18)</f>
        <v>98.241198914215943</v>
      </c>
      <c r="V16" s="58" t="str">
        <f>IF(P17="","",IF(T16&lt;2.7,IF(S16&gt;5150,IF(S16&lt;5600,"Pass","Fail"),"Fail"),"Fail"))</f>
        <v>Fail</v>
      </c>
      <c r="W16" s="57">
        <v>121</v>
      </c>
      <c r="X16" s="229" t="s">
        <v>301</v>
      </c>
    </row>
    <row r="17" spans="1:24" x14ac:dyDescent="0.25">
      <c r="A17" s="96"/>
      <c r="B17" s="47"/>
      <c r="C17" s="56" t="s">
        <v>204</v>
      </c>
      <c r="D17" s="35">
        <v>1602.82</v>
      </c>
      <c r="E17" s="35">
        <v>1833.63</v>
      </c>
      <c r="F17" s="35">
        <v>1437.37</v>
      </c>
      <c r="G17" s="35">
        <v>1410.58</v>
      </c>
      <c r="H17" s="35">
        <v>1727.07</v>
      </c>
      <c r="I17" s="35">
        <v>1583.99</v>
      </c>
      <c r="J17" s="35">
        <v>1432.79</v>
      </c>
      <c r="K17" s="35">
        <v>1356.01</v>
      </c>
      <c r="L17" s="35">
        <v>1451.43</v>
      </c>
      <c r="M17" s="35">
        <v>1546.32</v>
      </c>
      <c r="N17" s="35">
        <v>1843.07</v>
      </c>
      <c r="O17" s="35">
        <v>1533.44</v>
      </c>
      <c r="P17" s="35">
        <v>1672.48</v>
      </c>
      <c r="Q17" s="47"/>
      <c r="R17" s="47"/>
      <c r="S17" s="47"/>
      <c r="T17" s="47"/>
      <c r="U17" s="47"/>
      <c r="V17" s="48"/>
      <c r="W17" s="47"/>
      <c r="X17" s="227"/>
    </row>
    <row r="18" spans="1:24" ht="22.15" x14ac:dyDescent="0.25">
      <c r="A18" s="96"/>
      <c r="B18" s="80"/>
      <c r="C18" s="56" t="s">
        <v>203</v>
      </c>
      <c r="D18" s="97">
        <f t="shared" ref="D18:P18" si="2">IF(((D16="")*AND(D17="")),"",(D16-D17)*2)</f>
        <v>5165.76</v>
      </c>
      <c r="E18" s="97">
        <f t="shared" si="2"/>
        <v>5112.7999999999993</v>
      </c>
      <c r="F18" s="97">
        <f t="shared" si="2"/>
        <v>5262.06</v>
      </c>
      <c r="G18" s="97">
        <f t="shared" si="2"/>
        <v>5339.62</v>
      </c>
      <c r="H18" s="97">
        <f t="shared" si="2"/>
        <v>5096.42</v>
      </c>
      <c r="I18" s="97">
        <f t="shared" si="2"/>
        <v>5215.92</v>
      </c>
      <c r="J18" s="97">
        <f t="shared" si="2"/>
        <v>5365.74</v>
      </c>
      <c r="K18" s="97">
        <f t="shared" si="2"/>
        <v>5395.2199999999993</v>
      </c>
      <c r="L18" s="97">
        <f t="shared" si="2"/>
        <v>5318.82</v>
      </c>
      <c r="M18" s="97">
        <f t="shared" si="2"/>
        <v>5307.1200000000008</v>
      </c>
      <c r="N18" s="97">
        <f t="shared" si="2"/>
        <v>5149.1200000000008</v>
      </c>
      <c r="O18" s="97">
        <f t="shared" si="2"/>
        <v>5314.5199999999995</v>
      </c>
      <c r="P18" s="97">
        <f t="shared" si="2"/>
        <v>5235.4999999999991</v>
      </c>
      <c r="Q18" s="80"/>
      <c r="R18" s="80"/>
      <c r="S18" s="80"/>
      <c r="T18" s="47"/>
      <c r="U18" s="80"/>
      <c r="V18" s="85"/>
      <c r="W18" s="80"/>
      <c r="X18" s="227"/>
    </row>
    <row r="19" spans="1:24" x14ac:dyDescent="0.25">
      <c r="A19" s="96">
        <v>43290</v>
      </c>
      <c r="B19" s="50" t="s">
        <v>208</v>
      </c>
      <c r="C19" s="56" t="s">
        <v>205</v>
      </c>
      <c r="D19" s="35">
        <v>3996.11</v>
      </c>
      <c r="E19" s="35">
        <v>4049.2</v>
      </c>
      <c r="F19" s="35">
        <v>4068.77</v>
      </c>
      <c r="G19" s="35">
        <v>4023.37</v>
      </c>
      <c r="H19" s="35">
        <v>3915.28</v>
      </c>
      <c r="I19" s="35">
        <v>3964.53</v>
      </c>
      <c r="J19" s="35">
        <v>4037.56</v>
      </c>
      <c r="K19" s="35">
        <v>4062.92</v>
      </c>
      <c r="L19" s="35">
        <v>3907.08</v>
      </c>
      <c r="M19" s="55"/>
      <c r="N19" s="55"/>
      <c r="O19" s="55"/>
      <c r="P19" s="55"/>
      <c r="Q19" s="50">
        <f>IF((L20=""),"",MAX(D21:L21))</f>
        <v>5511.9000000000005</v>
      </c>
      <c r="R19" s="50">
        <f>IF(L20="","",MIN(D21:L21))</f>
        <v>4938.1200000000008</v>
      </c>
      <c r="S19" s="77">
        <f>IF((L21=""),"",AVERAGE(D21:L21))</f>
        <v>5354.8133333333335</v>
      </c>
      <c r="T19" s="52">
        <f>IF((L20=""),"",(Q19-R19)/(Q19+R19)*100)</f>
        <v>5.4907071948187633</v>
      </c>
      <c r="U19" s="50">
        <f>STDEV(D21:P21)</f>
        <v>191.95791205365813</v>
      </c>
      <c r="V19" s="51" t="str">
        <f>IF(L20="","",IF(T19&lt;7.3,IF(S19&gt;5700,IF(S19&lt;7200,"Pass","Fail"),"Fail"),"Fail"))</f>
        <v>Fail</v>
      </c>
      <c r="W19" s="47">
        <v>121</v>
      </c>
      <c r="X19" s="227"/>
    </row>
    <row r="20" spans="1:24" x14ac:dyDescent="0.25">
      <c r="A20" s="49"/>
      <c r="B20" s="47"/>
      <c r="C20" s="56" t="s">
        <v>204</v>
      </c>
      <c r="D20" s="35">
        <v>2252.5100000000002</v>
      </c>
      <c r="E20" s="35">
        <v>2234.98</v>
      </c>
      <c r="F20" s="35">
        <v>2231.4699999999998</v>
      </c>
      <c r="G20" s="35">
        <v>2202.9699999999998</v>
      </c>
      <c r="H20" s="35">
        <v>2179.96</v>
      </c>
      <c r="I20" s="35">
        <v>2318.4899999999998</v>
      </c>
      <c r="J20" s="35">
        <v>2210.34</v>
      </c>
      <c r="K20" s="35">
        <v>2233.7199999999998</v>
      </c>
      <c r="L20" s="35">
        <v>2095.94</v>
      </c>
      <c r="M20" s="55"/>
      <c r="N20" s="55"/>
      <c r="O20" s="55"/>
      <c r="P20" s="55"/>
      <c r="Q20" s="47"/>
      <c r="R20" s="47"/>
      <c r="S20" s="47"/>
      <c r="T20" s="47"/>
      <c r="U20" s="47"/>
      <c r="V20" s="48"/>
      <c r="W20" s="47"/>
      <c r="X20" s="227"/>
    </row>
    <row r="21" spans="1:24" ht="22.75" thickBot="1" x14ac:dyDescent="0.3">
      <c r="A21" s="45"/>
      <c r="B21" s="42"/>
      <c r="C21" s="76" t="s">
        <v>203</v>
      </c>
      <c r="D21" s="84">
        <f t="shared" ref="D21:L21" si="3">IF(((D19="")*AND(D20="")),"",(D19-D20)*3)</f>
        <v>5230.7999999999993</v>
      </c>
      <c r="E21" s="84">
        <f t="shared" si="3"/>
        <v>5442.66</v>
      </c>
      <c r="F21" s="84">
        <f t="shared" si="3"/>
        <v>5511.9000000000005</v>
      </c>
      <c r="G21" s="84">
        <f t="shared" si="3"/>
        <v>5461.2000000000007</v>
      </c>
      <c r="H21" s="84">
        <f t="shared" si="3"/>
        <v>5205.9600000000009</v>
      </c>
      <c r="I21" s="84">
        <f t="shared" si="3"/>
        <v>4938.1200000000008</v>
      </c>
      <c r="J21" s="84">
        <f t="shared" si="3"/>
        <v>5481.66</v>
      </c>
      <c r="K21" s="84">
        <f t="shared" si="3"/>
        <v>5487.6</v>
      </c>
      <c r="L21" s="84">
        <f t="shared" si="3"/>
        <v>5433.42</v>
      </c>
      <c r="M21" s="84"/>
      <c r="N21" s="84"/>
      <c r="O21" s="84"/>
      <c r="P21" s="84" t="str">
        <f>IF(((P19="")*AND(P20="")),"",(P19-P20)*2)</f>
        <v/>
      </c>
      <c r="Q21" s="42"/>
      <c r="R21" s="42"/>
      <c r="S21" s="42"/>
      <c r="T21" s="42"/>
      <c r="U21" s="42"/>
      <c r="V21" s="43"/>
      <c r="W21" s="42"/>
      <c r="X21" s="228"/>
    </row>
    <row r="22" spans="1:24" x14ac:dyDescent="0.25">
      <c r="A22" s="96">
        <v>43380</v>
      </c>
      <c r="B22" s="57" t="s">
        <v>206</v>
      </c>
      <c r="C22" s="61" t="s">
        <v>205</v>
      </c>
      <c r="D22" s="35">
        <v>6763.21</v>
      </c>
      <c r="E22" s="35">
        <v>6980.32</v>
      </c>
      <c r="F22" s="35">
        <v>6680.64</v>
      </c>
      <c r="G22" s="35">
        <v>6728.73</v>
      </c>
      <c r="H22" s="35">
        <v>6890.91</v>
      </c>
      <c r="I22" s="35">
        <v>6819.39</v>
      </c>
      <c r="J22" s="35">
        <v>6788.1</v>
      </c>
      <c r="K22" s="35">
        <v>6717.72</v>
      </c>
      <c r="L22" s="35">
        <v>6760.54</v>
      </c>
      <c r="M22" s="35">
        <v>6847.97</v>
      </c>
      <c r="N22" s="35">
        <v>7068.55</v>
      </c>
      <c r="O22" s="35">
        <v>6841.05</v>
      </c>
      <c r="P22" s="35">
        <v>6960.94</v>
      </c>
      <c r="Q22" s="57">
        <f>IF((L23=""),"",MAX(D24:L24))</f>
        <v>5343.9400000000005</v>
      </c>
      <c r="R22" s="57">
        <f>IF(L23="","",MIN(D24:L24))</f>
        <v>5109.0399999999991</v>
      </c>
      <c r="S22" s="59">
        <f>IF((L24=""),"",AVERAGE(D24:L24))</f>
        <v>5228.880000000001</v>
      </c>
      <c r="T22" s="53">
        <f>IF((L23=""),"",(Q22-R22)/(Q22+R22)*100)</f>
        <v>2.2472060598987222</v>
      </c>
      <c r="U22" s="57">
        <f>STDEV(D24:P24)</f>
        <v>80.980831730060345</v>
      </c>
      <c r="V22" s="58" t="str">
        <f>IF(P23="","",IF(T22&lt;2.7,IF(S22&gt;5150,IF(S22&lt;5600,"Pass","Fail"),"Fail"),"Fail"))</f>
        <v>Pass</v>
      </c>
      <c r="W22" s="57">
        <v>74</v>
      </c>
      <c r="X22" s="229" t="s">
        <v>301</v>
      </c>
    </row>
    <row r="23" spans="1:24" x14ac:dyDescent="0.25">
      <c r="A23" s="96"/>
      <c r="B23" s="47"/>
      <c r="C23" s="56" t="s">
        <v>204</v>
      </c>
      <c r="D23" s="35">
        <v>4186.59</v>
      </c>
      <c r="E23" s="35">
        <v>4425.8</v>
      </c>
      <c r="F23" s="35">
        <v>4063.37</v>
      </c>
      <c r="G23" s="35">
        <v>4079.55</v>
      </c>
      <c r="H23" s="35">
        <v>4331.45</v>
      </c>
      <c r="I23" s="35">
        <v>4224.08</v>
      </c>
      <c r="J23" s="35">
        <v>4126.8599999999997</v>
      </c>
      <c r="K23" s="35">
        <v>4045.75</v>
      </c>
      <c r="L23" s="35">
        <v>4116.1499999999996</v>
      </c>
      <c r="M23" s="35">
        <v>4203.62</v>
      </c>
      <c r="N23" s="35">
        <v>4498.25</v>
      </c>
      <c r="O23" s="35">
        <v>4198.47</v>
      </c>
      <c r="P23" s="35">
        <v>4351.38</v>
      </c>
      <c r="Q23" s="47"/>
      <c r="R23" s="47"/>
      <c r="S23" s="47"/>
      <c r="T23" s="47"/>
      <c r="U23" s="47"/>
      <c r="V23" s="48"/>
      <c r="W23" s="47"/>
      <c r="X23" s="227"/>
    </row>
    <row r="24" spans="1:24" ht="22.15" x14ac:dyDescent="0.25">
      <c r="A24" s="96"/>
      <c r="B24" s="80"/>
      <c r="C24" s="56" t="s">
        <v>203</v>
      </c>
      <c r="D24" s="97">
        <f t="shared" ref="D24:P24" si="4">IF(((D22="")*AND(D23="")),"",(D22-D23)*2)</f>
        <v>5153.24</v>
      </c>
      <c r="E24" s="97">
        <f t="shared" si="4"/>
        <v>5109.0399999999991</v>
      </c>
      <c r="F24" s="97">
        <f t="shared" si="4"/>
        <v>5234.5400000000009</v>
      </c>
      <c r="G24" s="97">
        <f t="shared" si="4"/>
        <v>5298.3599999999988</v>
      </c>
      <c r="H24" s="97">
        <f t="shared" si="4"/>
        <v>5118.92</v>
      </c>
      <c r="I24" s="97">
        <f t="shared" si="4"/>
        <v>5190.6200000000008</v>
      </c>
      <c r="J24" s="97">
        <f t="shared" si="4"/>
        <v>5322.4800000000014</v>
      </c>
      <c r="K24" s="97">
        <f t="shared" si="4"/>
        <v>5343.9400000000005</v>
      </c>
      <c r="L24" s="97">
        <f t="shared" si="4"/>
        <v>5288.7800000000007</v>
      </c>
      <c r="M24" s="97">
        <f t="shared" si="4"/>
        <v>5288.7000000000007</v>
      </c>
      <c r="N24" s="97">
        <f t="shared" si="4"/>
        <v>5140.6000000000004</v>
      </c>
      <c r="O24" s="97">
        <f t="shared" si="4"/>
        <v>5285.16</v>
      </c>
      <c r="P24" s="97">
        <f t="shared" si="4"/>
        <v>5219.119999999999</v>
      </c>
      <c r="Q24" s="80"/>
      <c r="R24" s="80"/>
      <c r="S24" s="80"/>
      <c r="T24" s="47"/>
      <c r="U24" s="80"/>
      <c r="V24" s="85"/>
      <c r="W24" s="80"/>
      <c r="X24" s="227"/>
    </row>
    <row r="25" spans="1:24" x14ac:dyDescent="0.25">
      <c r="A25" s="96">
        <v>43380</v>
      </c>
      <c r="B25" s="50" t="s">
        <v>208</v>
      </c>
      <c r="C25" s="56" t="s">
        <v>205</v>
      </c>
      <c r="D25" s="35">
        <v>6009.42</v>
      </c>
      <c r="E25" s="35">
        <v>6150.35</v>
      </c>
      <c r="F25" s="35">
        <v>6174.33</v>
      </c>
      <c r="G25" s="35">
        <v>6124.69</v>
      </c>
      <c r="H25" s="35">
        <v>5998.68</v>
      </c>
      <c r="I25" s="35">
        <v>5980.27</v>
      </c>
      <c r="J25" s="35">
        <v>6119</v>
      </c>
      <c r="K25" s="35">
        <v>6207.09</v>
      </c>
      <c r="L25" s="35">
        <v>6006.25</v>
      </c>
      <c r="M25" s="55"/>
      <c r="N25" s="55"/>
      <c r="O25" s="55"/>
      <c r="P25" s="55"/>
      <c r="Q25" s="50">
        <f>IF((L26=""),"",MAX(D27:L27))</f>
        <v>6181.5300000000007</v>
      </c>
      <c r="R25" s="50">
        <f>IF(L26="","",MIN(D27:L27))</f>
        <v>5593.920000000001</v>
      </c>
      <c r="S25" s="77">
        <f>IF((L27=""),"",AVERAGE(D27:L27))</f>
        <v>5969.1800000000012</v>
      </c>
      <c r="T25" s="52">
        <f>IF((L26=""),"",(Q25-R25)/(Q25+R25)*100)</f>
        <v>4.9901277658178635</v>
      </c>
      <c r="U25" s="50">
        <f>STDEV(D27:P27)</f>
        <v>165.07274214721221</v>
      </c>
      <c r="V25" s="51" t="str">
        <f>IF(L26="","",IF(T25&lt;7.3,IF(S25&gt;5700,IF(S25&lt;7200,"Pass","Fail"),"Fail"),"Fail"))</f>
        <v>Pass</v>
      </c>
      <c r="W25" s="47">
        <v>74</v>
      </c>
      <c r="X25" s="227"/>
    </row>
    <row r="26" spans="1:24" x14ac:dyDescent="0.25">
      <c r="A26" s="49"/>
      <c r="B26" s="47"/>
      <c r="C26" s="56" t="s">
        <v>204</v>
      </c>
      <c r="D26" s="35">
        <v>4029.49</v>
      </c>
      <c r="E26" s="35">
        <v>4128.62</v>
      </c>
      <c r="F26" s="35">
        <v>4178.2299999999996</v>
      </c>
      <c r="G26" s="35">
        <v>4154.67</v>
      </c>
      <c r="H26" s="35">
        <v>4134.04</v>
      </c>
      <c r="I26" s="35">
        <v>3979.46</v>
      </c>
      <c r="J26" s="35">
        <v>4137.62</v>
      </c>
      <c r="K26" s="35">
        <v>4174.67</v>
      </c>
      <c r="L26" s="35">
        <v>3945.74</v>
      </c>
      <c r="M26" s="55"/>
      <c r="N26" s="55"/>
      <c r="O26" s="55"/>
      <c r="P26" s="55"/>
      <c r="Q26" s="47"/>
      <c r="R26" s="47"/>
      <c r="S26" s="47"/>
      <c r="T26" s="47"/>
      <c r="U26" s="47"/>
      <c r="V26" s="48"/>
      <c r="W26" s="47"/>
      <c r="X26" s="227"/>
    </row>
    <row r="27" spans="1:24" ht="22.75" thickBot="1" x14ac:dyDescent="0.3">
      <c r="A27" s="45"/>
      <c r="B27" s="42"/>
      <c r="C27" s="76" t="s">
        <v>203</v>
      </c>
      <c r="D27" s="84">
        <f t="shared" ref="D27:L27" si="5">IF(((D25="")*AND(D26="")),"",(D25-D26)*3)</f>
        <v>5939.7900000000009</v>
      </c>
      <c r="E27" s="84">
        <f t="shared" si="5"/>
        <v>6065.1900000000014</v>
      </c>
      <c r="F27" s="84">
        <f t="shared" si="5"/>
        <v>5988.3000000000011</v>
      </c>
      <c r="G27" s="84">
        <f t="shared" si="5"/>
        <v>5910.0599999999986</v>
      </c>
      <c r="H27" s="84">
        <f t="shared" si="5"/>
        <v>5593.920000000001</v>
      </c>
      <c r="I27" s="84">
        <f t="shared" si="5"/>
        <v>6002.4300000000012</v>
      </c>
      <c r="J27" s="84">
        <f t="shared" si="5"/>
        <v>5944.14</v>
      </c>
      <c r="K27" s="84">
        <f t="shared" si="5"/>
        <v>6097.26</v>
      </c>
      <c r="L27" s="84">
        <f t="shared" si="5"/>
        <v>6181.5300000000007</v>
      </c>
      <c r="M27" s="84"/>
      <c r="N27" s="84"/>
      <c r="O27" s="84"/>
      <c r="P27" s="84" t="str">
        <f>IF(((P25="")*AND(P26="")),"",(P25-P26)*2)</f>
        <v/>
      </c>
      <c r="Q27" s="42"/>
      <c r="R27" s="42"/>
      <c r="S27" s="42"/>
      <c r="T27" s="42"/>
      <c r="U27" s="42"/>
      <c r="V27" s="43"/>
      <c r="W27" s="42"/>
      <c r="X27" s="228"/>
    </row>
  </sheetData>
  <mergeCells count="3">
    <mergeCell ref="X10:X15"/>
    <mergeCell ref="X16:X21"/>
    <mergeCell ref="X22:X27"/>
  </mergeCells>
  <conditionalFormatting sqref="K4:O4">
    <cfRule type="cellIs" dxfId="62" priority="49" stopIfTrue="1" operator="between">
      <formula>19000</formula>
      <formula>49000</formula>
    </cfRule>
  </conditionalFormatting>
  <conditionalFormatting sqref="I10:P11 I13:P14">
    <cfRule type="cellIs" dxfId="61" priority="47" stopIfTrue="1" operator="equal">
      <formula>"Pass"</formula>
    </cfRule>
    <cfRule type="cellIs" dxfId="60" priority="48" stopIfTrue="1" operator="equal">
      <formula>"Fail"</formula>
    </cfRule>
  </conditionalFormatting>
  <conditionalFormatting sqref="V10:V15">
    <cfRule type="cellIs" dxfId="59" priority="45" stopIfTrue="1" operator="equal">
      <formula>"Fail"</formula>
    </cfRule>
    <cfRule type="cellIs" dxfId="58" priority="46" stopIfTrue="1" operator="equal">
      <formula>"Pass"</formula>
    </cfRule>
  </conditionalFormatting>
  <conditionalFormatting sqref="I10:P11 I13:P14">
    <cfRule type="cellIs" dxfId="57" priority="43" stopIfTrue="1" operator="equal">
      <formula>"Pass"</formula>
    </cfRule>
    <cfRule type="cellIs" dxfId="56" priority="44" stopIfTrue="1" operator="equal">
      <formula>"Fail"</formula>
    </cfRule>
  </conditionalFormatting>
  <conditionalFormatting sqref="V10:V15">
    <cfRule type="cellIs" dxfId="55" priority="41" stopIfTrue="1" operator="equal">
      <formula>"Fail"</formula>
    </cfRule>
    <cfRule type="cellIs" dxfId="54" priority="42" stopIfTrue="1" operator="equal">
      <formula>"Pass"</formula>
    </cfRule>
  </conditionalFormatting>
  <conditionalFormatting sqref="V13">
    <cfRule type="cellIs" dxfId="53" priority="39" stopIfTrue="1" operator="equal">
      <formula>"Fail"</formula>
    </cfRule>
    <cfRule type="cellIs" dxfId="52" priority="40" stopIfTrue="1" operator="equal">
      <formula>"Pass"</formula>
    </cfRule>
  </conditionalFormatting>
  <conditionalFormatting sqref="V10">
    <cfRule type="cellIs" dxfId="51" priority="37" stopIfTrue="1" operator="equal">
      <formula>"Fail"</formula>
    </cfRule>
    <cfRule type="cellIs" dxfId="50" priority="38" stopIfTrue="1" operator="equal">
      <formula>"Pass"</formula>
    </cfRule>
  </conditionalFormatting>
  <conditionalFormatting sqref="I16:P17 I19:P20">
    <cfRule type="cellIs" dxfId="49" priority="35" stopIfTrue="1" operator="equal">
      <formula>"Pass"</formula>
    </cfRule>
    <cfRule type="cellIs" dxfId="48" priority="36" stopIfTrue="1" operator="equal">
      <formula>"Fail"</formula>
    </cfRule>
  </conditionalFormatting>
  <conditionalFormatting sqref="V16:V21">
    <cfRule type="cellIs" dxfId="47" priority="33" stopIfTrue="1" operator="equal">
      <formula>"Fail"</formula>
    </cfRule>
    <cfRule type="cellIs" dxfId="46" priority="34" stopIfTrue="1" operator="equal">
      <formula>"Pass"</formula>
    </cfRule>
  </conditionalFormatting>
  <conditionalFormatting sqref="I16:P17 I19:P20">
    <cfRule type="cellIs" dxfId="45" priority="31" stopIfTrue="1" operator="equal">
      <formula>"Pass"</formula>
    </cfRule>
    <cfRule type="cellIs" dxfId="44" priority="32" stopIfTrue="1" operator="equal">
      <formula>"Fail"</formula>
    </cfRule>
  </conditionalFormatting>
  <conditionalFormatting sqref="V16:V21">
    <cfRule type="cellIs" dxfId="43" priority="29" stopIfTrue="1" operator="equal">
      <formula>"Fail"</formula>
    </cfRule>
    <cfRule type="cellIs" dxfId="42" priority="30" stopIfTrue="1" operator="equal">
      <formula>"Pass"</formula>
    </cfRule>
  </conditionalFormatting>
  <conditionalFormatting sqref="V19">
    <cfRule type="cellIs" dxfId="41" priority="27" stopIfTrue="1" operator="equal">
      <formula>"Fail"</formula>
    </cfRule>
    <cfRule type="cellIs" dxfId="40" priority="28" stopIfTrue="1" operator="equal">
      <formula>"Pass"</formula>
    </cfRule>
  </conditionalFormatting>
  <conditionalFormatting sqref="V16">
    <cfRule type="cellIs" dxfId="39" priority="25" stopIfTrue="1" operator="equal">
      <formula>"Fail"</formula>
    </cfRule>
    <cfRule type="cellIs" dxfId="38" priority="26" stopIfTrue="1" operator="equal">
      <formula>"Pass"</formula>
    </cfRule>
  </conditionalFormatting>
  <conditionalFormatting sqref="V16">
    <cfRule type="cellIs" dxfId="37" priority="23" stopIfTrue="1" operator="equal">
      <formula>"Fail"</formula>
    </cfRule>
    <cfRule type="cellIs" dxfId="36" priority="24" stopIfTrue="1" operator="equal">
      <formula>"Pass"</formula>
    </cfRule>
  </conditionalFormatting>
  <conditionalFormatting sqref="V16">
    <cfRule type="cellIs" dxfId="35" priority="21" stopIfTrue="1" operator="equal">
      <formula>"Fail"</formula>
    </cfRule>
    <cfRule type="cellIs" dxfId="34" priority="22" stopIfTrue="1" operator="equal">
      <formula>"Pass"</formula>
    </cfRule>
  </conditionalFormatting>
  <conditionalFormatting sqref="V16">
    <cfRule type="cellIs" dxfId="33" priority="19" stopIfTrue="1" operator="equal">
      <formula>"Fail"</formula>
    </cfRule>
    <cfRule type="cellIs" dxfId="32" priority="20" stopIfTrue="1" operator="equal">
      <formula>"Pass"</formula>
    </cfRule>
  </conditionalFormatting>
  <conditionalFormatting sqref="I22:P23 I25:P26">
    <cfRule type="cellIs" dxfId="31" priority="17" stopIfTrue="1" operator="equal">
      <formula>"Pass"</formula>
    </cfRule>
    <cfRule type="cellIs" dxfId="30" priority="18" stopIfTrue="1" operator="equal">
      <formula>"Fail"</formula>
    </cfRule>
  </conditionalFormatting>
  <conditionalFormatting sqref="V22:V27">
    <cfRule type="cellIs" dxfId="29" priority="15" stopIfTrue="1" operator="equal">
      <formula>"Fail"</formula>
    </cfRule>
    <cfRule type="cellIs" dxfId="28" priority="16" stopIfTrue="1" operator="equal">
      <formula>"Pass"</formula>
    </cfRule>
  </conditionalFormatting>
  <conditionalFormatting sqref="I22:P23 I25:P26">
    <cfRule type="cellIs" dxfId="27" priority="13" stopIfTrue="1" operator="equal">
      <formula>"Pass"</formula>
    </cfRule>
    <cfRule type="cellIs" dxfId="26" priority="14" stopIfTrue="1" operator="equal">
      <formula>"Fail"</formula>
    </cfRule>
  </conditionalFormatting>
  <conditionalFormatting sqref="V22:V27">
    <cfRule type="cellIs" dxfId="25" priority="11" stopIfTrue="1" operator="equal">
      <formula>"Fail"</formula>
    </cfRule>
    <cfRule type="cellIs" dxfId="24" priority="12" stopIfTrue="1" operator="equal">
      <formula>"Pass"</formula>
    </cfRule>
  </conditionalFormatting>
  <conditionalFormatting sqref="V25">
    <cfRule type="cellIs" dxfId="23" priority="9" stopIfTrue="1" operator="equal">
      <formula>"Fail"</formula>
    </cfRule>
    <cfRule type="cellIs" dxfId="22" priority="10" stopIfTrue="1" operator="equal">
      <formula>"Pass"</formula>
    </cfRule>
  </conditionalFormatting>
  <conditionalFormatting sqref="V22">
    <cfRule type="cellIs" dxfId="21" priority="7" stopIfTrue="1" operator="equal">
      <formula>"Fail"</formula>
    </cfRule>
    <cfRule type="cellIs" dxfId="20" priority="8" stopIfTrue="1" operator="equal">
      <formula>"Pass"</formula>
    </cfRule>
  </conditionalFormatting>
  <conditionalFormatting sqref="V22">
    <cfRule type="cellIs" dxfId="19" priority="5" stopIfTrue="1" operator="equal">
      <formula>"Fail"</formula>
    </cfRule>
    <cfRule type="cellIs" dxfId="18" priority="6" stopIfTrue="1" operator="equal">
      <formula>"Pass"</formula>
    </cfRule>
  </conditionalFormatting>
  <conditionalFormatting sqref="V22">
    <cfRule type="cellIs" dxfId="17" priority="3" stopIfTrue="1" operator="equal">
      <formula>"Fail"</formula>
    </cfRule>
    <cfRule type="cellIs" dxfId="16" priority="4" stopIfTrue="1" operator="equal">
      <formula>"Pass"</formula>
    </cfRule>
  </conditionalFormatting>
  <conditionalFormatting sqref="V22">
    <cfRule type="cellIs" dxfId="15" priority="1" stopIfTrue="1" operator="equal">
      <formula>"Fail"</formula>
    </cfRule>
    <cfRule type="cellIs" dxfId="14" priority="2" stopIfTrue="1" operator="equal">
      <formula>"Pass"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I10" sqref="I10"/>
    </sheetView>
  </sheetViews>
  <sheetFormatPr defaultColWidth="11" defaultRowHeight="16.100000000000001" x14ac:dyDescent="0.35"/>
  <sheetData/>
  <pageMargins left="0.75" right="0.75" top="1" bottom="1" header="0.5" footer="0.5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407963</xdr:colOff>
                    <xdr:row>5</xdr:row>
                    <xdr:rowOff>21102</xdr:rowOff>
                  </from>
                  <to>
                    <xdr:col>6</xdr:col>
                    <xdr:colOff>84406</xdr:colOff>
                    <xdr:row>8</xdr:row>
                    <xdr:rowOff>49237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1640625" defaultRowHeight="16.100000000000001" x14ac:dyDescent="0.35"/>
  <cols>
    <col min="1" max="1" width="13.453125" style="1" bestFit="1" customWidth="1"/>
    <col min="2" max="2" width="9.1796875" style="1" customWidth="1"/>
    <col min="3" max="16384" width="8.81640625" style="1"/>
  </cols>
  <sheetData>
    <row r="1" spans="1:2" x14ac:dyDescent="0.35">
      <c r="A1" s="1" t="s">
        <v>0</v>
      </c>
      <c r="B1" s="1" t="s">
        <v>6</v>
      </c>
    </row>
    <row r="2" spans="1:2" x14ac:dyDescent="0.35">
      <c r="A2" s="1" t="s">
        <v>1</v>
      </c>
    </row>
    <row r="3" spans="1:2" x14ac:dyDescent="0.35">
      <c r="A3" s="1" t="s">
        <v>9</v>
      </c>
    </row>
    <row r="4" spans="1:2" x14ac:dyDescent="0.35">
      <c r="A4" s="1" t="s">
        <v>10</v>
      </c>
    </row>
    <row r="5" spans="1:2" x14ac:dyDescent="0.35">
      <c r="A5" s="1" t="s">
        <v>2</v>
      </c>
    </row>
    <row r="6" spans="1:2" x14ac:dyDescent="0.35">
      <c r="A6" s="1" t="s">
        <v>3</v>
      </c>
      <c r="B6" s="1" t="b">
        <v>0</v>
      </c>
    </row>
    <row r="7" spans="1:2" x14ac:dyDescent="0.35">
      <c r="A7" s="1" t="s">
        <v>4</v>
      </c>
    </row>
    <row r="8" spans="1:2" x14ac:dyDescent="0.35">
      <c r="A8" s="1" t="s">
        <v>5</v>
      </c>
      <c r="B8" s="1" t="b">
        <v>0</v>
      </c>
    </row>
    <row r="13" spans="1:2" x14ac:dyDescent="0.35">
      <c r="A13" s="2" t="s">
        <v>7</v>
      </c>
    </row>
    <row r="14" spans="1:2" x14ac:dyDescent="0.35">
      <c r="A14" s="1" t="s">
        <v>11</v>
      </c>
    </row>
    <row r="15" spans="1:2" x14ac:dyDescent="0.35">
      <c r="A15" s="1" t="s">
        <v>12</v>
      </c>
    </row>
    <row r="16" spans="1:2" x14ac:dyDescent="0.35">
      <c r="A16" s="1" t="s">
        <v>8</v>
      </c>
    </row>
    <row r="17" spans="1:1" x14ac:dyDescent="0.35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REOX1A-WSA</vt:lpstr>
      <vt:lpstr>REOX1A-CP</vt:lpstr>
      <vt:lpstr>REOX1A-ER</vt:lpstr>
      <vt:lpstr>CP Plot</vt:lpstr>
      <vt:lpstr>SiN Plot</vt:lpstr>
      <vt:lpstr>TEOS Plot</vt:lpstr>
      <vt:lpstr>Redundant of A in B</vt:lpstr>
      <vt:lpstr>CH B</vt:lpstr>
      <vt:lpstr>RUN_code</vt:lpstr>
      <vt:lpstr>_xlwings.conf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2019-05-08T06:39:29Z</dcterms:modified>
</cp:coreProperties>
</file>