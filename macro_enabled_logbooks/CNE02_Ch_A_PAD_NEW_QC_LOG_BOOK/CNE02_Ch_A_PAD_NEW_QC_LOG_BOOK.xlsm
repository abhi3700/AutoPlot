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CNE02_Ch_A_PAD_NEW_QC_LOG_BOOK\"/>
    </mc:Choice>
  </mc:AlternateContent>
  <bookViews>
    <workbookView xWindow="-5350" yWindow="-21146" windowWidth="24236" windowHeight="13735" tabRatio="475" firstSheet="1" activeTab="6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Redundant of A in B" sheetId="13" r:id="rId8"/>
    <sheet name="CH B" sheetId="14" r:id="rId9"/>
    <sheet name="_xlwings.conf" sheetId="2" state="hidden" r:id="rId10"/>
  </sheets>
  <definedNames>
    <definedName name="_xlnm._FilterDatabase" localSheetId="8" hidden="1">'CH B'!#REF!</definedName>
    <definedName name="_xlnm._FilterDatabase" localSheetId="7" hidden="1">'Redundant of A in B'!$A$9:$AD$30</definedName>
    <definedName name="_xlnm._FilterDatabase" localSheetId="1" hidden="1">'REOX1A-CP'!$A$9:$I$257</definedName>
    <definedName name="_xlnm._FilterDatabase" localSheetId="2" hidden="1">'REOX1A-ER'!$A$10:$AD$787</definedName>
    <definedName name="TVZPPO29" localSheetId="2">'REOX1A-ER'!#REF!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68" i="12" l="1"/>
  <c r="V44" i="12"/>
  <c r="V32" i="12"/>
  <c r="V50" i="12"/>
  <c r="D40" i="12"/>
  <c r="E40" i="12"/>
  <c r="F40" i="12"/>
  <c r="G40" i="12"/>
  <c r="H40" i="12"/>
  <c r="I40" i="12"/>
  <c r="J40" i="12"/>
  <c r="K40" i="12"/>
  <c r="L40" i="12"/>
  <c r="M40" i="12"/>
  <c r="N40" i="12"/>
  <c r="O40" i="12"/>
  <c r="P40" i="12"/>
  <c r="Q38" i="12"/>
  <c r="R38" i="12"/>
  <c r="T38" i="12"/>
  <c r="S38" i="12"/>
  <c r="V38" i="12"/>
  <c r="D181" i="4"/>
  <c r="F181" i="4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19" i="13"/>
  <c r="S19" i="13"/>
  <c r="D24" i="13"/>
  <c r="E24" i="13"/>
  <c r="F24" i="13"/>
  <c r="G24" i="13"/>
  <c r="H24" i="13"/>
  <c r="I24" i="13"/>
  <c r="J24" i="13"/>
  <c r="K24" i="13"/>
  <c r="L24" i="13"/>
  <c r="R22" i="13"/>
  <c r="Q22" i="13"/>
  <c r="T22" i="13"/>
  <c r="S22" i="13"/>
  <c r="V22" i="13"/>
  <c r="P24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R25" i="13"/>
  <c r="Q25" i="13"/>
  <c r="S25" i="13"/>
  <c r="D30" i="13"/>
  <c r="E30" i="13"/>
  <c r="F30" i="13"/>
  <c r="G30" i="13"/>
  <c r="H30" i="13"/>
  <c r="I30" i="13"/>
  <c r="J30" i="13"/>
  <c r="K30" i="13"/>
  <c r="L30" i="13"/>
  <c r="Q28" i="13"/>
  <c r="R28" i="13"/>
  <c r="S28" i="13"/>
  <c r="P30" i="13"/>
  <c r="D13" i="12"/>
  <c r="E13" i="12"/>
  <c r="F13" i="12"/>
  <c r="G13" i="12"/>
  <c r="H13" i="12"/>
  <c r="I13" i="12"/>
  <c r="J13" i="12"/>
  <c r="K13" i="12"/>
  <c r="L13" i="12"/>
  <c r="P13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D19" i="12"/>
  <c r="E19" i="12"/>
  <c r="F19" i="12"/>
  <c r="G19" i="12"/>
  <c r="H19" i="12"/>
  <c r="I19" i="12"/>
  <c r="J19" i="12"/>
  <c r="K19" i="12"/>
  <c r="L19" i="12"/>
  <c r="P19" i="12"/>
  <c r="U17" i="12"/>
  <c r="S17" i="12"/>
  <c r="D22" i="12"/>
  <c r="E22" i="12"/>
  <c r="F22" i="12"/>
  <c r="G22" i="12"/>
  <c r="H22" i="12"/>
  <c r="I22" i="12"/>
  <c r="J22" i="12"/>
  <c r="K22" i="12"/>
  <c r="L22" i="12"/>
  <c r="P22" i="12"/>
  <c r="U20" i="12"/>
  <c r="S20" i="12"/>
  <c r="D25" i="12"/>
  <c r="E25" i="12"/>
  <c r="F25" i="12"/>
  <c r="G25" i="12"/>
  <c r="H25" i="12"/>
  <c r="I25" i="12"/>
  <c r="J25" i="12"/>
  <c r="K25" i="12"/>
  <c r="L25" i="12"/>
  <c r="P25" i="12"/>
  <c r="U23" i="12"/>
  <c r="S23" i="12"/>
  <c r="D28" i="12"/>
  <c r="E28" i="12"/>
  <c r="F28" i="12"/>
  <c r="G28" i="12"/>
  <c r="H28" i="12"/>
  <c r="I28" i="12"/>
  <c r="J28" i="12"/>
  <c r="K28" i="12"/>
  <c r="L28" i="12"/>
  <c r="P28" i="12"/>
  <c r="U26" i="12"/>
  <c r="S26" i="12"/>
  <c r="D31" i="12"/>
  <c r="E31" i="12"/>
  <c r="F31" i="12"/>
  <c r="G31" i="12"/>
  <c r="H31" i="12"/>
  <c r="I31" i="12"/>
  <c r="J31" i="12"/>
  <c r="K31" i="12"/>
  <c r="L31" i="12"/>
  <c r="P31" i="12"/>
  <c r="U29" i="12"/>
  <c r="S29" i="12"/>
  <c r="D34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Q32" i="12"/>
  <c r="D37" i="12"/>
  <c r="E37" i="12"/>
  <c r="F37" i="12"/>
  <c r="G37" i="12"/>
  <c r="H37" i="12"/>
  <c r="I37" i="12"/>
  <c r="J37" i="12"/>
  <c r="K37" i="12"/>
  <c r="L37" i="12"/>
  <c r="Q35" i="12"/>
  <c r="R35" i="12"/>
  <c r="T35" i="12"/>
  <c r="S35" i="12"/>
  <c r="P37" i="12"/>
  <c r="D43" i="12"/>
  <c r="E43" i="12"/>
  <c r="F43" i="12"/>
  <c r="G43" i="12"/>
  <c r="H43" i="12"/>
  <c r="I43" i="12"/>
  <c r="J43" i="12"/>
  <c r="K43" i="12"/>
  <c r="L43" i="12"/>
  <c r="S41" i="12"/>
  <c r="P43" i="12"/>
  <c r="L46" i="12"/>
  <c r="D46" i="12"/>
  <c r="E46" i="12"/>
  <c r="F46" i="12"/>
  <c r="G46" i="12"/>
  <c r="H46" i="12"/>
  <c r="I46" i="12"/>
  <c r="J46" i="12"/>
  <c r="K46" i="12"/>
  <c r="S44" i="12"/>
  <c r="M46" i="12"/>
  <c r="N46" i="12"/>
  <c r="O46" i="12"/>
  <c r="P46" i="12"/>
  <c r="D49" i="12"/>
  <c r="E49" i="12"/>
  <c r="F49" i="12"/>
  <c r="G49" i="12"/>
  <c r="H49" i="12"/>
  <c r="I49" i="12"/>
  <c r="J49" i="12"/>
  <c r="K49" i="12"/>
  <c r="L49" i="12"/>
  <c r="R47" i="12"/>
  <c r="S47" i="12"/>
  <c r="P49" i="12"/>
  <c r="D52" i="12"/>
  <c r="E52" i="12"/>
  <c r="F52" i="12"/>
  <c r="G52" i="12"/>
  <c r="H52" i="12"/>
  <c r="I52" i="12"/>
  <c r="J52" i="12"/>
  <c r="K52" i="12"/>
  <c r="L52" i="12"/>
  <c r="R50" i="12"/>
  <c r="S50" i="12"/>
  <c r="M52" i="12"/>
  <c r="N52" i="12"/>
  <c r="O52" i="12"/>
  <c r="P52" i="12"/>
  <c r="D55" i="12"/>
  <c r="E55" i="12"/>
  <c r="F55" i="12"/>
  <c r="G55" i="12"/>
  <c r="H55" i="12"/>
  <c r="I55" i="12"/>
  <c r="J55" i="12"/>
  <c r="K55" i="12"/>
  <c r="L55" i="12"/>
  <c r="P55" i="12"/>
  <c r="U53" i="12"/>
  <c r="S53" i="12"/>
  <c r="V56" i="12"/>
  <c r="D58" i="12"/>
  <c r="E58" i="12"/>
  <c r="F58" i="12"/>
  <c r="G58" i="12"/>
  <c r="H58" i="12"/>
  <c r="I58" i="12"/>
  <c r="J58" i="12"/>
  <c r="K58" i="12"/>
  <c r="L58" i="12"/>
  <c r="S56" i="12"/>
  <c r="M58" i="12"/>
  <c r="N58" i="12"/>
  <c r="O58" i="12"/>
  <c r="P58" i="12"/>
  <c r="D61" i="12"/>
  <c r="E61" i="12"/>
  <c r="F61" i="12"/>
  <c r="G61" i="12"/>
  <c r="H61" i="12"/>
  <c r="I61" i="12"/>
  <c r="J61" i="12"/>
  <c r="K61" i="12"/>
  <c r="L61" i="12"/>
  <c r="R59" i="12"/>
  <c r="S59" i="12"/>
  <c r="P61" i="12"/>
  <c r="V62" i="12"/>
  <c r="D64" i="12"/>
  <c r="E64" i="12"/>
  <c r="F64" i="12"/>
  <c r="G64" i="12"/>
  <c r="H64" i="12"/>
  <c r="I64" i="12"/>
  <c r="J64" i="12"/>
  <c r="K64" i="12"/>
  <c r="L64" i="12"/>
  <c r="R62" i="12"/>
  <c r="S62" i="12"/>
  <c r="M64" i="12"/>
  <c r="N64" i="12"/>
  <c r="O64" i="12"/>
  <c r="P64" i="12"/>
  <c r="L67" i="12"/>
  <c r="D67" i="12"/>
  <c r="E67" i="12"/>
  <c r="F67" i="12"/>
  <c r="G67" i="12"/>
  <c r="H67" i="12"/>
  <c r="I67" i="12"/>
  <c r="J67" i="12"/>
  <c r="K67" i="12"/>
  <c r="S65" i="12"/>
  <c r="P67" i="12"/>
  <c r="L70" i="12"/>
  <c r="D70" i="12"/>
  <c r="E70" i="12"/>
  <c r="F70" i="12"/>
  <c r="G70" i="12"/>
  <c r="H70" i="12"/>
  <c r="I70" i="12"/>
  <c r="J70" i="12"/>
  <c r="K70" i="12"/>
  <c r="S68" i="12"/>
  <c r="M70" i="12"/>
  <c r="N70" i="12"/>
  <c r="O70" i="12"/>
  <c r="P70" i="12"/>
  <c r="D73" i="12"/>
  <c r="E73" i="12"/>
  <c r="F73" i="12"/>
  <c r="G73" i="12"/>
  <c r="H73" i="12"/>
  <c r="I73" i="12"/>
  <c r="J73" i="12"/>
  <c r="K73" i="12"/>
  <c r="L73" i="12"/>
  <c r="P73" i="12"/>
  <c r="D76" i="12"/>
  <c r="E76" i="12"/>
  <c r="F76" i="12"/>
  <c r="G76" i="12"/>
  <c r="H76" i="12"/>
  <c r="I76" i="12"/>
  <c r="J76" i="12"/>
  <c r="K76" i="12"/>
  <c r="L76" i="12"/>
  <c r="M76" i="12"/>
  <c r="N76" i="12"/>
  <c r="O76" i="12"/>
  <c r="P76" i="12"/>
  <c r="D79" i="12"/>
  <c r="E79" i="12"/>
  <c r="F79" i="12"/>
  <c r="G79" i="12"/>
  <c r="H79" i="12"/>
  <c r="I79" i="12"/>
  <c r="J79" i="12"/>
  <c r="K79" i="12"/>
  <c r="L79" i="12"/>
  <c r="P79" i="12"/>
  <c r="U77" i="12"/>
  <c r="Q77" i="12"/>
  <c r="D82" i="12"/>
  <c r="E82" i="12"/>
  <c r="F82" i="12"/>
  <c r="G82" i="12"/>
  <c r="H82" i="12"/>
  <c r="I82" i="12"/>
  <c r="J82" i="12"/>
  <c r="K82" i="12"/>
  <c r="L82" i="12"/>
  <c r="M82" i="12"/>
  <c r="N82" i="12"/>
  <c r="O82" i="12"/>
  <c r="P82" i="12"/>
  <c r="U80" i="12"/>
  <c r="Q80" i="12"/>
  <c r="D85" i="12"/>
  <c r="E85" i="12"/>
  <c r="F85" i="12"/>
  <c r="G85" i="12"/>
  <c r="H85" i="12"/>
  <c r="I85" i="12"/>
  <c r="J85" i="12"/>
  <c r="K85" i="12"/>
  <c r="L85" i="12"/>
  <c r="R83" i="12"/>
  <c r="S83" i="12"/>
  <c r="P85" i="12"/>
  <c r="D88" i="12"/>
  <c r="E88" i="12"/>
  <c r="F88" i="12"/>
  <c r="G88" i="12"/>
  <c r="H88" i="12"/>
  <c r="I88" i="12"/>
  <c r="J88" i="12"/>
  <c r="K88" i="12"/>
  <c r="L88" i="12"/>
  <c r="M88" i="12"/>
  <c r="N88" i="12"/>
  <c r="O88" i="12"/>
  <c r="P88" i="12"/>
  <c r="R86" i="12"/>
  <c r="S86" i="12"/>
  <c r="D91" i="12"/>
  <c r="E91" i="12"/>
  <c r="F91" i="12"/>
  <c r="G91" i="12"/>
  <c r="H91" i="12"/>
  <c r="I91" i="12"/>
  <c r="J91" i="12"/>
  <c r="K91" i="12"/>
  <c r="L91" i="12"/>
  <c r="S89" i="12"/>
  <c r="P91" i="12"/>
  <c r="P94" i="12"/>
  <c r="D94" i="12"/>
  <c r="E94" i="12"/>
  <c r="F94" i="12"/>
  <c r="G94" i="12"/>
  <c r="H94" i="12"/>
  <c r="I94" i="12"/>
  <c r="J94" i="12"/>
  <c r="K94" i="12"/>
  <c r="L94" i="12"/>
  <c r="M94" i="12"/>
  <c r="N94" i="12"/>
  <c r="O94" i="12"/>
  <c r="S92" i="12"/>
  <c r="D97" i="12"/>
  <c r="E97" i="12"/>
  <c r="F97" i="12"/>
  <c r="G97" i="12"/>
  <c r="H97" i="12"/>
  <c r="I97" i="12"/>
  <c r="J97" i="12"/>
  <c r="K97" i="12"/>
  <c r="L97" i="12"/>
  <c r="P97" i="12"/>
  <c r="D100" i="12"/>
  <c r="E100" i="12"/>
  <c r="F100" i="12"/>
  <c r="G100" i="12"/>
  <c r="H100" i="12"/>
  <c r="I100" i="12"/>
  <c r="J100" i="12"/>
  <c r="K100" i="12"/>
  <c r="L100" i="12"/>
  <c r="M100" i="12"/>
  <c r="N100" i="12"/>
  <c r="O100" i="12"/>
  <c r="P100" i="12"/>
  <c r="D103" i="12"/>
  <c r="E103" i="12"/>
  <c r="F103" i="12"/>
  <c r="G103" i="12"/>
  <c r="H103" i="12"/>
  <c r="I103" i="12"/>
  <c r="J103" i="12"/>
  <c r="K103" i="12"/>
  <c r="L103" i="12"/>
  <c r="P103" i="12"/>
  <c r="U101" i="12"/>
  <c r="Q101" i="12"/>
  <c r="D106" i="12"/>
  <c r="E106" i="12"/>
  <c r="F106" i="12"/>
  <c r="G106" i="12"/>
  <c r="H106" i="12"/>
  <c r="I106" i="12"/>
  <c r="J106" i="12"/>
  <c r="K106" i="12"/>
  <c r="L106" i="12"/>
  <c r="M106" i="12"/>
  <c r="N106" i="12"/>
  <c r="O106" i="12"/>
  <c r="P106" i="12"/>
  <c r="U104" i="12"/>
  <c r="Q104" i="12"/>
  <c r="D109" i="12"/>
  <c r="E109" i="12"/>
  <c r="F109" i="12"/>
  <c r="G109" i="12"/>
  <c r="H109" i="12"/>
  <c r="I109" i="12"/>
  <c r="J109" i="12"/>
  <c r="K109" i="12"/>
  <c r="L109" i="12"/>
  <c r="R107" i="12"/>
  <c r="S107" i="12"/>
  <c r="P109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P112" i="12"/>
  <c r="R110" i="12"/>
  <c r="S110" i="12"/>
  <c r="D115" i="12"/>
  <c r="E115" i="12"/>
  <c r="F115" i="12"/>
  <c r="G115" i="12"/>
  <c r="H115" i="12"/>
  <c r="I115" i="12"/>
  <c r="J115" i="12"/>
  <c r="K115" i="12"/>
  <c r="L115" i="12"/>
  <c r="S113" i="12"/>
  <c r="P115" i="12"/>
  <c r="P118" i="12"/>
  <c r="D118" i="12"/>
  <c r="E118" i="12"/>
  <c r="F118" i="12"/>
  <c r="G118" i="12"/>
  <c r="H118" i="12"/>
  <c r="I118" i="12"/>
  <c r="J118" i="12"/>
  <c r="K118" i="12"/>
  <c r="L118" i="12"/>
  <c r="M118" i="12"/>
  <c r="N118" i="12"/>
  <c r="O118" i="12"/>
  <c r="S116" i="12"/>
  <c r="D121" i="12"/>
  <c r="E121" i="12"/>
  <c r="F121" i="12"/>
  <c r="G121" i="12"/>
  <c r="H121" i="12"/>
  <c r="I121" i="12"/>
  <c r="J121" i="12"/>
  <c r="K121" i="12"/>
  <c r="L121" i="12"/>
  <c r="P121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P124" i="12"/>
  <c r="D127" i="12"/>
  <c r="E127" i="12"/>
  <c r="F127" i="12"/>
  <c r="G127" i="12"/>
  <c r="H127" i="12"/>
  <c r="I127" i="12"/>
  <c r="J127" i="12"/>
  <c r="K127" i="12"/>
  <c r="L127" i="12"/>
  <c r="P127" i="12"/>
  <c r="U125" i="12"/>
  <c r="Q125" i="12"/>
  <c r="D130" i="12"/>
  <c r="E130" i="12"/>
  <c r="F130" i="12"/>
  <c r="G130" i="12"/>
  <c r="H130" i="12"/>
  <c r="I130" i="12"/>
  <c r="J130" i="12"/>
  <c r="K130" i="12"/>
  <c r="L130" i="12"/>
  <c r="M130" i="12"/>
  <c r="N130" i="12"/>
  <c r="O130" i="12"/>
  <c r="P130" i="12"/>
  <c r="U128" i="12"/>
  <c r="Q128" i="12"/>
  <c r="D133" i="12"/>
  <c r="E133" i="12"/>
  <c r="F133" i="12"/>
  <c r="G133" i="12"/>
  <c r="H133" i="12"/>
  <c r="I133" i="12"/>
  <c r="J133" i="12"/>
  <c r="K133" i="12"/>
  <c r="L133" i="12"/>
  <c r="Q131" i="12"/>
  <c r="R131" i="12"/>
  <c r="S131" i="12"/>
  <c r="P133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P136" i="12"/>
  <c r="Q134" i="12"/>
  <c r="R134" i="12"/>
  <c r="T134" i="12"/>
  <c r="S134" i="12"/>
  <c r="D139" i="12"/>
  <c r="E139" i="12"/>
  <c r="F139" i="12"/>
  <c r="G139" i="12"/>
  <c r="H139" i="12"/>
  <c r="I139" i="12"/>
  <c r="J139" i="12"/>
  <c r="K139" i="12"/>
  <c r="L139" i="12"/>
  <c r="S137" i="12"/>
  <c r="P139" i="12"/>
  <c r="L142" i="12"/>
  <c r="D142" i="12"/>
  <c r="E142" i="12"/>
  <c r="F142" i="12"/>
  <c r="G142" i="12"/>
  <c r="H142" i="12"/>
  <c r="I142" i="12"/>
  <c r="J142" i="12"/>
  <c r="K142" i="12"/>
  <c r="S140" i="12"/>
  <c r="P142" i="12"/>
  <c r="D145" i="12"/>
  <c r="E145" i="12"/>
  <c r="F145" i="12"/>
  <c r="G145" i="12"/>
  <c r="H145" i="12"/>
  <c r="I145" i="12"/>
  <c r="J145" i="12"/>
  <c r="K145" i="12"/>
  <c r="L145" i="12"/>
  <c r="M145" i="12"/>
  <c r="N145" i="12"/>
  <c r="O145" i="12"/>
  <c r="P145" i="12"/>
  <c r="S143" i="12"/>
  <c r="D148" i="12"/>
  <c r="E148" i="12"/>
  <c r="F148" i="12"/>
  <c r="G148" i="12"/>
  <c r="H148" i="12"/>
  <c r="I148" i="12"/>
  <c r="J148" i="12"/>
  <c r="K148" i="12"/>
  <c r="L148" i="12"/>
  <c r="P148" i="12"/>
  <c r="D151" i="12"/>
  <c r="E151" i="12"/>
  <c r="F151" i="12"/>
  <c r="G151" i="12"/>
  <c r="H151" i="12"/>
  <c r="I151" i="12"/>
  <c r="J151" i="12"/>
  <c r="K151" i="12"/>
  <c r="L151" i="12"/>
  <c r="M151" i="12"/>
  <c r="N151" i="12"/>
  <c r="O151" i="12"/>
  <c r="P151" i="12"/>
  <c r="D154" i="12"/>
  <c r="E154" i="12"/>
  <c r="F154" i="12"/>
  <c r="G154" i="12"/>
  <c r="H154" i="12"/>
  <c r="I154" i="12"/>
  <c r="J154" i="12"/>
  <c r="K154" i="12"/>
  <c r="L154" i="12"/>
  <c r="M154" i="12"/>
  <c r="N154" i="12"/>
  <c r="O154" i="12"/>
  <c r="P154" i="12"/>
  <c r="U152" i="12"/>
  <c r="R152" i="12"/>
  <c r="Q152" i="12"/>
  <c r="S152" i="12"/>
  <c r="D157" i="12"/>
  <c r="E157" i="12"/>
  <c r="F157" i="12"/>
  <c r="G157" i="12"/>
  <c r="H157" i="12"/>
  <c r="I157" i="12"/>
  <c r="J157" i="12"/>
  <c r="K157" i="12"/>
  <c r="L157" i="12"/>
  <c r="Q155" i="12"/>
  <c r="P157" i="12"/>
  <c r="U155" i="12"/>
  <c r="R155" i="12"/>
  <c r="S155" i="12"/>
  <c r="D160" i="12"/>
  <c r="E160" i="12"/>
  <c r="F160" i="12"/>
  <c r="G160" i="12"/>
  <c r="H160" i="12"/>
  <c r="I160" i="12"/>
  <c r="J160" i="12"/>
  <c r="K160" i="12"/>
  <c r="L160" i="12"/>
  <c r="M160" i="12"/>
  <c r="N160" i="12"/>
  <c r="O160" i="12"/>
  <c r="P160" i="12"/>
  <c r="Q158" i="12"/>
  <c r="U158" i="12"/>
  <c r="R158" i="12"/>
  <c r="S158" i="12"/>
  <c r="L163" i="12"/>
  <c r="D163" i="12"/>
  <c r="E163" i="12"/>
  <c r="F163" i="12"/>
  <c r="G163" i="12"/>
  <c r="H163" i="12"/>
  <c r="I163" i="12"/>
  <c r="J163" i="12"/>
  <c r="K163" i="12"/>
  <c r="S161" i="12"/>
  <c r="P163" i="12"/>
  <c r="D166" i="12"/>
  <c r="E166" i="12"/>
  <c r="F166" i="12"/>
  <c r="G166" i="12"/>
  <c r="H166" i="12"/>
  <c r="I166" i="12"/>
  <c r="J166" i="12"/>
  <c r="K166" i="12"/>
  <c r="L166" i="12"/>
  <c r="M166" i="12"/>
  <c r="N166" i="12"/>
  <c r="O166" i="12"/>
  <c r="P166" i="12"/>
  <c r="S164" i="12"/>
  <c r="D169" i="12"/>
  <c r="E169" i="12"/>
  <c r="F169" i="12"/>
  <c r="G169" i="12"/>
  <c r="H169" i="12"/>
  <c r="I169" i="12"/>
  <c r="J169" i="12"/>
  <c r="K169" i="12"/>
  <c r="L169" i="12"/>
  <c r="P169" i="12"/>
  <c r="D172" i="12"/>
  <c r="E172" i="12"/>
  <c r="F172" i="12"/>
  <c r="G172" i="12"/>
  <c r="H172" i="12"/>
  <c r="I172" i="12"/>
  <c r="J172" i="12"/>
  <c r="K172" i="12"/>
  <c r="L172" i="12"/>
  <c r="M172" i="12"/>
  <c r="N172" i="12"/>
  <c r="O172" i="12"/>
  <c r="P172" i="12"/>
  <c r="D175" i="12"/>
  <c r="E175" i="12"/>
  <c r="F175" i="12"/>
  <c r="G175" i="12"/>
  <c r="H175" i="12"/>
  <c r="I175" i="12"/>
  <c r="J175" i="12"/>
  <c r="K175" i="12"/>
  <c r="L175" i="12"/>
  <c r="P175" i="12"/>
  <c r="U173" i="12"/>
  <c r="R173" i="12"/>
  <c r="Q173" i="12"/>
  <c r="T173" i="12"/>
  <c r="S173" i="12"/>
  <c r="V173" i="12"/>
  <c r="D178" i="12"/>
  <c r="E178" i="12"/>
  <c r="F178" i="12"/>
  <c r="G178" i="12"/>
  <c r="H178" i="12"/>
  <c r="I178" i="12"/>
  <c r="J178" i="12"/>
  <c r="K178" i="12"/>
  <c r="L178" i="12"/>
  <c r="M178" i="12"/>
  <c r="N178" i="12"/>
  <c r="O178" i="12"/>
  <c r="P178" i="12"/>
  <c r="S176" i="12"/>
  <c r="D181" i="12"/>
  <c r="E181" i="12"/>
  <c r="F181" i="12"/>
  <c r="G181" i="12"/>
  <c r="H181" i="12"/>
  <c r="I181" i="12"/>
  <c r="J181" i="12"/>
  <c r="K181" i="12"/>
  <c r="L181" i="12"/>
  <c r="P181" i="12"/>
  <c r="D184" i="12"/>
  <c r="E184" i="12"/>
  <c r="F184" i="12"/>
  <c r="G184" i="12"/>
  <c r="H184" i="12"/>
  <c r="I184" i="12"/>
  <c r="J184" i="12"/>
  <c r="K184" i="12"/>
  <c r="L184" i="12"/>
  <c r="M184" i="12"/>
  <c r="N184" i="12"/>
  <c r="O184" i="12"/>
  <c r="P184" i="12"/>
  <c r="Q182" i="12"/>
  <c r="S182" i="12"/>
  <c r="D187" i="12"/>
  <c r="E187" i="12"/>
  <c r="F187" i="12"/>
  <c r="G187" i="12"/>
  <c r="H187" i="12"/>
  <c r="I187" i="12"/>
  <c r="J187" i="12"/>
  <c r="K187" i="12"/>
  <c r="L187" i="12"/>
  <c r="R185" i="12"/>
  <c r="Q185" i="12"/>
  <c r="T185" i="12"/>
  <c r="S185" i="12"/>
  <c r="V185" i="12"/>
  <c r="P187" i="12"/>
  <c r="D190" i="12"/>
  <c r="E190" i="12"/>
  <c r="F190" i="12"/>
  <c r="G190" i="12"/>
  <c r="H190" i="12"/>
  <c r="I190" i="12"/>
  <c r="J190" i="12"/>
  <c r="K190" i="12"/>
  <c r="L190" i="12"/>
  <c r="M190" i="12"/>
  <c r="N190" i="12"/>
  <c r="O190" i="12"/>
  <c r="P190" i="12"/>
  <c r="U188" i="12"/>
  <c r="R188" i="12"/>
  <c r="Q188" i="12"/>
  <c r="S188" i="12"/>
  <c r="D193" i="12"/>
  <c r="E193" i="12"/>
  <c r="F193" i="12"/>
  <c r="G193" i="12"/>
  <c r="H193" i="12"/>
  <c r="I193" i="12"/>
  <c r="J193" i="12"/>
  <c r="K193" i="12"/>
  <c r="L193" i="12"/>
  <c r="Q191" i="12"/>
  <c r="P193" i="12"/>
  <c r="D196" i="12"/>
  <c r="E196" i="12"/>
  <c r="F196" i="12"/>
  <c r="G196" i="12"/>
  <c r="H196" i="12"/>
  <c r="I196" i="12"/>
  <c r="J196" i="12"/>
  <c r="K196" i="12"/>
  <c r="L196" i="12"/>
  <c r="M196" i="12"/>
  <c r="N196" i="12"/>
  <c r="O196" i="12"/>
  <c r="P196" i="12"/>
  <c r="Q194" i="12"/>
  <c r="R194" i="12"/>
  <c r="U194" i="12"/>
  <c r="S194" i="12"/>
  <c r="D199" i="12"/>
  <c r="E199" i="12"/>
  <c r="F199" i="12"/>
  <c r="G199" i="12"/>
  <c r="H199" i="12"/>
  <c r="I199" i="12"/>
  <c r="J199" i="12"/>
  <c r="K199" i="12"/>
  <c r="L199" i="12"/>
  <c r="R197" i="12"/>
  <c r="S197" i="12"/>
  <c r="P199" i="12"/>
  <c r="D202" i="12"/>
  <c r="E202" i="12"/>
  <c r="F202" i="12"/>
  <c r="G202" i="12"/>
  <c r="H202" i="12"/>
  <c r="I202" i="12"/>
  <c r="J202" i="12"/>
  <c r="K202" i="12"/>
  <c r="L202" i="12"/>
  <c r="M202" i="12"/>
  <c r="N202" i="12"/>
  <c r="O202" i="12"/>
  <c r="P202" i="12"/>
  <c r="S200" i="12"/>
  <c r="D205" i="12"/>
  <c r="E205" i="12"/>
  <c r="F205" i="12"/>
  <c r="G205" i="12"/>
  <c r="H205" i="12"/>
  <c r="I205" i="12"/>
  <c r="J205" i="12"/>
  <c r="K205" i="12"/>
  <c r="L205" i="12"/>
  <c r="P205" i="12"/>
  <c r="D208" i="12"/>
  <c r="E208" i="12"/>
  <c r="F208" i="12"/>
  <c r="G208" i="12"/>
  <c r="H208" i="12"/>
  <c r="I208" i="12"/>
  <c r="J208" i="12"/>
  <c r="K208" i="12"/>
  <c r="L208" i="12"/>
  <c r="M208" i="12"/>
  <c r="N208" i="12"/>
  <c r="O208" i="12"/>
  <c r="P208" i="12"/>
  <c r="S206" i="12"/>
  <c r="D211" i="12"/>
  <c r="E211" i="12"/>
  <c r="F211" i="12"/>
  <c r="G211" i="12"/>
  <c r="H211" i="12"/>
  <c r="I211" i="12"/>
  <c r="J211" i="12"/>
  <c r="K211" i="12"/>
  <c r="L211" i="12"/>
  <c r="P211" i="12"/>
  <c r="D214" i="12"/>
  <c r="E214" i="12"/>
  <c r="F214" i="12"/>
  <c r="G214" i="12"/>
  <c r="H214" i="12"/>
  <c r="I214" i="12"/>
  <c r="J214" i="12"/>
  <c r="K214" i="12"/>
  <c r="L214" i="12"/>
  <c r="M214" i="12"/>
  <c r="N214" i="12"/>
  <c r="O214" i="12"/>
  <c r="P214" i="12"/>
  <c r="U212" i="12"/>
  <c r="R212" i="12"/>
  <c r="Q212" i="12"/>
  <c r="T212" i="12"/>
  <c r="V212" i="12"/>
  <c r="S212" i="12"/>
  <c r="D217" i="12"/>
  <c r="E217" i="12"/>
  <c r="F217" i="12"/>
  <c r="G217" i="12"/>
  <c r="H217" i="12"/>
  <c r="I217" i="12"/>
  <c r="J217" i="12"/>
  <c r="K217" i="12"/>
  <c r="L217" i="12"/>
  <c r="P217" i="12"/>
  <c r="D220" i="12"/>
  <c r="E220" i="12"/>
  <c r="F220" i="12"/>
  <c r="G220" i="12"/>
  <c r="H220" i="12"/>
  <c r="I220" i="12"/>
  <c r="J220" i="12"/>
  <c r="K220" i="12"/>
  <c r="L220" i="12"/>
  <c r="M220" i="12"/>
  <c r="N220" i="12"/>
  <c r="O220" i="12"/>
  <c r="P220" i="12"/>
  <c r="Q218" i="12"/>
  <c r="R218" i="12"/>
  <c r="U218" i="12"/>
  <c r="S218" i="12"/>
  <c r="D223" i="12"/>
  <c r="E223" i="12"/>
  <c r="F223" i="12"/>
  <c r="G223" i="12"/>
  <c r="H223" i="12"/>
  <c r="I223" i="12"/>
  <c r="J223" i="12"/>
  <c r="K223" i="12"/>
  <c r="L223" i="12"/>
  <c r="R221" i="12"/>
  <c r="S221" i="12"/>
  <c r="P223" i="12"/>
  <c r="D226" i="12"/>
  <c r="E226" i="12"/>
  <c r="F226" i="12"/>
  <c r="G226" i="12"/>
  <c r="H226" i="12"/>
  <c r="I226" i="12"/>
  <c r="J226" i="12"/>
  <c r="K226" i="12"/>
  <c r="L226" i="12"/>
  <c r="M226" i="12"/>
  <c r="N226" i="12"/>
  <c r="O226" i="12"/>
  <c r="P226" i="12"/>
  <c r="S224" i="12"/>
  <c r="D229" i="12"/>
  <c r="E229" i="12"/>
  <c r="F229" i="12"/>
  <c r="G229" i="12"/>
  <c r="H229" i="12"/>
  <c r="I229" i="12"/>
  <c r="J229" i="12"/>
  <c r="K229" i="12"/>
  <c r="L229" i="12"/>
  <c r="P229" i="12"/>
  <c r="D232" i="12"/>
  <c r="E232" i="12"/>
  <c r="F232" i="12"/>
  <c r="G232" i="12"/>
  <c r="H232" i="12"/>
  <c r="I232" i="12"/>
  <c r="J232" i="12"/>
  <c r="K232" i="12"/>
  <c r="L232" i="12"/>
  <c r="M232" i="12"/>
  <c r="N232" i="12"/>
  <c r="O232" i="12"/>
  <c r="P232" i="12"/>
  <c r="D235" i="12"/>
  <c r="E235" i="12"/>
  <c r="F235" i="12"/>
  <c r="G235" i="12"/>
  <c r="H235" i="12"/>
  <c r="I235" i="12"/>
  <c r="J235" i="12"/>
  <c r="K235" i="12"/>
  <c r="L235" i="12"/>
  <c r="Q233" i="12"/>
  <c r="P235" i="12"/>
  <c r="D238" i="12"/>
  <c r="E238" i="12"/>
  <c r="F238" i="12"/>
  <c r="G238" i="12"/>
  <c r="H238" i="12"/>
  <c r="I238" i="12"/>
  <c r="J238" i="12"/>
  <c r="K238" i="12"/>
  <c r="L238" i="12"/>
  <c r="M238" i="12"/>
  <c r="N238" i="12"/>
  <c r="O238" i="12"/>
  <c r="P238" i="12"/>
  <c r="U236" i="12"/>
  <c r="R236" i="12"/>
  <c r="Q236" i="12"/>
  <c r="S236" i="12"/>
  <c r="D241" i="12"/>
  <c r="E241" i="12"/>
  <c r="F241" i="12"/>
  <c r="G241" i="12"/>
  <c r="H241" i="12"/>
  <c r="I241" i="12"/>
  <c r="J241" i="12"/>
  <c r="K241" i="12"/>
  <c r="L241" i="12"/>
  <c r="Q239" i="12"/>
  <c r="P241" i="12"/>
  <c r="D244" i="12"/>
  <c r="E244" i="12"/>
  <c r="F244" i="12"/>
  <c r="G244" i="12"/>
  <c r="H244" i="12"/>
  <c r="I244" i="12"/>
  <c r="J244" i="12"/>
  <c r="K244" i="12"/>
  <c r="L244" i="12"/>
  <c r="R242" i="12"/>
  <c r="M244" i="12"/>
  <c r="N244" i="12"/>
  <c r="O244" i="12"/>
  <c r="P244" i="12"/>
  <c r="D247" i="12"/>
  <c r="E247" i="12"/>
  <c r="F247" i="12"/>
  <c r="G247" i="12"/>
  <c r="H247" i="12"/>
  <c r="I247" i="12"/>
  <c r="J247" i="12"/>
  <c r="K247" i="12"/>
  <c r="L247" i="12"/>
  <c r="R245" i="12"/>
  <c r="Q245" i="12"/>
  <c r="T245" i="12"/>
  <c r="S245" i="12"/>
  <c r="V245" i="12"/>
  <c r="P247" i="12"/>
  <c r="D250" i="12"/>
  <c r="E250" i="12"/>
  <c r="F250" i="12"/>
  <c r="G250" i="12"/>
  <c r="H250" i="12"/>
  <c r="I250" i="12"/>
  <c r="J250" i="12"/>
  <c r="K250" i="12"/>
  <c r="L250" i="12"/>
  <c r="M250" i="12"/>
  <c r="N250" i="12"/>
  <c r="O250" i="12"/>
  <c r="P250" i="12"/>
  <c r="S248" i="12"/>
  <c r="D253" i="12"/>
  <c r="E253" i="12"/>
  <c r="F253" i="12"/>
  <c r="G253" i="12"/>
  <c r="H253" i="12"/>
  <c r="I253" i="12"/>
  <c r="J253" i="12"/>
  <c r="K253" i="12"/>
  <c r="L253" i="12"/>
  <c r="P253" i="12"/>
  <c r="P256" i="12"/>
  <c r="D256" i="12"/>
  <c r="E256" i="12"/>
  <c r="F256" i="12"/>
  <c r="G256" i="12"/>
  <c r="H256" i="12"/>
  <c r="I256" i="12"/>
  <c r="J256" i="12"/>
  <c r="K256" i="12"/>
  <c r="L256" i="12"/>
  <c r="M256" i="12"/>
  <c r="N256" i="12"/>
  <c r="O256" i="12"/>
  <c r="S254" i="12"/>
  <c r="D259" i="12"/>
  <c r="E259" i="12"/>
  <c r="F259" i="12"/>
  <c r="G259" i="12"/>
  <c r="H259" i="12"/>
  <c r="I259" i="12"/>
  <c r="J259" i="12"/>
  <c r="K259" i="12"/>
  <c r="L259" i="12"/>
  <c r="S257" i="12"/>
  <c r="P259" i="12"/>
  <c r="D262" i="12"/>
  <c r="E262" i="12"/>
  <c r="F262" i="12"/>
  <c r="G262" i="12"/>
  <c r="H262" i="12"/>
  <c r="I262" i="12"/>
  <c r="J262" i="12"/>
  <c r="K262" i="12"/>
  <c r="L262" i="12"/>
  <c r="M262" i="12"/>
  <c r="N262" i="12"/>
  <c r="O262" i="12"/>
  <c r="P262" i="12"/>
  <c r="D265" i="12"/>
  <c r="E265" i="12"/>
  <c r="F265" i="12"/>
  <c r="G265" i="12"/>
  <c r="H265" i="12"/>
  <c r="I265" i="12"/>
  <c r="J265" i="12"/>
  <c r="K265" i="12"/>
  <c r="L265" i="12"/>
  <c r="R263" i="12"/>
  <c r="S263" i="12"/>
  <c r="P265" i="12"/>
  <c r="D268" i="12"/>
  <c r="E268" i="12"/>
  <c r="F268" i="12"/>
  <c r="G268" i="12"/>
  <c r="H268" i="12"/>
  <c r="I268" i="12"/>
  <c r="J268" i="12"/>
  <c r="K268" i="12"/>
  <c r="L268" i="12"/>
  <c r="R266" i="12"/>
  <c r="M268" i="12"/>
  <c r="N268" i="12"/>
  <c r="O268" i="12"/>
  <c r="P268" i="12"/>
  <c r="S266" i="12"/>
  <c r="D271" i="12"/>
  <c r="E271" i="12"/>
  <c r="F271" i="12"/>
  <c r="G271" i="12"/>
  <c r="H271" i="12"/>
  <c r="I271" i="12"/>
  <c r="J271" i="12"/>
  <c r="K271" i="12"/>
  <c r="L271" i="12"/>
  <c r="S269" i="12"/>
  <c r="P271" i="12"/>
  <c r="P274" i="12"/>
  <c r="D274" i="12"/>
  <c r="E274" i="12"/>
  <c r="F274" i="12"/>
  <c r="G274" i="12"/>
  <c r="H274" i="12"/>
  <c r="I274" i="12"/>
  <c r="J274" i="12"/>
  <c r="K274" i="12"/>
  <c r="L274" i="12"/>
  <c r="M274" i="12"/>
  <c r="N274" i="12"/>
  <c r="O274" i="12"/>
  <c r="S272" i="12"/>
  <c r="D277" i="12"/>
  <c r="E277" i="12"/>
  <c r="F277" i="12"/>
  <c r="G277" i="12"/>
  <c r="H277" i="12"/>
  <c r="I277" i="12"/>
  <c r="J277" i="12"/>
  <c r="K277" i="12"/>
  <c r="L277" i="12"/>
  <c r="P277" i="12"/>
  <c r="D280" i="12"/>
  <c r="E280" i="12"/>
  <c r="F280" i="12"/>
  <c r="G280" i="12"/>
  <c r="H280" i="12"/>
  <c r="I280" i="12"/>
  <c r="J280" i="12"/>
  <c r="K280" i="12"/>
  <c r="L280" i="12"/>
  <c r="M280" i="12"/>
  <c r="N280" i="12"/>
  <c r="O280" i="12"/>
  <c r="P280" i="12"/>
  <c r="D283" i="12"/>
  <c r="E283" i="12"/>
  <c r="F283" i="12"/>
  <c r="G283" i="12"/>
  <c r="H283" i="12"/>
  <c r="I283" i="12"/>
  <c r="J283" i="12"/>
  <c r="K283" i="12"/>
  <c r="L283" i="12"/>
  <c r="P283" i="12"/>
  <c r="U281" i="12"/>
  <c r="Q281" i="12"/>
  <c r="D286" i="12"/>
  <c r="E286" i="12"/>
  <c r="F286" i="12"/>
  <c r="G286" i="12"/>
  <c r="H286" i="12"/>
  <c r="I286" i="12"/>
  <c r="J286" i="12"/>
  <c r="K286" i="12"/>
  <c r="L286" i="12"/>
  <c r="M286" i="12"/>
  <c r="N286" i="12"/>
  <c r="O286" i="12"/>
  <c r="P286" i="12"/>
  <c r="U284" i="12"/>
  <c r="Q284" i="12"/>
  <c r="D289" i="12"/>
  <c r="E289" i="12"/>
  <c r="F289" i="12"/>
  <c r="G289" i="12"/>
  <c r="H289" i="12"/>
  <c r="I289" i="12"/>
  <c r="J289" i="12"/>
  <c r="K289" i="12"/>
  <c r="L289" i="12"/>
  <c r="R287" i="12"/>
  <c r="S287" i="12"/>
  <c r="P289" i="12"/>
  <c r="D292" i="12"/>
  <c r="E292" i="12"/>
  <c r="F292" i="12"/>
  <c r="G292" i="12"/>
  <c r="H292" i="12"/>
  <c r="I292" i="12"/>
  <c r="J292" i="12"/>
  <c r="K292" i="12"/>
  <c r="L292" i="12"/>
  <c r="R290" i="12"/>
  <c r="M292" i="12"/>
  <c r="N292" i="12"/>
  <c r="O292" i="12"/>
  <c r="P292" i="12"/>
  <c r="S290" i="12"/>
  <c r="D295" i="12"/>
  <c r="E295" i="12"/>
  <c r="F295" i="12"/>
  <c r="G295" i="12"/>
  <c r="H295" i="12"/>
  <c r="I295" i="12"/>
  <c r="J295" i="12"/>
  <c r="K295" i="12"/>
  <c r="L295" i="12"/>
  <c r="S293" i="12"/>
  <c r="P295" i="12"/>
  <c r="P298" i="12"/>
  <c r="D298" i="12"/>
  <c r="E298" i="12"/>
  <c r="F298" i="12"/>
  <c r="G298" i="12"/>
  <c r="H298" i="12"/>
  <c r="I298" i="12"/>
  <c r="J298" i="12"/>
  <c r="K298" i="12"/>
  <c r="L298" i="12"/>
  <c r="M298" i="12"/>
  <c r="N298" i="12"/>
  <c r="O298" i="12"/>
  <c r="S296" i="12"/>
  <c r="D301" i="12"/>
  <c r="E301" i="12"/>
  <c r="F301" i="12"/>
  <c r="G301" i="12"/>
  <c r="H301" i="12"/>
  <c r="I301" i="12"/>
  <c r="J301" i="12"/>
  <c r="K301" i="12"/>
  <c r="L301" i="12"/>
  <c r="P301" i="12"/>
  <c r="D304" i="12"/>
  <c r="E304" i="12"/>
  <c r="F304" i="12"/>
  <c r="G304" i="12"/>
  <c r="H304" i="12"/>
  <c r="I304" i="12"/>
  <c r="J304" i="12"/>
  <c r="K304" i="12"/>
  <c r="L304" i="12"/>
  <c r="M304" i="12"/>
  <c r="N304" i="12"/>
  <c r="O304" i="12"/>
  <c r="P304" i="12"/>
  <c r="D307" i="12"/>
  <c r="E307" i="12"/>
  <c r="F307" i="12"/>
  <c r="G307" i="12"/>
  <c r="H307" i="12"/>
  <c r="I307" i="12"/>
  <c r="J307" i="12"/>
  <c r="K307" i="12"/>
  <c r="L307" i="12"/>
  <c r="P307" i="12"/>
  <c r="U305" i="12"/>
  <c r="Q305" i="12"/>
  <c r="D310" i="12"/>
  <c r="E310" i="12"/>
  <c r="F310" i="12"/>
  <c r="G310" i="12"/>
  <c r="H310" i="12"/>
  <c r="I310" i="12"/>
  <c r="J310" i="12"/>
  <c r="K310" i="12"/>
  <c r="L310" i="12"/>
  <c r="M310" i="12"/>
  <c r="N310" i="12"/>
  <c r="O310" i="12"/>
  <c r="P310" i="12"/>
  <c r="U308" i="12"/>
  <c r="Q308" i="12"/>
  <c r="D313" i="12"/>
  <c r="E313" i="12"/>
  <c r="F313" i="12"/>
  <c r="G313" i="12"/>
  <c r="H313" i="12"/>
  <c r="I313" i="12"/>
  <c r="J313" i="12"/>
  <c r="K313" i="12"/>
  <c r="L313" i="12"/>
  <c r="R311" i="12"/>
  <c r="S311" i="12"/>
  <c r="P313" i="12"/>
  <c r="D316" i="12"/>
  <c r="E316" i="12"/>
  <c r="F316" i="12"/>
  <c r="G316" i="12"/>
  <c r="H316" i="12"/>
  <c r="I316" i="12"/>
  <c r="J316" i="12"/>
  <c r="K316" i="12"/>
  <c r="L316" i="12"/>
  <c r="R314" i="12"/>
  <c r="M316" i="12"/>
  <c r="N316" i="12"/>
  <c r="O316" i="12"/>
  <c r="P316" i="12"/>
  <c r="S314" i="12"/>
  <c r="D319" i="12"/>
  <c r="E319" i="12"/>
  <c r="F319" i="12"/>
  <c r="G319" i="12"/>
  <c r="H319" i="12"/>
  <c r="I319" i="12"/>
  <c r="J319" i="12"/>
  <c r="K319" i="12"/>
  <c r="L319" i="12"/>
  <c r="S317" i="12"/>
  <c r="P319" i="12"/>
  <c r="P322" i="12"/>
  <c r="D322" i="12"/>
  <c r="E322" i="12"/>
  <c r="F322" i="12"/>
  <c r="G322" i="12"/>
  <c r="H322" i="12"/>
  <c r="I322" i="12"/>
  <c r="J322" i="12"/>
  <c r="K322" i="12"/>
  <c r="L322" i="12"/>
  <c r="M322" i="12"/>
  <c r="N322" i="12"/>
  <c r="O322" i="12"/>
  <c r="S320" i="12"/>
  <c r="D325" i="12"/>
  <c r="E325" i="12"/>
  <c r="F325" i="12"/>
  <c r="G325" i="12"/>
  <c r="H325" i="12"/>
  <c r="I325" i="12"/>
  <c r="J325" i="12"/>
  <c r="K325" i="12"/>
  <c r="L325" i="12"/>
  <c r="P325" i="12"/>
  <c r="D328" i="12"/>
  <c r="E328" i="12"/>
  <c r="F328" i="12"/>
  <c r="G328" i="12"/>
  <c r="H328" i="12"/>
  <c r="I328" i="12"/>
  <c r="J328" i="12"/>
  <c r="K328" i="12"/>
  <c r="L328" i="12"/>
  <c r="M328" i="12"/>
  <c r="N328" i="12"/>
  <c r="O328" i="12"/>
  <c r="P328" i="12"/>
  <c r="D331" i="12"/>
  <c r="E331" i="12"/>
  <c r="F331" i="12"/>
  <c r="G331" i="12"/>
  <c r="H331" i="12"/>
  <c r="I331" i="12"/>
  <c r="J331" i="12"/>
  <c r="K331" i="12"/>
  <c r="L331" i="12"/>
  <c r="P331" i="12"/>
  <c r="U329" i="12"/>
  <c r="Q329" i="12"/>
  <c r="D334" i="12"/>
  <c r="E334" i="12"/>
  <c r="F334" i="12"/>
  <c r="G334" i="12"/>
  <c r="H334" i="12"/>
  <c r="I334" i="12"/>
  <c r="J334" i="12"/>
  <c r="K334" i="12"/>
  <c r="L334" i="12"/>
  <c r="M334" i="12"/>
  <c r="N334" i="12"/>
  <c r="O334" i="12"/>
  <c r="P334" i="12"/>
  <c r="U332" i="12"/>
  <c r="Q332" i="12"/>
  <c r="D337" i="12"/>
  <c r="E337" i="12"/>
  <c r="F337" i="12"/>
  <c r="G337" i="12"/>
  <c r="H337" i="12"/>
  <c r="I337" i="12"/>
  <c r="J337" i="12"/>
  <c r="K337" i="12"/>
  <c r="L337" i="12"/>
  <c r="R335" i="12"/>
  <c r="S335" i="12"/>
  <c r="P337" i="12"/>
  <c r="D340" i="12"/>
  <c r="E340" i="12"/>
  <c r="F340" i="12"/>
  <c r="G340" i="12"/>
  <c r="H340" i="12"/>
  <c r="I340" i="12"/>
  <c r="J340" i="12"/>
  <c r="K340" i="12"/>
  <c r="L340" i="12"/>
  <c r="R338" i="12"/>
  <c r="M340" i="12"/>
  <c r="N340" i="12"/>
  <c r="O340" i="12"/>
  <c r="P340" i="12"/>
  <c r="S338" i="12"/>
  <c r="D343" i="12"/>
  <c r="E343" i="12"/>
  <c r="F343" i="12"/>
  <c r="G343" i="12"/>
  <c r="H343" i="12"/>
  <c r="I343" i="12"/>
  <c r="J343" i="12"/>
  <c r="K343" i="12"/>
  <c r="L343" i="12"/>
  <c r="S341" i="12"/>
  <c r="P343" i="12"/>
  <c r="P346" i="12"/>
  <c r="D346" i="12"/>
  <c r="E346" i="12"/>
  <c r="F346" i="12"/>
  <c r="G346" i="12"/>
  <c r="H346" i="12"/>
  <c r="I346" i="12"/>
  <c r="J346" i="12"/>
  <c r="K346" i="12"/>
  <c r="L346" i="12"/>
  <c r="M346" i="12"/>
  <c r="N346" i="12"/>
  <c r="O346" i="12"/>
  <c r="S344" i="12"/>
  <c r="D349" i="12"/>
  <c r="E349" i="12"/>
  <c r="F349" i="12"/>
  <c r="G349" i="12"/>
  <c r="H349" i="12"/>
  <c r="I349" i="12"/>
  <c r="J349" i="12"/>
  <c r="K349" i="12"/>
  <c r="L349" i="12"/>
  <c r="P349" i="12"/>
  <c r="D352" i="12"/>
  <c r="E352" i="12"/>
  <c r="F352" i="12"/>
  <c r="G352" i="12"/>
  <c r="H352" i="12"/>
  <c r="I352" i="12"/>
  <c r="J352" i="12"/>
  <c r="K352" i="12"/>
  <c r="L352" i="12"/>
  <c r="M352" i="12"/>
  <c r="N352" i="12"/>
  <c r="O352" i="12"/>
  <c r="P352" i="12"/>
  <c r="D355" i="12"/>
  <c r="E355" i="12"/>
  <c r="F355" i="12"/>
  <c r="G355" i="12"/>
  <c r="H355" i="12"/>
  <c r="I355" i="12"/>
  <c r="J355" i="12"/>
  <c r="K355" i="12"/>
  <c r="L355" i="12"/>
  <c r="P355" i="12"/>
  <c r="U353" i="12"/>
  <c r="Q353" i="12"/>
  <c r="D358" i="12"/>
  <c r="E358" i="12"/>
  <c r="F358" i="12"/>
  <c r="G358" i="12"/>
  <c r="H358" i="12"/>
  <c r="I358" i="12"/>
  <c r="J358" i="12"/>
  <c r="K358" i="12"/>
  <c r="L358" i="12"/>
  <c r="M358" i="12"/>
  <c r="N358" i="12"/>
  <c r="O358" i="12"/>
  <c r="P358" i="12"/>
  <c r="U356" i="12"/>
  <c r="Q356" i="12"/>
  <c r="D361" i="12"/>
  <c r="E361" i="12"/>
  <c r="F361" i="12"/>
  <c r="G361" i="12"/>
  <c r="H361" i="12"/>
  <c r="I361" i="12"/>
  <c r="J361" i="12"/>
  <c r="K361" i="12"/>
  <c r="L361" i="12"/>
  <c r="R359" i="12"/>
  <c r="S359" i="12"/>
  <c r="P361" i="12"/>
  <c r="D364" i="12"/>
  <c r="E364" i="12"/>
  <c r="F364" i="12"/>
  <c r="G364" i="12"/>
  <c r="H364" i="12"/>
  <c r="I364" i="12"/>
  <c r="J364" i="12"/>
  <c r="K364" i="12"/>
  <c r="L364" i="12"/>
  <c r="R362" i="12"/>
  <c r="M364" i="12"/>
  <c r="N364" i="12"/>
  <c r="O364" i="12"/>
  <c r="P364" i="12"/>
  <c r="S362" i="12"/>
  <c r="D367" i="12"/>
  <c r="E367" i="12"/>
  <c r="F367" i="12"/>
  <c r="G367" i="12"/>
  <c r="H367" i="12"/>
  <c r="I367" i="12"/>
  <c r="J367" i="12"/>
  <c r="K367" i="12"/>
  <c r="L367" i="12"/>
  <c r="S365" i="12"/>
  <c r="P367" i="12"/>
  <c r="P370" i="12"/>
  <c r="D370" i="12"/>
  <c r="E370" i="12"/>
  <c r="F370" i="12"/>
  <c r="G370" i="12"/>
  <c r="H370" i="12"/>
  <c r="I370" i="12"/>
  <c r="J370" i="12"/>
  <c r="K370" i="12"/>
  <c r="L370" i="12"/>
  <c r="M370" i="12"/>
  <c r="N370" i="12"/>
  <c r="O370" i="12"/>
  <c r="S368" i="12"/>
  <c r="D373" i="12"/>
  <c r="E373" i="12"/>
  <c r="F373" i="12"/>
  <c r="G373" i="12"/>
  <c r="H373" i="12"/>
  <c r="I373" i="12"/>
  <c r="J373" i="12"/>
  <c r="K373" i="12"/>
  <c r="L373" i="12"/>
  <c r="P373" i="12"/>
  <c r="D376" i="12"/>
  <c r="E376" i="12"/>
  <c r="F376" i="12"/>
  <c r="G376" i="12"/>
  <c r="H376" i="12"/>
  <c r="I376" i="12"/>
  <c r="J376" i="12"/>
  <c r="K376" i="12"/>
  <c r="L376" i="12"/>
  <c r="M376" i="12"/>
  <c r="N376" i="12"/>
  <c r="O376" i="12"/>
  <c r="P376" i="12"/>
  <c r="D379" i="12"/>
  <c r="E379" i="12"/>
  <c r="F379" i="12"/>
  <c r="G379" i="12"/>
  <c r="H379" i="12"/>
  <c r="I379" i="12"/>
  <c r="J379" i="12"/>
  <c r="K379" i="12"/>
  <c r="L379" i="12"/>
  <c r="P379" i="12"/>
  <c r="U377" i="12"/>
  <c r="D382" i="12"/>
  <c r="E382" i="12"/>
  <c r="F382" i="12"/>
  <c r="G382" i="12"/>
  <c r="H382" i="12"/>
  <c r="I382" i="12"/>
  <c r="J382" i="12"/>
  <c r="K382" i="12"/>
  <c r="L382" i="12"/>
  <c r="M382" i="12"/>
  <c r="N382" i="12"/>
  <c r="O382" i="12"/>
  <c r="P382" i="12"/>
  <c r="U380" i="12"/>
  <c r="D385" i="12"/>
  <c r="E385" i="12"/>
  <c r="F385" i="12"/>
  <c r="G385" i="12"/>
  <c r="H385" i="12"/>
  <c r="I385" i="12"/>
  <c r="J385" i="12"/>
  <c r="K385" i="12"/>
  <c r="L385" i="12"/>
  <c r="Q383" i="12"/>
  <c r="R383" i="12"/>
  <c r="S383" i="12"/>
  <c r="P385" i="12"/>
  <c r="D388" i="12"/>
  <c r="E388" i="12"/>
  <c r="F388" i="12"/>
  <c r="G388" i="12"/>
  <c r="H388" i="12"/>
  <c r="I388" i="12"/>
  <c r="J388" i="12"/>
  <c r="K388" i="12"/>
  <c r="L388" i="12"/>
  <c r="M388" i="12"/>
  <c r="N388" i="12"/>
  <c r="O388" i="12"/>
  <c r="P388" i="12"/>
  <c r="Q386" i="12"/>
  <c r="D391" i="12"/>
  <c r="E391" i="12"/>
  <c r="F391" i="12"/>
  <c r="G391" i="12"/>
  <c r="H391" i="12"/>
  <c r="I391" i="12"/>
  <c r="J391" i="12"/>
  <c r="K391" i="12"/>
  <c r="L391" i="12"/>
  <c r="R389" i="12"/>
  <c r="S389" i="12"/>
  <c r="P391" i="12"/>
  <c r="D394" i="12"/>
  <c r="E394" i="12"/>
  <c r="F394" i="12"/>
  <c r="G394" i="12"/>
  <c r="H394" i="12"/>
  <c r="I394" i="12"/>
  <c r="J394" i="12"/>
  <c r="K394" i="12"/>
  <c r="L394" i="12"/>
  <c r="R392" i="12"/>
  <c r="M394" i="12"/>
  <c r="N394" i="12"/>
  <c r="O394" i="12"/>
  <c r="P394" i="12"/>
  <c r="S392" i="12"/>
  <c r="L397" i="12"/>
  <c r="D397" i="12"/>
  <c r="E397" i="12"/>
  <c r="F397" i="12"/>
  <c r="G397" i="12"/>
  <c r="H397" i="12"/>
  <c r="I397" i="12"/>
  <c r="J397" i="12"/>
  <c r="K397" i="12"/>
  <c r="S395" i="12"/>
  <c r="P397" i="12"/>
  <c r="P400" i="12"/>
  <c r="D400" i="12"/>
  <c r="E400" i="12"/>
  <c r="F400" i="12"/>
  <c r="G400" i="12"/>
  <c r="H400" i="12"/>
  <c r="I400" i="12"/>
  <c r="J400" i="12"/>
  <c r="K400" i="12"/>
  <c r="L400" i="12"/>
  <c r="M400" i="12"/>
  <c r="N400" i="12"/>
  <c r="O400" i="12"/>
  <c r="S398" i="12"/>
  <c r="D403" i="12"/>
  <c r="E403" i="12"/>
  <c r="F403" i="12"/>
  <c r="G403" i="12"/>
  <c r="H403" i="12"/>
  <c r="I403" i="12"/>
  <c r="J403" i="12"/>
  <c r="K403" i="12"/>
  <c r="L403" i="12"/>
  <c r="P403" i="12"/>
  <c r="U401" i="12"/>
  <c r="D406" i="12"/>
  <c r="E406" i="12"/>
  <c r="F406" i="12"/>
  <c r="G406" i="12"/>
  <c r="H406" i="12"/>
  <c r="I406" i="12"/>
  <c r="J406" i="12"/>
  <c r="K406" i="12"/>
  <c r="L406" i="12"/>
  <c r="M406" i="12"/>
  <c r="N406" i="12"/>
  <c r="O406" i="12"/>
  <c r="P406" i="12"/>
  <c r="U404" i="12"/>
  <c r="D409" i="12"/>
  <c r="E409" i="12"/>
  <c r="F409" i="12"/>
  <c r="G409" i="12"/>
  <c r="H409" i="12"/>
  <c r="I409" i="12"/>
  <c r="J409" i="12"/>
  <c r="K409" i="12"/>
  <c r="L409" i="12"/>
  <c r="Q407" i="12"/>
  <c r="R407" i="12"/>
  <c r="S407" i="12"/>
  <c r="P409" i="12"/>
  <c r="D412" i="12"/>
  <c r="E412" i="12"/>
  <c r="F412" i="12"/>
  <c r="G412" i="12"/>
  <c r="H412" i="12"/>
  <c r="I412" i="12"/>
  <c r="J412" i="12"/>
  <c r="K412" i="12"/>
  <c r="L412" i="12"/>
  <c r="M412" i="12"/>
  <c r="N412" i="12"/>
  <c r="O412" i="12"/>
  <c r="P412" i="12"/>
  <c r="Q410" i="12"/>
  <c r="D415" i="12"/>
  <c r="E415" i="12"/>
  <c r="F415" i="12"/>
  <c r="G415" i="12"/>
  <c r="H415" i="12"/>
  <c r="I415" i="12"/>
  <c r="J415" i="12"/>
  <c r="K415" i="12"/>
  <c r="L415" i="12"/>
  <c r="R413" i="12"/>
  <c r="S413" i="12"/>
  <c r="P415" i="12"/>
  <c r="D418" i="12"/>
  <c r="E418" i="12"/>
  <c r="F418" i="12"/>
  <c r="G418" i="12"/>
  <c r="H418" i="12"/>
  <c r="I418" i="12"/>
  <c r="J418" i="12"/>
  <c r="K418" i="12"/>
  <c r="L418" i="12"/>
  <c r="R416" i="12"/>
  <c r="M418" i="12"/>
  <c r="N418" i="12"/>
  <c r="O418" i="12"/>
  <c r="P418" i="12"/>
  <c r="S416" i="12"/>
  <c r="L421" i="12"/>
  <c r="D421" i="12"/>
  <c r="E421" i="12"/>
  <c r="F421" i="12"/>
  <c r="G421" i="12"/>
  <c r="H421" i="12"/>
  <c r="I421" i="12"/>
  <c r="J421" i="12"/>
  <c r="K421" i="12"/>
  <c r="S419" i="12"/>
  <c r="P421" i="12"/>
  <c r="P424" i="12"/>
  <c r="D424" i="12"/>
  <c r="E424" i="12"/>
  <c r="F424" i="12"/>
  <c r="G424" i="12"/>
  <c r="H424" i="12"/>
  <c r="I424" i="12"/>
  <c r="J424" i="12"/>
  <c r="K424" i="12"/>
  <c r="L424" i="12"/>
  <c r="M424" i="12"/>
  <c r="N424" i="12"/>
  <c r="O424" i="12"/>
  <c r="S422" i="12"/>
  <c r="D427" i="12"/>
  <c r="E427" i="12"/>
  <c r="F427" i="12"/>
  <c r="G427" i="12"/>
  <c r="H427" i="12"/>
  <c r="I427" i="12"/>
  <c r="J427" i="12"/>
  <c r="K427" i="12"/>
  <c r="L427" i="12"/>
  <c r="P427" i="12"/>
  <c r="U425" i="12"/>
  <c r="D430" i="12"/>
  <c r="E430" i="12"/>
  <c r="F430" i="12"/>
  <c r="G430" i="12"/>
  <c r="H430" i="12"/>
  <c r="I430" i="12"/>
  <c r="J430" i="12"/>
  <c r="K430" i="12"/>
  <c r="L430" i="12"/>
  <c r="M430" i="12"/>
  <c r="N430" i="12"/>
  <c r="O430" i="12"/>
  <c r="P430" i="12"/>
  <c r="U428" i="12"/>
  <c r="D433" i="12"/>
  <c r="E433" i="12"/>
  <c r="F433" i="12"/>
  <c r="G433" i="12"/>
  <c r="H433" i="12"/>
  <c r="I433" i="12"/>
  <c r="J433" i="12"/>
  <c r="K433" i="12"/>
  <c r="L433" i="12"/>
  <c r="Q431" i="12"/>
  <c r="R431" i="12"/>
  <c r="S431" i="12"/>
  <c r="P433" i="12"/>
  <c r="D436" i="12"/>
  <c r="E436" i="12"/>
  <c r="F436" i="12"/>
  <c r="G436" i="12"/>
  <c r="H436" i="12"/>
  <c r="I436" i="12"/>
  <c r="J436" i="12"/>
  <c r="K436" i="12"/>
  <c r="L436" i="12"/>
  <c r="M436" i="12"/>
  <c r="N436" i="12"/>
  <c r="O436" i="12"/>
  <c r="P436" i="12"/>
  <c r="Q434" i="12"/>
  <c r="D439" i="12"/>
  <c r="E439" i="12"/>
  <c r="F439" i="12"/>
  <c r="G439" i="12"/>
  <c r="H439" i="12"/>
  <c r="I439" i="12"/>
  <c r="J439" i="12"/>
  <c r="K439" i="12"/>
  <c r="L439" i="12"/>
  <c r="R437" i="12"/>
  <c r="S437" i="12"/>
  <c r="P439" i="12"/>
  <c r="D442" i="12"/>
  <c r="E442" i="12"/>
  <c r="F442" i="12"/>
  <c r="G442" i="12"/>
  <c r="H442" i="12"/>
  <c r="I442" i="12"/>
  <c r="J442" i="12"/>
  <c r="K442" i="12"/>
  <c r="L442" i="12"/>
  <c r="R440" i="12"/>
  <c r="M442" i="12"/>
  <c r="N442" i="12"/>
  <c r="O442" i="12"/>
  <c r="P442" i="12"/>
  <c r="S440" i="12"/>
  <c r="L445" i="12"/>
  <c r="D445" i="12"/>
  <c r="E445" i="12"/>
  <c r="F445" i="12"/>
  <c r="G445" i="12"/>
  <c r="H445" i="12"/>
  <c r="I445" i="12"/>
  <c r="J445" i="12"/>
  <c r="K445" i="12"/>
  <c r="S443" i="12"/>
  <c r="P445" i="12"/>
  <c r="P448" i="12"/>
  <c r="D448" i="12"/>
  <c r="E448" i="12"/>
  <c r="F448" i="12"/>
  <c r="G448" i="12"/>
  <c r="H448" i="12"/>
  <c r="I448" i="12"/>
  <c r="J448" i="12"/>
  <c r="K448" i="12"/>
  <c r="L448" i="12"/>
  <c r="M448" i="12"/>
  <c r="N448" i="12"/>
  <c r="O448" i="12"/>
  <c r="S446" i="12"/>
  <c r="D451" i="12"/>
  <c r="E451" i="12"/>
  <c r="F451" i="12"/>
  <c r="G451" i="12"/>
  <c r="H451" i="12"/>
  <c r="I451" i="12"/>
  <c r="J451" i="12"/>
  <c r="K451" i="12"/>
  <c r="L451" i="12"/>
  <c r="P451" i="12"/>
  <c r="U449" i="12"/>
  <c r="D454" i="12"/>
  <c r="E454" i="12"/>
  <c r="F454" i="12"/>
  <c r="G454" i="12"/>
  <c r="H454" i="12"/>
  <c r="I454" i="12"/>
  <c r="J454" i="12"/>
  <c r="K454" i="12"/>
  <c r="L454" i="12"/>
  <c r="M454" i="12"/>
  <c r="N454" i="12"/>
  <c r="O454" i="12"/>
  <c r="P454" i="12"/>
  <c r="U452" i="12"/>
  <c r="D457" i="12"/>
  <c r="E457" i="12"/>
  <c r="F457" i="12"/>
  <c r="G457" i="12"/>
  <c r="H457" i="12"/>
  <c r="I457" i="12"/>
  <c r="J457" i="12"/>
  <c r="K457" i="12"/>
  <c r="L457" i="12"/>
  <c r="Q455" i="12"/>
  <c r="R455" i="12"/>
  <c r="S455" i="12"/>
  <c r="P457" i="12"/>
  <c r="D460" i="12"/>
  <c r="E460" i="12"/>
  <c r="F460" i="12"/>
  <c r="G460" i="12"/>
  <c r="H460" i="12"/>
  <c r="I460" i="12"/>
  <c r="J460" i="12"/>
  <c r="K460" i="12"/>
  <c r="L460" i="12"/>
  <c r="M460" i="12"/>
  <c r="N460" i="12"/>
  <c r="O460" i="12"/>
  <c r="P460" i="12"/>
  <c r="D463" i="12"/>
  <c r="E463" i="12"/>
  <c r="F463" i="12"/>
  <c r="G463" i="12"/>
  <c r="H463" i="12"/>
  <c r="I463" i="12"/>
  <c r="J463" i="12"/>
  <c r="K463" i="12"/>
  <c r="L463" i="12"/>
  <c r="R461" i="12"/>
  <c r="S461" i="12"/>
  <c r="P463" i="12"/>
  <c r="D466" i="12"/>
  <c r="E466" i="12"/>
  <c r="F466" i="12"/>
  <c r="G466" i="12"/>
  <c r="H466" i="12"/>
  <c r="I466" i="12"/>
  <c r="J466" i="12"/>
  <c r="K466" i="12"/>
  <c r="L466" i="12"/>
  <c r="R464" i="12"/>
  <c r="M466" i="12"/>
  <c r="N466" i="12"/>
  <c r="O466" i="12"/>
  <c r="P466" i="12"/>
  <c r="S464" i="12"/>
  <c r="L469" i="12"/>
  <c r="D469" i="12"/>
  <c r="E469" i="12"/>
  <c r="F469" i="12"/>
  <c r="G469" i="12"/>
  <c r="H469" i="12"/>
  <c r="I469" i="12"/>
  <c r="J469" i="12"/>
  <c r="K469" i="12"/>
  <c r="S467" i="12"/>
  <c r="P469" i="12"/>
  <c r="P472" i="12"/>
  <c r="D472" i="12"/>
  <c r="E472" i="12"/>
  <c r="F472" i="12"/>
  <c r="G472" i="12"/>
  <c r="H472" i="12"/>
  <c r="I472" i="12"/>
  <c r="J472" i="12"/>
  <c r="K472" i="12"/>
  <c r="L472" i="12"/>
  <c r="M472" i="12"/>
  <c r="N472" i="12"/>
  <c r="O472" i="12"/>
  <c r="S470" i="12"/>
  <c r="D475" i="12"/>
  <c r="E475" i="12"/>
  <c r="F475" i="12"/>
  <c r="G475" i="12"/>
  <c r="H475" i="12"/>
  <c r="I475" i="12"/>
  <c r="J475" i="12"/>
  <c r="K475" i="12"/>
  <c r="L475" i="12"/>
  <c r="P475" i="12"/>
  <c r="D478" i="12"/>
  <c r="E478" i="12"/>
  <c r="F478" i="12"/>
  <c r="G478" i="12"/>
  <c r="H478" i="12"/>
  <c r="I478" i="12"/>
  <c r="J478" i="12"/>
  <c r="K478" i="12"/>
  <c r="L478" i="12"/>
  <c r="M478" i="12"/>
  <c r="N478" i="12"/>
  <c r="O478" i="12"/>
  <c r="P478" i="12"/>
  <c r="Q476" i="12"/>
  <c r="D481" i="12"/>
  <c r="E481" i="12"/>
  <c r="F481" i="12"/>
  <c r="G481" i="12"/>
  <c r="H481" i="12"/>
  <c r="I481" i="12"/>
  <c r="J481" i="12"/>
  <c r="K481" i="12"/>
  <c r="L481" i="12"/>
  <c r="Q479" i="12"/>
  <c r="R479" i="12"/>
  <c r="T479" i="12"/>
  <c r="S479" i="12"/>
  <c r="P481" i="12"/>
  <c r="D484" i="12"/>
  <c r="E484" i="12"/>
  <c r="F484" i="12"/>
  <c r="G484" i="12"/>
  <c r="H484" i="12"/>
  <c r="I484" i="12"/>
  <c r="J484" i="12"/>
  <c r="K484" i="12"/>
  <c r="L484" i="12"/>
  <c r="M484" i="12"/>
  <c r="N484" i="12"/>
  <c r="O484" i="12"/>
  <c r="P484" i="12"/>
  <c r="D487" i="12"/>
  <c r="E487" i="12"/>
  <c r="F487" i="12"/>
  <c r="G487" i="12"/>
  <c r="H487" i="12"/>
  <c r="I487" i="12"/>
  <c r="J487" i="12"/>
  <c r="K487" i="12"/>
  <c r="L487" i="12"/>
  <c r="Q485" i="12"/>
  <c r="P487" i="12"/>
  <c r="D490" i="12"/>
  <c r="E490" i="12"/>
  <c r="F490" i="12"/>
  <c r="G490" i="12"/>
  <c r="H490" i="12"/>
  <c r="I490" i="12"/>
  <c r="J490" i="12"/>
  <c r="K490" i="12"/>
  <c r="L490" i="12"/>
  <c r="M490" i="12"/>
  <c r="N490" i="12"/>
  <c r="O490" i="12"/>
  <c r="P490" i="12"/>
  <c r="Q488" i="12"/>
  <c r="D493" i="12"/>
  <c r="E493" i="12"/>
  <c r="F493" i="12"/>
  <c r="G493" i="12"/>
  <c r="H493" i="12"/>
  <c r="I493" i="12"/>
  <c r="J493" i="12"/>
  <c r="K493" i="12"/>
  <c r="L493" i="12"/>
  <c r="R491" i="12"/>
  <c r="P493" i="12"/>
  <c r="D496" i="12"/>
  <c r="E496" i="12"/>
  <c r="F496" i="12"/>
  <c r="G496" i="12"/>
  <c r="H496" i="12"/>
  <c r="I496" i="12"/>
  <c r="J496" i="12"/>
  <c r="K496" i="12"/>
  <c r="L496" i="12"/>
  <c r="R494" i="12"/>
  <c r="M496" i="12"/>
  <c r="N496" i="12"/>
  <c r="O496" i="12"/>
  <c r="P496" i="12"/>
  <c r="D499" i="12"/>
  <c r="E499" i="12"/>
  <c r="F499" i="12"/>
  <c r="G499" i="12"/>
  <c r="H499" i="12"/>
  <c r="I499" i="12"/>
  <c r="J499" i="12"/>
  <c r="K499" i="12"/>
  <c r="L499" i="12"/>
  <c r="S497" i="12"/>
  <c r="P499" i="12"/>
  <c r="P502" i="12"/>
  <c r="D502" i="12"/>
  <c r="E502" i="12"/>
  <c r="F502" i="12"/>
  <c r="G502" i="12"/>
  <c r="H502" i="12"/>
  <c r="I502" i="12"/>
  <c r="J502" i="12"/>
  <c r="K502" i="12"/>
  <c r="L502" i="12"/>
  <c r="M502" i="12"/>
  <c r="N502" i="12"/>
  <c r="O502" i="12"/>
  <c r="S500" i="12"/>
  <c r="D505" i="12"/>
  <c r="E505" i="12"/>
  <c r="F505" i="12"/>
  <c r="G505" i="12"/>
  <c r="H505" i="12"/>
  <c r="I505" i="12"/>
  <c r="J505" i="12"/>
  <c r="K505" i="12"/>
  <c r="L505" i="12"/>
  <c r="Q503" i="12"/>
  <c r="S503" i="12"/>
  <c r="P505" i="12"/>
  <c r="D508" i="12"/>
  <c r="E508" i="12"/>
  <c r="F508" i="12"/>
  <c r="G508" i="12"/>
  <c r="H508" i="12"/>
  <c r="I508" i="12"/>
  <c r="J508" i="12"/>
  <c r="K508" i="12"/>
  <c r="L508" i="12"/>
  <c r="M508" i="12"/>
  <c r="N508" i="12"/>
  <c r="O508" i="12"/>
  <c r="P508" i="12"/>
  <c r="D511" i="12"/>
  <c r="E511" i="12"/>
  <c r="F511" i="12"/>
  <c r="G511" i="12"/>
  <c r="H511" i="12"/>
  <c r="I511" i="12"/>
  <c r="J511" i="12"/>
  <c r="K511" i="12"/>
  <c r="L511" i="12"/>
  <c r="Q509" i="12"/>
  <c r="P511" i="12"/>
  <c r="D514" i="12"/>
  <c r="E514" i="12"/>
  <c r="F514" i="12"/>
  <c r="G514" i="12"/>
  <c r="H514" i="12"/>
  <c r="I514" i="12"/>
  <c r="J514" i="12"/>
  <c r="K514" i="12"/>
  <c r="L514" i="12"/>
  <c r="M514" i="12"/>
  <c r="N514" i="12"/>
  <c r="O514" i="12"/>
  <c r="P514" i="12"/>
  <c r="Q512" i="12"/>
  <c r="D517" i="12"/>
  <c r="E517" i="12"/>
  <c r="F517" i="12"/>
  <c r="G517" i="12"/>
  <c r="H517" i="12"/>
  <c r="I517" i="12"/>
  <c r="J517" i="12"/>
  <c r="K517" i="12"/>
  <c r="L517" i="12"/>
  <c r="R515" i="12"/>
  <c r="P517" i="12"/>
  <c r="D520" i="12"/>
  <c r="E520" i="12"/>
  <c r="F520" i="12"/>
  <c r="G520" i="12"/>
  <c r="H520" i="12"/>
  <c r="I520" i="12"/>
  <c r="J520" i="12"/>
  <c r="K520" i="12"/>
  <c r="L520" i="12"/>
  <c r="R518" i="12"/>
  <c r="M520" i="12"/>
  <c r="N520" i="12"/>
  <c r="O520" i="12"/>
  <c r="P520" i="12"/>
  <c r="D523" i="12"/>
  <c r="E523" i="12"/>
  <c r="F523" i="12"/>
  <c r="G523" i="12"/>
  <c r="H523" i="12"/>
  <c r="I523" i="12"/>
  <c r="J523" i="12"/>
  <c r="K523" i="12"/>
  <c r="L523" i="12"/>
  <c r="S521" i="12"/>
  <c r="P523" i="12"/>
  <c r="P526" i="12"/>
  <c r="D526" i="12"/>
  <c r="E526" i="12"/>
  <c r="F526" i="12"/>
  <c r="G526" i="12"/>
  <c r="H526" i="12"/>
  <c r="I526" i="12"/>
  <c r="J526" i="12"/>
  <c r="K526" i="12"/>
  <c r="L526" i="12"/>
  <c r="M526" i="12"/>
  <c r="N526" i="12"/>
  <c r="O526" i="12"/>
  <c r="S524" i="12"/>
  <c r="D529" i="12"/>
  <c r="E529" i="12"/>
  <c r="F529" i="12"/>
  <c r="G529" i="12"/>
  <c r="H529" i="12"/>
  <c r="I529" i="12"/>
  <c r="J529" i="12"/>
  <c r="K529" i="12"/>
  <c r="L529" i="12"/>
  <c r="Q527" i="12"/>
  <c r="S527" i="12"/>
  <c r="P529" i="12"/>
  <c r="D532" i="12"/>
  <c r="E532" i="12"/>
  <c r="F532" i="12"/>
  <c r="G532" i="12"/>
  <c r="H532" i="12"/>
  <c r="I532" i="12"/>
  <c r="J532" i="12"/>
  <c r="K532" i="12"/>
  <c r="L532" i="12"/>
  <c r="M532" i="12"/>
  <c r="N532" i="12"/>
  <c r="O532" i="12"/>
  <c r="P532" i="12"/>
  <c r="D535" i="12"/>
  <c r="E535" i="12"/>
  <c r="F535" i="12"/>
  <c r="G535" i="12"/>
  <c r="H535" i="12"/>
  <c r="I535" i="12"/>
  <c r="J535" i="12"/>
  <c r="K535" i="12"/>
  <c r="L535" i="12"/>
  <c r="Q533" i="12"/>
  <c r="P535" i="12"/>
  <c r="D538" i="12"/>
  <c r="E538" i="12"/>
  <c r="F538" i="12"/>
  <c r="G538" i="12"/>
  <c r="H538" i="12"/>
  <c r="I538" i="12"/>
  <c r="J538" i="12"/>
  <c r="K538" i="12"/>
  <c r="L538" i="12"/>
  <c r="M538" i="12"/>
  <c r="N538" i="12"/>
  <c r="O538" i="12"/>
  <c r="P538" i="12"/>
  <c r="Q536" i="12"/>
  <c r="D541" i="12"/>
  <c r="E541" i="12"/>
  <c r="F541" i="12"/>
  <c r="G541" i="12"/>
  <c r="H541" i="12"/>
  <c r="I541" i="12"/>
  <c r="J541" i="12"/>
  <c r="K541" i="12"/>
  <c r="L541" i="12"/>
  <c r="R539" i="12"/>
  <c r="P541" i="12"/>
  <c r="D544" i="12"/>
  <c r="E544" i="12"/>
  <c r="F544" i="12"/>
  <c r="G544" i="12"/>
  <c r="H544" i="12"/>
  <c r="I544" i="12"/>
  <c r="J544" i="12"/>
  <c r="K544" i="12"/>
  <c r="L544" i="12"/>
  <c r="R542" i="12"/>
  <c r="M544" i="12"/>
  <c r="N544" i="12"/>
  <c r="O544" i="12"/>
  <c r="P544" i="12"/>
  <c r="D547" i="12"/>
  <c r="E547" i="12"/>
  <c r="F547" i="12"/>
  <c r="G547" i="12"/>
  <c r="H547" i="12"/>
  <c r="I547" i="12"/>
  <c r="J547" i="12"/>
  <c r="K547" i="12"/>
  <c r="L547" i="12"/>
  <c r="S545" i="12"/>
  <c r="P547" i="12"/>
  <c r="P550" i="12"/>
  <c r="D550" i="12"/>
  <c r="E550" i="12"/>
  <c r="F550" i="12"/>
  <c r="G550" i="12"/>
  <c r="H550" i="12"/>
  <c r="I550" i="12"/>
  <c r="J550" i="12"/>
  <c r="K550" i="12"/>
  <c r="L550" i="12"/>
  <c r="M550" i="12"/>
  <c r="N550" i="12"/>
  <c r="O550" i="12"/>
  <c r="S548" i="12"/>
  <c r="D553" i="12"/>
  <c r="E553" i="12"/>
  <c r="F553" i="12"/>
  <c r="G553" i="12"/>
  <c r="H553" i="12"/>
  <c r="I553" i="12"/>
  <c r="J553" i="12"/>
  <c r="K553" i="12"/>
  <c r="L553" i="12"/>
  <c r="M553" i="12"/>
  <c r="N553" i="12"/>
  <c r="O553" i="12"/>
  <c r="P553" i="12"/>
  <c r="Q551" i="12"/>
  <c r="S551" i="12"/>
  <c r="D556" i="12"/>
  <c r="E556" i="12"/>
  <c r="F556" i="12"/>
  <c r="G556" i="12"/>
  <c r="H556" i="12"/>
  <c r="I556" i="12"/>
  <c r="J556" i="12"/>
  <c r="K556" i="12"/>
  <c r="L556" i="12"/>
  <c r="P556" i="12"/>
  <c r="U554" i="12"/>
  <c r="D559" i="12"/>
  <c r="E559" i="12"/>
  <c r="F559" i="12"/>
  <c r="G559" i="12"/>
  <c r="H559" i="12"/>
  <c r="I559" i="12"/>
  <c r="J559" i="12"/>
  <c r="K559" i="12"/>
  <c r="L559" i="12"/>
  <c r="M559" i="12"/>
  <c r="N559" i="12"/>
  <c r="O559" i="12"/>
  <c r="P559" i="12"/>
  <c r="U557" i="12"/>
  <c r="D562" i="12"/>
  <c r="E562" i="12"/>
  <c r="F562" i="12"/>
  <c r="G562" i="12"/>
  <c r="H562" i="12"/>
  <c r="I562" i="12"/>
  <c r="J562" i="12"/>
  <c r="K562" i="12"/>
  <c r="L562" i="12"/>
  <c r="R560" i="12"/>
  <c r="Q560" i="12"/>
  <c r="T560" i="12"/>
  <c r="P562" i="12"/>
  <c r="D565" i="12"/>
  <c r="E565" i="12"/>
  <c r="F565" i="12"/>
  <c r="G565" i="12"/>
  <c r="H565" i="12"/>
  <c r="I565" i="12"/>
  <c r="J565" i="12"/>
  <c r="K565" i="12"/>
  <c r="L565" i="12"/>
  <c r="R563" i="12"/>
  <c r="M565" i="12"/>
  <c r="N565" i="12"/>
  <c r="O565" i="12"/>
  <c r="P565" i="12"/>
  <c r="Q563" i="12"/>
  <c r="T563" i="12"/>
  <c r="D568" i="12"/>
  <c r="E568" i="12"/>
  <c r="F568" i="12"/>
  <c r="G568" i="12"/>
  <c r="H568" i="12"/>
  <c r="I568" i="12"/>
  <c r="J568" i="12"/>
  <c r="K568" i="12"/>
  <c r="L568" i="12"/>
  <c r="S566" i="12"/>
  <c r="P568" i="12"/>
  <c r="D571" i="12"/>
  <c r="E571" i="12"/>
  <c r="F571" i="12"/>
  <c r="G571" i="12"/>
  <c r="H571" i="12"/>
  <c r="I571" i="12"/>
  <c r="J571" i="12"/>
  <c r="K571" i="12"/>
  <c r="L571" i="12"/>
  <c r="M571" i="12"/>
  <c r="N571" i="12"/>
  <c r="O571" i="12"/>
  <c r="P571" i="12"/>
  <c r="S569" i="12"/>
  <c r="D574" i="12"/>
  <c r="E574" i="12"/>
  <c r="F574" i="12"/>
  <c r="G574" i="12"/>
  <c r="H574" i="12"/>
  <c r="I574" i="12"/>
  <c r="J574" i="12"/>
  <c r="K574" i="12"/>
  <c r="L574" i="12"/>
  <c r="Q572" i="12"/>
  <c r="S572" i="12"/>
  <c r="P574" i="12"/>
  <c r="D577" i="12"/>
  <c r="E577" i="12"/>
  <c r="F577" i="12"/>
  <c r="G577" i="12"/>
  <c r="H577" i="12"/>
  <c r="I577" i="12"/>
  <c r="J577" i="12"/>
  <c r="K577" i="12"/>
  <c r="L577" i="12"/>
  <c r="M577" i="12"/>
  <c r="N577" i="12"/>
  <c r="O577" i="12"/>
  <c r="P577" i="12"/>
  <c r="Q575" i="12"/>
  <c r="S575" i="12"/>
  <c r="D580" i="12"/>
  <c r="E580" i="12"/>
  <c r="F580" i="12"/>
  <c r="G580" i="12"/>
  <c r="H580" i="12"/>
  <c r="I580" i="12"/>
  <c r="J580" i="12"/>
  <c r="K580" i="12"/>
  <c r="L580" i="12"/>
  <c r="R578" i="12"/>
  <c r="P580" i="12"/>
  <c r="U578" i="12"/>
  <c r="D583" i="12"/>
  <c r="E583" i="12"/>
  <c r="F583" i="12"/>
  <c r="G583" i="12"/>
  <c r="H583" i="12"/>
  <c r="I583" i="12"/>
  <c r="J583" i="12"/>
  <c r="K583" i="12"/>
  <c r="L583" i="12"/>
  <c r="R581" i="12"/>
  <c r="M583" i="12"/>
  <c r="N583" i="12"/>
  <c r="O583" i="12"/>
  <c r="P583" i="12"/>
  <c r="U581" i="12"/>
  <c r="D586" i="12"/>
  <c r="E586" i="12"/>
  <c r="F586" i="12"/>
  <c r="G586" i="12"/>
  <c r="H586" i="12"/>
  <c r="I586" i="12"/>
  <c r="J586" i="12"/>
  <c r="K586" i="12"/>
  <c r="L586" i="12"/>
  <c r="R584" i="12"/>
  <c r="Q584" i="12"/>
  <c r="T584" i="12"/>
  <c r="P586" i="12"/>
  <c r="D589" i="12"/>
  <c r="E589" i="12"/>
  <c r="F589" i="12"/>
  <c r="G589" i="12"/>
  <c r="H589" i="12"/>
  <c r="I589" i="12"/>
  <c r="J589" i="12"/>
  <c r="K589" i="12"/>
  <c r="L589" i="12"/>
  <c r="R587" i="12"/>
  <c r="M589" i="12"/>
  <c r="N589" i="12"/>
  <c r="O589" i="12"/>
  <c r="P589" i="12"/>
  <c r="Q587" i="12"/>
  <c r="T587" i="12"/>
  <c r="D592" i="12"/>
  <c r="E592" i="12"/>
  <c r="F592" i="12"/>
  <c r="G592" i="12"/>
  <c r="H592" i="12"/>
  <c r="I592" i="12"/>
  <c r="J592" i="12"/>
  <c r="K592" i="12"/>
  <c r="L592" i="12"/>
  <c r="S590" i="12"/>
  <c r="P592" i="12"/>
  <c r="D595" i="12"/>
  <c r="E595" i="12"/>
  <c r="F595" i="12"/>
  <c r="G595" i="12"/>
  <c r="H595" i="12"/>
  <c r="I595" i="12"/>
  <c r="J595" i="12"/>
  <c r="K595" i="12"/>
  <c r="L595" i="12"/>
  <c r="M595" i="12"/>
  <c r="N595" i="12"/>
  <c r="O595" i="12"/>
  <c r="P595" i="12"/>
  <c r="S593" i="12"/>
  <c r="D598" i="12"/>
  <c r="E598" i="12"/>
  <c r="F598" i="12"/>
  <c r="G598" i="12"/>
  <c r="H598" i="12"/>
  <c r="I598" i="12"/>
  <c r="J598" i="12"/>
  <c r="K598" i="12"/>
  <c r="L598" i="12"/>
  <c r="Q596" i="12"/>
  <c r="S596" i="12"/>
  <c r="P598" i="12"/>
  <c r="D601" i="12"/>
  <c r="E601" i="12"/>
  <c r="F601" i="12"/>
  <c r="G601" i="12"/>
  <c r="H601" i="12"/>
  <c r="I601" i="12"/>
  <c r="J601" i="12"/>
  <c r="K601" i="12"/>
  <c r="L601" i="12"/>
  <c r="M601" i="12"/>
  <c r="N601" i="12"/>
  <c r="O601" i="12"/>
  <c r="P601" i="12"/>
  <c r="Q599" i="12"/>
  <c r="S599" i="12"/>
  <c r="D604" i="12"/>
  <c r="E604" i="12"/>
  <c r="F604" i="12"/>
  <c r="G604" i="12"/>
  <c r="H604" i="12"/>
  <c r="I604" i="12"/>
  <c r="J604" i="12"/>
  <c r="K604" i="12"/>
  <c r="L604" i="12"/>
  <c r="R602" i="12"/>
  <c r="P604" i="12"/>
  <c r="U602" i="12"/>
  <c r="D607" i="12"/>
  <c r="E607" i="12"/>
  <c r="F607" i="12"/>
  <c r="G607" i="12"/>
  <c r="H607" i="12"/>
  <c r="I607" i="12"/>
  <c r="J607" i="12"/>
  <c r="K607" i="12"/>
  <c r="L607" i="12"/>
  <c r="R605" i="12"/>
  <c r="M607" i="12"/>
  <c r="N607" i="12"/>
  <c r="O607" i="12"/>
  <c r="P607" i="12"/>
  <c r="U605" i="12"/>
  <c r="D610" i="12"/>
  <c r="E610" i="12"/>
  <c r="F610" i="12"/>
  <c r="G610" i="12"/>
  <c r="H610" i="12"/>
  <c r="I610" i="12"/>
  <c r="J610" i="12"/>
  <c r="K610" i="12"/>
  <c r="L610" i="12"/>
  <c r="R608" i="12"/>
  <c r="Q608" i="12"/>
  <c r="T608" i="12"/>
  <c r="P610" i="12"/>
  <c r="D613" i="12"/>
  <c r="E613" i="12"/>
  <c r="F613" i="12"/>
  <c r="G613" i="12"/>
  <c r="H613" i="12"/>
  <c r="I613" i="12"/>
  <c r="J613" i="12"/>
  <c r="K613" i="12"/>
  <c r="L613" i="12"/>
  <c r="R611" i="12"/>
  <c r="M613" i="12"/>
  <c r="N613" i="12"/>
  <c r="O613" i="12"/>
  <c r="P613" i="12"/>
  <c r="Q611" i="12"/>
  <c r="T611" i="12"/>
  <c r="D616" i="12"/>
  <c r="E616" i="12"/>
  <c r="F616" i="12"/>
  <c r="G616" i="12"/>
  <c r="H616" i="12"/>
  <c r="I616" i="12"/>
  <c r="J616" i="12"/>
  <c r="K616" i="12"/>
  <c r="L616" i="12"/>
  <c r="M616" i="12"/>
  <c r="N616" i="12"/>
  <c r="O616" i="12"/>
  <c r="P616" i="12"/>
  <c r="S614" i="12"/>
  <c r="D619" i="12"/>
  <c r="E619" i="12"/>
  <c r="F619" i="12"/>
  <c r="G619" i="12"/>
  <c r="H619" i="12"/>
  <c r="I619" i="12"/>
  <c r="J619" i="12"/>
  <c r="K619" i="12"/>
  <c r="L619" i="12"/>
  <c r="P619" i="12"/>
  <c r="D622" i="12"/>
  <c r="E622" i="12"/>
  <c r="F622" i="12"/>
  <c r="G622" i="12"/>
  <c r="H622" i="12"/>
  <c r="I622" i="12"/>
  <c r="J622" i="12"/>
  <c r="K622" i="12"/>
  <c r="L622" i="12"/>
  <c r="M622" i="12"/>
  <c r="N622" i="12"/>
  <c r="O622" i="12"/>
  <c r="P622" i="12"/>
  <c r="S620" i="12"/>
  <c r="D625" i="12"/>
  <c r="E625" i="12"/>
  <c r="F625" i="12"/>
  <c r="G625" i="12"/>
  <c r="H625" i="12"/>
  <c r="I625" i="12"/>
  <c r="J625" i="12"/>
  <c r="K625" i="12"/>
  <c r="L625" i="12"/>
  <c r="P625" i="12"/>
  <c r="U623" i="12"/>
  <c r="S623" i="12"/>
  <c r="D628" i="12"/>
  <c r="E628" i="12"/>
  <c r="F628" i="12"/>
  <c r="G628" i="12"/>
  <c r="H628" i="12"/>
  <c r="I628" i="12"/>
  <c r="J628" i="12"/>
  <c r="K628" i="12"/>
  <c r="L628" i="12"/>
  <c r="M628" i="12"/>
  <c r="N628" i="12"/>
  <c r="O628" i="12"/>
  <c r="P628" i="12"/>
  <c r="U626" i="12"/>
  <c r="D631" i="12"/>
  <c r="E631" i="12"/>
  <c r="F631" i="12"/>
  <c r="G631" i="12"/>
  <c r="H631" i="12"/>
  <c r="I631" i="12"/>
  <c r="J631" i="12"/>
  <c r="K631" i="12"/>
  <c r="L631" i="12"/>
  <c r="R629" i="12"/>
  <c r="Q629" i="12"/>
  <c r="T629" i="12"/>
  <c r="P631" i="12"/>
  <c r="D634" i="12"/>
  <c r="E634" i="12"/>
  <c r="F634" i="12"/>
  <c r="G634" i="12"/>
  <c r="H634" i="12"/>
  <c r="I634" i="12"/>
  <c r="J634" i="12"/>
  <c r="K634" i="12"/>
  <c r="L634" i="12"/>
  <c r="R632" i="12"/>
  <c r="M634" i="12"/>
  <c r="N634" i="12"/>
  <c r="O634" i="12"/>
  <c r="P634" i="12"/>
  <c r="Q632" i="12"/>
  <c r="T632" i="12"/>
  <c r="D637" i="12"/>
  <c r="E637" i="12"/>
  <c r="F637" i="12"/>
  <c r="G637" i="12"/>
  <c r="H637" i="12"/>
  <c r="I637" i="12"/>
  <c r="J637" i="12"/>
  <c r="K637" i="12"/>
  <c r="L637" i="12"/>
  <c r="S635" i="12"/>
  <c r="P637" i="12"/>
  <c r="P640" i="12"/>
  <c r="D640" i="12"/>
  <c r="E640" i="12"/>
  <c r="F640" i="12"/>
  <c r="G640" i="12"/>
  <c r="H640" i="12"/>
  <c r="I640" i="12"/>
  <c r="J640" i="12"/>
  <c r="K640" i="12"/>
  <c r="L640" i="12"/>
  <c r="M640" i="12"/>
  <c r="N640" i="12"/>
  <c r="O640" i="12"/>
  <c r="S638" i="12"/>
  <c r="R638" i="12"/>
  <c r="D643" i="12"/>
  <c r="E643" i="12"/>
  <c r="F643" i="12"/>
  <c r="G643" i="12"/>
  <c r="H643" i="12"/>
  <c r="I643" i="12"/>
  <c r="J643" i="12"/>
  <c r="K643" i="12"/>
  <c r="L643" i="12"/>
  <c r="S641" i="12"/>
  <c r="P643" i="12"/>
  <c r="D646" i="12"/>
  <c r="E646" i="12"/>
  <c r="F646" i="12"/>
  <c r="G646" i="12"/>
  <c r="H646" i="12"/>
  <c r="I646" i="12"/>
  <c r="J646" i="12"/>
  <c r="K646" i="12"/>
  <c r="L646" i="12"/>
  <c r="M646" i="12"/>
  <c r="N646" i="12"/>
  <c r="O646" i="12"/>
  <c r="P646" i="12"/>
  <c r="S644" i="12"/>
  <c r="D649" i="12"/>
  <c r="E649" i="12"/>
  <c r="F649" i="12"/>
  <c r="G649" i="12"/>
  <c r="H649" i="12"/>
  <c r="I649" i="12"/>
  <c r="J649" i="12"/>
  <c r="K649" i="12"/>
  <c r="L649" i="12"/>
  <c r="P649" i="12"/>
  <c r="U647" i="12"/>
  <c r="S647" i="12"/>
  <c r="D652" i="12"/>
  <c r="E652" i="12"/>
  <c r="F652" i="12"/>
  <c r="G652" i="12"/>
  <c r="H652" i="12"/>
  <c r="I652" i="12"/>
  <c r="J652" i="12"/>
  <c r="K652" i="12"/>
  <c r="L652" i="12"/>
  <c r="M652" i="12"/>
  <c r="N652" i="12"/>
  <c r="O652" i="12"/>
  <c r="P652" i="12"/>
  <c r="U650" i="12"/>
  <c r="D655" i="12"/>
  <c r="E655" i="12"/>
  <c r="F655" i="12"/>
  <c r="G655" i="12"/>
  <c r="H655" i="12"/>
  <c r="I655" i="12"/>
  <c r="J655" i="12"/>
  <c r="K655" i="12"/>
  <c r="L655" i="12"/>
  <c r="R653" i="12"/>
  <c r="Q653" i="12"/>
  <c r="T653" i="12"/>
  <c r="P655" i="12"/>
  <c r="D658" i="12"/>
  <c r="E658" i="12"/>
  <c r="F658" i="12"/>
  <c r="G658" i="12"/>
  <c r="H658" i="12"/>
  <c r="I658" i="12"/>
  <c r="J658" i="12"/>
  <c r="K658" i="12"/>
  <c r="L658" i="12"/>
  <c r="R656" i="12"/>
  <c r="Q656" i="12"/>
  <c r="P658" i="12"/>
  <c r="D661" i="12"/>
  <c r="E661" i="12"/>
  <c r="F661" i="12"/>
  <c r="G661" i="12"/>
  <c r="H661" i="12"/>
  <c r="I661" i="12"/>
  <c r="J661" i="12"/>
  <c r="K661" i="12"/>
  <c r="L661" i="12"/>
  <c r="R659" i="12"/>
  <c r="M661" i="12"/>
  <c r="N661" i="12"/>
  <c r="O661" i="12"/>
  <c r="P661" i="12"/>
  <c r="Q659" i="12"/>
  <c r="T659" i="12"/>
  <c r="D664" i="12"/>
  <c r="E664" i="12"/>
  <c r="F664" i="12"/>
  <c r="G664" i="12"/>
  <c r="H664" i="12"/>
  <c r="I664" i="12"/>
  <c r="J664" i="12"/>
  <c r="K664" i="12"/>
  <c r="L664" i="12"/>
  <c r="R662" i="12"/>
  <c r="S662" i="12"/>
  <c r="P664" i="12"/>
  <c r="D667" i="12"/>
  <c r="E667" i="12"/>
  <c r="F667" i="12"/>
  <c r="G667" i="12"/>
  <c r="H667" i="12"/>
  <c r="I667" i="12"/>
  <c r="J667" i="12"/>
  <c r="K667" i="12"/>
  <c r="L667" i="12"/>
  <c r="M667" i="12"/>
  <c r="N667" i="12"/>
  <c r="O667" i="12"/>
  <c r="P667" i="12"/>
  <c r="U665" i="12"/>
  <c r="S665" i="12"/>
  <c r="D670" i="12"/>
  <c r="E670" i="12"/>
  <c r="F670" i="12"/>
  <c r="G670" i="12"/>
  <c r="H670" i="12"/>
  <c r="I670" i="12"/>
  <c r="J670" i="12"/>
  <c r="K670" i="12"/>
  <c r="L670" i="12"/>
  <c r="Q668" i="12"/>
  <c r="R668" i="12"/>
  <c r="S668" i="12"/>
  <c r="P670" i="12"/>
  <c r="D673" i="12"/>
  <c r="E673" i="12"/>
  <c r="F673" i="12"/>
  <c r="G673" i="12"/>
  <c r="H673" i="12"/>
  <c r="I673" i="12"/>
  <c r="J673" i="12"/>
  <c r="K673" i="12"/>
  <c r="L673" i="12"/>
  <c r="M673" i="12"/>
  <c r="N673" i="12"/>
  <c r="O673" i="12"/>
  <c r="P673" i="12"/>
  <c r="Q671" i="12"/>
  <c r="R671" i="12"/>
  <c r="S671" i="12"/>
  <c r="D676" i="12"/>
  <c r="E676" i="12"/>
  <c r="F676" i="12"/>
  <c r="G676" i="12"/>
  <c r="H676" i="12"/>
  <c r="I676" i="12"/>
  <c r="J676" i="12"/>
  <c r="K676" i="12"/>
  <c r="L676" i="12"/>
  <c r="Q674" i="12"/>
  <c r="S674" i="12"/>
  <c r="P676" i="12"/>
  <c r="D679" i="12"/>
  <c r="E679" i="12"/>
  <c r="F679" i="12"/>
  <c r="G679" i="12"/>
  <c r="H679" i="12"/>
  <c r="I679" i="12"/>
  <c r="J679" i="12"/>
  <c r="K679" i="12"/>
  <c r="L679" i="12"/>
  <c r="M679" i="12"/>
  <c r="N679" i="12"/>
  <c r="O679" i="12"/>
  <c r="P679" i="12"/>
  <c r="Q677" i="12"/>
  <c r="S677" i="12"/>
  <c r="D682" i="12"/>
  <c r="E682" i="12"/>
  <c r="F682" i="12"/>
  <c r="G682" i="12"/>
  <c r="H682" i="12"/>
  <c r="I682" i="12"/>
  <c r="J682" i="12"/>
  <c r="K682" i="12"/>
  <c r="L682" i="12"/>
  <c r="R680" i="12"/>
  <c r="Q680" i="12"/>
  <c r="T680" i="12"/>
  <c r="S680" i="12"/>
  <c r="V680" i="12"/>
  <c r="P682" i="12"/>
  <c r="D685" i="12"/>
  <c r="E685" i="12"/>
  <c r="F685" i="12"/>
  <c r="G685" i="12"/>
  <c r="H685" i="12"/>
  <c r="I685" i="12"/>
  <c r="J685" i="12"/>
  <c r="K685" i="12"/>
  <c r="L685" i="12"/>
  <c r="R683" i="12"/>
  <c r="M685" i="12"/>
  <c r="N685" i="12"/>
  <c r="O685" i="12"/>
  <c r="P685" i="12"/>
  <c r="Q683" i="12"/>
  <c r="T683" i="12"/>
  <c r="S683" i="12"/>
  <c r="V683" i="12"/>
  <c r="D688" i="12"/>
  <c r="E688" i="12"/>
  <c r="F688" i="12"/>
  <c r="G688" i="12"/>
  <c r="H688" i="12"/>
  <c r="I688" i="12"/>
  <c r="J688" i="12"/>
  <c r="K688" i="12"/>
  <c r="L688" i="12"/>
  <c r="Q686" i="12"/>
  <c r="S686" i="12"/>
  <c r="P688" i="12"/>
  <c r="D691" i="12"/>
  <c r="E691" i="12"/>
  <c r="F691" i="12"/>
  <c r="G691" i="12"/>
  <c r="H691" i="12"/>
  <c r="I691" i="12"/>
  <c r="J691" i="12"/>
  <c r="K691" i="12"/>
  <c r="L691" i="12"/>
  <c r="M691" i="12"/>
  <c r="N691" i="12"/>
  <c r="O691" i="12"/>
  <c r="P691" i="12"/>
  <c r="Q689" i="12"/>
  <c r="S689" i="12"/>
  <c r="D694" i="12"/>
  <c r="E694" i="12"/>
  <c r="F694" i="12"/>
  <c r="G694" i="12"/>
  <c r="H694" i="12"/>
  <c r="I694" i="12"/>
  <c r="J694" i="12"/>
  <c r="K694" i="12"/>
  <c r="L694" i="12"/>
  <c r="Q692" i="12"/>
  <c r="R692" i="12"/>
  <c r="S692" i="12"/>
  <c r="P694" i="12"/>
  <c r="D697" i="12"/>
  <c r="E697" i="12"/>
  <c r="F697" i="12"/>
  <c r="G697" i="12"/>
  <c r="H697" i="12"/>
  <c r="I697" i="12"/>
  <c r="J697" i="12"/>
  <c r="K697" i="12"/>
  <c r="L697" i="12"/>
  <c r="M697" i="12"/>
  <c r="N697" i="12"/>
  <c r="O697" i="12"/>
  <c r="P697" i="12"/>
  <c r="Q695" i="12"/>
  <c r="S695" i="12"/>
  <c r="D700" i="12"/>
  <c r="E700" i="12"/>
  <c r="F700" i="12"/>
  <c r="G700" i="12"/>
  <c r="H700" i="12"/>
  <c r="I700" i="12"/>
  <c r="J700" i="12"/>
  <c r="K700" i="12"/>
  <c r="L700" i="12"/>
  <c r="Q698" i="12"/>
  <c r="S698" i="12"/>
  <c r="P700" i="12"/>
  <c r="D703" i="12"/>
  <c r="E703" i="12"/>
  <c r="F703" i="12"/>
  <c r="G703" i="12"/>
  <c r="H703" i="12"/>
  <c r="I703" i="12"/>
  <c r="J703" i="12"/>
  <c r="K703" i="12"/>
  <c r="L703" i="12"/>
  <c r="M703" i="12"/>
  <c r="N703" i="12"/>
  <c r="O703" i="12"/>
  <c r="P703" i="12"/>
  <c r="Q701" i="12"/>
  <c r="S701" i="12"/>
  <c r="D706" i="12"/>
  <c r="E706" i="12"/>
  <c r="F706" i="12"/>
  <c r="G706" i="12"/>
  <c r="H706" i="12"/>
  <c r="I706" i="12"/>
  <c r="J706" i="12"/>
  <c r="K706" i="12"/>
  <c r="L706" i="12"/>
  <c r="R704" i="12"/>
  <c r="Q704" i="12"/>
  <c r="T704" i="12"/>
  <c r="S704" i="12"/>
  <c r="V704" i="12"/>
  <c r="P706" i="12"/>
  <c r="D709" i="12"/>
  <c r="E709" i="12"/>
  <c r="F709" i="12"/>
  <c r="G709" i="12"/>
  <c r="H709" i="12"/>
  <c r="I709" i="12"/>
  <c r="J709" i="12"/>
  <c r="K709" i="12"/>
  <c r="L709" i="12"/>
  <c r="R707" i="12"/>
  <c r="M709" i="12"/>
  <c r="N709" i="12"/>
  <c r="O709" i="12"/>
  <c r="P709" i="12"/>
  <c r="Q707" i="12"/>
  <c r="T707" i="12"/>
  <c r="S707" i="12"/>
  <c r="V707" i="12"/>
  <c r="D712" i="12"/>
  <c r="E712" i="12"/>
  <c r="F712" i="12"/>
  <c r="G712" i="12"/>
  <c r="H712" i="12"/>
  <c r="I712" i="12"/>
  <c r="J712" i="12"/>
  <c r="K712" i="12"/>
  <c r="L712" i="12"/>
  <c r="Q710" i="12"/>
  <c r="S710" i="12"/>
  <c r="P712" i="12"/>
  <c r="D715" i="12"/>
  <c r="E715" i="12"/>
  <c r="F715" i="12"/>
  <c r="G715" i="12"/>
  <c r="H715" i="12"/>
  <c r="I715" i="12"/>
  <c r="J715" i="12"/>
  <c r="K715" i="12"/>
  <c r="L715" i="12"/>
  <c r="M715" i="12"/>
  <c r="N715" i="12"/>
  <c r="O715" i="12"/>
  <c r="P715" i="12"/>
  <c r="Q713" i="12"/>
  <c r="S713" i="12"/>
  <c r="D718" i="12"/>
  <c r="E718" i="12"/>
  <c r="F718" i="12"/>
  <c r="G718" i="12"/>
  <c r="H718" i="12"/>
  <c r="I718" i="12"/>
  <c r="J718" i="12"/>
  <c r="K718" i="12"/>
  <c r="L718" i="12"/>
  <c r="Q716" i="12"/>
  <c r="S716" i="12"/>
  <c r="P718" i="12"/>
  <c r="D721" i="12"/>
  <c r="E721" i="12"/>
  <c r="F721" i="12"/>
  <c r="G721" i="12"/>
  <c r="H721" i="12"/>
  <c r="I721" i="12"/>
  <c r="J721" i="12"/>
  <c r="K721" i="12"/>
  <c r="L721" i="12"/>
  <c r="Q719" i="12"/>
  <c r="S719" i="12"/>
  <c r="P721" i="12"/>
  <c r="D724" i="12"/>
  <c r="E724" i="12"/>
  <c r="F724" i="12"/>
  <c r="G724" i="12"/>
  <c r="H724" i="12"/>
  <c r="I724" i="12"/>
  <c r="J724" i="12"/>
  <c r="K724" i="12"/>
  <c r="L724" i="12"/>
  <c r="M724" i="12"/>
  <c r="N724" i="12"/>
  <c r="O724" i="12"/>
  <c r="P724" i="12"/>
  <c r="Q722" i="12"/>
  <c r="S722" i="12"/>
  <c r="D727" i="12"/>
  <c r="E727" i="12"/>
  <c r="F727" i="12"/>
  <c r="G727" i="12"/>
  <c r="H727" i="12"/>
  <c r="I727" i="12"/>
  <c r="J727" i="12"/>
  <c r="K727" i="12"/>
  <c r="L727" i="12"/>
  <c r="Q725" i="12"/>
  <c r="S725" i="12"/>
  <c r="P727" i="12"/>
  <c r="D730" i="12"/>
  <c r="E730" i="12"/>
  <c r="F730" i="12"/>
  <c r="G730" i="12"/>
  <c r="H730" i="12"/>
  <c r="I730" i="12"/>
  <c r="J730" i="12"/>
  <c r="K730" i="12"/>
  <c r="L730" i="12"/>
  <c r="M730" i="12"/>
  <c r="N730" i="12"/>
  <c r="O730" i="12"/>
  <c r="P730" i="12"/>
  <c r="Q728" i="12"/>
  <c r="S728" i="12"/>
  <c r="D733" i="12"/>
  <c r="E733" i="12"/>
  <c r="F733" i="12"/>
  <c r="G733" i="12"/>
  <c r="H733" i="12"/>
  <c r="I733" i="12"/>
  <c r="J733" i="12"/>
  <c r="K733" i="12"/>
  <c r="L733" i="12"/>
  <c r="R731" i="12"/>
  <c r="S731" i="12"/>
  <c r="P733" i="12"/>
  <c r="D736" i="12"/>
  <c r="E736" i="12"/>
  <c r="F736" i="12"/>
  <c r="G736" i="12"/>
  <c r="H736" i="12"/>
  <c r="I736" i="12"/>
  <c r="J736" i="12"/>
  <c r="K736" i="12"/>
  <c r="L736" i="12"/>
  <c r="R734" i="12"/>
  <c r="M736" i="12"/>
  <c r="N736" i="12"/>
  <c r="O736" i="12"/>
  <c r="P736" i="12"/>
  <c r="S734" i="12"/>
  <c r="D739" i="12"/>
  <c r="E739" i="12"/>
  <c r="F739" i="12"/>
  <c r="G739" i="12"/>
  <c r="H739" i="12"/>
  <c r="I739" i="12"/>
  <c r="J739" i="12"/>
  <c r="K739" i="12"/>
  <c r="L739" i="12"/>
  <c r="Q737" i="12"/>
  <c r="S737" i="12"/>
  <c r="P739" i="12"/>
  <c r="D742" i="12"/>
  <c r="E742" i="12"/>
  <c r="F742" i="12"/>
  <c r="G742" i="12"/>
  <c r="H742" i="12"/>
  <c r="I742" i="12"/>
  <c r="J742" i="12"/>
  <c r="K742" i="12"/>
  <c r="L742" i="12"/>
  <c r="M742" i="12"/>
  <c r="N742" i="12"/>
  <c r="O742" i="12"/>
  <c r="P742" i="12"/>
  <c r="Q740" i="12"/>
  <c r="S740" i="12"/>
  <c r="D745" i="12"/>
  <c r="E745" i="12"/>
  <c r="F745" i="12"/>
  <c r="G745" i="12"/>
  <c r="H745" i="12"/>
  <c r="I745" i="12"/>
  <c r="J745" i="12"/>
  <c r="K745" i="12"/>
  <c r="L745" i="12"/>
  <c r="Q743" i="12"/>
  <c r="S743" i="12"/>
  <c r="P745" i="12"/>
  <c r="D748" i="12"/>
  <c r="E748" i="12"/>
  <c r="F748" i="12"/>
  <c r="G748" i="12"/>
  <c r="H748" i="12"/>
  <c r="I748" i="12"/>
  <c r="J748" i="12"/>
  <c r="K748" i="12"/>
  <c r="L748" i="12"/>
  <c r="M748" i="12"/>
  <c r="N748" i="12"/>
  <c r="O748" i="12"/>
  <c r="P748" i="12"/>
  <c r="Q746" i="12"/>
  <c r="S746" i="12"/>
  <c r="D751" i="12"/>
  <c r="E751" i="12"/>
  <c r="F751" i="12"/>
  <c r="G751" i="12"/>
  <c r="H751" i="12"/>
  <c r="I751" i="12"/>
  <c r="J751" i="12"/>
  <c r="K751" i="12"/>
  <c r="L751" i="12"/>
  <c r="Q749" i="12"/>
  <c r="S749" i="12"/>
  <c r="P751" i="12"/>
  <c r="D754" i="12"/>
  <c r="E754" i="12"/>
  <c r="F754" i="12"/>
  <c r="G754" i="12"/>
  <c r="H754" i="12"/>
  <c r="I754" i="12"/>
  <c r="J754" i="12"/>
  <c r="K754" i="12"/>
  <c r="L754" i="12"/>
  <c r="M754" i="12"/>
  <c r="N754" i="12"/>
  <c r="O754" i="12"/>
  <c r="P754" i="12"/>
  <c r="Q752" i="12"/>
  <c r="S752" i="12"/>
  <c r="D757" i="12"/>
  <c r="E757" i="12"/>
  <c r="F757" i="12"/>
  <c r="G757" i="12"/>
  <c r="H757" i="12"/>
  <c r="I757" i="12"/>
  <c r="J757" i="12"/>
  <c r="K757" i="12"/>
  <c r="L757" i="12"/>
  <c r="Q755" i="12"/>
  <c r="P757" i="12"/>
  <c r="D760" i="12"/>
  <c r="E760" i="12"/>
  <c r="F760" i="12"/>
  <c r="G760" i="12"/>
  <c r="H760" i="12"/>
  <c r="I760" i="12"/>
  <c r="J760" i="12"/>
  <c r="K760" i="12"/>
  <c r="L760" i="12"/>
  <c r="M760" i="12"/>
  <c r="N760" i="12"/>
  <c r="O760" i="12"/>
  <c r="P760" i="12"/>
  <c r="U758" i="12"/>
  <c r="D763" i="12"/>
  <c r="E763" i="12"/>
  <c r="F763" i="12"/>
  <c r="G763" i="12"/>
  <c r="H763" i="12"/>
  <c r="I763" i="12"/>
  <c r="J763" i="12"/>
  <c r="K763" i="12"/>
  <c r="L763" i="12"/>
  <c r="R761" i="12"/>
  <c r="M763" i="12"/>
  <c r="N763" i="12"/>
  <c r="O763" i="12"/>
  <c r="P763" i="12"/>
  <c r="U761" i="12"/>
  <c r="Q761" i="12"/>
  <c r="T761" i="12"/>
  <c r="D766" i="12"/>
  <c r="E766" i="12"/>
  <c r="F766" i="12"/>
  <c r="G766" i="12"/>
  <c r="H766" i="12"/>
  <c r="I766" i="12"/>
  <c r="J766" i="12"/>
  <c r="K766" i="12"/>
  <c r="L766" i="12"/>
  <c r="R764" i="12"/>
  <c r="S764" i="12"/>
  <c r="P766" i="12"/>
  <c r="D769" i="12"/>
  <c r="E769" i="12"/>
  <c r="F769" i="12"/>
  <c r="G769" i="12"/>
  <c r="H769" i="12"/>
  <c r="I769" i="12"/>
  <c r="J769" i="12"/>
  <c r="K769" i="12"/>
  <c r="L769" i="12"/>
  <c r="M769" i="12"/>
  <c r="N769" i="12"/>
  <c r="O769" i="12"/>
  <c r="P769" i="12"/>
  <c r="S767" i="12"/>
  <c r="D772" i="12"/>
  <c r="E772" i="12"/>
  <c r="F772" i="12"/>
  <c r="G772" i="12"/>
  <c r="H772" i="12"/>
  <c r="I772" i="12"/>
  <c r="J772" i="12"/>
  <c r="K772" i="12"/>
  <c r="L772" i="12"/>
  <c r="S770" i="12"/>
  <c r="P772" i="12"/>
  <c r="D775" i="12"/>
  <c r="E775" i="12"/>
  <c r="F775" i="12"/>
  <c r="G775" i="12"/>
  <c r="H775" i="12"/>
  <c r="I775" i="12"/>
  <c r="J775" i="12"/>
  <c r="K775" i="12"/>
  <c r="L775" i="12"/>
  <c r="M775" i="12"/>
  <c r="N775" i="12"/>
  <c r="O775" i="12"/>
  <c r="P775" i="12"/>
  <c r="S773" i="12"/>
  <c r="D778" i="12"/>
  <c r="E778" i="12"/>
  <c r="F778" i="12"/>
  <c r="G778" i="12"/>
  <c r="H778" i="12"/>
  <c r="I778" i="12"/>
  <c r="J778" i="12"/>
  <c r="K778" i="12"/>
  <c r="L778" i="12"/>
  <c r="P778" i="12"/>
  <c r="U776" i="12"/>
  <c r="D781" i="12"/>
  <c r="E781" i="12"/>
  <c r="F781" i="12"/>
  <c r="G781" i="12"/>
  <c r="H781" i="12"/>
  <c r="I781" i="12"/>
  <c r="J781" i="12"/>
  <c r="K781" i="12"/>
  <c r="L781" i="12"/>
  <c r="R779" i="12"/>
  <c r="M781" i="12"/>
  <c r="N781" i="12"/>
  <c r="O781" i="12"/>
  <c r="P781" i="12"/>
  <c r="Q779" i="12"/>
  <c r="T779" i="12"/>
  <c r="S779" i="12"/>
  <c r="V779" i="12"/>
  <c r="U779" i="12"/>
  <c r="D784" i="12"/>
  <c r="E784" i="12"/>
  <c r="F784" i="12"/>
  <c r="G784" i="12"/>
  <c r="H784" i="12"/>
  <c r="I784" i="12"/>
  <c r="J784" i="12"/>
  <c r="K784" i="12"/>
  <c r="L784" i="12"/>
  <c r="Q782" i="12"/>
  <c r="R782" i="12"/>
  <c r="T782" i="12"/>
  <c r="P784" i="12"/>
  <c r="D787" i="12"/>
  <c r="E787" i="12"/>
  <c r="F787" i="12"/>
  <c r="G787" i="12"/>
  <c r="H787" i="12"/>
  <c r="I787" i="12"/>
  <c r="J787" i="12"/>
  <c r="K787" i="12"/>
  <c r="L787" i="12"/>
  <c r="M787" i="12"/>
  <c r="N787" i="12"/>
  <c r="O787" i="12"/>
  <c r="P787" i="12"/>
  <c r="U785" i="12"/>
  <c r="Q785" i="12"/>
  <c r="R785" i="12"/>
  <c r="T785" i="12"/>
  <c r="T28" i="13"/>
  <c r="V28" i="13"/>
  <c r="T25" i="13"/>
  <c r="V25" i="13"/>
  <c r="U28" i="13"/>
  <c r="U25" i="13"/>
  <c r="U22" i="13"/>
  <c r="R19" i="13"/>
  <c r="T19" i="13"/>
  <c r="V19" i="13"/>
  <c r="U19" i="13"/>
  <c r="Q776" i="12"/>
  <c r="Q767" i="12"/>
  <c r="U767" i="12"/>
  <c r="S785" i="12"/>
  <c r="V785" i="12"/>
  <c r="U782" i="12"/>
  <c r="S776" i="12"/>
  <c r="R776" i="12"/>
  <c r="Q773" i="12"/>
  <c r="R773" i="12"/>
  <c r="T773" i="12"/>
  <c r="V773" i="12"/>
  <c r="U773" i="12"/>
  <c r="Q770" i="12"/>
  <c r="U770" i="12"/>
  <c r="R770" i="12"/>
  <c r="Q764" i="12"/>
  <c r="T764" i="12"/>
  <c r="V764" i="12"/>
  <c r="U764" i="12"/>
  <c r="S761" i="12"/>
  <c r="V761" i="12"/>
  <c r="Q758" i="12"/>
  <c r="U755" i="12"/>
  <c r="T671" i="12"/>
  <c r="V671" i="12"/>
  <c r="T656" i="12"/>
  <c r="S758" i="12"/>
  <c r="R758" i="12"/>
  <c r="R755" i="12"/>
  <c r="T755" i="12"/>
  <c r="R737" i="12"/>
  <c r="T737" i="12"/>
  <c r="V737" i="12"/>
  <c r="S782" i="12"/>
  <c r="V782" i="12"/>
  <c r="R767" i="12"/>
  <c r="S755" i="12"/>
  <c r="T692" i="12"/>
  <c r="V692" i="12"/>
  <c r="T668" i="12"/>
  <c r="V668" i="12"/>
  <c r="R740" i="12"/>
  <c r="T740" i="12"/>
  <c r="V740" i="12"/>
  <c r="U734" i="12"/>
  <c r="Q734" i="12"/>
  <c r="T734" i="12"/>
  <c r="V734" i="12"/>
  <c r="U731" i="12"/>
  <c r="Q731" i="12"/>
  <c r="T731" i="12"/>
  <c r="V731" i="12"/>
  <c r="R713" i="12"/>
  <c r="T713" i="12"/>
  <c r="V713" i="12"/>
  <c r="R710" i="12"/>
  <c r="T710" i="12"/>
  <c r="V710" i="12"/>
  <c r="U707" i="12"/>
  <c r="U704" i="12"/>
  <c r="R689" i="12"/>
  <c r="T689" i="12"/>
  <c r="V689" i="12"/>
  <c r="R686" i="12"/>
  <c r="T686" i="12"/>
  <c r="V686" i="12"/>
  <c r="U683" i="12"/>
  <c r="U680" i="12"/>
  <c r="R665" i="12"/>
  <c r="U659" i="12"/>
  <c r="S656" i="12"/>
  <c r="U653" i="12"/>
  <c r="Q644" i="12"/>
  <c r="U644" i="12"/>
  <c r="R644" i="12"/>
  <c r="Q641" i="12"/>
  <c r="R641" i="12"/>
  <c r="T641" i="12"/>
  <c r="V641" i="12"/>
  <c r="U641" i="12"/>
  <c r="Q635" i="12"/>
  <c r="U635" i="12"/>
  <c r="S632" i="12"/>
  <c r="V632" i="12"/>
  <c r="U629" i="12"/>
  <c r="Q620" i="12"/>
  <c r="Q605" i="12"/>
  <c r="T605" i="12"/>
  <c r="Q602" i="12"/>
  <c r="T602" i="12"/>
  <c r="Q581" i="12"/>
  <c r="T581" i="12"/>
  <c r="Q578" i="12"/>
  <c r="T578" i="12"/>
  <c r="Q557" i="12"/>
  <c r="Q554" i="12"/>
  <c r="S542" i="12"/>
  <c r="S539" i="12"/>
  <c r="U536" i="12"/>
  <c r="U533" i="12"/>
  <c r="S518" i="12"/>
  <c r="S515" i="12"/>
  <c r="U512" i="12"/>
  <c r="U509" i="12"/>
  <c r="S494" i="12"/>
  <c r="S491" i="12"/>
  <c r="U488" i="12"/>
  <c r="U485" i="12"/>
  <c r="R746" i="12"/>
  <c r="T746" i="12"/>
  <c r="V746" i="12"/>
  <c r="R743" i="12"/>
  <c r="T743" i="12"/>
  <c r="V743" i="12"/>
  <c r="U740" i="12"/>
  <c r="U737" i="12"/>
  <c r="R722" i="12"/>
  <c r="T722" i="12"/>
  <c r="V722" i="12"/>
  <c r="R719" i="12"/>
  <c r="T719" i="12"/>
  <c r="V719" i="12"/>
  <c r="R716" i="12"/>
  <c r="T716" i="12"/>
  <c r="V716" i="12"/>
  <c r="U713" i="12"/>
  <c r="U710" i="12"/>
  <c r="R695" i="12"/>
  <c r="T695" i="12"/>
  <c r="V695" i="12"/>
  <c r="U689" i="12"/>
  <c r="U686" i="12"/>
  <c r="Q614" i="12"/>
  <c r="U614" i="12"/>
  <c r="R614" i="12"/>
  <c r="Q590" i="12"/>
  <c r="R590" i="12"/>
  <c r="T590" i="12"/>
  <c r="V590" i="12"/>
  <c r="U590" i="12"/>
  <c r="Q566" i="12"/>
  <c r="R566" i="12"/>
  <c r="T566" i="12"/>
  <c r="V566" i="12"/>
  <c r="U566" i="12"/>
  <c r="U473" i="12"/>
  <c r="Q458" i="12"/>
  <c r="R752" i="12"/>
  <c r="T752" i="12"/>
  <c r="V752" i="12"/>
  <c r="R749" i="12"/>
  <c r="T749" i="12"/>
  <c r="V749" i="12"/>
  <c r="U746" i="12"/>
  <c r="U743" i="12"/>
  <c r="R728" i="12"/>
  <c r="T728" i="12"/>
  <c r="V728" i="12"/>
  <c r="R725" i="12"/>
  <c r="T725" i="12"/>
  <c r="V725" i="12"/>
  <c r="U722" i="12"/>
  <c r="U719" i="12"/>
  <c r="U716" i="12"/>
  <c r="R701" i="12"/>
  <c r="T701" i="12"/>
  <c r="V701" i="12"/>
  <c r="R698" i="12"/>
  <c r="T698" i="12"/>
  <c r="V698" i="12"/>
  <c r="U695" i="12"/>
  <c r="U692" i="12"/>
  <c r="R677" i="12"/>
  <c r="T677" i="12"/>
  <c r="V677" i="12"/>
  <c r="R674" i="12"/>
  <c r="T674" i="12"/>
  <c r="V674" i="12"/>
  <c r="U671" i="12"/>
  <c r="U668" i="12"/>
  <c r="Q662" i="12"/>
  <c r="T662" i="12"/>
  <c r="V662" i="12"/>
  <c r="U662" i="12"/>
  <c r="S659" i="12"/>
  <c r="V659" i="12"/>
  <c r="U656" i="12"/>
  <c r="S653" i="12"/>
  <c r="V653" i="12"/>
  <c r="R650" i="12"/>
  <c r="Q650" i="12"/>
  <c r="U632" i="12"/>
  <c r="S629" i="12"/>
  <c r="V629" i="12"/>
  <c r="R626" i="12"/>
  <c r="Q626" i="12"/>
  <c r="S605" i="12"/>
  <c r="S602" i="12"/>
  <c r="Q593" i="12"/>
  <c r="U593" i="12"/>
  <c r="R593" i="12"/>
  <c r="S581" i="12"/>
  <c r="S578" i="12"/>
  <c r="Q569" i="12"/>
  <c r="U569" i="12"/>
  <c r="R569" i="12"/>
  <c r="S557" i="12"/>
  <c r="R557" i="12"/>
  <c r="S554" i="12"/>
  <c r="R554" i="12"/>
  <c r="Q545" i="12"/>
  <c r="U545" i="12"/>
  <c r="R545" i="12"/>
  <c r="Q542" i="12"/>
  <c r="T542" i="12"/>
  <c r="V542" i="12"/>
  <c r="Q539" i="12"/>
  <c r="T539" i="12"/>
  <c r="V539" i="12"/>
  <c r="S530" i="12"/>
  <c r="Q530" i="12"/>
  <c r="Q521" i="12"/>
  <c r="R521" i="12"/>
  <c r="T521" i="12"/>
  <c r="V521" i="12"/>
  <c r="U521" i="12"/>
  <c r="Q518" i="12"/>
  <c r="T518" i="12"/>
  <c r="V518" i="12"/>
  <c r="Q515" i="12"/>
  <c r="T515" i="12"/>
  <c r="V515" i="12"/>
  <c r="S506" i="12"/>
  <c r="Q506" i="12"/>
  <c r="Q497" i="12"/>
  <c r="R497" i="12"/>
  <c r="T497" i="12"/>
  <c r="V497" i="12"/>
  <c r="U497" i="12"/>
  <c r="Q494" i="12"/>
  <c r="T494" i="12"/>
  <c r="V494" i="12"/>
  <c r="Q491" i="12"/>
  <c r="T491" i="12"/>
  <c r="V491" i="12"/>
  <c r="U482" i="12"/>
  <c r="V479" i="12"/>
  <c r="U476" i="12"/>
  <c r="U752" i="12"/>
  <c r="U749" i="12"/>
  <c r="U728" i="12"/>
  <c r="U725" i="12"/>
  <c r="U701" i="12"/>
  <c r="U698" i="12"/>
  <c r="U677" i="12"/>
  <c r="U674" i="12"/>
  <c r="Q665" i="12"/>
  <c r="T665" i="12"/>
  <c r="V665" i="12"/>
  <c r="S650" i="12"/>
  <c r="R647" i="12"/>
  <c r="Q647" i="12"/>
  <c r="T647" i="12"/>
  <c r="V647" i="12"/>
  <c r="Q638" i="12"/>
  <c r="T638" i="12"/>
  <c r="V638" i="12"/>
  <c r="U638" i="12"/>
  <c r="R635" i="12"/>
  <c r="S626" i="12"/>
  <c r="R623" i="12"/>
  <c r="Q623" i="12"/>
  <c r="S617" i="12"/>
  <c r="Q617" i="12"/>
  <c r="S611" i="12"/>
  <c r="V611" i="12"/>
  <c r="S608" i="12"/>
  <c r="V608" i="12"/>
  <c r="S587" i="12"/>
  <c r="V587" i="12"/>
  <c r="S584" i="12"/>
  <c r="V584" i="12"/>
  <c r="S563" i="12"/>
  <c r="V563" i="12"/>
  <c r="S560" i="12"/>
  <c r="V560" i="12"/>
  <c r="Q548" i="12"/>
  <c r="R548" i="12"/>
  <c r="T548" i="12"/>
  <c r="V548" i="12"/>
  <c r="U548" i="12"/>
  <c r="S536" i="12"/>
  <c r="R536" i="12"/>
  <c r="T536" i="12"/>
  <c r="V536" i="12"/>
  <c r="S533" i="12"/>
  <c r="R533" i="12"/>
  <c r="T533" i="12"/>
  <c r="V533" i="12"/>
  <c r="Q524" i="12"/>
  <c r="U524" i="12"/>
  <c r="R524" i="12"/>
  <c r="S512" i="12"/>
  <c r="R512" i="12"/>
  <c r="T512" i="12"/>
  <c r="V512" i="12"/>
  <c r="S509" i="12"/>
  <c r="R509" i="12"/>
  <c r="T509" i="12"/>
  <c r="V509" i="12"/>
  <c r="Q500" i="12"/>
  <c r="U500" i="12"/>
  <c r="R500" i="12"/>
  <c r="S488" i="12"/>
  <c r="R488" i="12"/>
  <c r="T488" i="12"/>
  <c r="V488" i="12"/>
  <c r="S485" i="12"/>
  <c r="R485" i="12"/>
  <c r="T485" i="12"/>
  <c r="V485" i="12"/>
  <c r="U458" i="12"/>
  <c r="T455" i="12"/>
  <c r="V455" i="12"/>
  <c r="Q452" i="12"/>
  <c r="U434" i="12"/>
  <c r="T431" i="12"/>
  <c r="V431" i="12"/>
  <c r="Q428" i="12"/>
  <c r="U410" i="12"/>
  <c r="T407" i="12"/>
  <c r="V407" i="12"/>
  <c r="Q404" i="12"/>
  <c r="U386" i="12"/>
  <c r="T383" i="12"/>
  <c r="V383" i="12"/>
  <c r="Q380" i="12"/>
  <c r="Q224" i="12"/>
  <c r="U224" i="12"/>
  <c r="R224" i="12"/>
  <c r="U209" i="12"/>
  <c r="U611" i="12"/>
  <c r="U608" i="12"/>
  <c r="U587" i="12"/>
  <c r="U584" i="12"/>
  <c r="U563" i="12"/>
  <c r="U560" i="12"/>
  <c r="U542" i="12"/>
  <c r="U539" i="12"/>
  <c r="U518" i="12"/>
  <c r="U515" i="12"/>
  <c r="U494" i="12"/>
  <c r="U491" i="12"/>
  <c r="S482" i="12"/>
  <c r="R482" i="12"/>
  <c r="S476" i="12"/>
  <c r="R476" i="12"/>
  <c r="T476" i="12"/>
  <c r="V476" i="12"/>
  <c r="Q473" i="12"/>
  <c r="Q464" i="12"/>
  <c r="T464" i="12"/>
  <c r="V464" i="12"/>
  <c r="U464" i="12"/>
  <c r="R458" i="12"/>
  <c r="S452" i="12"/>
  <c r="R452" i="12"/>
  <c r="Q449" i="12"/>
  <c r="Q440" i="12"/>
  <c r="T440" i="12"/>
  <c r="V440" i="12"/>
  <c r="U440" i="12"/>
  <c r="R434" i="12"/>
  <c r="T434" i="12"/>
  <c r="S434" i="12"/>
  <c r="V434" i="12"/>
  <c r="S428" i="12"/>
  <c r="R428" i="12"/>
  <c r="Q425" i="12"/>
  <c r="Q416" i="12"/>
  <c r="T416" i="12"/>
  <c r="V416" i="12"/>
  <c r="U416" i="12"/>
  <c r="R410" i="12"/>
  <c r="T410" i="12"/>
  <c r="S410" i="12"/>
  <c r="V410" i="12"/>
  <c r="S404" i="12"/>
  <c r="R404" i="12"/>
  <c r="Q401" i="12"/>
  <c r="Q392" i="12"/>
  <c r="T392" i="12"/>
  <c r="V392" i="12"/>
  <c r="U392" i="12"/>
  <c r="R386" i="12"/>
  <c r="T386" i="12"/>
  <c r="S386" i="12"/>
  <c r="V386" i="12"/>
  <c r="S380" i="12"/>
  <c r="R380" i="12"/>
  <c r="Q377" i="12"/>
  <c r="S371" i="12"/>
  <c r="Q371" i="12"/>
  <c r="S347" i="12"/>
  <c r="Q347" i="12"/>
  <c r="S323" i="12"/>
  <c r="Q323" i="12"/>
  <c r="S299" i="12"/>
  <c r="Q299" i="12"/>
  <c r="S275" i="12"/>
  <c r="Q275" i="12"/>
  <c r="U248" i="12"/>
  <c r="Q248" i="12"/>
  <c r="S230" i="12"/>
  <c r="S203" i="12"/>
  <c r="V134" i="12"/>
  <c r="V35" i="12"/>
  <c r="R620" i="12"/>
  <c r="R617" i="12"/>
  <c r="R599" i="12"/>
  <c r="T599" i="12"/>
  <c r="V599" i="12"/>
  <c r="R596" i="12"/>
  <c r="T596" i="12"/>
  <c r="V596" i="12"/>
  <c r="R575" i="12"/>
  <c r="T575" i="12"/>
  <c r="V575" i="12"/>
  <c r="R572" i="12"/>
  <c r="T572" i="12"/>
  <c r="V572" i="12"/>
  <c r="R551" i="12"/>
  <c r="T551" i="12"/>
  <c r="V551" i="12"/>
  <c r="R530" i="12"/>
  <c r="R527" i="12"/>
  <c r="T527" i="12"/>
  <c r="V527" i="12"/>
  <c r="R506" i="12"/>
  <c r="R503" i="12"/>
  <c r="T503" i="12"/>
  <c r="V503" i="12"/>
  <c r="Q482" i="12"/>
  <c r="T482" i="12"/>
  <c r="V482" i="12"/>
  <c r="U479" i="12"/>
  <c r="S473" i="12"/>
  <c r="R473" i="12"/>
  <c r="Q470" i="12"/>
  <c r="U470" i="12"/>
  <c r="R470" i="12"/>
  <c r="Q467" i="12"/>
  <c r="U467" i="12"/>
  <c r="R467" i="12"/>
  <c r="Q461" i="12"/>
  <c r="T461" i="12"/>
  <c r="V461" i="12"/>
  <c r="U461" i="12"/>
  <c r="S458" i="12"/>
  <c r="U455" i="12"/>
  <c r="S449" i="12"/>
  <c r="R449" i="12"/>
  <c r="Q446" i="12"/>
  <c r="U446" i="12"/>
  <c r="R446" i="12"/>
  <c r="Q443" i="12"/>
  <c r="U443" i="12"/>
  <c r="R443" i="12"/>
  <c r="Q437" i="12"/>
  <c r="T437" i="12"/>
  <c r="V437" i="12"/>
  <c r="U437" i="12"/>
  <c r="U431" i="12"/>
  <c r="S425" i="12"/>
  <c r="R425" i="12"/>
  <c r="Q422" i="12"/>
  <c r="U422" i="12"/>
  <c r="R422" i="12"/>
  <c r="Q419" i="12"/>
  <c r="U419" i="12"/>
  <c r="R419" i="12"/>
  <c r="Q413" i="12"/>
  <c r="T413" i="12"/>
  <c r="V413" i="12"/>
  <c r="U413" i="12"/>
  <c r="U407" i="12"/>
  <c r="S401" i="12"/>
  <c r="R401" i="12"/>
  <c r="Q398" i="12"/>
  <c r="U398" i="12"/>
  <c r="R398" i="12"/>
  <c r="Q395" i="12"/>
  <c r="U395" i="12"/>
  <c r="R395" i="12"/>
  <c r="Q389" i="12"/>
  <c r="T389" i="12"/>
  <c r="V389" i="12"/>
  <c r="U389" i="12"/>
  <c r="U383" i="12"/>
  <c r="S377" i="12"/>
  <c r="R377" i="12"/>
  <c r="S374" i="12"/>
  <c r="Q374" i="12"/>
  <c r="R374" i="12"/>
  <c r="T374" i="12"/>
  <c r="V374" i="12"/>
  <c r="U374" i="12"/>
  <c r="Q365" i="12"/>
  <c r="U365" i="12"/>
  <c r="R365" i="12"/>
  <c r="Q362" i="12"/>
  <c r="T362" i="12"/>
  <c r="V362" i="12"/>
  <c r="Q359" i="12"/>
  <c r="T359" i="12"/>
  <c r="V359" i="12"/>
  <c r="S350" i="12"/>
  <c r="Q350" i="12"/>
  <c r="Q341" i="12"/>
  <c r="U341" i="12"/>
  <c r="R341" i="12"/>
  <c r="Q338" i="12"/>
  <c r="T338" i="12"/>
  <c r="V338" i="12"/>
  <c r="Q335" i="12"/>
  <c r="T335" i="12"/>
  <c r="V335" i="12"/>
  <c r="S326" i="12"/>
  <c r="Q326" i="12"/>
  <c r="Q317" i="12"/>
  <c r="R317" i="12"/>
  <c r="T317" i="12"/>
  <c r="V317" i="12"/>
  <c r="U317" i="12"/>
  <c r="Q314" i="12"/>
  <c r="T314" i="12"/>
  <c r="V314" i="12"/>
  <c r="Q311" i="12"/>
  <c r="T311" i="12"/>
  <c r="V311" i="12"/>
  <c r="S302" i="12"/>
  <c r="Q302" i="12"/>
  <c r="Q293" i="12"/>
  <c r="R293" i="12"/>
  <c r="T293" i="12"/>
  <c r="V293" i="12"/>
  <c r="U293" i="12"/>
  <c r="Q290" i="12"/>
  <c r="T290" i="12"/>
  <c r="V290" i="12"/>
  <c r="Q287" i="12"/>
  <c r="T287" i="12"/>
  <c r="V287" i="12"/>
  <c r="S278" i="12"/>
  <c r="Q278" i="12"/>
  <c r="Q269" i="12"/>
  <c r="U269" i="12"/>
  <c r="R269" i="12"/>
  <c r="Q266" i="12"/>
  <c r="T266" i="12"/>
  <c r="V266" i="12"/>
  <c r="Q263" i="12"/>
  <c r="T263" i="12"/>
  <c r="V263" i="12"/>
  <c r="S260" i="12"/>
  <c r="R257" i="12"/>
  <c r="U257" i="12"/>
  <c r="R248" i="12"/>
  <c r="U245" i="12"/>
  <c r="U242" i="12"/>
  <c r="Q242" i="12"/>
  <c r="T242" i="12"/>
  <c r="U233" i="12"/>
  <c r="Q215" i="12"/>
  <c r="Q209" i="12"/>
  <c r="Q200" i="12"/>
  <c r="U200" i="12"/>
  <c r="R200" i="12"/>
  <c r="U620" i="12"/>
  <c r="U617" i="12"/>
  <c r="U599" i="12"/>
  <c r="U596" i="12"/>
  <c r="U575" i="12"/>
  <c r="U572" i="12"/>
  <c r="U551" i="12"/>
  <c r="U530" i="12"/>
  <c r="U527" i="12"/>
  <c r="U506" i="12"/>
  <c r="U503" i="12"/>
  <c r="Q368" i="12"/>
  <c r="R368" i="12"/>
  <c r="T368" i="12"/>
  <c r="V368" i="12"/>
  <c r="U368" i="12"/>
  <c r="S356" i="12"/>
  <c r="R356" i="12"/>
  <c r="T356" i="12"/>
  <c r="V356" i="12"/>
  <c r="S353" i="12"/>
  <c r="R353" i="12"/>
  <c r="T353" i="12"/>
  <c r="V353" i="12"/>
  <c r="Q344" i="12"/>
  <c r="U344" i="12"/>
  <c r="R344" i="12"/>
  <c r="S332" i="12"/>
  <c r="R332" i="12"/>
  <c r="T332" i="12"/>
  <c r="V332" i="12"/>
  <c r="S329" i="12"/>
  <c r="R329" i="12"/>
  <c r="T329" i="12"/>
  <c r="V329" i="12"/>
  <c r="Q320" i="12"/>
  <c r="U320" i="12"/>
  <c r="R320" i="12"/>
  <c r="S308" i="12"/>
  <c r="R308" i="12"/>
  <c r="T308" i="12"/>
  <c r="V308" i="12"/>
  <c r="S305" i="12"/>
  <c r="R305" i="12"/>
  <c r="T305" i="12"/>
  <c r="V305" i="12"/>
  <c r="Q296" i="12"/>
  <c r="R296" i="12"/>
  <c r="T296" i="12"/>
  <c r="V296" i="12"/>
  <c r="U296" i="12"/>
  <c r="S284" i="12"/>
  <c r="R284" i="12"/>
  <c r="T284" i="12"/>
  <c r="V284" i="12"/>
  <c r="S281" i="12"/>
  <c r="R281" i="12"/>
  <c r="T281" i="12"/>
  <c r="V281" i="12"/>
  <c r="Q272" i="12"/>
  <c r="R272" i="12"/>
  <c r="T272" i="12"/>
  <c r="V272" i="12"/>
  <c r="U272" i="12"/>
  <c r="Q257" i="12"/>
  <c r="S251" i="12"/>
  <c r="T236" i="12"/>
  <c r="V236" i="12"/>
  <c r="S227" i="12"/>
  <c r="T188" i="12"/>
  <c r="V188" i="12"/>
  <c r="U362" i="12"/>
  <c r="U359" i="12"/>
  <c r="U338" i="12"/>
  <c r="U335" i="12"/>
  <c r="U314" i="12"/>
  <c r="U311" i="12"/>
  <c r="U290" i="12"/>
  <c r="U287" i="12"/>
  <c r="U266" i="12"/>
  <c r="U263" i="12"/>
  <c r="Q254" i="12"/>
  <c r="U254" i="12"/>
  <c r="R254" i="12"/>
  <c r="S242" i="12"/>
  <c r="U239" i="12"/>
  <c r="S233" i="12"/>
  <c r="R233" i="12"/>
  <c r="T233" i="12"/>
  <c r="V233" i="12"/>
  <c r="Q230" i="12"/>
  <c r="R230" i="12"/>
  <c r="T230" i="12"/>
  <c r="V230" i="12"/>
  <c r="U230" i="12"/>
  <c r="Q227" i="12"/>
  <c r="R227" i="12"/>
  <c r="T227" i="12"/>
  <c r="V227" i="12"/>
  <c r="U227" i="12"/>
  <c r="Q221" i="12"/>
  <c r="T221" i="12"/>
  <c r="V221" i="12"/>
  <c r="U221" i="12"/>
  <c r="T218" i="12"/>
  <c r="V218" i="12"/>
  <c r="U215" i="12"/>
  <c r="S209" i="12"/>
  <c r="R209" i="12"/>
  <c r="Q206" i="12"/>
  <c r="R206" i="12"/>
  <c r="T206" i="12"/>
  <c r="V206" i="12"/>
  <c r="U206" i="12"/>
  <c r="Q203" i="12"/>
  <c r="R203" i="12"/>
  <c r="T203" i="12"/>
  <c r="V203" i="12"/>
  <c r="U203" i="12"/>
  <c r="Q197" i="12"/>
  <c r="T197" i="12"/>
  <c r="V197" i="12"/>
  <c r="U197" i="12"/>
  <c r="T194" i="12"/>
  <c r="V194" i="12"/>
  <c r="U191" i="12"/>
  <c r="R176" i="12"/>
  <c r="Q164" i="12"/>
  <c r="R164" i="12"/>
  <c r="T164" i="12"/>
  <c r="V164" i="12"/>
  <c r="U164" i="12"/>
  <c r="Q119" i="12"/>
  <c r="U119" i="12"/>
  <c r="R371" i="12"/>
  <c r="R350" i="12"/>
  <c r="R347" i="12"/>
  <c r="R326" i="12"/>
  <c r="R323" i="12"/>
  <c r="R302" i="12"/>
  <c r="R299" i="12"/>
  <c r="R278" i="12"/>
  <c r="R275" i="12"/>
  <c r="R260" i="12"/>
  <c r="Q260" i="12"/>
  <c r="T260" i="12"/>
  <c r="V260" i="12"/>
  <c r="R239" i="12"/>
  <c r="T239" i="12"/>
  <c r="S239" i="12"/>
  <c r="V239" i="12"/>
  <c r="R215" i="12"/>
  <c r="R191" i="12"/>
  <c r="T191" i="12"/>
  <c r="S191" i="12"/>
  <c r="V191" i="12"/>
  <c r="U185" i="12"/>
  <c r="U176" i="12"/>
  <c r="T152" i="12"/>
  <c r="V152" i="12"/>
  <c r="Q143" i="12"/>
  <c r="U143" i="12"/>
  <c r="R143" i="12"/>
  <c r="T131" i="12"/>
  <c r="V131" i="12"/>
  <c r="U371" i="12"/>
  <c r="U350" i="12"/>
  <c r="U347" i="12"/>
  <c r="U326" i="12"/>
  <c r="U323" i="12"/>
  <c r="U302" i="12"/>
  <c r="U299" i="12"/>
  <c r="U278" i="12"/>
  <c r="U275" i="12"/>
  <c r="U260" i="12"/>
  <c r="Q251" i="12"/>
  <c r="U251" i="12"/>
  <c r="R251" i="12"/>
  <c r="S215" i="12"/>
  <c r="S179" i="12"/>
  <c r="Q179" i="12"/>
  <c r="R179" i="12"/>
  <c r="T179" i="12"/>
  <c r="V179" i="12"/>
  <c r="Q176" i="12"/>
  <c r="T176" i="12"/>
  <c r="V176" i="12"/>
  <c r="R32" i="12"/>
  <c r="T32" i="12"/>
  <c r="U167" i="12"/>
  <c r="T158" i="12"/>
  <c r="V158" i="12"/>
  <c r="T155" i="12"/>
  <c r="V155" i="12"/>
  <c r="Q122" i="12"/>
  <c r="U122" i="12"/>
  <c r="S119" i="12"/>
  <c r="R119" i="12"/>
  <c r="S95" i="12"/>
  <c r="Q95" i="12"/>
  <c r="S71" i="12"/>
  <c r="Q71" i="12"/>
  <c r="Q62" i="12"/>
  <c r="T62" i="12"/>
  <c r="Q59" i="12"/>
  <c r="T59" i="12"/>
  <c r="V59" i="12"/>
  <c r="U32" i="12"/>
  <c r="Q11" i="12"/>
  <c r="U11" i="12"/>
  <c r="R182" i="12"/>
  <c r="T182" i="12"/>
  <c r="V182" i="12"/>
  <c r="S167" i="12"/>
  <c r="Q167" i="12"/>
  <c r="S146" i="12"/>
  <c r="Q146" i="12"/>
  <c r="Q137" i="12"/>
  <c r="R137" i="12"/>
  <c r="T137" i="12"/>
  <c r="V137" i="12"/>
  <c r="U137" i="12"/>
  <c r="S122" i="12"/>
  <c r="R122" i="12"/>
  <c r="Q113" i="12"/>
  <c r="U113" i="12"/>
  <c r="R113" i="12"/>
  <c r="Q110" i="12"/>
  <c r="T110" i="12"/>
  <c r="V110" i="12"/>
  <c r="Q107" i="12"/>
  <c r="T107" i="12"/>
  <c r="V107" i="12"/>
  <c r="R104" i="12"/>
  <c r="T104" i="12"/>
  <c r="S104" i="12"/>
  <c r="V104" i="12"/>
  <c r="R101" i="12"/>
  <c r="T101" i="12"/>
  <c r="S101" i="12"/>
  <c r="V101" i="12"/>
  <c r="S98" i="12"/>
  <c r="Q98" i="12"/>
  <c r="Q89" i="12"/>
  <c r="U89" i="12"/>
  <c r="R89" i="12"/>
  <c r="Q86" i="12"/>
  <c r="T86" i="12"/>
  <c r="V86" i="12"/>
  <c r="Q83" i="12"/>
  <c r="T83" i="12"/>
  <c r="V83" i="12"/>
  <c r="R80" i="12"/>
  <c r="T80" i="12"/>
  <c r="S80" i="12"/>
  <c r="V80" i="12"/>
  <c r="R77" i="12"/>
  <c r="T77" i="12"/>
  <c r="S77" i="12"/>
  <c r="V77" i="12"/>
  <c r="S74" i="12"/>
  <c r="Q74" i="12"/>
  <c r="R56" i="12"/>
  <c r="U56" i="12"/>
  <c r="Q44" i="12"/>
  <c r="U44" i="12"/>
  <c r="R44" i="12"/>
  <c r="Q41" i="12"/>
  <c r="R41" i="12"/>
  <c r="T41" i="12"/>
  <c r="V41" i="12"/>
  <c r="U41" i="12"/>
  <c r="R29" i="12"/>
  <c r="Q29" i="12"/>
  <c r="T29" i="12"/>
  <c r="V29" i="12"/>
  <c r="R26" i="12"/>
  <c r="Q26" i="12"/>
  <c r="R23" i="12"/>
  <c r="Q23" i="12"/>
  <c r="T23" i="12"/>
  <c r="V23" i="12"/>
  <c r="R20" i="12"/>
  <c r="Q20" i="12"/>
  <c r="R17" i="12"/>
  <c r="Q17" i="12"/>
  <c r="T17" i="12"/>
  <c r="V17" i="12"/>
  <c r="Q14" i="12"/>
  <c r="U14" i="12"/>
  <c r="S11" i="12"/>
  <c r="R11" i="12"/>
  <c r="U182" i="12"/>
  <c r="U179" i="12"/>
  <c r="S170" i="12"/>
  <c r="Q170" i="12"/>
  <c r="R170" i="12"/>
  <c r="T170" i="12"/>
  <c r="V170" i="12"/>
  <c r="Q161" i="12"/>
  <c r="U161" i="12"/>
  <c r="R161" i="12"/>
  <c r="S149" i="12"/>
  <c r="Q149" i="12"/>
  <c r="Q140" i="12"/>
  <c r="U140" i="12"/>
  <c r="R140" i="12"/>
  <c r="S128" i="12"/>
  <c r="R128" i="12"/>
  <c r="T128" i="12"/>
  <c r="V128" i="12"/>
  <c r="S125" i="12"/>
  <c r="R125" i="12"/>
  <c r="T125" i="12"/>
  <c r="V125" i="12"/>
  <c r="Q116" i="12"/>
  <c r="U116" i="12"/>
  <c r="R116" i="12"/>
  <c r="Q92" i="12"/>
  <c r="U92" i="12"/>
  <c r="R92" i="12"/>
  <c r="Q68" i="12"/>
  <c r="R68" i="12"/>
  <c r="T68" i="12"/>
  <c r="U68" i="12"/>
  <c r="Q65" i="12"/>
  <c r="U65" i="12"/>
  <c r="R65" i="12"/>
  <c r="Q56" i="12"/>
  <c r="T56" i="12"/>
  <c r="R53" i="12"/>
  <c r="Q53" i="12"/>
  <c r="T53" i="12"/>
  <c r="V53" i="12"/>
  <c r="Q50" i="12"/>
  <c r="T50" i="12"/>
  <c r="U50" i="12"/>
  <c r="Q47" i="12"/>
  <c r="T47" i="12"/>
  <c r="V47" i="12"/>
  <c r="U47" i="12"/>
  <c r="S32" i="12"/>
  <c r="S14" i="12"/>
  <c r="R14" i="12"/>
  <c r="U134" i="12"/>
  <c r="U131" i="12"/>
  <c r="U110" i="12"/>
  <c r="U107" i="12"/>
  <c r="U86" i="12"/>
  <c r="U83" i="12"/>
  <c r="U62" i="12"/>
  <c r="U59" i="12"/>
  <c r="U38" i="12"/>
  <c r="U35" i="12"/>
  <c r="R167" i="12"/>
  <c r="R149" i="12"/>
  <c r="R146" i="12"/>
  <c r="R98" i="12"/>
  <c r="R95" i="12"/>
  <c r="R74" i="12"/>
  <c r="R71" i="12"/>
  <c r="U170" i="12"/>
  <c r="U149" i="12"/>
  <c r="U146" i="12"/>
  <c r="U98" i="12"/>
  <c r="U95" i="12"/>
  <c r="U74" i="12"/>
  <c r="U71" i="12"/>
  <c r="D257" i="4"/>
  <c r="F257" i="4"/>
  <c r="D256" i="4"/>
  <c r="F256" i="4"/>
  <c r="D255" i="4"/>
  <c r="F255" i="4"/>
  <c r="D254" i="4"/>
  <c r="F254" i="4"/>
  <c r="D253" i="4"/>
  <c r="F253" i="4"/>
  <c r="D252" i="4"/>
  <c r="F252" i="4"/>
  <c r="D251" i="4"/>
  <c r="F251" i="4"/>
  <c r="D250" i="4"/>
  <c r="F250" i="4"/>
  <c r="D249" i="4"/>
  <c r="F249" i="4"/>
  <c r="D248" i="4"/>
  <c r="F248" i="4"/>
  <c r="D246" i="4"/>
  <c r="F246" i="4"/>
  <c r="D245" i="4"/>
  <c r="F245" i="4"/>
  <c r="D244" i="4"/>
  <c r="F244" i="4"/>
  <c r="D243" i="4"/>
  <c r="F243" i="4"/>
  <c r="D242" i="4"/>
  <c r="F242" i="4"/>
  <c r="D241" i="4"/>
  <c r="D240" i="4"/>
  <c r="F240" i="4"/>
  <c r="D239" i="4"/>
  <c r="F239" i="4"/>
  <c r="D238" i="4"/>
  <c r="F238" i="4"/>
  <c r="D237" i="4"/>
  <c r="F237" i="4"/>
  <c r="D236" i="4"/>
  <c r="F236" i="4"/>
  <c r="D235" i="4"/>
  <c r="F235" i="4"/>
  <c r="D234" i="4"/>
  <c r="F234" i="4"/>
  <c r="D233" i="4"/>
  <c r="F233" i="4"/>
  <c r="D232" i="4"/>
  <c r="F232" i="4"/>
  <c r="D231" i="4"/>
  <c r="F231" i="4"/>
  <c r="D230" i="4"/>
  <c r="F230" i="4"/>
  <c r="D229" i="4"/>
  <c r="F229" i="4"/>
  <c r="D228" i="4"/>
  <c r="F228" i="4"/>
  <c r="D227" i="4"/>
  <c r="F227" i="4"/>
  <c r="D226" i="4"/>
  <c r="F226" i="4"/>
  <c r="D225" i="4"/>
  <c r="F225" i="4"/>
  <c r="D224" i="4"/>
  <c r="F224" i="4"/>
  <c r="D223" i="4"/>
  <c r="F223" i="4"/>
  <c r="D222" i="4"/>
  <c r="F222" i="4"/>
  <c r="D221" i="4"/>
  <c r="F221" i="4"/>
  <c r="D220" i="4"/>
  <c r="F220" i="4"/>
  <c r="D219" i="4"/>
  <c r="F219" i="4"/>
  <c r="D218" i="4"/>
  <c r="F218" i="4"/>
  <c r="D217" i="4"/>
  <c r="F217" i="4"/>
  <c r="D216" i="4"/>
  <c r="F216" i="4"/>
  <c r="D215" i="4"/>
  <c r="F215" i="4"/>
  <c r="D214" i="4"/>
  <c r="F214" i="4"/>
  <c r="D213" i="4"/>
  <c r="F213" i="4"/>
  <c r="D212" i="4"/>
  <c r="F212" i="4"/>
  <c r="D211" i="4"/>
  <c r="F211" i="4"/>
  <c r="D210" i="4"/>
  <c r="F210" i="4"/>
  <c r="D209" i="4"/>
  <c r="F209" i="4"/>
  <c r="D208" i="4"/>
  <c r="F208" i="4"/>
  <c r="D207" i="4"/>
  <c r="F207" i="4"/>
  <c r="D206" i="4"/>
  <c r="F206" i="4"/>
  <c r="D205" i="4"/>
  <c r="F205" i="4"/>
  <c r="D204" i="4"/>
  <c r="F204" i="4"/>
  <c r="D203" i="4"/>
  <c r="F203" i="4"/>
  <c r="D202" i="4"/>
  <c r="F202" i="4"/>
  <c r="D201" i="4"/>
  <c r="F201" i="4"/>
  <c r="D200" i="4"/>
  <c r="F200" i="4"/>
  <c r="D199" i="4"/>
  <c r="F199" i="4"/>
  <c r="D198" i="4"/>
  <c r="F198" i="4"/>
  <c r="D197" i="4"/>
  <c r="F197" i="4"/>
  <c r="D196" i="4"/>
  <c r="F196" i="4"/>
  <c r="D195" i="4"/>
  <c r="F195" i="4"/>
  <c r="D194" i="4"/>
  <c r="F194" i="4"/>
  <c r="D193" i="4"/>
  <c r="F193" i="4"/>
  <c r="D192" i="4"/>
  <c r="F192" i="4"/>
  <c r="D191" i="4"/>
  <c r="F191" i="4"/>
  <c r="D190" i="4"/>
  <c r="F190" i="4"/>
  <c r="D189" i="4"/>
  <c r="F189" i="4"/>
  <c r="D188" i="4"/>
  <c r="F188" i="4"/>
  <c r="F187" i="4"/>
  <c r="D186" i="4"/>
  <c r="F186" i="4"/>
  <c r="D185" i="4"/>
  <c r="F185" i="4"/>
  <c r="D184" i="4"/>
  <c r="F184" i="4"/>
  <c r="D183" i="4"/>
  <c r="F183" i="4"/>
  <c r="D182" i="4"/>
  <c r="F182" i="4"/>
  <c r="D180" i="4"/>
  <c r="F180" i="4"/>
  <c r="D179" i="4"/>
  <c r="F179" i="4"/>
  <c r="D178" i="4"/>
  <c r="F178" i="4"/>
  <c r="D177" i="4"/>
  <c r="F177" i="4"/>
  <c r="D176" i="4"/>
  <c r="F176" i="4"/>
  <c r="D175" i="4"/>
  <c r="F175" i="4"/>
  <c r="D174" i="4"/>
  <c r="F174" i="4"/>
  <c r="D173" i="4"/>
  <c r="F173" i="4"/>
  <c r="D172" i="4"/>
  <c r="F172" i="4"/>
  <c r="D171" i="4"/>
  <c r="F171" i="4"/>
  <c r="D170" i="4"/>
  <c r="F170" i="4"/>
  <c r="D169" i="4"/>
  <c r="F169" i="4"/>
  <c r="D168" i="4"/>
  <c r="F168" i="4"/>
  <c r="D167" i="4"/>
  <c r="F167" i="4"/>
  <c r="D166" i="4"/>
  <c r="F166" i="4"/>
  <c r="D165" i="4"/>
  <c r="F165" i="4"/>
  <c r="D164" i="4"/>
  <c r="F164" i="4"/>
  <c r="D163" i="4"/>
  <c r="F163" i="4"/>
  <c r="D162" i="4"/>
  <c r="F162" i="4"/>
  <c r="D161" i="4"/>
  <c r="F161" i="4"/>
  <c r="D160" i="4"/>
  <c r="F160" i="4"/>
  <c r="D159" i="4"/>
  <c r="F159" i="4"/>
  <c r="D158" i="4"/>
  <c r="F158" i="4"/>
  <c r="D157" i="4"/>
  <c r="F157" i="4"/>
  <c r="D156" i="4"/>
  <c r="F156" i="4"/>
  <c r="D155" i="4"/>
  <c r="F155" i="4"/>
  <c r="D154" i="4"/>
  <c r="F154" i="4"/>
  <c r="D153" i="4"/>
  <c r="F153" i="4"/>
  <c r="D152" i="4"/>
  <c r="F152" i="4"/>
  <c r="D151" i="4"/>
  <c r="F151" i="4"/>
  <c r="D150" i="4"/>
  <c r="F150" i="4"/>
  <c r="D149" i="4"/>
  <c r="F149" i="4"/>
  <c r="D148" i="4"/>
  <c r="F148" i="4"/>
  <c r="D147" i="4"/>
  <c r="F147" i="4"/>
  <c r="D146" i="4"/>
  <c r="F146" i="4"/>
  <c r="D145" i="4"/>
  <c r="F145" i="4"/>
  <c r="D144" i="4"/>
  <c r="F144" i="4"/>
  <c r="D143" i="4"/>
  <c r="F143" i="4"/>
  <c r="D142" i="4"/>
  <c r="F142" i="4"/>
  <c r="D141" i="4"/>
  <c r="F141" i="4"/>
  <c r="D140" i="4"/>
  <c r="F140" i="4"/>
  <c r="D139" i="4"/>
  <c r="F139" i="4"/>
  <c r="D138" i="4"/>
  <c r="F138" i="4"/>
  <c r="D137" i="4"/>
  <c r="F137" i="4"/>
  <c r="D136" i="4"/>
  <c r="F136" i="4"/>
  <c r="D135" i="4"/>
  <c r="F135" i="4"/>
  <c r="D134" i="4"/>
  <c r="F134" i="4"/>
  <c r="D133" i="4"/>
  <c r="F133" i="4"/>
  <c r="D132" i="4"/>
  <c r="F132" i="4"/>
  <c r="D131" i="4"/>
  <c r="F131" i="4"/>
  <c r="D130" i="4"/>
  <c r="F130" i="4"/>
  <c r="D129" i="4"/>
  <c r="F129" i="4"/>
  <c r="D128" i="4"/>
  <c r="F128" i="4"/>
  <c r="D127" i="4"/>
  <c r="F127" i="4"/>
  <c r="D126" i="4"/>
  <c r="F126" i="4"/>
  <c r="D125" i="4"/>
  <c r="F125" i="4"/>
  <c r="D124" i="4"/>
  <c r="F124" i="4"/>
  <c r="D123" i="4"/>
  <c r="F123" i="4"/>
  <c r="D122" i="4"/>
  <c r="F122" i="4"/>
  <c r="D121" i="4"/>
  <c r="F121" i="4"/>
  <c r="D120" i="4"/>
  <c r="F120" i="4"/>
  <c r="D119" i="4"/>
  <c r="F119" i="4"/>
  <c r="D118" i="4"/>
  <c r="F118" i="4"/>
  <c r="D117" i="4"/>
  <c r="F117" i="4"/>
  <c r="D116" i="4"/>
  <c r="F116" i="4"/>
  <c r="D115" i="4"/>
  <c r="F115" i="4"/>
  <c r="D114" i="4"/>
  <c r="F114" i="4"/>
  <c r="D113" i="4"/>
  <c r="F113" i="4"/>
  <c r="D112" i="4"/>
  <c r="F112" i="4"/>
  <c r="D111" i="4"/>
  <c r="F111" i="4"/>
  <c r="D110" i="4"/>
  <c r="F110" i="4"/>
  <c r="D109" i="4"/>
  <c r="F109" i="4"/>
  <c r="D108" i="4"/>
  <c r="F108" i="4"/>
  <c r="D107" i="4"/>
  <c r="F107" i="4"/>
  <c r="D106" i="4"/>
  <c r="F106" i="4"/>
  <c r="D105" i="4"/>
  <c r="F105" i="4"/>
  <c r="D104" i="4"/>
  <c r="F104" i="4"/>
  <c r="D103" i="4"/>
  <c r="F103" i="4"/>
  <c r="D102" i="4"/>
  <c r="F102" i="4"/>
  <c r="D101" i="4"/>
  <c r="F101" i="4"/>
  <c r="D100" i="4"/>
  <c r="F100" i="4"/>
  <c r="D99" i="4"/>
  <c r="F99" i="4"/>
  <c r="D98" i="4"/>
  <c r="F98" i="4"/>
  <c r="D97" i="4"/>
  <c r="F97" i="4"/>
  <c r="D96" i="4"/>
  <c r="F96" i="4"/>
  <c r="D95" i="4"/>
  <c r="F95" i="4"/>
  <c r="D94" i="4"/>
  <c r="F94" i="4"/>
  <c r="D93" i="4"/>
  <c r="F93" i="4"/>
  <c r="D92" i="4"/>
  <c r="F92" i="4"/>
  <c r="D91" i="4"/>
  <c r="F91" i="4"/>
  <c r="D90" i="4"/>
  <c r="F90" i="4"/>
  <c r="D89" i="4"/>
  <c r="F89" i="4"/>
  <c r="D88" i="4"/>
  <c r="F88" i="4"/>
  <c r="D87" i="4"/>
  <c r="F87" i="4"/>
  <c r="D86" i="4"/>
  <c r="F86" i="4"/>
  <c r="D85" i="4"/>
  <c r="F85" i="4"/>
  <c r="D84" i="4"/>
  <c r="F84" i="4"/>
  <c r="D83" i="4"/>
  <c r="F83" i="4"/>
  <c r="D82" i="4"/>
  <c r="F82" i="4"/>
  <c r="D81" i="4"/>
  <c r="F81" i="4"/>
  <c r="D80" i="4"/>
  <c r="F80" i="4"/>
  <c r="D79" i="4"/>
  <c r="F79" i="4"/>
  <c r="D78" i="4"/>
  <c r="F78" i="4"/>
  <c r="D77" i="4"/>
  <c r="F77" i="4"/>
  <c r="D76" i="4"/>
  <c r="F76" i="4"/>
  <c r="D75" i="4"/>
  <c r="F75" i="4"/>
  <c r="D74" i="4"/>
  <c r="F74" i="4"/>
  <c r="D73" i="4"/>
  <c r="F73" i="4"/>
  <c r="D72" i="4"/>
  <c r="F72" i="4"/>
  <c r="D71" i="4"/>
  <c r="F71" i="4"/>
  <c r="D70" i="4"/>
  <c r="F70" i="4"/>
  <c r="D69" i="4"/>
  <c r="F69" i="4"/>
  <c r="D68" i="4"/>
  <c r="F68" i="4"/>
  <c r="D67" i="4"/>
  <c r="F67" i="4"/>
  <c r="D66" i="4"/>
  <c r="F66" i="4"/>
  <c r="D65" i="4"/>
  <c r="F65" i="4"/>
  <c r="D64" i="4"/>
  <c r="F64" i="4"/>
  <c r="D63" i="4"/>
  <c r="F63" i="4"/>
  <c r="D62" i="4"/>
  <c r="F62" i="4"/>
  <c r="D61" i="4"/>
  <c r="F61" i="4"/>
  <c r="D60" i="4"/>
  <c r="F60" i="4"/>
  <c r="D59" i="4"/>
  <c r="F59" i="4"/>
  <c r="D58" i="4"/>
  <c r="F58" i="4"/>
  <c r="D57" i="4"/>
  <c r="F57" i="4"/>
  <c r="D56" i="4"/>
  <c r="F56" i="4"/>
  <c r="D55" i="4"/>
  <c r="F55" i="4"/>
  <c r="D54" i="4"/>
  <c r="F54" i="4"/>
  <c r="D53" i="4"/>
  <c r="F53" i="4"/>
  <c r="D52" i="4"/>
  <c r="F52" i="4"/>
  <c r="D51" i="4"/>
  <c r="F51" i="4"/>
  <c r="D50" i="4"/>
  <c r="F50" i="4"/>
  <c r="D49" i="4"/>
  <c r="F49" i="4"/>
  <c r="D48" i="4"/>
  <c r="F48" i="4"/>
  <c r="D47" i="4"/>
  <c r="F47" i="4"/>
  <c r="D46" i="4"/>
  <c r="F46" i="4"/>
  <c r="D45" i="4"/>
  <c r="F45" i="4"/>
  <c r="D44" i="4"/>
  <c r="F44" i="4"/>
  <c r="D43" i="4"/>
  <c r="F43" i="4"/>
  <c r="D42" i="4"/>
  <c r="F42" i="4"/>
  <c r="D41" i="4"/>
  <c r="F41" i="4"/>
  <c r="D40" i="4"/>
  <c r="F40" i="4"/>
  <c r="D39" i="4"/>
  <c r="F39" i="4"/>
  <c r="D38" i="4"/>
  <c r="F38" i="4"/>
  <c r="D37" i="4"/>
  <c r="F37" i="4"/>
  <c r="D36" i="4"/>
  <c r="F36" i="4"/>
  <c r="D35" i="4"/>
  <c r="F35" i="4"/>
  <c r="D34" i="4"/>
  <c r="F34" i="4"/>
  <c r="D33" i="4"/>
  <c r="F33" i="4"/>
  <c r="D32" i="4"/>
  <c r="F32" i="4"/>
  <c r="D31" i="4"/>
  <c r="F31" i="4"/>
  <c r="D30" i="4"/>
  <c r="F30" i="4"/>
  <c r="D29" i="4"/>
  <c r="F29" i="4"/>
  <c r="D28" i="4"/>
  <c r="F28" i="4"/>
  <c r="D27" i="4"/>
  <c r="F27" i="4"/>
  <c r="D26" i="4"/>
  <c r="F26" i="4"/>
  <c r="D25" i="4"/>
  <c r="F25" i="4"/>
  <c r="D24" i="4"/>
  <c r="F24" i="4"/>
  <c r="D23" i="4"/>
  <c r="F23" i="4"/>
  <c r="D22" i="4"/>
  <c r="F22" i="4"/>
  <c r="D21" i="4"/>
  <c r="F21" i="4"/>
  <c r="D20" i="4"/>
  <c r="F20" i="4"/>
  <c r="D19" i="4"/>
  <c r="F19" i="4"/>
  <c r="D18" i="4"/>
  <c r="F18" i="4"/>
  <c r="D17" i="4"/>
  <c r="F17" i="4"/>
  <c r="F16" i="4"/>
  <c r="D15" i="4"/>
  <c r="F15" i="4"/>
  <c r="D14" i="4"/>
  <c r="F14" i="4"/>
  <c r="D13" i="4"/>
  <c r="F13" i="4"/>
  <c r="D12" i="4"/>
  <c r="F12" i="4"/>
  <c r="D11" i="4"/>
  <c r="F11" i="4"/>
  <c r="D10" i="4"/>
  <c r="F10" i="4"/>
  <c r="T116" i="12"/>
  <c r="V116" i="12"/>
  <c r="T149" i="12"/>
  <c r="V149" i="12"/>
  <c r="T161" i="12"/>
  <c r="V161" i="12"/>
  <c r="T14" i="12"/>
  <c r="V14" i="12"/>
  <c r="T44" i="12"/>
  <c r="T98" i="12"/>
  <c r="V98" i="12"/>
  <c r="T113" i="12"/>
  <c r="V113" i="12"/>
  <c r="T167" i="12"/>
  <c r="V167" i="12"/>
  <c r="T95" i="12"/>
  <c r="V95" i="12"/>
  <c r="T251" i="12"/>
  <c r="V251" i="12"/>
  <c r="T254" i="12"/>
  <c r="V254" i="12"/>
  <c r="T320" i="12"/>
  <c r="V320" i="12"/>
  <c r="T200" i="12"/>
  <c r="V200" i="12"/>
  <c r="V242" i="12"/>
  <c r="T278" i="12"/>
  <c r="V278" i="12"/>
  <c r="T341" i="12"/>
  <c r="V341" i="12"/>
  <c r="T395" i="12"/>
  <c r="V395" i="12"/>
  <c r="T419" i="12"/>
  <c r="V419" i="12"/>
  <c r="T443" i="12"/>
  <c r="V443" i="12"/>
  <c r="T467" i="12"/>
  <c r="V467" i="12"/>
  <c r="T428" i="12"/>
  <c r="V428" i="12"/>
  <c r="T500" i="12"/>
  <c r="V500" i="12"/>
  <c r="T545" i="12"/>
  <c r="V545" i="12"/>
  <c r="T593" i="12"/>
  <c r="V593" i="12"/>
  <c r="T614" i="12"/>
  <c r="V614" i="12"/>
  <c r="T554" i="12"/>
  <c r="V554" i="12"/>
  <c r="V602" i="12"/>
  <c r="T644" i="12"/>
  <c r="V644" i="12"/>
  <c r="V755" i="12"/>
  <c r="T776" i="12"/>
  <c r="V776" i="12"/>
  <c r="T11" i="12"/>
  <c r="V11" i="12"/>
  <c r="T122" i="12"/>
  <c r="V122" i="12"/>
  <c r="T209" i="12"/>
  <c r="V209" i="12"/>
  <c r="T350" i="12"/>
  <c r="V350" i="12"/>
  <c r="T248" i="12"/>
  <c r="V248" i="12"/>
  <c r="T299" i="12"/>
  <c r="V299" i="12"/>
  <c r="T347" i="12"/>
  <c r="V347" i="12"/>
  <c r="T377" i="12"/>
  <c r="V377" i="12"/>
  <c r="T425" i="12"/>
  <c r="V425" i="12"/>
  <c r="T473" i="12"/>
  <c r="V473" i="12"/>
  <c r="T404" i="12"/>
  <c r="V404" i="12"/>
  <c r="T617" i="12"/>
  <c r="V617" i="12"/>
  <c r="T557" i="12"/>
  <c r="V557" i="12"/>
  <c r="V605" i="12"/>
  <c r="V656" i="12"/>
  <c r="T770" i="12"/>
  <c r="V770" i="12"/>
  <c r="T146" i="12"/>
  <c r="V146" i="12"/>
  <c r="T71" i="12"/>
  <c r="V71" i="12"/>
  <c r="T119" i="12"/>
  <c r="V119" i="12"/>
  <c r="T215" i="12"/>
  <c r="V215" i="12"/>
  <c r="T326" i="12"/>
  <c r="V326" i="12"/>
  <c r="T380" i="12"/>
  <c r="V380" i="12"/>
  <c r="T530" i="12"/>
  <c r="V530" i="12"/>
  <c r="T458" i="12"/>
  <c r="V458" i="12"/>
  <c r="V578" i="12"/>
  <c r="T620" i="12"/>
  <c r="V620" i="12"/>
  <c r="T635" i="12"/>
  <c r="V635" i="12"/>
  <c r="T65" i="12"/>
  <c r="V65" i="12"/>
  <c r="T92" i="12"/>
  <c r="V92" i="12"/>
  <c r="T140" i="12"/>
  <c r="V140" i="12"/>
  <c r="T20" i="12"/>
  <c r="V20" i="12"/>
  <c r="T26" i="12"/>
  <c r="V26" i="12"/>
  <c r="T74" i="12"/>
  <c r="V74" i="12"/>
  <c r="T89" i="12"/>
  <c r="V89" i="12"/>
  <c r="T143" i="12"/>
  <c r="V143" i="12"/>
  <c r="T257" i="12"/>
  <c r="V257" i="12"/>
  <c r="T344" i="12"/>
  <c r="V344" i="12"/>
  <c r="T269" i="12"/>
  <c r="V269" i="12"/>
  <c r="T302" i="12"/>
  <c r="V302" i="12"/>
  <c r="T365" i="12"/>
  <c r="V365" i="12"/>
  <c r="T398" i="12"/>
  <c r="V398" i="12"/>
  <c r="T422" i="12"/>
  <c r="V422" i="12"/>
  <c r="T446" i="12"/>
  <c r="V446" i="12"/>
  <c r="T470" i="12"/>
  <c r="V470" i="12"/>
  <c r="T275" i="12"/>
  <c r="V275" i="12"/>
  <c r="T323" i="12"/>
  <c r="V323" i="12"/>
  <c r="T371" i="12"/>
  <c r="V371" i="12"/>
  <c r="T401" i="12"/>
  <c r="V401" i="12"/>
  <c r="T449" i="12"/>
  <c r="V449" i="12"/>
  <c r="T224" i="12"/>
  <c r="V224" i="12"/>
  <c r="T452" i="12"/>
  <c r="V452" i="12"/>
  <c r="T524" i="12"/>
  <c r="V524" i="12"/>
  <c r="T623" i="12"/>
  <c r="V623" i="12"/>
  <c r="T506" i="12"/>
  <c r="V506" i="12"/>
  <c r="T569" i="12"/>
  <c r="V569" i="12"/>
  <c r="T626" i="12"/>
  <c r="V626" i="12"/>
  <c r="T650" i="12"/>
  <c r="V650" i="12"/>
  <c r="V581" i="12"/>
  <c r="T758" i="12"/>
  <c r="V758" i="12"/>
  <c r="T767" i="12"/>
  <c r="V767" i="12"/>
</calcChain>
</file>

<file path=xl/sharedStrings.xml><?xml version="1.0" encoding="utf-8"?>
<sst xmlns="http://schemas.openxmlformats.org/spreadsheetml/2006/main" count="1660" uniqueCount="320">
  <si>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</si>
  <si>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</si>
  <si>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</si>
  <si>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</si>
  <si>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</si>
  <si>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</si>
  <si>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</si>
  <si>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</si>
  <si>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</si>
  <si>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</si>
  <si>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</si>
  <si>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</si>
  <si>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</si>
  <si>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</si>
  <si>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</si>
  <si>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</si>
  <si>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</si>
  <si>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</si>
  <si>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</si>
  <si>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</si>
  <si>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</si>
  <si>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</si>
  <si>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</si>
  <si>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</si>
  <si>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</si>
  <si>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</si>
  <si>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</si>
  <si>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</si>
  <si>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</si>
  <si>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</si>
  <si>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</si>
  <si>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</si>
  <si>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</si>
  <si>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</si>
  <si>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</si>
  <si>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</si>
  <si>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</si>
  <si>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</si>
  <si>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</si>
  <si>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</si>
  <si>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</si>
  <si>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</si>
  <si>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</si>
  <si>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</si>
  <si>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</si>
  <si>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</si>
  <si>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</si>
  <si>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</si>
  <si>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</si>
  <si>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</si>
  <si>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</si>
  <si>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</si>
  <si>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</si>
  <si>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</si>
  <si>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</si>
  <si>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</si>
  <si>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</si>
  <si>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</si>
  <si>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YEDR1 (LPDN pre 88, post 1300)LLB</t>
  </si>
  <si>
    <t>YEDR1 (LPDN pre 117, post2003 )LLB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</si>
  <si>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</si>
  <si>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</si>
  <si>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</si>
  <si>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</si>
  <si>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</si>
  <si>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</si>
  <si>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</si>
  <si>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</si>
  <si>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</si>
  <si>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</si>
  <si>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</si>
  <si>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</si>
  <si>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</si>
  <si>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</si>
  <si>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</si>
  <si>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</si>
  <si>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</si>
  <si>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</si>
  <si>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</si>
  <si>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</si>
  <si>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</si>
  <si>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</si>
  <si>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</si>
  <si>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</si>
  <si>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</si>
  <si>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</si>
  <si>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</si>
  <si>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</si>
  <si>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</si>
  <si>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</si>
  <si>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</si>
  <si>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</si>
  <si>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</si>
  <si>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</si>
  <si>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</si>
  <si>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</si>
  <si>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</si>
  <si>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</si>
  <si>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</si>
  <si>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</si>
  <si>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</si>
  <si>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</si>
  <si>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</si>
  <si>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</si>
  <si>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</si>
  <si>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</si>
  <si>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</si>
  <si>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</si>
  <si>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</si>
  <si>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</si>
  <si>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</si>
  <si>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</si>
  <si>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</si>
  <si>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</si>
  <si>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</si>
  <si>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</si>
  <si>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</si>
  <si>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</si>
  <si>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</si>
  <si>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</si>
  <si>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</si>
  <si>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</si>
  <si>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</si>
  <si>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</si>
  <si>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</si>
  <si>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</si>
  <si>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</si>
  <si>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</si>
  <si>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</si>
  <si>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</si>
  <si>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</si>
  <si>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</si>
  <si>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</si>
  <si>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</si>
  <si>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</si>
  <si>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</si>
  <si>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</si>
  <si>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</si>
  <si>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</si>
  <si>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</si>
  <si>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</si>
  <si>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</si>
  <si>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</si>
  <si>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</si>
  <si>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</si>
  <si>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</si>
  <si>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</si>
  <si>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</si>
  <si>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</si>
  <si>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</si>
  <si>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</si>
  <si>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</si>
  <si>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</si>
  <si>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</si>
  <si>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</si>
  <si>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</si>
  <si>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</si>
  <si>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</si>
  <si>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</si>
  <si>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</si>
  <si>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</si>
  <si>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</si>
  <si>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</si>
  <si>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</si>
  <si>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</si>
  <si>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</si>
  <si>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</si>
  <si>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</si>
  <si>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</si>
  <si>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</si>
  <si>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</si>
  <si>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</si>
  <si>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</si>
  <si>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</si>
  <si>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</si>
  <si>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</si>
  <si>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</si>
  <si>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</si>
  <si>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</si>
  <si>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</si>
  <si>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</si>
  <si>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</si>
  <si>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</si>
  <si>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</si>
  <si>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</si>
  <si>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</si>
  <si>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</si>
  <si>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</si>
  <si>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</si>
  <si>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</si>
  <si>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</si>
  <si>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</si>
  <si>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</si>
  <si>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</si>
  <si>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</si>
  <si>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</si>
  <si>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</si>
  <si>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</si>
  <si>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</si>
  <si>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</si>
  <si>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</si>
  <si>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</si>
  <si>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</si>
  <si>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</si>
  <si>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</si>
  <si>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</si>
  <si>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</si>
  <si>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</si>
  <si>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</si>
  <si>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</si>
  <si>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</si>
  <si>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</si>
  <si>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</si>
  <si>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</si>
  <si>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</si>
  <si>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</si>
  <si>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</si>
  <si>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</si>
  <si>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</si>
  <si>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</si>
  <si>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</si>
  <si>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</si>
  <si>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</si>
  <si>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</si>
  <si>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</si>
  <si>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</si>
  <si>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</si>
  <si>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</si>
  <si>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</si>
  <si>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</si>
  <si>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</si>
  <si>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</si>
  <si>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</si>
  <si>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</si>
  <si>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</si>
  <si>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</si>
  <si>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</si>
  <si>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</si>
  <si>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</si>
  <si>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</si>
  <si>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</si>
  <si>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</si>
  <si>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</si>
  <si>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</si>
  <si>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</si>
  <si>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</si>
  <si>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</si>
  <si>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</si>
  <si>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</si>
  <si>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</si>
  <si>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</si>
  <si>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</si>
  <si>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</si>
  <si>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</si>
  <si>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</si>
  <si>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</si>
  <si>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</si>
  <si>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</si>
  <si>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</si>
  <si>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</si>
  <si>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</si>
  <si>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</si>
  <si>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</si>
  <si>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</si>
  <si>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</si>
  <si>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</si>
  <si>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</si>
  <si>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</si>
  <si>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</si>
  <si>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</si>
  <si>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</si>
  <si>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</si>
  <si>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</si>
  <si>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</si>
  <si>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</si>
  <si>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</si>
  <si>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</si>
  <si>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</si>
  <si>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</si>
  <si>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</si>
  <si>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</si>
  <si>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</si>
  <si>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</si>
  <si>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</si>
  <si>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</si>
  <si>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</si>
  <si>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</si>
  <si>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</si>
  <si>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</si>
  <si>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</si>
  <si>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</si>
  <si>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</si>
  <si>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</si>
  <si>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</si>
  <si>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</si>
  <si>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</si>
  <si>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</si>
  <si>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</si>
  <si>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</si>
  <si>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</si>
  <si>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</si>
  <si>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</si>
  <si>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</si>
  <si>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t>delta CP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</si>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</sst>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\/dd\/yyyy"/>
    <numFmt numFmtId="165" formatCode="0.00_);\(0.00\)"/>
    <numFmt numFmtId="166" formatCode="0.00;[Red]0.00"/>
    <numFmt numFmtId="167" formatCode="m/d/yyyy;@"/>
  </numFmts>
  <fonts count="3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9"/>
      <color rgb="FFFF000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B05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0" borderId="0"/>
    <xf numFmtId="0" fontId="2" fillId="0" borderId="0"/>
    <xf numFmtId="0" fontId="2" fillId="0" borderId="0"/>
    <xf numFmtId="0" fontId="2" fillId="0" borderId="0"/>
  </cellStyleXfs>
  <cellXfs count="295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5" fillId="2" borderId="0" xfId="0" applyFont="1" applyFill="1" applyAlignment="1"/>
    <xf numFmtId="0" fontId="4" fillId="2" borderId="4" xfId="0" applyFont="1" applyFill="1" applyBorder="1" applyAlignment="1"/>
    <xf numFmtId="0" fontId="7" fillId="0" borderId="0" xfId="0" applyFont="1" applyBorder="1"/>
    <xf numFmtId="0" fontId="4" fillId="2" borderId="0" xfId="0" applyFont="1" applyFill="1" applyBorder="1" applyAlignment="1"/>
    <xf numFmtId="0" fontId="6" fillId="2" borderId="0" xfId="0" applyFont="1" applyFill="1" applyBorder="1" applyAlignment="1"/>
    <xf numFmtId="0" fontId="4" fillId="2" borderId="5" xfId="0" applyFont="1" applyFill="1" applyBorder="1" applyAlignment="1">
      <alignment horizontal="right"/>
    </xf>
    <xf numFmtId="0" fontId="8" fillId="2" borderId="0" xfId="0" applyFont="1" applyFill="1" applyAlignment="1"/>
    <xf numFmtId="0" fontId="9" fillId="2" borderId="0" xfId="0" applyFont="1" applyFill="1" applyAlignment="1"/>
    <xf numFmtId="0" fontId="4" fillId="2" borderId="4" xfId="0" applyFont="1" applyFill="1" applyBorder="1" applyAlignment="1">
      <alignment horizontal="left"/>
    </xf>
    <xf numFmtId="0" fontId="7" fillId="2" borderId="0" xfId="0" applyFont="1" applyFill="1" applyBorder="1"/>
    <xf numFmtId="0" fontId="9" fillId="0" borderId="0" xfId="0" applyFont="1" applyBorder="1" applyAlignment="1"/>
    <xf numFmtId="0" fontId="10" fillId="0" borderId="0" xfId="0" applyFont="1" applyBorder="1" applyAlignment="1">
      <alignment wrapText="1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6" fillId="2" borderId="5" xfId="0" applyFont="1" applyFill="1" applyBorder="1" applyAlignment="1"/>
    <xf numFmtId="0" fontId="6" fillId="2" borderId="4" xfId="0" applyFont="1" applyFill="1" applyBorder="1" applyAlignment="1"/>
    <xf numFmtId="0" fontId="6" fillId="2" borderId="0" xfId="0" applyFont="1" applyFill="1" applyBorder="1" applyAlignment="1">
      <alignment horizontal="left"/>
    </xf>
    <xf numFmtId="0" fontId="6" fillId="2" borderId="6" xfId="0" applyFont="1" applyFill="1" applyBorder="1" applyAlignment="1"/>
    <xf numFmtId="0" fontId="6" fillId="2" borderId="7" xfId="0" applyFont="1" applyFill="1" applyBorder="1" applyAlignment="1">
      <alignment horizontal="left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9" fillId="0" borderId="0" xfId="0" applyFont="1" applyBorder="1"/>
    <xf numFmtId="0" fontId="7" fillId="0" borderId="9" xfId="0" applyFont="1" applyBorder="1" applyAlignment="1">
      <alignment horizontal="center"/>
    </xf>
    <xf numFmtId="0" fontId="7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8" fillId="0" borderId="9" xfId="0" applyFont="1" applyBorder="1" applyAlignment="1"/>
    <xf numFmtId="0" fontId="8" fillId="0" borderId="0" xfId="0" applyFont="1" applyBorder="1" applyAlignment="1"/>
    <xf numFmtId="0" fontId="8" fillId="0" borderId="0" xfId="0" applyFont="1" applyBorder="1"/>
    <xf numFmtId="164" fontId="0" fillId="0" borderId="0" xfId="0" applyNumberFormat="1"/>
    <xf numFmtId="0" fontId="8" fillId="0" borderId="0" xfId="1"/>
    <xf numFmtId="0" fontId="8" fillId="0" borderId="0" xfId="1" applyAlignment="1">
      <alignment horizontal="center" vertical="center"/>
    </xf>
    <xf numFmtId="0" fontId="13" fillId="0" borderId="0" xfId="1" applyFont="1" applyAlignment="1">
      <alignment horizontal="center" vertical="center"/>
    </xf>
    <xf numFmtId="0" fontId="8" fillId="0" borderId="0" xfId="1" applyAlignment="1">
      <alignment horizontal="center"/>
    </xf>
    <xf numFmtId="165" fontId="8" fillId="0" borderId="0" xfId="1" applyNumberFormat="1" applyAlignment="1">
      <alignment horizontal="center" vertical="center"/>
    </xf>
    <xf numFmtId="164" fontId="8" fillId="0" borderId="0" xfId="1" applyNumberFormat="1" applyAlignment="1">
      <alignment horizontal="center"/>
    </xf>
    <xf numFmtId="0" fontId="8" fillId="0" borderId="15" xfId="1" applyFont="1" applyBorder="1" applyAlignment="1">
      <alignment horizontal="center" vertical="center"/>
    </xf>
    <xf numFmtId="0" fontId="7" fillId="0" borderId="16" xfId="1" applyFont="1" applyFill="1" applyBorder="1" applyAlignment="1">
      <alignment vertical="top" wrapText="1"/>
    </xf>
    <xf numFmtId="0" fontId="7" fillId="0" borderId="16" xfId="1" applyFont="1" applyFill="1" applyBorder="1" applyAlignment="1">
      <alignment vertical="top"/>
    </xf>
    <xf numFmtId="0" fontId="8" fillId="0" borderId="16" xfId="1" applyFont="1" applyFill="1" applyBorder="1" applyAlignment="1">
      <alignment horizontal="center" wrapText="1"/>
    </xf>
    <xf numFmtId="0" fontId="8" fillId="0" borderId="18" xfId="1" applyFont="1" applyBorder="1" applyAlignment="1">
      <alignment horizontal="center" vertical="center"/>
    </xf>
    <xf numFmtId="0" fontId="7" fillId="0" borderId="11" xfId="1" applyFont="1" applyFill="1" applyBorder="1" applyAlignment="1">
      <alignment vertical="top" wrapText="1"/>
    </xf>
    <xf numFmtId="0" fontId="7" fillId="0" borderId="11" xfId="1" applyFont="1" applyFill="1" applyBorder="1" applyAlignment="1">
      <alignment vertical="top"/>
    </xf>
    <xf numFmtId="0" fontId="7" fillId="0" borderId="10" xfId="1" applyFont="1" applyFill="1" applyBorder="1" applyAlignment="1">
      <alignment vertical="top" wrapText="1"/>
    </xf>
    <xf numFmtId="0" fontId="7" fillId="0" borderId="10" xfId="1" applyFont="1" applyFill="1" applyBorder="1" applyAlignment="1">
      <alignment vertical="top"/>
    </xf>
    <xf numFmtId="165" fontId="7" fillId="0" borderId="10" xfId="1" applyNumberFormat="1" applyFont="1" applyFill="1" applyBorder="1" applyAlignment="1">
      <alignment horizontal="center" vertical="center" wrapText="1"/>
    </xf>
    <xf numFmtId="165" fontId="7" fillId="0" borderId="20" xfId="1" applyNumberFormat="1" applyFont="1" applyFill="1" applyBorder="1" applyAlignment="1">
      <alignment horizontal="center" vertical="center" wrapText="1"/>
    </xf>
    <xf numFmtId="0" fontId="8" fillId="0" borderId="10" xfId="1" applyFont="1" applyFill="1" applyBorder="1" applyAlignment="1">
      <alignment horizontal="center" wrapText="1"/>
    </xf>
    <xf numFmtId="0" fontId="8" fillId="3" borderId="0" xfId="1" applyFill="1" applyBorder="1"/>
    <xf numFmtId="0" fontId="7" fillId="0" borderId="9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 wrapText="1"/>
    </xf>
    <xf numFmtId="0" fontId="7" fillId="0" borderId="20" xfId="1" applyFont="1" applyFill="1" applyBorder="1" applyAlignment="1">
      <alignment vertical="top"/>
    </xf>
    <xf numFmtId="166" fontId="7" fillId="0" borderId="20" xfId="1" applyNumberFormat="1" applyFont="1" applyFill="1" applyBorder="1" applyAlignment="1">
      <alignment vertical="top" wrapText="1"/>
    </xf>
    <xf numFmtId="0" fontId="8" fillId="3" borderId="22" xfId="1" applyFill="1" applyBorder="1"/>
    <xf numFmtId="0" fontId="7" fillId="0" borderId="23" xfId="1" applyFont="1" applyFill="1" applyBorder="1" applyAlignment="1">
      <alignment vertical="top" wrapText="1"/>
    </xf>
    <xf numFmtId="0" fontId="8" fillId="0" borderId="0" xfId="1" applyProtection="1">
      <protection locked="0"/>
    </xf>
    <xf numFmtId="0" fontId="9" fillId="0" borderId="4" xfId="1" applyFont="1" applyBorder="1" applyAlignment="1">
      <alignment horizontal="center" vertical="center"/>
    </xf>
    <xf numFmtId="0" fontId="8" fillId="0" borderId="0" xfId="1" applyFill="1" applyBorder="1" applyProtection="1">
      <protection locked="0"/>
    </xf>
    <xf numFmtId="0" fontId="8" fillId="0" borderId="4" xfId="1" applyBorder="1" applyAlignment="1">
      <alignment horizontal="center" vertical="center"/>
    </xf>
    <xf numFmtId="0" fontId="8" fillId="0" borderId="0" xfId="1" applyFill="1" applyBorder="1"/>
    <xf numFmtId="164" fontId="8" fillId="0" borderId="25" xfId="1" applyNumberFormat="1" applyBorder="1" applyAlignment="1">
      <alignment horizontal="center"/>
    </xf>
    <xf numFmtId="0" fontId="8" fillId="0" borderId="21" xfId="1" applyFont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0" fontId="13" fillId="0" borderId="0" xfId="1" applyFont="1" applyFill="1" applyBorder="1"/>
    <xf numFmtId="0" fontId="13" fillId="0" borderId="0" xfId="1" applyFont="1"/>
    <xf numFmtId="0" fontId="8" fillId="0" borderId="15" xfId="1" applyBorder="1" applyAlignment="1">
      <alignment horizontal="center" vertical="center"/>
    </xf>
    <xf numFmtId="0" fontId="8" fillId="0" borderId="18" xfId="1" applyBorder="1" applyAlignment="1">
      <alignment horizontal="center" vertical="center"/>
    </xf>
    <xf numFmtId="0" fontId="8" fillId="0" borderId="21" xfId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7" fillId="0" borderId="26" xfId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vertical="top" wrapText="1"/>
    </xf>
    <xf numFmtId="0" fontId="13" fillId="0" borderId="9" xfId="1" applyFont="1" applyBorder="1" applyAlignment="1">
      <alignment horizontal="center" vertical="center"/>
    </xf>
    <xf numFmtId="0" fontId="8" fillId="0" borderId="11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 wrapText="1"/>
    </xf>
    <xf numFmtId="164" fontId="8" fillId="0" borderId="28" xfId="1" applyNumberFormat="1" applyBorder="1" applyAlignment="1">
      <alignment horizontal="center"/>
    </xf>
    <xf numFmtId="0" fontId="8" fillId="0" borderId="21" xfId="1" applyBorder="1" applyAlignment="1">
      <alignment horizontal="center"/>
    </xf>
    <xf numFmtId="0" fontId="8" fillId="0" borderId="26" xfId="1" applyFont="1" applyFill="1" applyBorder="1" applyAlignment="1">
      <alignment horizontal="center" wrapText="1"/>
    </xf>
    <xf numFmtId="0" fontId="7" fillId="0" borderId="12" xfId="1" applyFont="1" applyFill="1" applyBorder="1" applyAlignment="1">
      <alignment vertical="top"/>
    </xf>
    <xf numFmtId="0" fontId="8" fillId="0" borderId="12" xfId="1" applyFont="1" applyFill="1" applyBorder="1" applyAlignment="1">
      <alignment horizontal="center" wrapText="1"/>
    </xf>
    <xf numFmtId="0" fontId="8" fillId="0" borderId="0" xfId="1" applyBorder="1"/>
    <xf numFmtId="0" fontId="8" fillId="0" borderId="22" xfId="1" applyBorder="1"/>
    <xf numFmtId="164" fontId="8" fillId="0" borderId="11" xfId="1" applyNumberFormat="1" applyBorder="1" applyAlignment="1">
      <alignment horizontal="center"/>
    </xf>
    <xf numFmtId="164" fontId="8" fillId="0" borderId="9" xfId="1" applyNumberFormat="1" applyBorder="1" applyAlignment="1">
      <alignment horizontal="center"/>
    </xf>
    <xf numFmtId="0" fontId="8" fillId="0" borderId="11" xfId="1" applyFill="1" applyBorder="1"/>
    <xf numFmtId="0" fontId="8" fillId="0" borderId="11" xfId="1" applyBorder="1"/>
    <xf numFmtId="0" fontId="8" fillId="0" borderId="10" xfId="1" applyFill="1" applyBorder="1"/>
    <xf numFmtId="0" fontId="8" fillId="0" borderId="10" xfId="1" applyBorder="1"/>
    <xf numFmtId="164" fontId="8" fillId="0" borderId="10" xfId="1" applyNumberFormat="1" applyBorder="1" applyAlignment="1">
      <alignment horizontal="center"/>
    </xf>
    <xf numFmtId="0" fontId="8" fillId="0" borderId="9" xfId="1" applyFont="1" applyFill="1" applyBorder="1" applyAlignment="1">
      <alignment horizontal="center" wrapText="1"/>
    </xf>
    <xf numFmtId="0" fontId="7" fillId="0" borderId="21" xfId="1" applyFont="1" applyFill="1" applyBorder="1" applyAlignment="1">
      <alignment horizontal="center" vertical="center"/>
    </xf>
    <xf numFmtId="0" fontId="7" fillId="0" borderId="29" xfId="1" applyFont="1" applyFill="1" applyBorder="1" applyAlignment="1">
      <alignment horizontal="center" vertical="center"/>
    </xf>
    <xf numFmtId="164" fontId="8" fillId="0" borderId="10" xfId="1" applyNumberFormat="1" applyFont="1" applyBorder="1" applyAlignment="1">
      <alignment horizontal="center"/>
    </xf>
    <xf numFmtId="0" fontId="7" fillId="0" borderId="15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2" fillId="0" borderId="0" xfId="2" applyFill="1" applyBorder="1"/>
    <xf numFmtId="0" fontId="2" fillId="0" borderId="0" xfId="2"/>
    <xf numFmtId="0" fontId="2" fillId="0" borderId="0" xfId="3"/>
    <xf numFmtId="0" fontId="2" fillId="0" borderId="0" xfId="4"/>
    <xf numFmtId="0" fontId="14" fillId="0" borderId="15" xfId="1" applyFont="1" applyFill="1" applyBorder="1" applyAlignment="1">
      <alignment horizontal="center" vertical="center"/>
    </xf>
    <xf numFmtId="0" fontId="14" fillId="0" borderId="18" xfId="1" applyFont="1" applyFill="1" applyBorder="1" applyAlignment="1">
      <alignment horizontal="center" vertical="center"/>
    </xf>
    <xf numFmtId="165" fontId="7" fillId="0" borderId="11" xfId="1" applyNumberFormat="1" applyFont="1" applyFill="1" applyBorder="1" applyAlignment="1">
      <alignment horizontal="center" vertical="center" wrapText="1"/>
    </xf>
    <xf numFmtId="0" fontId="7" fillId="0" borderId="30" xfId="1" applyFont="1" applyFill="1" applyBorder="1" applyAlignment="1">
      <alignment horizontal="center" vertical="top"/>
    </xf>
    <xf numFmtId="0" fontId="7" fillId="0" borderId="4" xfId="1" applyFont="1" applyFill="1" applyBorder="1" applyAlignment="1">
      <alignment horizontal="center" vertical="top"/>
    </xf>
    <xf numFmtId="0" fontId="7" fillId="0" borderId="31" xfId="1" applyFont="1" applyFill="1" applyBorder="1" applyAlignment="1">
      <alignment horizontal="center" vertical="top" wrapText="1"/>
    </xf>
    <xf numFmtId="0" fontId="7" fillId="0" borderId="15" xfId="1" applyFont="1" applyFill="1" applyBorder="1" applyAlignment="1">
      <alignment horizontal="center" vertical="top"/>
    </xf>
    <xf numFmtId="0" fontId="7" fillId="0" borderId="18" xfId="1" applyFont="1" applyFill="1" applyBorder="1" applyAlignment="1">
      <alignment horizontal="center" vertical="top"/>
    </xf>
    <xf numFmtId="164" fontId="8" fillId="0" borderId="32" xfId="1" applyNumberFormat="1" applyBorder="1" applyAlignment="1">
      <alignment horizontal="center"/>
    </xf>
    <xf numFmtId="164" fontId="8" fillId="0" borderId="33" xfId="1" applyNumberFormat="1" applyBorder="1" applyAlignment="1">
      <alignment horizontal="center"/>
    </xf>
    <xf numFmtId="164" fontId="8" fillId="0" borderId="34" xfId="1" applyNumberFormat="1" applyBorder="1" applyAlignment="1">
      <alignment horizontal="center"/>
    </xf>
    <xf numFmtId="164" fontId="7" fillId="0" borderId="17" xfId="1" applyNumberFormat="1" applyFont="1" applyFill="1" applyBorder="1" applyAlignment="1">
      <alignment vertical="top" wrapText="1"/>
    </xf>
    <xf numFmtId="164" fontId="7" fillId="0" borderId="19" xfId="1" applyNumberFormat="1" applyFont="1" applyFill="1" applyBorder="1" applyAlignment="1">
      <alignment vertical="top" wrapText="1"/>
    </xf>
    <xf numFmtId="164" fontId="7" fillId="0" borderId="27" xfId="1" applyNumberFormat="1" applyFont="1" applyFill="1" applyBorder="1" applyAlignment="1">
      <alignment vertical="top" wrapText="1"/>
    </xf>
    <xf numFmtId="0" fontId="7" fillId="0" borderId="35" xfId="1" applyFont="1" applyFill="1" applyBorder="1" applyAlignment="1">
      <alignment horizontal="center" vertical="top"/>
    </xf>
    <xf numFmtId="0" fontId="7" fillId="0" borderId="29" xfId="1" applyFont="1" applyFill="1" applyBorder="1" applyAlignment="1">
      <alignment horizontal="center" vertical="top"/>
    </xf>
    <xf numFmtId="0" fontId="7" fillId="0" borderId="21" xfId="1" applyFont="1" applyFill="1" applyBorder="1" applyAlignment="1">
      <alignment horizontal="center" vertical="top"/>
    </xf>
    <xf numFmtId="165" fontId="7" fillId="0" borderId="20" xfId="1" applyNumberFormat="1" applyFont="1" applyFill="1" applyBorder="1" applyAlignment="1">
      <alignment vertical="center" wrapText="1"/>
    </xf>
    <xf numFmtId="164" fontId="7" fillId="0" borderId="33" xfId="1" applyNumberFormat="1" applyFont="1" applyFill="1" applyBorder="1" applyAlignment="1">
      <alignment vertical="top" wrapText="1"/>
    </xf>
    <xf numFmtId="166" fontId="7" fillId="0" borderId="10" xfId="1" applyNumberFormat="1" applyFont="1" applyFill="1" applyBorder="1" applyAlignment="1">
      <alignment horizontal="center" vertical="top" wrapText="1"/>
    </xf>
    <xf numFmtId="165" fontId="7" fillId="4" borderId="10" xfId="1" applyNumberFormat="1" applyFont="1" applyFill="1" applyBorder="1" applyAlignment="1">
      <alignment horizontal="center" vertical="center" wrapText="1"/>
    </xf>
    <xf numFmtId="0" fontId="7" fillId="0" borderId="9" xfId="1" applyFont="1" applyBorder="1" applyAlignment="1">
      <alignment horizontal="center" vertical="top"/>
    </xf>
    <xf numFmtId="0" fontId="7" fillId="0" borderId="9" xfId="1" applyFont="1" applyBorder="1" applyAlignment="1">
      <alignment horizontal="center" vertical="top" wrapText="1"/>
    </xf>
    <xf numFmtId="165" fontId="7" fillId="0" borderId="9" xfId="1" applyNumberFormat="1" applyFont="1" applyBorder="1" applyAlignment="1">
      <alignment horizontal="center" vertical="center" wrapText="1"/>
    </xf>
    <xf numFmtId="165" fontId="7" fillId="0" borderId="36" xfId="1" applyNumberFormat="1" applyFont="1" applyBorder="1" applyAlignment="1">
      <alignment horizontal="center" vertical="center" wrapText="1"/>
    </xf>
    <xf numFmtId="0" fontId="7" fillId="0" borderId="13" xfId="1" applyFont="1" applyBorder="1" applyAlignment="1">
      <alignment horizontal="center" vertical="top" wrapText="1"/>
    </xf>
    <xf numFmtId="164" fontId="7" fillId="0" borderId="9" xfId="1" applyNumberFormat="1" applyFont="1" applyBorder="1" applyAlignment="1">
      <alignment horizontal="center" vertical="top" wrapText="1"/>
    </xf>
    <xf numFmtId="0" fontId="6" fillId="2" borderId="8" xfId="1" applyFont="1" applyFill="1" applyBorder="1" applyAlignment="1">
      <alignment horizontal="center"/>
    </xf>
    <xf numFmtId="0" fontId="6" fillId="2" borderId="7" xfId="1" applyFont="1" applyFill="1" applyBorder="1" applyAlignment="1">
      <alignment horizontal="center"/>
    </xf>
    <xf numFmtId="165" fontId="6" fillId="2" borderId="7" xfId="1" applyNumberFormat="1" applyFont="1" applyFill="1" applyBorder="1" applyAlignment="1">
      <alignment horizontal="center" vertical="center"/>
    </xf>
    <xf numFmtId="165" fontId="7" fillId="2" borderId="7" xfId="1" applyNumberFormat="1" applyFont="1" applyFill="1" applyBorder="1" applyAlignment="1">
      <alignment horizontal="center" vertical="center"/>
    </xf>
    <xf numFmtId="0" fontId="6" fillId="2" borderId="8" xfId="1" applyFont="1" applyFill="1" applyBorder="1" applyAlignment="1"/>
    <xf numFmtId="0" fontId="6" fillId="2" borderId="7" xfId="1" applyFont="1" applyFill="1" applyBorder="1" applyAlignment="1"/>
    <xf numFmtId="0" fontId="7" fillId="2" borderId="7" xfId="1" applyFont="1" applyFill="1" applyBorder="1" applyAlignment="1"/>
    <xf numFmtId="164" fontId="6" fillId="2" borderId="7" xfId="1" applyNumberFormat="1" applyFont="1" applyFill="1" applyBorder="1" applyAlignment="1">
      <alignment horizontal="center"/>
    </xf>
    <xf numFmtId="0" fontId="8" fillId="0" borderId="5" xfId="1" applyBorder="1" applyAlignment="1">
      <alignment horizontal="center" vertical="center"/>
    </xf>
    <xf numFmtId="0" fontId="8" fillId="2" borderId="0" xfId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center" vertical="center"/>
    </xf>
    <xf numFmtId="165" fontId="15" fillId="2" borderId="0" xfId="1" applyNumberFormat="1" applyFont="1" applyFill="1" applyBorder="1" applyAlignment="1">
      <alignment horizontal="center" vertical="center"/>
    </xf>
    <xf numFmtId="165" fontId="6" fillId="2" borderId="0" xfId="1" applyNumberFormat="1" applyFont="1" applyFill="1" applyBorder="1" applyAlignment="1">
      <alignment horizontal="center" vertical="center"/>
    </xf>
    <xf numFmtId="165" fontId="7" fillId="2" borderId="0" xfId="1" applyNumberFormat="1" applyFont="1" applyFill="1" applyBorder="1" applyAlignment="1">
      <alignment horizontal="center" vertical="center"/>
    </xf>
    <xf numFmtId="0" fontId="6" fillId="2" borderId="5" xfId="1" applyFont="1" applyFill="1" applyBorder="1" applyAlignment="1"/>
    <xf numFmtId="0" fontId="6" fillId="2" borderId="0" xfId="1" applyFont="1" applyFill="1" applyBorder="1" applyAlignment="1"/>
    <xf numFmtId="0" fontId="7" fillId="2" borderId="0" xfId="1" applyFont="1" applyFill="1" applyBorder="1"/>
    <xf numFmtId="0" fontId="4" fillId="2" borderId="0" xfId="1" applyFont="1" applyFill="1" applyBorder="1" applyAlignment="1"/>
    <xf numFmtId="0" fontId="6" fillId="2" borderId="5" xfId="1" applyFont="1" applyFill="1" applyBorder="1" applyAlignment="1">
      <alignment horizontal="center"/>
    </xf>
    <xf numFmtId="0" fontId="8" fillId="0" borderId="9" xfId="1" applyFill="1" applyBorder="1" applyAlignment="1">
      <alignment horizontal="center" vertical="center"/>
    </xf>
    <xf numFmtId="165" fontId="16" fillId="0" borderId="9" xfId="1" applyNumberFormat="1" applyFont="1" applyFill="1" applyBorder="1" applyAlignment="1">
      <alignment horizontal="center" vertical="center"/>
    </xf>
    <xf numFmtId="165" fontId="7" fillId="2" borderId="14" xfId="1" applyNumberFormat="1" applyFont="1" applyFill="1" applyBorder="1" applyAlignment="1">
      <alignment vertical="center"/>
    </xf>
    <xf numFmtId="165" fontId="7" fillId="2" borderId="13" xfId="1" applyNumberFormat="1" applyFont="1" applyFill="1" applyBorder="1" applyAlignment="1">
      <alignment vertical="center"/>
    </xf>
    <xf numFmtId="0" fontId="6" fillId="2" borderId="0" xfId="1" applyFont="1" applyFill="1" applyBorder="1"/>
    <xf numFmtId="0" fontId="4" fillId="2" borderId="0" xfId="1" applyFont="1" applyFill="1" applyBorder="1" applyAlignment="1">
      <alignment horizontal="left"/>
    </xf>
    <xf numFmtId="0" fontId="4" fillId="2" borderId="5" xfId="1" applyFont="1" applyFill="1" applyBorder="1" applyAlignment="1">
      <alignment horizontal="center"/>
    </xf>
    <xf numFmtId="0" fontId="6" fillId="2" borderId="9" xfId="1" applyFont="1" applyFill="1" applyBorder="1" applyAlignment="1">
      <alignment horizontal="center"/>
    </xf>
    <xf numFmtId="165" fontId="9" fillId="0" borderId="9" xfId="1" applyNumberFormat="1" applyFont="1" applyBorder="1" applyAlignment="1">
      <alignment horizontal="center" vertical="center"/>
    </xf>
    <xf numFmtId="165" fontId="6" fillId="2" borderId="14" xfId="1" applyNumberFormat="1" applyFont="1" applyFill="1" applyBorder="1" applyAlignment="1">
      <alignment vertical="center"/>
    </xf>
    <xf numFmtId="165" fontId="6" fillId="2" borderId="13" xfId="1" applyNumberFormat="1" applyFont="1" applyFill="1" applyBorder="1" applyAlignment="1">
      <alignment vertical="center"/>
    </xf>
    <xf numFmtId="0" fontId="4" fillId="2" borderId="5" xfId="1" applyFont="1" applyFill="1" applyBorder="1" applyAlignment="1"/>
    <xf numFmtId="0" fontId="7" fillId="0" borderId="0" xfId="1" applyFont="1" applyBorder="1"/>
    <xf numFmtId="0" fontId="5" fillId="2" borderId="0" xfId="1" applyFont="1" applyFill="1" applyAlignment="1"/>
    <xf numFmtId="0" fontId="5" fillId="2" borderId="0" xfId="1" applyFont="1" applyFill="1" applyAlignment="1">
      <alignment horizontal="center" vertical="center"/>
    </xf>
    <xf numFmtId="0" fontId="18" fillId="2" borderId="0" xfId="1" applyFont="1" applyFill="1" applyAlignment="1">
      <alignment horizontal="center" vertical="center"/>
    </xf>
    <xf numFmtId="0" fontId="4" fillId="2" borderId="3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5" fontId="4" fillId="2" borderId="2" xfId="1" applyNumberFormat="1" applyFont="1" applyFill="1" applyBorder="1" applyAlignment="1">
      <alignment horizontal="center" vertical="center"/>
    </xf>
    <xf numFmtId="49" fontId="7" fillId="0" borderId="11" xfId="1" applyNumberFormat="1" applyFont="1" applyFill="1" applyBorder="1" applyAlignment="1">
      <alignment vertical="top"/>
    </xf>
    <xf numFmtId="11" fontId="7" fillId="0" borderId="11" xfId="1" applyNumberFormat="1" applyFont="1" applyFill="1" applyBorder="1" applyAlignment="1">
      <alignment vertical="top" wrapText="1"/>
    </xf>
    <xf numFmtId="164" fontId="4" fillId="2" borderId="0" xfId="1" applyNumberFormat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0" xfId="1" applyFont="1" applyFill="1" applyBorder="1" applyAlignment="1">
      <alignment horizontal="center"/>
    </xf>
    <xf numFmtId="0" fontId="19" fillId="2" borderId="0" xfId="0" applyFont="1" applyFill="1" applyBorder="1" applyAlignment="1"/>
    <xf numFmtId="164" fontId="20" fillId="2" borderId="4" xfId="0" applyNumberFormat="1" applyFont="1" applyFill="1" applyBorder="1" applyAlignment="1"/>
    <xf numFmtId="0" fontId="21" fillId="0" borderId="0" xfId="0" applyFont="1" applyBorder="1"/>
    <xf numFmtId="0" fontId="20" fillId="2" borderId="0" xfId="0" applyFont="1" applyFill="1" applyBorder="1" applyAlignment="1"/>
    <xf numFmtId="0" fontId="20" fillId="2" borderId="5" xfId="0" applyFont="1" applyFill="1" applyBorder="1" applyAlignment="1">
      <alignment horizontal="right"/>
    </xf>
    <xf numFmtId="0" fontId="22" fillId="0" borderId="0" xfId="0" applyFont="1"/>
    <xf numFmtId="164" fontId="20" fillId="2" borderId="4" xfId="0" applyNumberFormat="1" applyFont="1" applyFill="1" applyBorder="1" applyAlignment="1">
      <alignment horizontal="left"/>
    </xf>
    <xf numFmtId="0" fontId="19" fillId="2" borderId="5" xfId="0" applyFont="1" applyFill="1" applyBorder="1" applyAlignment="1"/>
    <xf numFmtId="0" fontId="23" fillId="0" borderId="0" xfId="0" applyFont="1" applyAlignment="1">
      <alignment horizontal="center" vertical="top"/>
    </xf>
    <xf numFmtId="164" fontId="19" fillId="0" borderId="9" xfId="0" applyNumberFormat="1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0" fontId="23" fillId="0" borderId="9" xfId="0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top"/>
    </xf>
    <xf numFmtId="164" fontId="19" fillId="2" borderId="4" xfId="0" applyNumberFormat="1" applyFont="1" applyFill="1" applyBorder="1" applyAlignment="1"/>
    <xf numFmtId="0" fontId="21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/>
    </xf>
    <xf numFmtId="164" fontId="21" fillId="0" borderId="9" xfId="0" applyNumberFormat="1" applyFont="1" applyFill="1" applyBorder="1" applyAlignment="1">
      <alignment horizontal="center" vertical="center" wrapText="1"/>
    </xf>
    <xf numFmtId="164" fontId="22" fillId="0" borderId="9" xfId="0" applyNumberFormat="1" applyFont="1" applyBorder="1" applyAlignment="1">
      <alignment horizontal="center"/>
    </xf>
    <xf numFmtId="0" fontId="21" fillId="0" borderId="9" xfId="0" applyFont="1" applyBorder="1" applyAlignment="1">
      <alignment horizontal="center" wrapText="1"/>
    </xf>
    <xf numFmtId="0" fontId="21" fillId="0" borderId="9" xfId="0" applyFont="1" applyBorder="1" applyAlignment="1" applyProtection="1">
      <alignment horizontal="center" wrapText="1"/>
    </xf>
    <xf numFmtId="0" fontId="24" fillId="0" borderId="9" xfId="0" applyFont="1" applyBorder="1" applyAlignment="1">
      <alignment horizontal="center" wrapText="1"/>
    </xf>
    <xf numFmtId="0" fontId="22" fillId="0" borderId="9" xfId="0" applyFont="1" applyBorder="1" applyAlignment="1">
      <alignment horizontal="center"/>
    </xf>
    <xf numFmtId="0" fontId="21" fillId="0" borderId="9" xfId="0" applyFont="1" applyFill="1" applyBorder="1" applyAlignment="1">
      <alignment horizontal="center" wrapText="1"/>
    </xf>
    <xf numFmtId="0" fontId="21" fillId="0" borderId="9" xfId="0" applyFont="1" applyFill="1" applyBorder="1" applyAlignment="1" applyProtection="1">
      <alignment horizontal="center" wrapText="1"/>
    </xf>
    <xf numFmtId="0" fontId="24" fillId="0" borderId="9" xfId="0" applyFont="1" applyFill="1" applyBorder="1" applyAlignment="1">
      <alignment horizontal="center" wrapText="1"/>
    </xf>
    <xf numFmtId="0" fontId="22" fillId="0" borderId="9" xfId="0" applyFont="1" applyFill="1" applyBorder="1" applyAlignment="1">
      <alignment horizontal="center"/>
    </xf>
    <xf numFmtId="18" fontId="22" fillId="0" borderId="9" xfId="0" applyNumberFormat="1" applyFont="1" applyBorder="1" applyAlignment="1">
      <alignment horizontal="center"/>
    </xf>
    <xf numFmtId="0" fontId="22" fillId="0" borderId="9" xfId="0" applyFont="1" applyBorder="1" applyAlignment="1">
      <alignment vertical="center"/>
    </xf>
    <xf numFmtId="165" fontId="7" fillId="0" borderId="11" xfId="1" applyNumberFormat="1" applyFont="1" applyFill="1" applyBorder="1" applyAlignment="1">
      <alignment vertical="center" wrapText="1"/>
    </xf>
    <xf numFmtId="0" fontId="7" fillId="0" borderId="40" xfId="1" applyFont="1" applyFill="1" applyBorder="1" applyAlignment="1">
      <alignment horizontal="center" vertical="top"/>
    </xf>
    <xf numFmtId="0" fontId="13" fillId="0" borderId="7" xfId="1" applyFont="1" applyBorder="1" applyAlignment="1">
      <alignment horizontal="center" vertical="center"/>
    </xf>
    <xf numFmtId="0" fontId="13" fillId="0" borderId="7" xfId="1" applyFont="1" applyFill="1" applyBorder="1" applyAlignment="1">
      <alignment horizontal="center" vertical="center"/>
    </xf>
    <xf numFmtId="0" fontId="8" fillId="0" borderId="7" xfId="1" applyBorder="1"/>
    <xf numFmtId="0" fontId="8" fillId="0" borderId="18" xfId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8" fillId="0" borderId="0" xfId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top"/>
    </xf>
    <xf numFmtId="0" fontId="7" fillId="0" borderId="7" xfId="1" applyFont="1" applyFill="1" applyBorder="1" applyAlignment="1">
      <alignment horizontal="center" vertical="top"/>
    </xf>
    <xf numFmtId="0" fontId="7" fillId="0" borderId="0" xfId="1" applyFont="1" applyFill="1" applyBorder="1" applyAlignment="1">
      <alignment horizontal="center" vertical="center"/>
    </xf>
    <xf numFmtId="0" fontId="8" fillId="0" borderId="0" xfId="1" applyBorder="1" applyAlignment="1">
      <alignment horizontal="center"/>
    </xf>
    <xf numFmtId="0" fontId="8" fillId="0" borderId="0" xfId="1" applyBorder="1" applyAlignment="1">
      <alignment vertical="center"/>
    </xf>
    <xf numFmtId="0" fontId="8" fillId="0" borderId="0" xfId="1" applyFont="1" applyBorder="1" applyAlignment="1">
      <alignment vertical="center"/>
    </xf>
    <xf numFmtId="0" fontId="9" fillId="0" borderId="0" xfId="1" applyFont="1" applyBorder="1" applyAlignment="1">
      <alignment horizontal="center" vertical="center"/>
    </xf>
    <xf numFmtId="0" fontId="8" fillId="0" borderId="15" xfId="1" applyBorder="1" applyAlignment="1">
      <alignment horizontal="center"/>
    </xf>
    <xf numFmtId="0" fontId="8" fillId="0" borderId="4" xfId="1" applyFont="1" applyBorder="1" applyAlignment="1">
      <alignment horizontal="center" vertical="center"/>
    </xf>
    <xf numFmtId="14" fontId="27" fillId="0" borderId="10" xfId="0" applyNumberFormat="1" applyFont="1" applyBorder="1" applyAlignment="1">
      <alignment horizontal="center" vertical="top" wrapText="1"/>
    </xf>
    <xf numFmtId="0" fontId="27" fillId="0" borderId="1" xfId="0" applyFont="1" applyBorder="1" applyAlignment="1">
      <alignment horizontal="center" vertical="top" wrapText="1"/>
    </xf>
    <xf numFmtId="0" fontId="27" fillId="0" borderId="2" xfId="0" applyFont="1" applyBorder="1" applyAlignment="1">
      <alignment vertical="top" wrapText="1"/>
    </xf>
    <xf numFmtId="0" fontId="27" fillId="0" borderId="3" xfId="0" applyFont="1" applyBorder="1" applyAlignment="1">
      <alignment vertical="top" wrapText="1"/>
    </xf>
    <xf numFmtId="0" fontId="1" fillId="0" borderId="0" xfId="0" applyFont="1"/>
    <xf numFmtId="0" fontId="1" fillId="0" borderId="2" xfId="0" applyFont="1" applyBorder="1"/>
    <xf numFmtId="167" fontId="28" fillId="0" borderId="41" xfId="0" applyNumberFormat="1" applyFont="1" applyBorder="1" applyAlignment="1">
      <alignment horizontal="center" vertical="top" wrapText="1"/>
    </xf>
    <xf numFmtId="0" fontId="28" fillId="0" borderId="42" xfId="0" applyFont="1" applyBorder="1" applyAlignment="1">
      <alignment horizontal="center" vertical="top" wrapText="1"/>
    </xf>
    <xf numFmtId="0" fontId="25" fillId="0" borderId="0" xfId="0" applyFont="1" applyAlignment="1">
      <alignment horizontal="center" vertical="top"/>
    </xf>
    <xf numFmtId="0" fontId="7" fillId="0" borderId="10" xfId="1" applyFont="1" applyFill="1" applyBorder="1" applyAlignment="1">
      <alignment horizontal="center" vertical="top"/>
    </xf>
    <xf numFmtId="0" fontId="7" fillId="0" borderId="11" xfId="1" applyFont="1" applyFill="1" applyBorder="1" applyAlignment="1">
      <alignment horizontal="center" vertical="top"/>
    </xf>
    <xf numFmtId="0" fontId="7" fillId="0" borderId="16" xfId="1" applyFont="1" applyFill="1" applyBorder="1" applyAlignment="1">
      <alignment horizontal="center" vertical="top"/>
    </xf>
    <xf numFmtId="0" fontId="7" fillId="0" borderId="20" xfId="1" applyFont="1" applyFill="1" applyBorder="1" applyAlignment="1">
      <alignment horizontal="center" vertical="top"/>
    </xf>
    <xf numFmtId="0" fontId="7" fillId="0" borderId="12" xfId="1" applyFont="1" applyFill="1" applyBorder="1" applyAlignment="1">
      <alignment horizontal="center" vertical="top"/>
    </xf>
    <xf numFmtId="164" fontId="7" fillId="0" borderId="32" xfId="1" applyNumberFormat="1" applyFont="1" applyFill="1" applyBorder="1" applyAlignment="1">
      <alignment horizontal="center" vertical="top" wrapText="1"/>
    </xf>
    <xf numFmtId="164" fontId="7" fillId="0" borderId="19" xfId="1" applyNumberFormat="1" applyFont="1" applyFill="1" applyBorder="1" applyAlignment="1">
      <alignment horizontal="center" vertical="top" wrapText="1"/>
    </xf>
    <xf numFmtId="164" fontId="7" fillId="0" borderId="33" xfId="1" applyNumberFormat="1" applyFont="1" applyFill="1" applyBorder="1" applyAlignment="1">
      <alignment horizontal="center" vertical="top" wrapText="1"/>
    </xf>
    <xf numFmtId="166" fontId="7" fillId="0" borderId="11" xfId="1" applyNumberFormat="1" applyFont="1" applyFill="1" applyBorder="1" applyAlignment="1">
      <alignment vertical="top" wrapText="1"/>
    </xf>
    <xf numFmtId="165" fontId="7" fillId="4" borderId="11" xfId="1" applyNumberFormat="1" applyFont="1" applyFill="1" applyBorder="1" applyAlignment="1">
      <alignment horizontal="center" vertical="center" wrapText="1"/>
    </xf>
    <xf numFmtId="165" fontId="6" fillId="0" borderId="42" xfId="1" applyNumberFormat="1" applyFont="1" applyBorder="1" applyAlignment="1">
      <alignment horizontal="center" vertical="center" wrapText="1"/>
    </xf>
    <xf numFmtId="0" fontId="6" fillId="0" borderId="42" xfId="1" applyFont="1" applyBorder="1" applyAlignment="1">
      <alignment horizontal="center" vertical="top"/>
    </xf>
    <xf numFmtId="0" fontId="6" fillId="0" borderId="42" xfId="1" applyFont="1" applyBorder="1" applyAlignment="1">
      <alignment horizontal="center"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/>
    <xf numFmtId="0" fontId="25" fillId="0" borderId="42" xfId="0" applyFont="1" applyBorder="1" applyAlignment="1">
      <alignment horizontal="center" vertical="top"/>
    </xf>
    <xf numFmtId="0" fontId="26" fillId="0" borderId="42" xfId="1" applyFont="1" applyBorder="1" applyAlignment="1">
      <alignment horizontal="center" vertical="center"/>
    </xf>
    <xf numFmtId="0" fontId="26" fillId="0" borderId="42" xfId="1" applyFont="1" applyFill="1" applyBorder="1" applyAlignment="1">
      <alignment horizontal="center" vertical="center"/>
    </xf>
    <xf numFmtId="0" fontId="0" fillId="0" borderId="9" xfId="0" applyFont="1" applyBorder="1"/>
    <xf numFmtId="14" fontId="0" fillId="0" borderId="0" xfId="0" applyNumberFormat="1"/>
    <xf numFmtId="0" fontId="5" fillId="2" borderId="0" xfId="1" applyFont="1" applyFill="1" applyAlignment="1">
      <alignment horizontal="center"/>
    </xf>
    <xf numFmtId="0" fontId="1" fillId="0" borderId="0" xfId="0" applyFont="1" applyBorder="1" applyAlignment="1">
      <alignment horizontal="center" vertical="top"/>
    </xf>
    <xf numFmtId="0" fontId="13" fillId="0" borderId="0" xfId="1" applyFont="1" applyAlignment="1">
      <alignment horizontal="center"/>
    </xf>
    <xf numFmtId="0" fontId="13" fillId="0" borderId="0" xfId="1" applyFont="1" applyFill="1" applyBorder="1" applyAlignment="1">
      <alignment horizontal="center"/>
    </xf>
    <xf numFmtId="164" fontId="8" fillId="0" borderId="24" xfId="1" applyNumberFormat="1" applyBorder="1" applyAlignment="1">
      <alignment horizontal="center" vertical="center"/>
    </xf>
    <xf numFmtId="164" fontId="8" fillId="0" borderId="5" xfId="1" applyNumberFormat="1" applyBorder="1" applyAlignment="1">
      <alignment horizontal="center" vertical="center"/>
    </xf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8" fillId="0" borderId="9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/>
    </xf>
    <xf numFmtId="0" fontId="6" fillId="2" borderId="5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20" fillId="2" borderId="3" xfId="0" applyFont="1" applyFill="1" applyBorder="1" applyAlignment="1">
      <alignment horizontal="center"/>
    </xf>
    <xf numFmtId="0" fontId="19" fillId="2" borderId="0" xfId="0" applyFont="1" applyFill="1" applyBorder="1" applyAlignment="1">
      <alignment horizontal="right"/>
    </xf>
    <xf numFmtId="0" fontId="19" fillId="2" borderId="5" xfId="0" applyFont="1" applyFill="1" applyBorder="1" applyAlignment="1">
      <alignment horizontal="right"/>
    </xf>
    <xf numFmtId="0" fontId="19" fillId="0" borderId="9" xfId="0" applyFont="1" applyBorder="1" applyAlignment="1">
      <alignment horizontal="center" vertical="top" wrapText="1"/>
    </xf>
    <xf numFmtId="0" fontId="19" fillId="0" borderId="9" xfId="0" applyFont="1" applyBorder="1" applyAlignment="1">
      <alignment horizontal="center" vertical="top"/>
    </xf>
    <xf numFmtId="14" fontId="27" fillId="0" borderId="1" xfId="0" applyNumberFormat="1" applyFont="1" applyBorder="1" applyAlignment="1">
      <alignment horizontal="center" vertical="top" wrapText="1"/>
    </xf>
    <xf numFmtId="14" fontId="27" fillId="0" borderId="2" xfId="0" applyNumberFormat="1" applyFont="1" applyBorder="1" applyAlignment="1">
      <alignment horizontal="center" vertical="top" wrapText="1"/>
    </xf>
    <xf numFmtId="0" fontId="7" fillId="0" borderId="21" xfId="1" applyFont="1" applyFill="1" applyBorder="1" applyAlignment="1">
      <alignment horizontal="center" vertical="center"/>
    </xf>
    <xf numFmtId="0" fontId="7" fillId="0" borderId="18" xfId="1" applyFont="1" applyFill="1" applyBorder="1" applyAlignment="1">
      <alignment horizontal="center" vertical="center"/>
    </xf>
    <xf numFmtId="0" fontId="8" fillId="0" borderId="18" xfId="1" applyBorder="1" applyAlignment="1">
      <alignment horizontal="center"/>
    </xf>
    <xf numFmtId="0" fontId="8" fillId="0" borderId="15" xfId="1" applyBorder="1" applyAlignment="1">
      <alignment horizontal="center"/>
    </xf>
    <xf numFmtId="0" fontId="7" fillId="0" borderId="29" xfId="1" applyFont="1" applyFill="1" applyBorder="1" applyAlignment="1">
      <alignment horizontal="center" vertical="center"/>
    </xf>
    <xf numFmtId="0" fontId="7" fillId="0" borderId="15" xfId="1" applyFont="1" applyFill="1" applyBorder="1" applyAlignment="1">
      <alignment horizontal="center" vertical="center"/>
    </xf>
    <xf numFmtId="0" fontId="7" fillId="0" borderId="10" xfId="1" applyFont="1" applyFill="1" applyBorder="1" applyAlignment="1">
      <alignment horizontal="center" vertical="center"/>
    </xf>
    <xf numFmtId="0" fontId="7" fillId="0" borderId="11" xfId="1" applyFont="1" applyFill="1" applyBorder="1" applyAlignment="1">
      <alignment horizontal="center" vertical="center"/>
    </xf>
    <xf numFmtId="0" fontId="7" fillId="0" borderId="12" xfId="1" applyFont="1" applyFill="1" applyBorder="1" applyAlignment="1">
      <alignment horizontal="center" vertical="center"/>
    </xf>
    <xf numFmtId="0" fontId="9" fillId="0" borderId="39" xfId="1" applyFont="1" applyFill="1" applyBorder="1" applyAlignment="1">
      <alignment horizontal="center" vertical="center" wrapText="1"/>
    </xf>
    <xf numFmtId="0" fontId="9" fillId="0" borderId="38" xfId="1" applyFont="1" applyFill="1" applyBorder="1" applyAlignment="1">
      <alignment horizontal="center" vertical="center" wrapText="1"/>
    </xf>
    <xf numFmtId="0" fontId="9" fillId="0" borderId="37" xfId="1" applyFont="1" applyFill="1" applyBorder="1" applyAlignment="1">
      <alignment horizontal="center" vertical="center" wrapText="1"/>
    </xf>
    <xf numFmtId="0" fontId="4" fillId="2" borderId="0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0" fontId="9" fillId="0" borderId="21" xfId="1" applyFont="1" applyFill="1" applyBorder="1" applyAlignment="1">
      <alignment horizontal="center" vertical="center" wrapText="1"/>
    </xf>
    <xf numFmtId="0" fontId="9" fillId="0" borderId="18" xfId="1" applyFont="1" applyFill="1" applyBorder="1" applyAlignment="1">
      <alignment horizontal="center" vertical="center" wrapText="1"/>
    </xf>
    <xf numFmtId="0" fontId="9" fillId="0" borderId="15" xfId="1" applyFont="1" applyFill="1" applyBorder="1" applyAlignment="1">
      <alignment horizontal="center" vertical="center" wrapText="1"/>
    </xf>
    <xf numFmtId="0" fontId="6" fillId="0" borderId="13" xfId="1" applyFont="1" applyBorder="1" applyAlignment="1">
      <alignment horizontal="center" vertical="center" wrapText="1"/>
    </xf>
    <xf numFmtId="0" fontId="6" fillId="0" borderId="36" xfId="1" applyFont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5">
    <cellStyle name="Normal" xfId="0" builtinId="0"/>
    <cellStyle name="Normal 17" xfId="4"/>
    <cellStyle name="Normal 18" xfId="3"/>
    <cellStyle name="Normal 19" xfId="2"/>
    <cellStyle name="Normal 2" xfId="1"/>
  </cellStyles>
  <dxfs count="32"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407963</xdr:colOff>
          <xdr:row>5</xdr:row>
          <xdr:rowOff>21102</xdr:rowOff>
        </xdr:from>
        <xdr:to>
          <xdr:col>6</xdr:col>
          <xdr:colOff>84406</xdr:colOff>
          <xdr:row>8</xdr:row>
          <xdr:rowOff>49237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2"/>
  <sheetViews>
    <sheetView workbookViewId="0">
      <selection activeCell="C22" sqref="C22"/>
    </sheetView>
  </sheetViews>
  <sheetFormatPr defaultRowHeight="16.100000000000001" x14ac:dyDescent="0.35"/>
  <cols>
    <col min="1" max="1" width="9.7265625" customWidth="1"/>
    <col min="2" max="2" width="10.6328125" customWidth="1"/>
    <col min="3" max="3" width="6.7265625" customWidth="1"/>
    <col min="4" max="4" width="13" customWidth="1"/>
    <col min="5" max="5" width="6.26953125" customWidth="1"/>
    <col min="6" max="6" width="9.6328125" customWidth="1"/>
    <col min="7" max="7" width="27.90625" customWidth="1"/>
    <col min="257" max="257" width="9.7265625" customWidth="1"/>
    <col min="258" max="258" width="10.6328125" customWidth="1"/>
    <col min="259" max="259" width="6.7265625" customWidth="1"/>
    <col min="260" max="260" width="13" customWidth="1"/>
    <col min="261" max="261" width="6.26953125" customWidth="1"/>
    <col min="262" max="262" width="9.6328125" customWidth="1"/>
    <col min="263" max="263" width="27.90625" customWidth="1"/>
    <col min="513" max="513" width="9.7265625" customWidth="1"/>
    <col min="514" max="514" width="10.6328125" customWidth="1"/>
    <col min="515" max="515" width="6.7265625" customWidth="1"/>
    <col min="516" max="516" width="13" customWidth="1"/>
    <col min="517" max="517" width="6.26953125" customWidth="1"/>
    <col min="518" max="518" width="9.6328125" customWidth="1"/>
    <col min="519" max="519" width="27.90625" customWidth="1"/>
    <col min="769" max="769" width="9.7265625" customWidth="1"/>
    <col min="770" max="770" width="10.6328125" customWidth="1"/>
    <col min="771" max="771" width="6.7265625" customWidth="1"/>
    <col min="772" max="772" width="13" customWidth="1"/>
    <col min="773" max="773" width="6.26953125" customWidth="1"/>
    <col min="774" max="774" width="9.6328125" customWidth="1"/>
    <col min="775" max="775" width="27.90625" customWidth="1"/>
    <col min="1025" max="1025" width="9.7265625" customWidth="1"/>
    <col min="1026" max="1026" width="10.6328125" customWidth="1"/>
    <col min="1027" max="1027" width="6.7265625" customWidth="1"/>
    <col min="1028" max="1028" width="13" customWidth="1"/>
    <col min="1029" max="1029" width="6.26953125" customWidth="1"/>
    <col min="1030" max="1030" width="9.6328125" customWidth="1"/>
    <col min="1031" max="1031" width="27.90625" customWidth="1"/>
    <col min="1281" max="1281" width="9.7265625" customWidth="1"/>
    <col min="1282" max="1282" width="10.6328125" customWidth="1"/>
    <col min="1283" max="1283" width="6.7265625" customWidth="1"/>
    <col min="1284" max="1284" width="13" customWidth="1"/>
    <col min="1285" max="1285" width="6.26953125" customWidth="1"/>
    <col min="1286" max="1286" width="9.6328125" customWidth="1"/>
    <col min="1287" max="1287" width="27.90625" customWidth="1"/>
    <col min="1537" max="1537" width="9.7265625" customWidth="1"/>
    <col min="1538" max="1538" width="10.6328125" customWidth="1"/>
    <col min="1539" max="1539" width="6.7265625" customWidth="1"/>
    <col min="1540" max="1540" width="13" customWidth="1"/>
    <col min="1541" max="1541" width="6.26953125" customWidth="1"/>
    <col min="1542" max="1542" width="9.6328125" customWidth="1"/>
    <col min="1543" max="1543" width="27.90625" customWidth="1"/>
    <col min="1793" max="1793" width="9.7265625" customWidth="1"/>
    <col min="1794" max="1794" width="10.6328125" customWidth="1"/>
    <col min="1795" max="1795" width="6.7265625" customWidth="1"/>
    <col min="1796" max="1796" width="13" customWidth="1"/>
    <col min="1797" max="1797" width="6.26953125" customWidth="1"/>
    <col min="1798" max="1798" width="9.6328125" customWidth="1"/>
    <col min="1799" max="1799" width="27.90625" customWidth="1"/>
    <col min="2049" max="2049" width="9.7265625" customWidth="1"/>
    <col min="2050" max="2050" width="10.6328125" customWidth="1"/>
    <col min="2051" max="2051" width="6.7265625" customWidth="1"/>
    <col min="2052" max="2052" width="13" customWidth="1"/>
    <col min="2053" max="2053" width="6.26953125" customWidth="1"/>
    <col min="2054" max="2054" width="9.6328125" customWidth="1"/>
    <col min="2055" max="2055" width="27.90625" customWidth="1"/>
    <col min="2305" max="2305" width="9.7265625" customWidth="1"/>
    <col min="2306" max="2306" width="10.6328125" customWidth="1"/>
    <col min="2307" max="2307" width="6.7265625" customWidth="1"/>
    <col min="2308" max="2308" width="13" customWidth="1"/>
    <col min="2309" max="2309" width="6.26953125" customWidth="1"/>
    <col min="2310" max="2310" width="9.6328125" customWidth="1"/>
    <col min="2311" max="2311" width="27.90625" customWidth="1"/>
    <col min="2561" max="2561" width="9.7265625" customWidth="1"/>
    <col min="2562" max="2562" width="10.6328125" customWidth="1"/>
    <col min="2563" max="2563" width="6.7265625" customWidth="1"/>
    <col min="2564" max="2564" width="13" customWidth="1"/>
    <col min="2565" max="2565" width="6.26953125" customWidth="1"/>
    <col min="2566" max="2566" width="9.6328125" customWidth="1"/>
    <col min="2567" max="2567" width="27.90625" customWidth="1"/>
    <col min="2817" max="2817" width="9.7265625" customWidth="1"/>
    <col min="2818" max="2818" width="10.6328125" customWidth="1"/>
    <col min="2819" max="2819" width="6.7265625" customWidth="1"/>
    <col min="2820" max="2820" width="13" customWidth="1"/>
    <col min="2821" max="2821" width="6.26953125" customWidth="1"/>
    <col min="2822" max="2822" width="9.6328125" customWidth="1"/>
    <col min="2823" max="2823" width="27.90625" customWidth="1"/>
    <col min="3073" max="3073" width="9.7265625" customWidth="1"/>
    <col min="3074" max="3074" width="10.6328125" customWidth="1"/>
    <col min="3075" max="3075" width="6.7265625" customWidth="1"/>
    <col min="3076" max="3076" width="13" customWidth="1"/>
    <col min="3077" max="3077" width="6.26953125" customWidth="1"/>
    <col min="3078" max="3078" width="9.6328125" customWidth="1"/>
    <col min="3079" max="3079" width="27.90625" customWidth="1"/>
    <col min="3329" max="3329" width="9.7265625" customWidth="1"/>
    <col min="3330" max="3330" width="10.6328125" customWidth="1"/>
    <col min="3331" max="3331" width="6.7265625" customWidth="1"/>
    <col min="3332" max="3332" width="13" customWidth="1"/>
    <col min="3333" max="3333" width="6.26953125" customWidth="1"/>
    <col min="3334" max="3334" width="9.6328125" customWidth="1"/>
    <col min="3335" max="3335" width="27.90625" customWidth="1"/>
    <col min="3585" max="3585" width="9.7265625" customWidth="1"/>
    <col min="3586" max="3586" width="10.6328125" customWidth="1"/>
    <col min="3587" max="3587" width="6.7265625" customWidth="1"/>
    <col min="3588" max="3588" width="13" customWidth="1"/>
    <col min="3589" max="3589" width="6.26953125" customWidth="1"/>
    <col min="3590" max="3590" width="9.6328125" customWidth="1"/>
    <col min="3591" max="3591" width="27.90625" customWidth="1"/>
    <col min="3841" max="3841" width="9.7265625" customWidth="1"/>
    <col min="3842" max="3842" width="10.6328125" customWidth="1"/>
    <col min="3843" max="3843" width="6.7265625" customWidth="1"/>
    <col min="3844" max="3844" width="13" customWidth="1"/>
    <col min="3845" max="3845" width="6.26953125" customWidth="1"/>
    <col min="3846" max="3846" width="9.6328125" customWidth="1"/>
    <col min="3847" max="3847" width="27.90625" customWidth="1"/>
    <col min="4097" max="4097" width="9.7265625" customWidth="1"/>
    <col min="4098" max="4098" width="10.6328125" customWidth="1"/>
    <col min="4099" max="4099" width="6.7265625" customWidth="1"/>
    <col min="4100" max="4100" width="13" customWidth="1"/>
    <col min="4101" max="4101" width="6.26953125" customWidth="1"/>
    <col min="4102" max="4102" width="9.6328125" customWidth="1"/>
    <col min="4103" max="4103" width="27.90625" customWidth="1"/>
    <col min="4353" max="4353" width="9.7265625" customWidth="1"/>
    <col min="4354" max="4354" width="10.6328125" customWidth="1"/>
    <col min="4355" max="4355" width="6.7265625" customWidth="1"/>
    <col min="4356" max="4356" width="13" customWidth="1"/>
    <col min="4357" max="4357" width="6.26953125" customWidth="1"/>
    <col min="4358" max="4358" width="9.6328125" customWidth="1"/>
    <col min="4359" max="4359" width="27.90625" customWidth="1"/>
    <col min="4609" max="4609" width="9.7265625" customWidth="1"/>
    <col min="4610" max="4610" width="10.6328125" customWidth="1"/>
    <col min="4611" max="4611" width="6.7265625" customWidth="1"/>
    <col min="4612" max="4612" width="13" customWidth="1"/>
    <col min="4613" max="4613" width="6.26953125" customWidth="1"/>
    <col min="4614" max="4614" width="9.6328125" customWidth="1"/>
    <col min="4615" max="4615" width="27.90625" customWidth="1"/>
    <col min="4865" max="4865" width="9.7265625" customWidth="1"/>
    <col min="4866" max="4866" width="10.6328125" customWidth="1"/>
    <col min="4867" max="4867" width="6.7265625" customWidth="1"/>
    <col min="4868" max="4868" width="13" customWidth="1"/>
    <col min="4869" max="4869" width="6.26953125" customWidth="1"/>
    <col min="4870" max="4870" width="9.6328125" customWidth="1"/>
    <col min="4871" max="4871" width="27.90625" customWidth="1"/>
    <col min="5121" max="5121" width="9.7265625" customWidth="1"/>
    <col min="5122" max="5122" width="10.6328125" customWidth="1"/>
    <col min="5123" max="5123" width="6.7265625" customWidth="1"/>
    <col min="5124" max="5124" width="13" customWidth="1"/>
    <col min="5125" max="5125" width="6.26953125" customWidth="1"/>
    <col min="5126" max="5126" width="9.6328125" customWidth="1"/>
    <col min="5127" max="5127" width="27.90625" customWidth="1"/>
    <col min="5377" max="5377" width="9.7265625" customWidth="1"/>
    <col min="5378" max="5378" width="10.6328125" customWidth="1"/>
    <col min="5379" max="5379" width="6.7265625" customWidth="1"/>
    <col min="5380" max="5380" width="13" customWidth="1"/>
    <col min="5381" max="5381" width="6.26953125" customWidth="1"/>
    <col min="5382" max="5382" width="9.6328125" customWidth="1"/>
    <col min="5383" max="5383" width="27.90625" customWidth="1"/>
    <col min="5633" max="5633" width="9.7265625" customWidth="1"/>
    <col min="5634" max="5634" width="10.6328125" customWidth="1"/>
    <col min="5635" max="5635" width="6.7265625" customWidth="1"/>
    <col min="5636" max="5636" width="13" customWidth="1"/>
    <col min="5637" max="5637" width="6.26953125" customWidth="1"/>
    <col min="5638" max="5638" width="9.6328125" customWidth="1"/>
    <col min="5639" max="5639" width="27.90625" customWidth="1"/>
    <col min="5889" max="5889" width="9.7265625" customWidth="1"/>
    <col min="5890" max="5890" width="10.6328125" customWidth="1"/>
    <col min="5891" max="5891" width="6.7265625" customWidth="1"/>
    <col min="5892" max="5892" width="13" customWidth="1"/>
    <col min="5893" max="5893" width="6.26953125" customWidth="1"/>
    <col min="5894" max="5894" width="9.6328125" customWidth="1"/>
    <col min="5895" max="5895" width="27.90625" customWidth="1"/>
    <col min="6145" max="6145" width="9.7265625" customWidth="1"/>
    <col min="6146" max="6146" width="10.6328125" customWidth="1"/>
    <col min="6147" max="6147" width="6.7265625" customWidth="1"/>
    <col min="6148" max="6148" width="13" customWidth="1"/>
    <col min="6149" max="6149" width="6.26953125" customWidth="1"/>
    <col min="6150" max="6150" width="9.6328125" customWidth="1"/>
    <col min="6151" max="6151" width="27.90625" customWidth="1"/>
    <col min="6401" max="6401" width="9.7265625" customWidth="1"/>
    <col min="6402" max="6402" width="10.6328125" customWidth="1"/>
    <col min="6403" max="6403" width="6.7265625" customWidth="1"/>
    <col min="6404" max="6404" width="13" customWidth="1"/>
    <col min="6405" max="6405" width="6.26953125" customWidth="1"/>
    <col min="6406" max="6406" width="9.6328125" customWidth="1"/>
    <col min="6407" max="6407" width="27.90625" customWidth="1"/>
    <col min="6657" max="6657" width="9.7265625" customWidth="1"/>
    <col min="6658" max="6658" width="10.6328125" customWidth="1"/>
    <col min="6659" max="6659" width="6.7265625" customWidth="1"/>
    <col min="6660" max="6660" width="13" customWidth="1"/>
    <col min="6661" max="6661" width="6.26953125" customWidth="1"/>
    <col min="6662" max="6662" width="9.6328125" customWidth="1"/>
    <col min="6663" max="6663" width="27.90625" customWidth="1"/>
    <col min="6913" max="6913" width="9.7265625" customWidth="1"/>
    <col min="6914" max="6914" width="10.6328125" customWidth="1"/>
    <col min="6915" max="6915" width="6.7265625" customWidth="1"/>
    <col min="6916" max="6916" width="13" customWidth="1"/>
    <col min="6917" max="6917" width="6.26953125" customWidth="1"/>
    <col min="6918" max="6918" width="9.6328125" customWidth="1"/>
    <col min="6919" max="6919" width="27.90625" customWidth="1"/>
    <col min="7169" max="7169" width="9.7265625" customWidth="1"/>
    <col min="7170" max="7170" width="10.6328125" customWidth="1"/>
    <col min="7171" max="7171" width="6.7265625" customWidth="1"/>
    <col min="7172" max="7172" width="13" customWidth="1"/>
    <col min="7173" max="7173" width="6.26953125" customWidth="1"/>
    <col min="7174" max="7174" width="9.6328125" customWidth="1"/>
    <col min="7175" max="7175" width="27.90625" customWidth="1"/>
    <col min="7425" max="7425" width="9.7265625" customWidth="1"/>
    <col min="7426" max="7426" width="10.6328125" customWidth="1"/>
    <col min="7427" max="7427" width="6.7265625" customWidth="1"/>
    <col min="7428" max="7428" width="13" customWidth="1"/>
    <col min="7429" max="7429" width="6.26953125" customWidth="1"/>
    <col min="7430" max="7430" width="9.6328125" customWidth="1"/>
    <col min="7431" max="7431" width="27.90625" customWidth="1"/>
    <col min="7681" max="7681" width="9.7265625" customWidth="1"/>
    <col min="7682" max="7682" width="10.6328125" customWidth="1"/>
    <col min="7683" max="7683" width="6.7265625" customWidth="1"/>
    <col min="7684" max="7684" width="13" customWidth="1"/>
    <col min="7685" max="7685" width="6.26953125" customWidth="1"/>
    <col min="7686" max="7686" width="9.6328125" customWidth="1"/>
    <col min="7687" max="7687" width="27.90625" customWidth="1"/>
    <col min="7937" max="7937" width="9.7265625" customWidth="1"/>
    <col min="7938" max="7938" width="10.6328125" customWidth="1"/>
    <col min="7939" max="7939" width="6.7265625" customWidth="1"/>
    <col min="7940" max="7940" width="13" customWidth="1"/>
    <col min="7941" max="7941" width="6.26953125" customWidth="1"/>
    <col min="7942" max="7942" width="9.6328125" customWidth="1"/>
    <col min="7943" max="7943" width="27.90625" customWidth="1"/>
    <col min="8193" max="8193" width="9.7265625" customWidth="1"/>
    <col min="8194" max="8194" width="10.6328125" customWidth="1"/>
    <col min="8195" max="8195" width="6.7265625" customWidth="1"/>
    <col min="8196" max="8196" width="13" customWidth="1"/>
    <col min="8197" max="8197" width="6.26953125" customWidth="1"/>
    <col min="8198" max="8198" width="9.6328125" customWidth="1"/>
    <col min="8199" max="8199" width="27.90625" customWidth="1"/>
    <col min="8449" max="8449" width="9.7265625" customWidth="1"/>
    <col min="8450" max="8450" width="10.6328125" customWidth="1"/>
    <col min="8451" max="8451" width="6.7265625" customWidth="1"/>
    <col min="8452" max="8452" width="13" customWidth="1"/>
    <col min="8453" max="8453" width="6.26953125" customWidth="1"/>
    <col min="8454" max="8454" width="9.6328125" customWidth="1"/>
    <col min="8455" max="8455" width="27.90625" customWidth="1"/>
    <col min="8705" max="8705" width="9.7265625" customWidth="1"/>
    <col min="8706" max="8706" width="10.6328125" customWidth="1"/>
    <col min="8707" max="8707" width="6.7265625" customWidth="1"/>
    <col min="8708" max="8708" width="13" customWidth="1"/>
    <col min="8709" max="8709" width="6.26953125" customWidth="1"/>
    <col min="8710" max="8710" width="9.6328125" customWidth="1"/>
    <col min="8711" max="8711" width="27.90625" customWidth="1"/>
    <col min="8961" max="8961" width="9.7265625" customWidth="1"/>
    <col min="8962" max="8962" width="10.6328125" customWidth="1"/>
    <col min="8963" max="8963" width="6.7265625" customWidth="1"/>
    <col min="8964" max="8964" width="13" customWidth="1"/>
    <col min="8965" max="8965" width="6.26953125" customWidth="1"/>
    <col min="8966" max="8966" width="9.6328125" customWidth="1"/>
    <col min="8967" max="8967" width="27.90625" customWidth="1"/>
    <col min="9217" max="9217" width="9.7265625" customWidth="1"/>
    <col min="9218" max="9218" width="10.6328125" customWidth="1"/>
    <col min="9219" max="9219" width="6.7265625" customWidth="1"/>
    <col min="9220" max="9220" width="13" customWidth="1"/>
    <col min="9221" max="9221" width="6.26953125" customWidth="1"/>
    <col min="9222" max="9222" width="9.6328125" customWidth="1"/>
    <col min="9223" max="9223" width="27.90625" customWidth="1"/>
    <col min="9473" max="9473" width="9.7265625" customWidth="1"/>
    <col min="9474" max="9474" width="10.6328125" customWidth="1"/>
    <col min="9475" max="9475" width="6.7265625" customWidth="1"/>
    <col min="9476" max="9476" width="13" customWidth="1"/>
    <col min="9477" max="9477" width="6.26953125" customWidth="1"/>
    <col min="9478" max="9478" width="9.6328125" customWidth="1"/>
    <col min="9479" max="9479" width="27.90625" customWidth="1"/>
    <col min="9729" max="9729" width="9.7265625" customWidth="1"/>
    <col min="9730" max="9730" width="10.6328125" customWidth="1"/>
    <col min="9731" max="9731" width="6.7265625" customWidth="1"/>
    <col min="9732" max="9732" width="13" customWidth="1"/>
    <col min="9733" max="9733" width="6.26953125" customWidth="1"/>
    <col min="9734" max="9734" width="9.6328125" customWidth="1"/>
    <col min="9735" max="9735" width="27.90625" customWidth="1"/>
    <col min="9985" max="9985" width="9.7265625" customWidth="1"/>
    <col min="9986" max="9986" width="10.6328125" customWidth="1"/>
    <col min="9987" max="9987" width="6.7265625" customWidth="1"/>
    <col min="9988" max="9988" width="13" customWidth="1"/>
    <col min="9989" max="9989" width="6.26953125" customWidth="1"/>
    <col min="9990" max="9990" width="9.6328125" customWidth="1"/>
    <col min="9991" max="9991" width="27.90625" customWidth="1"/>
    <col min="10241" max="10241" width="9.7265625" customWidth="1"/>
    <col min="10242" max="10242" width="10.6328125" customWidth="1"/>
    <col min="10243" max="10243" width="6.7265625" customWidth="1"/>
    <col min="10244" max="10244" width="13" customWidth="1"/>
    <col min="10245" max="10245" width="6.26953125" customWidth="1"/>
    <col min="10246" max="10246" width="9.6328125" customWidth="1"/>
    <col min="10247" max="10247" width="27.90625" customWidth="1"/>
    <col min="10497" max="10497" width="9.7265625" customWidth="1"/>
    <col min="10498" max="10498" width="10.6328125" customWidth="1"/>
    <col min="10499" max="10499" width="6.7265625" customWidth="1"/>
    <col min="10500" max="10500" width="13" customWidth="1"/>
    <col min="10501" max="10501" width="6.26953125" customWidth="1"/>
    <col min="10502" max="10502" width="9.6328125" customWidth="1"/>
    <col min="10503" max="10503" width="27.90625" customWidth="1"/>
    <col min="10753" max="10753" width="9.7265625" customWidth="1"/>
    <col min="10754" max="10754" width="10.6328125" customWidth="1"/>
    <col min="10755" max="10755" width="6.7265625" customWidth="1"/>
    <col min="10756" max="10756" width="13" customWidth="1"/>
    <col min="10757" max="10757" width="6.26953125" customWidth="1"/>
    <col min="10758" max="10758" width="9.6328125" customWidth="1"/>
    <col min="10759" max="10759" width="27.90625" customWidth="1"/>
    <col min="11009" max="11009" width="9.7265625" customWidth="1"/>
    <col min="11010" max="11010" width="10.6328125" customWidth="1"/>
    <col min="11011" max="11011" width="6.7265625" customWidth="1"/>
    <col min="11012" max="11012" width="13" customWidth="1"/>
    <col min="11013" max="11013" width="6.26953125" customWidth="1"/>
    <col min="11014" max="11014" width="9.6328125" customWidth="1"/>
    <col min="11015" max="11015" width="27.90625" customWidth="1"/>
    <col min="11265" max="11265" width="9.7265625" customWidth="1"/>
    <col min="11266" max="11266" width="10.6328125" customWidth="1"/>
    <col min="11267" max="11267" width="6.7265625" customWidth="1"/>
    <col min="11268" max="11268" width="13" customWidth="1"/>
    <col min="11269" max="11269" width="6.26953125" customWidth="1"/>
    <col min="11270" max="11270" width="9.6328125" customWidth="1"/>
    <col min="11271" max="11271" width="27.90625" customWidth="1"/>
    <col min="11521" max="11521" width="9.7265625" customWidth="1"/>
    <col min="11522" max="11522" width="10.6328125" customWidth="1"/>
    <col min="11523" max="11523" width="6.7265625" customWidth="1"/>
    <col min="11524" max="11524" width="13" customWidth="1"/>
    <col min="11525" max="11525" width="6.26953125" customWidth="1"/>
    <col min="11526" max="11526" width="9.6328125" customWidth="1"/>
    <col min="11527" max="11527" width="27.90625" customWidth="1"/>
    <col min="11777" max="11777" width="9.7265625" customWidth="1"/>
    <col min="11778" max="11778" width="10.6328125" customWidth="1"/>
    <col min="11779" max="11779" width="6.7265625" customWidth="1"/>
    <col min="11780" max="11780" width="13" customWidth="1"/>
    <col min="11781" max="11781" width="6.26953125" customWidth="1"/>
    <col min="11782" max="11782" width="9.6328125" customWidth="1"/>
    <col min="11783" max="11783" width="27.90625" customWidth="1"/>
    <col min="12033" max="12033" width="9.7265625" customWidth="1"/>
    <col min="12034" max="12034" width="10.6328125" customWidth="1"/>
    <col min="12035" max="12035" width="6.7265625" customWidth="1"/>
    <col min="12036" max="12036" width="13" customWidth="1"/>
    <col min="12037" max="12037" width="6.26953125" customWidth="1"/>
    <col min="12038" max="12038" width="9.6328125" customWidth="1"/>
    <col min="12039" max="12039" width="27.90625" customWidth="1"/>
    <col min="12289" max="12289" width="9.7265625" customWidth="1"/>
    <col min="12290" max="12290" width="10.6328125" customWidth="1"/>
    <col min="12291" max="12291" width="6.7265625" customWidth="1"/>
    <col min="12292" max="12292" width="13" customWidth="1"/>
    <col min="12293" max="12293" width="6.26953125" customWidth="1"/>
    <col min="12294" max="12294" width="9.6328125" customWidth="1"/>
    <col min="12295" max="12295" width="27.90625" customWidth="1"/>
    <col min="12545" max="12545" width="9.7265625" customWidth="1"/>
    <col min="12546" max="12546" width="10.6328125" customWidth="1"/>
    <col min="12547" max="12547" width="6.7265625" customWidth="1"/>
    <col min="12548" max="12548" width="13" customWidth="1"/>
    <col min="12549" max="12549" width="6.26953125" customWidth="1"/>
    <col min="12550" max="12550" width="9.6328125" customWidth="1"/>
    <col min="12551" max="12551" width="27.90625" customWidth="1"/>
    <col min="12801" max="12801" width="9.7265625" customWidth="1"/>
    <col min="12802" max="12802" width="10.6328125" customWidth="1"/>
    <col min="12803" max="12803" width="6.7265625" customWidth="1"/>
    <col min="12804" max="12804" width="13" customWidth="1"/>
    <col min="12805" max="12805" width="6.26953125" customWidth="1"/>
    <col min="12806" max="12806" width="9.6328125" customWidth="1"/>
    <col min="12807" max="12807" width="27.90625" customWidth="1"/>
    <col min="13057" max="13057" width="9.7265625" customWidth="1"/>
    <col min="13058" max="13058" width="10.6328125" customWidth="1"/>
    <col min="13059" max="13059" width="6.7265625" customWidth="1"/>
    <col min="13060" max="13060" width="13" customWidth="1"/>
    <col min="13061" max="13061" width="6.26953125" customWidth="1"/>
    <col min="13062" max="13062" width="9.6328125" customWidth="1"/>
    <col min="13063" max="13063" width="27.90625" customWidth="1"/>
    <col min="13313" max="13313" width="9.7265625" customWidth="1"/>
    <col min="13314" max="13314" width="10.6328125" customWidth="1"/>
    <col min="13315" max="13315" width="6.7265625" customWidth="1"/>
    <col min="13316" max="13316" width="13" customWidth="1"/>
    <col min="13317" max="13317" width="6.26953125" customWidth="1"/>
    <col min="13318" max="13318" width="9.6328125" customWidth="1"/>
    <col min="13319" max="13319" width="27.90625" customWidth="1"/>
    <col min="13569" max="13569" width="9.7265625" customWidth="1"/>
    <col min="13570" max="13570" width="10.6328125" customWidth="1"/>
    <col min="13571" max="13571" width="6.7265625" customWidth="1"/>
    <col min="13572" max="13572" width="13" customWidth="1"/>
    <col min="13573" max="13573" width="6.26953125" customWidth="1"/>
    <col min="13574" max="13574" width="9.6328125" customWidth="1"/>
    <col min="13575" max="13575" width="27.90625" customWidth="1"/>
    <col min="13825" max="13825" width="9.7265625" customWidth="1"/>
    <col min="13826" max="13826" width="10.6328125" customWidth="1"/>
    <col min="13827" max="13827" width="6.7265625" customWidth="1"/>
    <col min="13828" max="13828" width="13" customWidth="1"/>
    <col min="13829" max="13829" width="6.26953125" customWidth="1"/>
    <col min="13830" max="13830" width="9.6328125" customWidth="1"/>
    <col min="13831" max="13831" width="27.90625" customWidth="1"/>
    <col min="14081" max="14081" width="9.7265625" customWidth="1"/>
    <col min="14082" max="14082" width="10.6328125" customWidth="1"/>
    <col min="14083" max="14083" width="6.7265625" customWidth="1"/>
    <col min="14084" max="14084" width="13" customWidth="1"/>
    <col min="14085" max="14085" width="6.26953125" customWidth="1"/>
    <col min="14086" max="14086" width="9.6328125" customWidth="1"/>
    <col min="14087" max="14087" width="27.90625" customWidth="1"/>
    <col min="14337" max="14337" width="9.7265625" customWidth="1"/>
    <col min="14338" max="14338" width="10.6328125" customWidth="1"/>
    <col min="14339" max="14339" width="6.7265625" customWidth="1"/>
    <col min="14340" max="14340" width="13" customWidth="1"/>
    <col min="14341" max="14341" width="6.26953125" customWidth="1"/>
    <col min="14342" max="14342" width="9.6328125" customWidth="1"/>
    <col min="14343" max="14343" width="27.90625" customWidth="1"/>
    <col min="14593" max="14593" width="9.7265625" customWidth="1"/>
    <col min="14594" max="14594" width="10.6328125" customWidth="1"/>
    <col min="14595" max="14595" width="6.7265625" customWidth="1"/>
    <col min="14596" max="14596" width="13" customWidth="1"/>
    <col min="14597" max="14597" width="6.26953125" customWidth="1"/>
    <col min="14598" max="14598" width="9.6328125" customWidth="1"/>
    <col min="14599" max="14599" width="27.90625" customWidth="1"/>
    <col min="14849" max="14849" width="9.7265625" customWidth="1"/>
    <col min="14850" max="14850" width="10.6328125" customWidth="1"/>
    <col min="14851" max="14851" width="6.7265625" customWidth="1"/>
    <col min="14852" max="14852" width="13" customWidth="1"/>
    <col min="14853" max="14853" width="6.26953125" customWidth="1"/>
    <col min="14854" max="14854" width="9.6328125" customWidth="1"/>
    <col min="14855" max="14855" width="27.90625" customWidth="1"/>
    <col min="15105" max="15105" width="9.7265625" customWidth="1"/>
    <col min="15106" max="15106" width="10.6328125" customWidth="1"/>
    <col min="15107" max="15107" width="6.7265625" customWidth="1"/>
    <col min="15108" max="15108" width="13" customWidth="1"/>
    <col min="15109" max="15109" width="6.26953125" customWidth="1"/>
    <col min="15110" max="15110" width="9.6328125" customWidth="1"/>
    <col min="15111" max="15111" width="27.90625" customWidth="1"/>
    <col min="15361" max="15361" width="9.7265625" customWidth="1"/>
    <col min="15362" max="15362" width="10.6328125" customWidth="1"/>
    <col min="15363" max="15363" width="6.7265625" customWidth="1"/>
    <col min="15364" max="15364" width="13" customWidth="1"/>
    <col min="15365" max="15365" width="6.26953125" customWidth="1"/>
    <col min="15366" max="15366" width="9.6328125" customWidth="1"/>
    <col min="15367" max="15367" width="27.90625" customWidth="1"/>
    <col min="15617" max="15617" width="9.7265625" customWidth="1"/>
    <col min="15618" max="15618" width="10.6328125" customWidth="1"/>
    <col min="15619" max="15619" width="6.7265625" customWidth="1"/>
    <col min="15620" max="15620" width="13" customWidth="1"/>
    <col min="15621" max="15621" width="6.26953125" customWidth="1"/>
    <col min="15622" max="15622" width="9.6328125" customWidth="1"/>
    <col min="15623" max="15623" width="27.90625" customWidth="1"/>
    <col min="15873" max="15873" width="9.7265625" customWidth="1"/>
    <col min="15874" max="15874" width="10.6328125" customWidth="1"/>
    <col min="15875" max="15875" width="6.7265625" customWidth="1"/>
    <col min="15876" max="15876" width="13" customWidth="1"/>
    <col min="15877" max="15877" width="6.26953125" customWidth="1"/>
    <col min="15878" max="15878" width="9.6328125" customWidth="1"/>
    <col min="15879" max="15879" width="27.90625" customWidth="1"/>
    <col min="16129" max="16129" width="9.7265625" customWidth="1"/>
    <col min="16130" max="16130" width="10.6328125" customWidth="1"/>
    <col min="16131" max="16131" width="6.7265625" customWidth="1"/>
    <col min="16132" max="16132" width="13" customWidth="1"/>
    <col min="16133" max="16133" width="6.26953125" customWidth="1"/>
    <col min="16134" max="16134" width="9.6328125" customWidth="1"/>
    <col min="16135" max="16135" width="27.90625" customWidth="1"/>
  </cols>
  <sheetData>
    <row r="1" spans="1:20" s="3" customFormat="1" ht="12.75" customHeight="1" x14ac:dyDescent="0.25">
      <c r="A1" s="259" t="s">
        <v>14</v>
      </c>
      <c r="B1" s="260"/>
      <c r="C1" s="260"/>
      <c r="D1" s="260"/>
      <c r="E1" s="260"/>
      <c r="F1" s="260"/>
      <c r="G1" s="261"/>
    </row>
    <row r="2" spans="1:20" ht="12.75" customHeight="1" x14ac:dyDescent="0.35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 x14ac:dyDescent="0.35">
      <c r="A3" s="11" t="s">
        <v>17</v>
      </c>
      <c r="B3" s="12"/>
      <c r="C3" s="7"/>
      <c r="D3" s="7"/>
      <c r="E3" s="7"/>
      <c r="F3" s="262" t="s">
        <v>18</v>
      </c>
      <c r="G3" s="26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 x14ac:dyDescent="0.35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 x14ac:dyDescent="0.35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 x14ac:dyDescent="0.35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 x14ac:dyDescent="0.35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 x14ac:dyDescent="0.35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 x14ac:dyDescent="0.35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 x14ac:dyDescent="0.35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 x14ac:dyDescent="0.35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2.15" x14ac:dyDescent="0.35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4.95" customHeight="1" x14ac:dyDescent="0.35">
      <c r="A13" s="255"/>
      <c r="B13" s="28" t="s">
        <v>35</v>
      </c>
      <c r="C13" s="29"/>
      <c r="D13" s="28" t="s">
        <v>36</v>
      </c>
      <c r="E13" s="30"/>
      <c r="F13" s="258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4.95" customHeight="1" x14ac:dyDescent="0.35">
      <c r="A14" s="256"/>
      <c r="B14" s="28" t="s">
        <v>37</v>
      </c>
      <c r="C14" s="29"/>
      <c r="D14" s="28" t="s">
        <v>36</v>
      </c>
      <c r="E14" s="30"/>
      <c r="F14" s="258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4.95" customHeight="1" x14ac:dyDescent="0.35">
      <c r="A15" s="256"/>
      <c r="B15" s="28" t="s">
        <v>38</v>
      </c>
      <c r="C15" s="29"/>
      <c r="D15" s="28" t="s">
        <v>36</v>
      </c>
      <c r="E15" s="30"/>
      <c r="F15" s="258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4.95" customHeight="1" x14ac:dyDescent="0.35">
      <c r="A16" s="256"/>
      <c r="B16" s="28" t="s">
        <v>39</v>
      </c>
      <c r="C16" s="29"/>
      <c r="D16" s="28" t="s">
        <v>36</v>
      </c>
      <c r="E16" s="30"/>
      <c r="F16" s="258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3" customHeight="1" x14ac:dyDescent="0.35">
      <c r="A17" s="257"/>
      <c r="B17" s="28" t="s">
        <v>40</v>
      </c>
      <c r="C17" s="29"/>
      <c r="D17" s="28" t="s">
        <v>36</v>
      </c>
      <c r="E17" s="30"/>
      <c r="F17" s="258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 x14ac:dyDescent="0.35">
      <c r="A18" s="255"/>
      <c r="B18" s="28" t="s">
        <v>35</v>
      </c>
      <c r="C18" s="29"/>
      <c r="D18" s="28" t="s">
        <v>36</v>
      </c>
      <c r="E18" s="30"/>
      <c r="F18" s="258"/>
      <c r="G18" s="31"/>
    </row>
    <row r="19" spans="1:20" ht="12.75" customHeight="1" x14ac:dyDescent="0.35">
      <c r="A19" s="256"/>
      <c r="B19" s="28" t="s">
        <v>37</v>
      </c>
      <c r="C19" s="29"/>
      <c r="D19" s="28" t="s">
        <v>36</v>
      </c>
      <c r="E19" s="30"/>
      <c r="F19" s="258"/>
      <c r="G19" s="31"/>
    </row>
    <row r="20" spans="1:20" ht="12.75" customHeight="1" x14ac:dyDescent="0.35">
      <c r="A20" s="256"/>
      <c r="B20" s="28" t="s">
        <v>38</v>
      </c>
      <c r="C20" s="29"/>
      <c r="D20" s="28" t="s">
        <v>36</v>
      </c>
      <c r="E20" s="30"/>
      <c r="F20" s="258"/>
      <c r="G20" s="31"/>
    </row>
    <row r="21" spans="1:20" ht="12.75" customHeight="1" x14ac:dyDescent="0.35">
      <c r="A21" s="256"/>
      <c r="B21" s="28" t="s">
        <v>39</v>
      </c>
      <c r="C21" s="29"/>
      <c r="D21" s="28" t="s">
        <v>36</v>
      </c>
      <c r="E21" s="30"/>
      <c r="F21" s="258"/>
      <c r="G21" s="31"/>
    </row>
    <row r="22" spans="1:20" ht="12.75" customHeight="1" x14ac:dyDescent="0.35">
      <c r="A22" s="257"/>
      <c r="B22" s="28" t="s">
        <v>40</v>
      </c>
      <c r="C22" s="29"/>
      <c r="D22" s="28" t="s">
        <v>36</v>
      </c>
      <c r="E22" s="30"/>
      <c r="F22" s="258"/>
      <c r="G22" s="31"/>
    </row>
    <row r="23" spans="1:20" ht="12.75" customHeight="1" x14ac:dyDescent="0.35">
      <c r="A23" s="255"/>
      <c r="B23" s="28" t="s">
        <v>35</v>
      </c>
      <c r="C23" s="29"/>
      <c r="D23" s="28" t="s">
        <v>36</v>
      </c>
      <c r="E23" s="30"/>
      <c r="F23" s="258"/>
      <c r="G23" s="31"/>
    </row>
    <row r="24" spans="1:20" ht="12.75" customHeight="1" x14ac:dyDescent="0.35">
      <c r="A24" s="256"/>
      <c r="B24" s="28" t="s">
        <v>37</v>
      </c>
      <c r="C24" s="29"/>
      <c r="D24" s="28" t="s">
        <v>36</v>
      </c>
      <c r="E24" s="30"/>
      <c r="F24" s="258"/>
      <c r="G24" s="31"/>
    </row>
    <row r="25" spans="1:20" ht="12.75" customHeight="1" x14ac:dyDescent="0.35">
      <c r="A25" s="256"/>
      <c r="B25" s="28" t="s">
        <v>38</v>
      </c>
      <c r="C25" s="29"/>
      <c r="D25" s="28" t="s">
        <v>36</v>
      </c>
      <c r="E25" s="30"/>
      <c r="F25" s="258"/>
      <c r="G25" s="31"/>
    </row>
    <row r="26" spans="1:20" ht="12.75" customHeight="1" x14ac:dyDescent="0.35">
      <c r="A26" s="256"/>
      <c r="B26" s="28" t="s">
        <v>39</v>
      </c>
      <c r="C26" s="29"/>
      <c r="D26" s="28" t="s">
        <v>36</v>
      </c>
      <c r="E26" s="30"/>
      <c r="F26" s="258"/>
      <c r="G26" s="31"/>
    </row>
    <row r="27" spans="1:20" ht="12.75" customHeight="1" x14ac:dyDescent="0.35">
      <c r="A27" s="257"/>
      <c r="B27" s="28" t="s">
        <v>40</v>
      </c>
      <c r="C27" s="29"/>
      <c r="D27" s="28" t="s">
        <v>36</v>
      </c>
      <c r="E27" s="30"/>
      <c r="F27" s="258"/>
      <c r="G27" s="31"/>
    </row>
    <row r="28" spans="1:20" ht="12.75" customHeight="1" x14ac:dyDescent="0.35">
      <c r="A28" s="255"/>
      <c r="B28" s="28" t="s">
        <v>35</v>
      </c>
      <c r="C28" s="29"/>
      <c r="D28" s="28" t="s">
        <v>36</v>
      </c>
      <c r="E28" s="30"/>
      <c r="F28" s="258"/>
      <c r="G28" s="31"/>
    </row>
    <row r="29" spans="1:20" ht="12.75" customHeight="1" x14ac:dyDescent="0.35">
      <c r="A29" s="256"/>
      <c r="B29" s="28" t="s">
        <v>37</v>
      </c>
      <c r="C29" s="29"/>
      <c r="D29" s="28" t="s">
        <v>36</v>
      </c>
      <c r="E29" s="30"/>
      <c r="F29" s="258"/>
      <c r="G29" s="31"/>
    </row>
    <row r="30" spans="1:20" ht="12.75" customHeight="1" x14ac:dyDescent="0.35">
      <c r="A30" s="256"/>
      <c r="B30" s="28" t="s">
        <v>38</v>
      </c>
      <c r="C30" s="29"/>
      <c r="D30" s="28" t="s">
        <v>36</v>
      </c>
      <c r="E30" s="30"/>
      <c r="F30" s="258"/>
      <c r="G30" s="31"/>
    </row>
    <row r="31" spans="1:20" ht="12.75" customHeight="1" x14ac:dyDescent="0.35">
      <c r="A31" s="256"/>
      <c r="B31" s="28" t="s">
        <v>39</v>
      </c>
      <c r="C31" s="29"/>
      <c r="D31" s="28" t="s">
        <v>36</v>
      </c>
      <c r="E31" s="30"/>
      <c r="F31" s="258"/>
      <c r="G31" s="31"/>
    </row>
    <row r="32" spans="1:20" ht="12.75" customHeight="1" x14ac:dyDescent="0.35">
      <c r="A32" s="257"/>
      <c r="B32" s="28" t="s">
        <v>40</v>
      </c>
      <c r="C32" s="29"/>
      <c r="D32" s="28" t="s">
        <v>36</v>
      </c>
      <c r="E32" s="30"/>
      <c r="F32" s="258"/>
      <c r="G32" s="31"/>
    </row>
    <row r="33" spans="1:7" ht="12.75" customHeight="1" x14ac:dyDescent="0.35">
      <c r="A33" s="255"/>
      <c r="B33" s="28" t="s">
        <v>35</v>
      </c>
      <c r="C33" s="29"/>
      <c r="D33" s="28" t="s">
        <v>36</v>
      </c>
      <c r="E33" s="30"/>
      <c r="F33" s="258"/>
      <c r="G33" s="31"/>
    </row>
    <row r="34" spans="1:7" ht="12.75" customHeight="1" x14ac:dyDescent="0.35">
      <c r="A34" s="256"/>
      <c r="B34" s="28" t="s">
        <v>37</v>
      </c>
      <c r="C34" s="29"/>
      <c r="D34" s="28" t="s">
        <v>36</v>
      </c>
      <c r="E34" s="30"/>
      <c r="F34" s="258"/>
      <c r="G34" s="31"/>
    </row>
    <row r="35" spans="1:7" ht="12.75" customHeight="1" x14ac:dyDescent="0.35">
      <c r="A35" s="256"/>
      <c r="B35" s="28" t="s">
        <v>38</v>
      </c>
      <c r="C35" s="29"/>
      <c r="D35" s="28" t="s">
        <v>36</v>
      </c>
      <c r="E35" s="30"/>
      <c r="F35" s="258"/>
      <c r="G35" s="31"/>
    </row>
    <row r="36" spans="1:7" ht="12.75" customHeight="1" x14ac:dyDescent="0.35">
      <c r="A36" s="256"/>
      <c r="B36" s="28" t="s">
        <v>39</v>
      </c>
      <c r="C36" s="29"/>
      <c r="D36" s="28" t="s">
        <v>36</v>
      </c>
      <c r="E36" s="30"/>
      <c r="F36" s="258"/>
      <c r="G36" s="31"/>
    </row>
    <row r="37" spans="1:7" ht="12.75" customHeight="1" x14ac:dyDescent="0.35">
      <c r="A37" s="257"/>
      <c r="B37" s="28" t="s">
        <v>40</v>
      </c>
      <c r="C37" s="29"/>
      <c r="D37" s="28" t="s">
        <v>36</v>
      </c>
      <c r="E37" s="30"/>
      <c r="F37" s="258"/>
      <c r="G37" s="31"/>
    </row>
    <row r="38" spans="1:7" ht="12.75" customHeight="1" x14ac:dyDescent="0.35">
      <c r="A38" s="255"/>
      <c r="B38" s="28" t="s">
        <v>35</v>
      </c>
      <c r="C38" s="29"/>
      <c r="D38" s="28" t="s">
        <v>36</v>
      </c>
      <c r="E38" s="30"/>
      <c r="F38" s="258"/>
      <c r="G38" s="31"/>
    </row>
    <row r="39" spans="1:7" ht="12.75" customHeight="1" x14ac:dyDescent="0.35">
      <c r="A39" s="256"/>
      <c r="B39" s="28" t="s">
        <v>37</v>
      </c>
      <c r="C39" s="29"/>
      <c r="D39" s="28" t="s">
        <v>36</v>
      </c>
      <c r="E39" s="30"/>
      <c r="F39" s="258"/>
      <c r="G39" s="31"/>
    </row>
    <row r="40" spans="1:7" ht="12.75" customHeight="1" x14ac:dyDescent="0.35">
      <c r="A40" s="256"/>
      <c r="B40" s="28" t="s">
        <v>38</v>
      </c>
      <c r="C40" s="29"/>
      <c r="D40" s="28" t="s">
        <v>36</v>
      </c>
      <c r="E40" s="30"/>
      <c r="F40" s="258"/>
      <c r="G40" s="31"/>
    </row>
    <row r="41" spans="1:7" ht="12.75" customHeight="1" x14ac:dyDescent="0.35">
      <c r="A41" s="256"/>
      <c r="B41" s="28" t="s">
        <v>39</v>
      </c>
      <c r="C41" s="29"/>
      <c r="D41" s="28" t="s">
        <v>36</v>
      </c>
      <c r="E41" s="30"/>
      <c r="F41" s="258"/>
      <c r="G41" s="31"/>
    </row>
    <row r="42" spans="1:7" ht="12.75" customHeight="1" x14ac:dyDescent="0.35">
      <c r="A42" s="257"/>
      <c r="B42" s="28" t="s">
        <v>40</v>
      </c>
      <c r="C42" s="29"/>
      <c r="D42" s="28" t="s">
        <v>36</v>
      </c>
      <c r="E42" s="30"/>
      <c r="F42" s="258"/>
      <c r="G42" s="31"/>
    </row>
    <row r="43" spans="1:7" ht="12.75" customHeight="1" x14ac:dyDescent="0.35">
      <c r="A43" s="255"/>
      <c r="B43" s="28" t="s">
        <v>35</v>
      </c>
      <c r="C43" s="29"/>
      <c r="D43" s="28" t="s">
        <v>36</v>
      </c>
      <c r="E43" s="30"/>
      <c r="F43" s="258"/>
      <c r="G43" s="31"/>
    </row>
    <row r="44" spans="1:7" ht="12.75" customHeight="1" x14ac:dyDescent="0.35">
      <c r="A44" s="256"/>
      <c r="B44" s="28" t="s">
        <v>37</v>
      </c>
      <c r="C44" s="29"/>
      <c r="D44" s="28" t="s">
        <v>36</v>
      </c>
      <c r="E44" s="30"/>
      <c r="F44" s="258"/>
      <c r="G44" s="31"/>
    </row>
    <row r="45" spans="1:7" ht="12.75" customHeight="1" x14ac:dyDescent="0.35">
      <c r="A45" s="256"/>
      <c r="B45" s="28" t="s">
        <v>38</v>
      </c>
      <c r="C45" s="29"/>
      <c r="D45" s="28" t="s">
        <v>36</v>
      </c>
      <c r="E45" s="30"/>
      <c r="F45" s="258"/>
      <c r="G45" s="31"/>
    </row>
    <row r="46" spans="1:7" ht="12.75" customHeight="1" x14ac:dyDescent="0.35">
      <c r="A46" s="256"/>
      <c r="B46" s="28" t="s">
        <v>39</v>
      </c>
      <c r="C46" s="29"/>
      <c r="D46" s="28" t="s">
        <v>36</v>
      </c>
      <c r="E46" s="30"/>
      <c r="F46" s="258"/>
      <c r="G46" s="31"/>
    </row>
    <row r="47" spans="1:7" ht="12.75" customHeight="1" x14ac:dyDescent="0.35">
      <c r="A47" s="257"/>
      <c r="B47" s="28" t="s">
        <v>40</v>
      </c>
      <c r="C47" s="29"/>
      <c r="D47" s="28" t="s">
        <v>36</v>
      </c>
      <c r="E47" s="30"/>
      <c r="F47" s="258"/>
      <c r="G47" s="31"/>
    </row>
    <row r="48" spans="1:7" ht="12.75" customHeight="1" x14ac:dyDescent="0.35">
      <c r="A48" s="255"/>
      <c r="B48" s="28" t="s">
        <v>35</v>
      </c>
      <c r="C48" s="29"/>
      <c r="D48" s="28" t="s">
        <v>36</v>
      </c>
      <c r="E48" s="30"/>
      <c r="F48" s="258"/>
      <c r="G48" s="31"/>
    </row>
    <row r="49" spans="1:7" ht="12.75" customHeight="1" x14ac:dyDescent="0.35">
      <c r="A49" s="256"/>
      <c r="B49" s="28" t="s">
        <v>37</v>
      </c>
      <c r="C49" s="29"/>
      <c r="D49" s="28" t="s">
        <v>36</v>
      </c>
      <c r="E49" s="30"/>
      <c r="F49" s="258"/>
      <c r="G49" s="31"/>
    </row>
    <row r="50" spans="1:7" ht="12.75" customHeight="1" x14ac:dyDescent="0.35">
      <c r="A50" s="256"/>
      <c r="B50" s="28" t="s">
        <v>38</v>
      </c>
      <c r="C50" s="29"/>
      <c r="D50" s="28" t="s">
        <v>36</v>
      </c>
      <c r="E50" s="30"/>
      <c r="F50" s="258"/>
      <c r="G50" s="31"/>
    </row>
    <row r="51" spans="1:7" ht="12.75" customHeight="1" x14ac:dyDescent="0.35">
      <c r="A51" s="256"/>
      <c r="B51" s="28" t="s">
        <v>39</v>
      </c>
      <c r="C51" s="29"/>
      <c r="D51" s="28" t="s">
        <v>36</v>
      </c>
      <c r="E51" s="30"/>
      <c r="F51" s="258"/>
      <c r="G51" s="31"/>
    </row>
    <row r="52" spans="1:7" ht="12.75" customHeight="1" x14ac:dyDescent="0.35">
      <c r="A52" s="257"/>
      <c r="B52" s="28" t="s">
        <v>40</v>
      </c>
      <c r="C52" s="29"/>
      <c r="D52" s="28" t="s">
        <v>36</v>
      </c>
      <c r="E52" s="30"/>
      <c r="F52" s="258"/>
      <c r="G52" s="31"/>
    </row>
  </sheetData>
  <mergeCells count="17"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  <mergeCell ref="A43:A47"/>
    <mergeCell ref="A48:A52"/>
    <mergeCell ref="F48:F5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57"/>
  <sheetViews>
    <sheetView zoomScale="85" zoomScaleNormal="85" workbookViewId="0">
      <pane ySplit="9" topLeftCell="A127" activePane="bottomLeft" state="frozen"/>
      <selection pane="bottomLeft" activeCell="C142" sqref="C142"/>
    </sheetView>
  </sheetViews>
  <sheetFormatPr defaultRowHeight="16.100000000000001" x14ac:dyDescent="0.35"/>
  <cols>
    <col min="1" max="1" width="13.453125" style="34" customWidth="1"/>
    <col min="2" max="2" width="7.08984375" customWidth="1"/>
    <col min="3" max="3" width="7.36328125" customWidth="1"/>
    <col min="4" max="4" width="7.90625" customWidth="1"/>
    <col min="5" max="5" width="5.453125" customWidth="1"/>
    <col min="6" max="6" width="9.7265625" customWidth="1"/>
    <col min="7" max="7" width="12.08984375" customWidth="1"/>
    <col min="8" max="8" width="53.26953125" customWidth="1"/>
    <col min="9" max="9" width="30.453125" bestFit="1" customWidth="1"/>
    <col min="256" max="256" width="11.26953125" customWidth="1"/>
    <col min="257" max="257" width="8.453125" customWidth="1"/>
    <col min="258" max="258" width="7.08984375" customWidth="1"/>
    <col min="259" max="259" width="7.36328125" customWidth="1"/>
    <col min="260" max="260" width="7.90625" customWidth="1"/>
    <col min="261" max="261" width="5.453125" customWidth="1"/>
    <col min="262" max="262" width="9.7265625" customWidth="1"/>
    <col min="263" max="263" width="12.08984375" customWidth="1"/>
    <col min="264" max="264" width="72.08984375" bestFit="1" customWidth="1"/>
    <col min="265" max="265" width="30.453125" bestFit="1" customWidth="1"/>
    <col min="512" max="512" width="11.26953125" customWidth="1"/>
    <col min="513" max="513" width="8.453125" customWidth="1"/>
    <col min="514" max="514" width="7.08984375" customWidth="1"/>
    <col min="515" max="515" width="7.36328125" customWidth="1"/>
    <col min="516" max="516" width="7.90625" customWidth="1"/>
    <col min="517" max="517" width="5.453125" customWidth="1"/>
    <col min="518" max="518" width="9.7265625" customWidth="1"/>
    <col min="519" max="519" width="12.08984375" customWidth="1"/>
    <col min="520" max="520" width="72.08984375" bestFit="1" customWidth="1"/>
    <col min="521" max="521" width="30.453125" bestFit="1" customWidth="1"/>
    <col min="768" max="768" width="11.26953125" customWidth="1"/>
    <col min="769" max="769" width="8.453125" customWidth="1"/>
    <col min="770" max="770" width="7.08984375" customWidth="1"/>
    <col min="771" max="771" width="7.36328125" customWidth="1"/>
    <col min="772" max="772" width="7.90625" customWidth="1"/>
    <col min="773" max="773" width="5.453125" customWidth="1"/>
    <col min="774" max="774" width="9.7265625" customWidth="1"/>
    <col min="775" max="775" width="12.08984375" customWidth="1"/>
    <col min="776" max="776" width="72.08984375" bestFit="1" customWidth="1"/>
    <col min="777" max="777" width="30.453125" bestFit="1" customWidth="1"/>
    <col min="1024" max="1024" width="11.26953125" customWidth="1"/>
    <col min="1025" max="1025" width="8.453125" customWidth="1"/>
    <col min="1026" max="1026" width="7.08984375" customWidth="1"/>
    <col min="1027" max="1027" width="7.36328125" customWidth="1"/>
    <col min="1028" max="1028" width="7.90625" customWidth="1"/>
    <col min="1029" max="1029" width="5.453125" customWidth="1"/>
    <col min="1030" max="1030" width="9.7265625" customWidth="1"/>
    <col min="1031" max="1031" width="12.08984375" customWidth="1"/>
    <col min="1032" max="1032" width="72.08984375" bestFit="1" customWidth="1"/>
    <col min="1033" max="1033" width="30.453125" bestFit="1" customWidth="1"/>
    <col min="1280" max="1280" width="11.26953125" customWidth="1"/>
    <col min="1281" max="1281" width="8.453125" customWidth="1"/>
    <col min="1282" max="1282" width="7.08984375" customWidth="1"/>
    <col min="1283" max="1283" width="7.36328125" customWidth="1"/>
    <col min="1284" max="1284" width="7.90625" customWidth="1"/>
    <col min="1285" max="1285" width="5.453125" customWidth="1"/>
    <col min="1286" max="1286" width="9.7265625" customWidth="1"/>
    <col min="1287" max="1287" width="12.08984375" customWidth="1"/>
    <col min="1288" max="1288" width="72.08984375" bestFit="1" customWidth="1"/>
    <col min="1289" max="1289" width="30.453125" bestFit="1" customWidth="1"/>
    <col min="1536" max="1536" width="11.26953125" customWidth="1"/>
    <col min="1537" max="1537" width="8.453125" customWidth="1"/>
    <col min="1538" max="1538" width="7.08984375" customWidth="1"/>
    <col min="1539" max="1539" width="7.36328125" customWidth="1"/>
    <col min="1540" max="1540" width="7.90625" customWidth="1"/>
    <col min="1541" max="1541" width="5.453125" customWidth="1"/>
    <col min="1542" max="1542" width="9.7265625" customWidth="1"/>
    <col min="1543" max="1543" width="12.08984375" customWidth="1"/>
    <col min="1544" max="1544" width="72.08984375" bestFit="1" customWidth="1"/>
    <col min="1545" max="1545" width="30.453125" bestFit="1" customWidth="1"/>
    <col min="1792" max="1792" width="11.26953125" customWidth="1"/>
    <col min="1793" max="1793" width="8.453125" customWidth="1"/>
    <col min="1794" max="1794" width="7.08984375" customWidth="1"/>
    <col min="1795" max="1795" width="7.36328125" customWidth="1"/>
    <col min="1796" max="1796" width="7.90625" customWidth="1"/>
    <col min="1797" max="1797" width="5.453125" customWidth="1"/>
    <col min="1798" max="1798" width="9.7265625" customWidth="1"/>
    <col min="1799" max="1799" width="12.08984375" customWidth="1"/>
    <col min="1800" max="1800" width="72.08984375" bestFit="1" customWidth="1"/>
    <col min="1801" max="1801" width="30.453125" bestFit="1" customWidth="1"/>
    <col min="2048" max="2048" width="11.26953125" customWidth="1"/>
    <col min="2049" max="2049" width="8.453125" customWidth="1"/>
    <col min="2050" max="2050" width="7.08984375" customWidth="1"/>
    <col min="2051" max="2051" width="7.36328125" customWidth="1"/>
    <col min="2052" max="2052" width="7.90625" customWidth="1"/>
    <col min="2053" max="2053" width="5.453125" customWidth="1"/>
    <col min="2054" max="2054" width="9.7265625" customWidth="1"/>
    <col min="2055" max="2055" width="12.08984375" customWidth="1"/>
    <col min="2056" max="2056" width="72.08984375" bestFit="1" customWidth="1"/>
    <col min="2057" max="2057" width="30.453125" bestFit="1" customWidth="1"/>
    <col min="2304" max="2304" width="11.26953125" customWidth="1"/>
    <col min="2305" max="2305" width="8.453125" customWidth="1"/>
    <col min="2306" max="2306" width="7.08984375" customWidth="1"/>
    <col min="2307" max="2307" width="7.36328125" customWidth="1"/>
    <col min="2308" max="2308" width="7.90625" customWidth="1"/>
    <col min="2309" max="2309" width="5.453125" customWidth="1"/>
    <col min="2310" max="2310" width="9.7265625" customWidth="1"/>
    <col min="2311" max="2311" width="12.08984375" customWidth="1"/>
    <col min="2312" max="2312" width="72.08984375" bestFit="1" customWidth="1"/>
    <col min="2313" max="2313" width="30.453125" bestFit="1" customWidth="1"/>
    <col min="2560" max="2560" width="11.26953125" customWidth="1"/>
    <col min="2561" max="2561" width="8.453125" customWidth="1"/>
    <col min="2562" max="2562" width="7.08984375" customWidth="1"/>
    <col min="2563" max="2563" width="7.36328125" customWidth="1"/>
    <col min="2564" max="2564" width="7.90625" customWidth="1"/>
    <col min="2565" max="2565" width="5.453125" customWidth="1"/>
    <col min="2566" max="2566" width="9.7265625" customWidth="1"/>
    <col min="2567" max="2567" width="12.08984375" customWidth="1"/>
    <col min="2568" max="2568" width="72.08984375" bestFit="1" customWidth="1"/>
    <col min="2569" max="2569" width="30.453125" bestFit="1" customWidth="1"/>
    <col min="2816" max="2816" width="11.26953125" customWidth="1"/>
    <col min="2817" max="2817" width="8.453125" customWidth="1"/>
    <col min="2818" max="2818" width="7.08984375" customWidth="1"/>
    <col min="2819" max="2819" width="7.36328125" customWidth="1"/>
    <col min="2820" max="2820" width="7.90625" customWidth="1"/>
    <col min="2821" max="2821" width="5.453125" customWidth="1"/>
    <col min="2822" max="2822" width="9.7265625" customWidth="1"/>
    <col min="2823" max="2823" width="12.08984375" customWidth="1"/>
    <col min="2824" max="2824" width="72.08984375" bestFit="1" customWidth="1"/>
    <col min="2825" max="2825" width="30.453125" bestFit="1" customWidth="1"/>
    <col min="3072" max="3072" width="11.26953125" customWidth="1"/>
    <col min="3073" max="3073" width="8.453125" customWidth="1"/>
    <col min="3074" max="3074" width="7.08984375" customWidth="1"/>
    <col min="3075" max="3075" width="7.36328125" customWidth="1"/>
    <col min="3076" max="3076" width="7.90625" customWidth="1"/>
    <col min="3077" max="3077" width="5.453125" customWidth="1"/>
    <col min="3078" max="3078" width="9.7265625" customWidth="1"/>
    <col min="3079" max="3079" width="12.08984375" customWidth="1"/>
    <col min="3080" max="3080" width="72.08984375" bestFit="1" customWidth="1"/>
    <col min="3081" max="3081" width="30.453125" bestFit="1" customWidth="1"/>
    <col min="3328" max="3328" width="11.26953125" customWidth="1"/>
    <col min="3329" max="3329" width="8.453125" customWidth="1"/>
    <col min="3330" max="3330" width="7.08984375" customWidth="1"/>
    <col min="3331" max="3331" width="7.36328125" customWidth="1"/>
    <col min="3332" max="3332" width="7.90625" customWidth="1"/>
    <col min="3333" max="3333" width="5.453125" customWidth="1"/>
    <col min="3334" max="3334" width="9.7265625" customWidth="1"/>
    <col min="3335" max="3335" width="12.08984375" customWidth="1"/>
    <col min="3336" max="3336" width="72.08984375" bestFit="1" customWidth="1"/>
    <col min="3337" max="3337" width="30.453125" bestFit="1" customWidth="1"/>
    <col min="3584" max="3584" width="11.26953125" customWidth="1"/>
    <col min="3585" max="3585" width="8.453125" customWidth="1"/>
    <col min="3586" max="3586" width="7.08984375" customWidth="1"/>
    <col min="3587" max="3587" width="7.36328125" customWidth="1"/>
    <col min="3588" max="3588" width="7.90625" customWidth="1"/>
    <col min="3589" max="3589" width="5.453125" customWidth="1"/>
    <col min="3590" max="3590" width="9.7265625" customWidth="1"/>
    <col min="3591" max="3591" width="12.08984375" customWidth="1"/>
    <col min="3592" max="3592" width="72.08984375" bestFit="1" customWidth="1"/>
    <col min="3593" max="3593" width="30.453125" bestFit="1" customWidth="1"/>
    <col min="3840" max="3840" width="11.26953125" customWidth="1"/>
    <col min="3841" max="3841" width="8.453125" customWidth="1"/>
    <col min="3842" max="3842" width="7.08984375" customWidth="1"/>
    <col min="3843" max="3843" width="7.36328125" customWidth="1"/>
    <col min="3844" max="3844" width="7.90625" customWidth="1"/>
    <col min="3845" max="3845" width="5.453125" customWidth="1"/>
    <col min="3846" max="3846" width="9.7265625" customWidth="1"/>
    <col min="3847" max="3847" width="12.08984375" customWidth="1"/>
    <col min="3848" max="3848" width="72.08984375" bestFit="1" customWidth="1"/>
    <col min="3849" max="3849" width="30.453125" bestFit="1" customWidth="1"/>
    <col min="4096" max="4096" width="11.26953125" customWidth="1"/>
    <col min="4097" max="4097" width="8.453125" customWidth="1"/>
    <col min="4098" max="4098" width="7.08984375" customWidth="1"/>
    <col min="4099" max="4099" width="7.36328125" customWidth="1"/>
    <col min="4100" max="4100" width="7.90625" customWidth="1"/>
    <col min="4101" max="4101" width="5.453125" customWidth="1"/>
    <col min="4102" max="4102" width="9.7265625" customWidth="1"/>
    <col min="4103" max="4103" width="12.08984375" customWidth="1"/>
    <col min="4104" max="4104" width="72.08984375" bestFit="1" customWidth="1"/>
    <col min="4105" max="4105" width="30.453125" bestFit="1" customWidth="1"/>
    <col min="4352" max="4352" width="11.26953125" customWidth="1"/>
    <col min="4353" max="4353" width="8.453125" customWidth="1"/>
    <col min="4354" max="4354" width="7.08984375" customWidth="1"/>
    <col min="4355" max="4355" width="7.36328125" customWidth="1"/>
    <col min="4356" max="4356" width="7.90625" customWidth="1"/>
    <col min="4357" max="4357" width="5.453125" customWidth="1"/>
    <col min="4358" max="4358" width="9.7265625" customWidth="1"/>
    <col min="4359" max="4359" width="12.08984375" customWidth="1"/>
    <col min="4360" max="4360" width="72.08984375" bestFit="1" customWidth="1"/>
    <col min="4361" max="4361" width="30.453125" bestFit="1" customWidth="1"/>
    <col min="4608" max="4608" width="11.26953125" customWidth="1"/>
    <col min="4609" max="4609" width="8.453125" customWidth="1"/>
    <col min="4610" max="4610" width="7.08984375" customWidth="1"/>
    <col min="4611" max="4611" width="7.36328125" customWidth="1"/>
    <col min="4612" max="4612" width="7.90625" customWidth="1"/>
    <col min="4613" max="4613" width="5.453125" customWidth="1"/>
    <col min="4614" max="4614" width="9.7265625" customWidth="1"/>
    <col min="4615" max="4615" width="12.08984375" customWidth="1"/>
    <col min="4616" max="4616" width="72.08984375" bestFit="1" customWidth="1"/>
    <col min="4617" max="4617" width="30.453125" bestFit="1" customWidth="1"/>
    <col min="4864" max="4864" width="11.26953125" customWidth="1"/>
    <col min="4865" max="4865" width="8.453125" customWidth="1"/>
    <col min="4866" max="4866" width="7.08984375" customWidth="1"/>
    <col min="4867" max="4867" width="7.36328125" customWidth="1"/>
    <col min="4868" max="4868" width="7.90625" customWidth="1"/>
    <col min="4869" max="4869" width="5.453125" customWidth="1"/>
    <col min="4870" max="4870" width="9.7265625" customWidth="1"/>
    <col min="4871" max="4871" width="12.08984375" customWidth="1"/>
    <col min="4872" max="4872" width="72.08984375" bestFit="1" customWidth="1"/>
    <col min="4873" max="4873" width="30.453125" bestFit="1" customWidth="1"/>
    <col min="5120" max="5120" width="11.26953125" customWidth="1"/>
    <col min="5121" max="5121" width="8.453125" customWidth="1"/>
    <col min="5122" max="5122" width="7.08984375" customWidth="1"/>
    <col min="5123" max="5123" width="7.36328125" customWidth="1"/>
    <col min="5124" max="5124" width="7.90625" customWidth="1"/>
    <col min="5125" max="5125" width="5.453125" customWidth="1"/>
    <col min="5126" max="5126" width="9.7265625" customWidth="1"/>
    <col min="5127" max="5127" width="12.08984375" customWidth="1"/>
    <col min="5128" max="5128" width="72.08984375" bestFit="1" customWidth="1"/>
    <col min="5129" max="5129" width="30.453125" bestFit="1" customWidth="1"/>
    <col min="5376" max="5376" width="11.26953125" customWidth="1"/>
    <col min="5377" max="5377" width="8.453125" customWidth="1"/>
    <col min="5378" max="5378" width="7.08984375" customWidth="1"/>
    <col min="5379" max="5379" width="7.36328125" customWidth="1"/>
    <col min="5380" max="5380" width="7.90625" customWidth="1"/>
    <col min="5381" max="5381" width="5.453125" customWidth="1"/>
    <col min="5382" max="5382" width="9.7265625" customWidth="1"/>
    <col min="5383" max="5383" width="12.08984375" customWidth="1"/>
    <col min="5384" max="5384" width="72.08984375" bestFit="1" customWidth="1"/>
    <col min="5385" max="5385" width="30.453125" bestFit="1" customWidth="1"/>
    <col min="5632" max="5632" width="11.26953125" customWidth="1"/>
    <col min="5633" max="5633" width="8.453125" customWidth="1"/>
    <col min="5634" max="5634" width="7.08984375" customWidth="1"/>
    <col min="5635" max="5635" width="7.36328125" customWidth="1"/>
    <col min="5636" max="5636" width="7.90625" customWidth="1"/>
    <col min="5637" max="5637" width="5.453125" customWidth="1"/>
    <col min="5638" max="5638" width="9.7265625" customWidth="1"/>
    <col min="5639" max="5639" width="12.08984375" customWidth="1"/>
    <col min="5640" max="5640" width="72.08984375" bestFit="1" customWidth="1"/>
    <col min="5641" max="5641" width="30.453125" bestFit="1" customWidth="1"/>
    <col min="5888" max="5888" width="11.26953125" customWidth="1"/>
    <col min="5889" max="5889" width="8.453125" customWidth="1"/>
    <col min="5890" max="5890" width="7.08984375" customWidth="1"/>
    <col min="5891" max="5891" width="7.36328125" customWidth="1"/>
    <col min="5892" max="5892" width="7.90625" customWidth="1"/>
    <col min="5893" max="5893" width="5.453125" customWidth="1"/>
    <col min="5894" max="5894" width="9.7265625" customWidth="1"/>
    <col min="5895" max="5895" width="12.08984375" customWidth="1"/>
    <col min="5896" max="5896" width="72.08984375" bestFit="1" customWidth="1"/>
    <col min="5897" max="5897" width="30.453125" bestFit="1" customWidth="1"/>
    <col min="6144" max="6144" width="11.26953125" customWidth="1"/>
    <col min="6145" max="6145" width="8.453125" customWidth="1"/>
    <col min="6146" max="6146" width="7.08984375" customWidth="1"/>
    <col min="6147" max="6147" width="7.36328125" customWidth="1"/>
    <col min="6148" max="6148" width="7.90625" customWidth="1"/>
    <col min="6149" max="6149" width="5.453125" customWidth="1"/>
    <col min="6150" max="6150" width="9.7265625" customWidth="1"/>
    <col min="6151" max="6151" width="12.08984375" customWidth="1"/>
    <col min="6152" max="6152" width="72.08984375" bestFit="1" customWidth="1"/>
    <col min="6153" max="6153" width="30.453125" bestFit="1" customWidth="1"/>
    <col min="6400" max="6400" width="11.26953125" customWidth="1"/>
    <col min="6401" max="6401" width="8.453125" customWidth="1"/>
    <col min="6402" max="6402" width="7.08984375" customWidth="1"/>
    <col min="6403" max="6403" width="7.36328125" customWidth="1"/>
    <col min="6404" max="6404" width="7.90625" customWidth="1"/>
    <col min="6405" max="6405" width="5.453125" customWidth="1"/>
    <col min="6406" max="6406" width="9.7265625" customWidth="1"/>
    <col min="6407" max="6407" width="12.08984375" customWidth="1"/>
    <col min="6408" max="6408" width="72.08984375" bestFit="1" customWidth="1"/>
    <col min="6409" max="6409" width="30.453125" bestFit="1" customWidth="1"/>
    <col min="6656" max="6656" width="11.26953125" customWidth="1"/>
    <col min="6657" max="6657" width="8.453125" customWidth="1"/>
    <col min="6658" max="6658" width="7.08984375" customWidth="1"/>
    <col min="6659" max="6659" width="7.36328125" customWidth="1"/>
    <col min="6660" max="6660" width="7.90625" customWidth="1"/>
    <col min="6661" max="6661" width="5.453125" customWidth="1"/>
    <col min="6662" max="6662" width="9.7265625" customWidth="1"/>
    <col min="6663" max="6663" width="12.08984375" customWidth="1"/>
    <col min="6664" max="6664" width="72.08984375" bestFit="1" customWidth="1"/>
    <col min="6665" max="6665" width="30.453125" bestFit="1" customWidth="1"/>
    <col min="6912" max="6912" width="11.26953125" customWidth="1"/>
    <col min="6913" max="6913" width="8.453125" customWidth="1"/>
    <col min="6914" max="6914" width="7.08984375" customWidth="1"/>
    <col min="6915" max="6915" width="7.36328125" customWidth="1"/>
    <col min="6916" max="6916" width="7.90625" customWidth="1"/>
    <col min="6917" max="6917" width="5.453125" customWidth="1"/>
    <col min="6918" max="6918" width="9.7265625" customWidth="1"/>
    <col min="6919" max="6919" width="12.08984375" customWidth="1"/>
    <col min="6920" max="6920" width="72.08984375" bestFit="1" customWidth="1"/>
    <col min="6921" max="6921" width="30.453125" bestFit="1" customWidth="1"/>
    <col min="7168" max="7168" width="11.26953125" customWidth="1"/>
    <col min="7169" max="7169" width="8.453125" customWidth="1"/>
    <col min="7170" max="7170" width="7.08984375" customWidth="1"/>
    <col min="7171" max="7171" width="7.36328125" customWidth="1"/>
    <col min="7172" max="7172" width="7.90625" customWidth="1"/>
    <col min="7173" max="7173" width="5.453125" customWidth="1"/>
    <col min="7174" max="7174" width="9.7265625" customWidth="1"/>
    <col min="7175" max="7175" width="12.08984375" customWidth="1"/>
    <col min="7176" max="7176" width="72.08984375" bestFit="1" customWidth="1"/>
    <col min="7177" max="7177" width="30.453125" bestFit="1" customWidth="1"/>
    <col min="7424" max="7424" width="11.26953125" customWidth="1"/>
    <col min="7425" max="7425" width="8.453125" customWidth="1"/>
    <col min="7426" max="7426" width="7.08984375" customWidth="1"/>
    <col min="7427" max="7427" width="7.36328125" customWidth="1"/>
    <col min="7428" max="7428" width="7.90625" customWidth="1"/>
    <col min="7429" max="7429" width="5.453125" customWidth="1"/>
    <col min="7430" max="7430" width="9.7265625" customWidth="1"/>
    <col min="7431" max="7431" width="12.08984375" customWidth="1"/>
    <col min="7432" max="7432" width="72.08984375" bestFit="1" customWidth="1"/>
    <col min="7433" max="7433" width="30.453125" bestFit="1" customWidth="1"/>
    <col min="7680" max="7680" width="11.26953125" customWidth="1"/>
    <col min="7681" max="7681" width="8.453125" customWidth="1"/>
    <col min="7682" max="7682" width="7.08984375" customWidth="1"/>
    <col min="7683" max="7683" width="7.36328125" customWidth="1"/>
    <col min="7684" max="7684" width="7.90625" customWidth="1"/>
    <col min="7685" max="7685" width="5.453125" customWidth="1"/>
    <col min="7686" max="7686" width="9.7265625" customWidth="1"/>
    <col min="7687" max="7687" width="12.08984375" customWidth="1"/>
    <col min="7688" max="7688" width="72.08984375" bestFit="1" customWidth="1"/>
    <col min="7689" max="7689" width="30.453125" bestFit="1" customWidth="1"/>
    <col min="7936" max="7936" width="11.26953125" customWidth="1"/>
    <col min="7937" max="7937" width="8.453125" customWidth="1"/>
    <col min="7938" max="7938" width="7.08984375" customWidth="1"/>
    <col min="7939" max="7939" width="7.36328125" customWidth="1"/>
    <col min="7940" max="7940" width="7.90625" customWidth="1"/>
    <col min="7941" max="7941" width="5.453125" customWidth="1"/>
    <col min="7942" max="7942" width="9.7265625" customWidth="1"/>
    <col min="7943" max="7943" width="12.08984375" customWidth="1"/>
    <col min="7944" max="7944" width="72.08984375" bestFit="1" customWidth="1"/>
    <col min="7945" max="7945" width="30.453125" bestFit="1" customWidth="1"/>
    <col min="8192" max="8192" width="11.26953125" customWidth="1"/>
    <col min="8193" max="8193" width="8.453125" customWidth="1"/>
    <col min="8194" max="8194" width="7.08984375" customWidth="1"/>
    <col min="8195" max="8195" width="7.36328125" customWidth="1"/>
    <col min="8196" max="8196" width="7.90625" customWidth="1"/>
    <col min="8197" max="8197" width="5.453125" customWidth="1"/>
    <col min="8198" max="8198" width="9.7265625" customWidth="1"/>
    <col min="8199" max="8199" width="12.08984375" customWidth="1"/>
    <col min="8200" max="8200" width="72.08984375" bestFit="1" customWidth="1"/>
    <col min="8201" max="8201" width="30.453125" bestFit="1" customWidth="1"/>
    <col min="8448" max="8448" width="11.26953125" customWidth="1"/>
    <col min="8449" max="8449" width="8.453125" customWidth="1"/>
    <col min="8450" max="8450" width="7.08984375" customWidth="1"/>
    <col min="8451" max="8451" width="7.36328125" customWidth="1"/>
    <col min="8452" max="8452" width="7.90625" customWidth="1"/>
    <col min="8453" max="8453" width="5.453125" customWidth="1"/>
    <col min="8454" max="8454" width="9.7265625" customWidth="1"/>
    <col min="8455" max="8455" width="12.08984375" customWidth="1"/>
    <col min="8456" max="8456" width="72.08984375" bestFit="1" customWidth="1"/>
    <col min="8457" max="8457" width="30.453125" bestFit="1" customWidth="1"/>
    <col min="8704" max="8704" width="11.26953125" customWidth="1"/>
    <col min="8705" max="8705" width="8.453125" customWidth="1"/>
    <col min="8706" max="8706" width="7.08984375" customWidth="1"/>
    <col min="8707" max="8707" width="7.36328125" customWidth="1"/>
    <col min="8708" max="8708" width="7.90625" customWidth="1"/>
    <col min="8709" max="8709" width="5.453125" customWidth="1"/>
    <col min="8710" max="8710" width="9.7265625" customWidth="1"/>
    <col min="8711" max="8711" width="12.08984375" customWidth="1"/>
    <col min="8712" max="8712" width="72.08984375" bestFit="1" customWidth="1"/>
    <col min="8713" max="8713" width="30.453125" bestFit="1" customWidth="1"/>
    <col min="8960" max="8960" width="11.26953125" customWidth="1"/>
    <col min="8961" max="8961" width="8.453125" customWidth="1"/>
    <col min="8962" max="8962" width="7.08984375" customWidth="1"/>
    <col min="8963" max="8963" width="7.36328125" customWidth="1"/>
    <col min="8964" max="8964" width="7.90625" customWidth="1"/>
    <col min="8965" max="8965" width="5.453125" customWidth="1"/>
    <col min="8966" max="8966" width="9.7265625" customWidth="1"/>
    <col min="8967" max="8967" width="12.08984375" customWidth="1"/>
    <col min="8968" max="8968" width="72.08984375" bestFit="1" customWidth="1"/>
    <col min="8969" max="8969" width="30.453125" bestFit="1" customWidth="1"/>
    <col min="9216" max="9216" width="11.26953125" customWidth="1"/>
    <col min="9217" max="9217" width="8.453125" customWidth="1"/>
    <col min="9218" max="9218" width="7.08984375" customWidth="1"/>
    <col min="9219" max="9219" width="7.36328125" customWidth="1"/>
    <col min="9220" max="9220" width="7.90625" customWidth="1"/>
    <col min="9221" max="9221" width="5.453125" customWidth="1"/>
    <col min="9222" max="9222" width="9.7265625" customWidth="1"/>
    <col min="9223" max="9223" width="12.08984375" customWidth="1"/>
    <col min="9224" max="9224" width="72.08984375" bestFit="1" customWidth="1"/>
    <col min="9225" max="9225" width="30.453125" bestFit="1" customWidth="1"/>
    <col min="9472" max="9472" width="11.26953125" customWidth="1"/>
    <col min="9473" max="9473" width="8.453125" customWidth="1"/>
    <col min="9474" max="9474" width="7.08984375" customWidth="1"/>
    <col min="9475" max="9475" width="7.36328125" customWidth="1"/>
    <col min="9476" max="9476" width="7.90625" customWidth="1"/>
    <col min="9477" max="9477" width="5.453125" customWidth="1"/>
    <col min="9478" max="9478" width="9.7265625" customWidth="1"/>
    <col min="9479" max="9479" width="12.08984375" customWidth="1"/>
    <col min="9480" max="9480" width="72.08984375" bestFit="1" customWidth="1"/>
    <col min="9481" max="9481" width="30.453125" bestFit="1" customWidth="1"/>
    <col min="9728" max="9728" width="11.26953125" customWidth="1"/>
    <col min="9729" max="9729" width="8.453125" customWidth="1"/>
    <col min="9730" max="9730" width="7.08984375" customWidth="1"/>
    <col min="9731" max="9731" width="7.36328125" customWidth="1"/>
    <col min="9732" max="9732" width="7.90625" customWidth="1"/>
    <col min="9733" max="9733" width="5.453125" customWidth="1"/>
    <col min="9734" max="9734" width="9.7265625" customWidth="1"/>
    <col min="9735" max="9735" width="12.08984375" customWidth="1"/>
    <col min="9736" max="9736" width="72.08984375" bestFit="1" customWidth="1"/>
    <col min="9737" max="9737" width="30.453125" bestFit="1" customWidth="1"/>
    <col min="9984" max="9984" width="11.26953125" customWidth="1"/>
    <col min="9985" max="9985" width="8.453125" customWidth="1"/>
    <col min="9986" max="9986" width="7.08984375" customWidth="1"/>
    <col min="9987" max="9987" width="7.36328125" customWidth="1"/>
    <col min="9988" max="9988" width="7.90625" customWidth="1"/>
    <col min="9989" max="9989" width="5.453125" customWidth="1"/>
    <col min="9990" max="9990" width="9.7265625" customWidth="1"/>
    <col min="9991" max="9991" width="12.08984375" customWidth="1"/>
    <col min="9992" max="9992" width="72.08984375" bestFit="1" customWidth="1"/>
    <col min="9993" max="9993" width="30.453125" bestFit="1" customWidth="1"/>
    <col min="10240" max="10240" width="11.26953125" customWidth="1"/>
    <col min="10241" max="10241" width="8.453125" customWidth="1"/>
    <col min="10242" max="10242" width="7.08984375" customWidth="1"/>
    <col min="10243" max="10243" width="7.36328125" customWidth="1"/>
    <col min="10244" max="10244" width="7.90625" customWidth="1"/>
    <col min="10245" max="10245" width="5.453125" customWidth="1"/>
    <col min="10246" max="10246" width="9.7265625" customWidth="1"/>
    <col min="10247" max="10247" width="12.08984375" customWidth="1"/>
    <col min="10248" max="10248" width="72.08984375" bestFit="1" customWidth="1"/>
    <col min="10249" max="10249" width="30.453125" bestFit="1" customWidth="1"/>
    <col min="10496" max="10496" width="11.26953125" customWidth="1"/>
    <col min="10497" max="10497" width="8.453125" customWidth="1"/>
    <col min="10498" max="10498" width="7.08984375" customWidth="1"/>
    <col min="10499" max="10499" width="7.36328125" customWidth="1"/>
    <col min="10500" max="10500" width="7.90625" customWidth="1"/>
    <col min="10501" max="10501" width="5.453125" customWidth="1"/>
    <col min="10502" max="10502" width="9.7265625" customWidth="1"/>
    <col min="10503" max="10503" width="12.08984375" customWidth="1"/>
    <col min="10504" max="10504" width="72.08984375" bestFit="1" customWidth="1"/>
    <col min="10505" max="10505" width="30.453125" bestFit="1" customWidth="1"/>
    <col min="10752" max="10752" width="11.26953125" customWidth="1"/>
    <col min="10753" max="10753" width="8.453125" customWidth="1"/>
    <col min="10754" max="10754" width="7.08984375" customWidth="1"/>
    <col min="10755" max="10755" width="7.36328125" customWidth="1"/>
    <col min="10756" max="10756" width="7.90625" customWidth="1"/>
    <col min="10757" max="10757" width="5.453125" customWidth="1"/>
    <col min="10758" max="10758" width="9.7265625" customWidth="1"/>
    <col min="10759" max="10759" width="12.08984375" customWidth="1"/>
    <col min="10760" max="10760" width="72.08984375" bestFit="1" customWidth="1"/>
    <col min="10761" max="10761" width="30.453125" bestFit="1" customWidth="1"/>
    <col min="11008" max="11008" width="11.26953125" customWidth="1"/>
    <col min="11009" max="11009" width="8.453125" customWidth="1"/>
    <col min="11010" max="11010" width="7.08984375" customWidth="1"/>
    <col min="11011" max="11011" width="7.36328125" customWidth="1"/>
    <col min="11012" max="11012" width="7.90625" customWidth="1"/>
    <col min="11013" max="11013" width="5.453125" customWidth="1"/>
    <col min="11014" max="11014" width="9.7265625" customWidth="1"/>
    <col min="11015" max="11015" width="12.08984375" customWidth="1"/>
    <col min="11016" max="11016" width="72.08984375" bestFit="1" customWidth="1"/>
    <col min="11017" max="11017" width="30.453125" bestFit="1" customWidth="1"/>
    <col min="11264" max="11264" width="11.26953125" customWidth="1"/>
    <col min="11265" max="11265" width="8.453125" customWidth="1"/>
    <col min="11266" max="11266" width="7.08984375" customWidth="1"/>
    <col min="11267" max="11267" width="7.36328125" customWidth="1"/>
    <col min="11268" max="11268" width="7.90625" customWidth="1"/>
    <col min="11269" max="11269" width="5.453125" customWidth="1"/>
    <col min="11270" max="11270" width="9.7265625" customWidth="1"/>
    <col min="11271" max="11271" width="12.08984375" customWidth="1"/>
    <col min="11272" max="11272" width="72.08984375" bestFit="1" customWidth="1"/>
    <col min="11273" max="11273" width="30.453125" bestFit="1" customWidth="1"/>
    <col min="11520" max="11520" width="11.26953125" customWidth="1"/>
    <col min="11521" max="11521" width="8.453125" customWidth="1"/>
    <col min="11522" max="11522" width="7.08984375" customWidth="1"/>
    <col min="11523" max="11523" width="7.36328125" customWidth="1"/>
    <col min="11524" max="11524" width="7.90625" customWidth="1"/>
    <col min="11525" max="11525" width="5.453125" customWidth="1"/>
    <col min="11526" max="11526" width="9.7265625" customWidth="1"/>
    <col min="11527" max="11527" width="12.08984375" customWidth="1"/>
    <col min="11528" max="11528" width="72.08984375" bestFit="1" customWidth="1"/>
    <col min="11529" max="11529" width="30.453125" bestFit="1" customWidth="1"/>
    <col min="11776" max="11776" width="11.26953125" customWidth="1"/>
    <col min="11777" max="11777" width="8.453125" customWidth="1"/>
    <col min="11778" max="11778" width="7.08984375" customWidth="1"/>
    <col min="11779" max="11779" width="7.36328125" customWidth="1"/>
    <col min="11780" max="11780" width="7.90625" customWidth="1"/>
    <col min="11781" max="11781" width="5.453125" customWidth="1"/>
    <col min="11782" max="11782" width="9.7265625" customWidth="1"/>
    <col min="11783" max="11783" width="12.08984375" customWidth="1"/>
    <col min="11784" max="11784" width="72.08984375" bestFit="1" customWidth="1"/>
    <col min="11785" max="11785" width="30.453125" bestFit="1" customWidth="1"/>
    <col min="12032" max="12032" width="11.26953125" customWidth="1"/>
    <col min="12033" max="12033" width="8.453125" customWidth="1"/>
    <col min="12034" max="12034" width="7.08984375" customWidth="1"/>
    <col min="12035" max="12035" width="7.36328125" customWidth="1"/>
    <col min="12036" max="12036" width="7.90625" customWidth="1"/>
    <col min="12037" max="12037" width="5.453125" customWidth="1"/>
    <col min="12038" max="12038" width="9.7265625" customWidth="1"/>
    <col min="12039" max="12039" width="12.08984375" customWidth="1"/>
    <col min="12040" max="12040" width="72.08984375" bestFit="1" customWidth="1"/>
    <col min="12041" max="12041" width="30.453125" bestFit="1" customWidth="1"/>
    <col min="12288" max="12288" width="11.26953125" customWidth="1"/>
    <col min="12289" max="12289" width="8.453125" customWidth="1"/>
    <col min="12290" max="12290" width="7.08984375" customWidth="1"/>
    <col min="12291" max="12291" width="7.36328125" customWidth="1"/>
    <col min="12292" max="12292" width="7.90625" customWidth="1"/>
    <col min="12293" max="12293" width="5.453125" customWidth="1"/>
    <col min="12294" max="12294" width="9.7265625" customWidth="1"/>
    <col min="12295" max="12295" width="12.08984375" customWidth="1"/>
    <col min="12296" max="12296" width="72.08984375" bestFit="1" customWidth="1"/>
    <col min="12297" max="12297" width="30.453125" bestFit="1" customWidth="1"/>
    <col min="12544" max="12544" width="11.26953125" customWidth="1"/>
    <col min="12545" max="12545" width="8.453125" customWidth="1"/>
    <col min="12546" max="12546" width="7.08984375" customWidth="1"/>
    <col min="12547" max="12547" width="7.36328125" customWidth="1"/>
    <col min="12548" max="12548" width="7.90625" customWidth="1"/>
    <col min="12549" max="12549" width="5.453125" customWidth="1"/>
    <col min="12550" max="12550" width="9.7265625" customWidth="1"/>
    <col min="12551" max="12551" width="12.08984375" customWidth="1"/>
    <col min="12552" max="12552" width="72.08984375" bestFit="1" customWidth="1"/>
    <col min="12553" max="12553" width="30.453125" bestFit="1" customWidth="1"/>
    <col min="12800" max="12800" width="11.26953125" customWidth="1"/>
    <col min="12801" max="12801" width="8.453125" customWidth="1"/>
    <col min="12802" max="12802" width="7.08984375" customWidth="1"/>
    <col min="12803" max="12803" width="7.36328125" customWidth="1"/>
    <col min="12804" max="12804" width="7.90625" customWidth="1"/>
    <col min="12805" max="12805" width="5.453125" customWidth="1"/>
    <col min="12806" max="12806" width="9.7265625" customWidth="1"/>
    <col min="12807" max="12807" width="12.08984375" customWidth="1"/>
    <col min="12808" max="12808" width="72.08984375" bestFit="1" customWidth="1"/>
    <col min="12809" max="12809" width="30.453125" bestFit="1" customWidth="1"/>
    <col min="13056" max="13056" width="11.26953125" customWidth="1"/>
    <col min="13057" max="13057" width="8.453125" customWidth="1"/>
    <col min="13058" max="13058" width="7.08984375" customWidth="1"/>
    <col min="13059" max="13059" width="7.36328125" customWidth="1"/>
    <col min="13060" max="13060" width="7.90625" customWidth="1"/>
    <col min="13061" max="13061" width="5.453125" customWidth="1"/>
    <col min="13062" max="13062" width="9.7265625" customWidth="1"/>
    <col min="13063" max="13063" width="12.08984375" customWidth="1"/>
    <col min="13064" max="13064" width="72.08984375" bestFit="1" customWidth="1"/>
    <col min="13065" max="13065" width="30.453125" bestFit="1" customWidth="1"/>
    <col min="13312" max="13312" width="11.26953125" customWidth="1"/>
    <col min="13313" max="13313" width="8.453125" customWidth="1"/>
    <col min="13314" max="13314" width="7.08984375" customWidth="1"/>
    <col min="13315" max="13315" width="7.36328125" customWidth="1"/>
    <col min="13316" max="13316" width="7.90625" customWidth="1"/>
    <col min="13317" max="13317" width="5.453125" customWidth="1"/>
    <col min="13318" max="13318" width="9.7265625" customWidth="1"/>
    <col min="13319" max="13319" width="12.08984375" customWidth="1"/>
    <col min="13320" max="13320" width="72.08984375" bestFit="1" customWidth="1"/>
    <col min="13321" max="13321" width="30.453125" bestFit="1" customWidth="1"/>
    <col min="13568" max="13568" width="11.26953125" customWidth="1"/>
    <col min="13569" max="13569" width="8.453125" customWidth="1"/>
    <col min="13570" max="13570" width="7.08984375" customWidth="1"/>
    <col min="13571" max="13571" width="7.36328125" customWidth="1"/>
    <col min="13572" max="13572" width="7.90625" customWidth="1"/>
    <col min="13573" max="13573" width="5.453125" customWidth="1"/>
    <col min="13574" max="13574" width="9.7265625" customWidth="1"/>
    <col min="13575" max="13575" width="12.08984375" customWidth="1"/>
    <col min="13576" max="13576" width="72.08984375" bestFit="1" customWidth="1"/>
    <col min="13577" max="13577" width="30.453125" bestFit="1" customWidth="1"/>
    <col min="13824" max="13824" width="11.26953125" customWidth="1"/>
    <col min="13825" max="13825" width="8.453125" customWidth="1"/>
    <col min="13826" max="13826" width="7.08984375" customWidth="1"/>
    <col min="13827" max="13827" width="7.36328125" customWidth="1"/>
    <col min="13828" max="13828" width="7.90625" customWidth="1"/>
    <col min="13829" max="13829" width="5.453125" customWidth="1"/>
    <col min="13830" max="13830" width="9.7265625" customWidth="1"/>
    <col min="13831" max="13831" width="12.08984375" customWidth="1"/>
    <col min="13832" max="13832" width="72.08984375" bestFit="1" customWidth="1"/>
    <col min="13833" max="13833" width="30.453125" bestFit="1" customWidth="1"/>
    <col min="14080" max="14080" width="11.26953125" customWidth="1"/>
    <col min="14081" max="14081" width="8.453125" customWidth="1"/>
    <col min="14082" max="14082" width="7.08984375" customWidth="1"/>
    <col min="14083" max="14083" width="7.36328125" customWidth="1"/>
    <col min="14084" max="14084" width="7.90625" customWidth="1"/>
    <col min="14085" max="14085" width="5.453125" customWidth="1"/>
    <col min="14086" max="14086" width="9.7265625" customWidth="1"/>
    <col min="14087" max="14087" width="12.08984375" customWidth="1"/>
    <col min="14088" max="14088" width="72.08984375" bestFit="1" customWidth="1"/>
    <col min="14089" max="14089" width="30.453125" bestFit="1" customWidth="1"/>
    <col min="14336" max="14336" width="11.26953125" customWidth="1"/>
    <col min="14337" max="14337" width="8.453125" customWidth="1"/>
    <col min="14338" max="14338" width="7.08984375" customWidth="1"/>
    <col min="14339" max="14339" width="7.36328125" customWidth="1"/>
    <col min="14340" max="14340" width="7.90625" customWidth="1"/>
    <col min="14341" max="14341" width="5.453125" customWidth="1"/>
    <col min="14342" max="14342" width="9.7265625" customWidth="1"/>
    <col min="14343" max="14343" width="12.08984375" customWidth="1"/>
    <col min="14344" max="14344" width="72.08984375" bestFit="1" customWidth="1"/>
    <col min="14345" max="14345" width="30.453125" bestFit="1" customWidth="1"/>
    <col min="14592" max="14592" width="11.26953125" customWidth="1"/>
    <col min="14593" max="14593" width="8.453125" customWidth="1"/>
    <col min="14594" max="14594" width="7.08984375" customWidth="1"/>
    <col min="14595" max="14595" width="7.36328125" customWidth="1"/>
    <col min="14596" max="14596" width="7.90625" customWidth="1"/>
    <col min="14597" max="14597" width="5.453125" customWidth="1"/>
    <col min="14598" max="14598" width="9.7265625" customWidth="1"/>
    <col min="14599" max="14599" width="12.08984375" customWidth="1"/>
    <col min="14600" max="14600" width="72.08984375" bestFit="1" customWidth="1"/>
    <col min="14601" max="14601" width="30.453125" bestFit="1" customWidth="1"/>
    <col min="14848" max="14848" width="11.26953125" customWidth="1"/>
    <col min="14849" max="14849" width="8.453125" customWidth="1"/>
    <col min="14850" max="14850" width="7.08984375" customWidth="1"/>
    <col min="14851" max="14851" width="7.36328125" customWidth="1"/>
    <col min="14852" max="14852" width="7.90625" customWidth="1"/>
    <col min="14853" max="14853" width="5.453125" customWidth="1"/>
    <col min="14854" max="14854" width="9.7265625" customWidth="1"/>
    <col min="14855" max="14855" width="12.08984375" customWidth="1"/>
    <col min="14856" max="14856" width="72.08984375" bestFit="1" customWidth="1"/>
    <col min="14857" max="14857" width="30.453125" bestFit="1" customWidth="1"/>
    <col min="15104" max="15104" width="11.26953125" customWidth="1"/>
    <col min="15105" max="15105" width="8.453125" customWidth="1"/>
    <col min="15106" max="15106" width="7.08984375" customWidth="1"/>
    <col min="15107" max="15107" width="7.36328125" customWidth="1"/>
    <col min="15108" max="15108" width="7.90625" customWidth="1"/>
    <col min="15109" max="15109" width="5.453125" customWidth="1"/>
    <col min="15110" max="15110" width="9.7265625" customWidth="1"/>
    <col min="15111" max="15111" width="12.08984375" customWidth="1"/>
    <col min="15112" max="15112" width="72.08984375" bestFit="1" customWidth="1"/>
    <col min="15113" max="15113" width="30.453125" bestFit="1" customWidth="1"/>
    <col min="15360" max="15360" width="11.26953125" customWidth="1"/>
    <col min="15361" max="15361" width="8.453125" customWidth="1"/>
    <col min="15362" max="15362" width="7.08984375" customWidth="1"/>
    <col min="15363" max="15363" width="7.36328125" customWidth="1"/>
    <col min="15364" max="15364" width="7.90625" customWidth="1"/>
    <col min="15365" max="15365" width="5.453125" customWidth="1"/>
    <col min="15366" max="15366" width="9.7265625" customWidth="1"/>
    <col min="15367" max="15367" width="12.08984375" customWidth="1"/>
    <col min="15368" max="15368" width="72.08984375" bestFit="1" customWidth="1"/>
    <col min="15369" max="15369" width="30.453125" bestFit="1" customWidth="1"/>
    <col min="15616" max="15616" width="11.26953125" customWidth="1"/>
    <col min="15617" max="15617" width="8.453125" customWidth="1"/>
    <col min="15618" max="15618" width="7.08984375" customWidth="1"/>
    <col min="15619" max="15619" width="7.36328125" customWidth="1"/>
    <col min="15620" max="15620" width="7.90625" customWidth="1"/>
    <col min="15621" max="15621" width="5.453125" customWidth="1"/>
    <col min="15622" max="15622" width="9.7265625" customWidth="1"/>
    <col min="15623" max="15623" width="12.08984375" customWidth="1"/>
    <col min="15624" max="15624" width="72.08984375" bestFit="1" customWidth="1"/>
    <col min="15625" max="15625" width="30.453125" bestFit="1" customWidth="1"/>
    <col min="15872" max="15872" width="11.26953125" customWidth="1"/>
    <col min="15873" max="15873" width="8.453125" customWidth="1"/>
    <col min="15874" max="15874" width="7.08984375" customWidth="1"/>
    <col min="15875" max="15875" width="7.36328125" customWidth="1"/>
    <col min="15876" max="15876" width="7.90625" customWidth="1"/>
    <col min="15877" max="15877" width="5.453125" customWidth="1"/>
    <col min="15878" max="15878" width="9.7265625" customWidth="1"/>
    <col min="15879" max="15879" width="12.08984375" customWidth="1"/>
    <col min="15880" max="15880" width="72.08984375" bestFit="1" customWidth="1"/>
    <col min="15881" max="15881" width="30.453125" bestFit="1" customWidth="1"/>
    <col min="16128" max="16128" width="11.26953125" customWidth="1"/>
    <col min="16129" max="16129" width="8.453125" customWidth="1"/>
    <col min="16130" max="16130" width="7.08984375" customWidth="1"/>
    <col min="16131" max="16131" width="7.36328125" customWidth="1"/>
    <col min="16132" max="16132" width="7.90625" customWidth="1"/>
    <col min="16133" max="16133" width="5.453125" customWidth="1"/>
    <col min="16134" max="16134" width="9.7265625" customWidth="1"/>
    <col min="16135" max="16135" width="12.08984375" customWidth="1"/>
    <col min="16136" max="16136" width="72.08984375" bestFit="1" customWidth="1"/>
    <col min="16137" max="16137" width="30.453125" bestFit="1" customWidth="1"/>
  </cols>
  <sheetData>
    <row r="1" spans="1:9" s="3" customFormat="1" ht="12.75" customHeight="1" x14ac:dyDescent="0.3">
      <c r="A1" s="264" t="s">
        <v>14</v>
      </c>
      <c r="B1" s="265"/>
      <c r="C1" s="265"/>
      <c r="D1" s="265"/>
      <c r="E1" s="265"/>
      <c r="F1" s="265"/>
      <c r="G1" s="265"/>
      <c r="H1" s="266"/>
    </row>
    <row r="2" spans="1:9" s="178" customFormat="1" ht="12.75" customHeight="1" x14ac:dyDescent="0.3">
      <c r="A2" s="174" t="s">
        <v>296</v>
      </c>
      <c r="B2" s="176"/>
      <c r="C2" s="176"/>
      <c r="D2" s="176"/>
      <c r="E2" s="176"/>
      <c r="F2" s="173"/>
      <c r="G2" s="175"/>
      <c r="H2" s="177" t="s">
        <v>297</v>
      </c>
    </row>
    <row r="3" spans="1:9" s="178" customFormat="1" ht="12.75" customHeight="1" x14ac:dyDescent="0.3">
      <c r="A3" s="179" t="s">
        <v>298</v>
      </c>
      <c r="B3" s="173"/>
      <c r="C3" s="173"/>
      <c r="D3" s="173"/>
      <c r="E3" s="173"/>
      <c r="F3" s="267" t="s">
        <v>41</v>
      </c>
      <c r="G3" s="267"/>
      <c r="H3" s="268"/>
    </row>
    <row r="4" spans="1:9" s="178" customFormat="1" ht="12.75" customHeight="1" x14ac:dyDescent="0.3">
      <c r="A4" s="179" t="s">
        <v>299</v>
      </c>
      <c r="B4" s="173"/>
      <c r="C4" s="173"/>
      <c r="D4" s="173"/>
      <c r="E4" s="173"/>
      <c r="F4" s="173" t="s">
        <v>42</v>
      </c>
      <c r="G4" s="173"/>
      <c r="H4" s="180"/>
    </row>
    <row r="5" spans="1:9" s="178" customFormat="1" ht="12.75" customHeight="1" x14ac:dyDescent="0.3">
      <c r="A5" s="174" t="s">
        <v>300</v>
      </c>
      <c r="B5" s="173"/>
      <c r="C5" s="173"/>
      <c r="D5" s="173"/>
      <c r="E5" s="173"/>
      <c r="F5" s="173"/>
      <c r="G5" s="173"/>
      <c r="H5" s="180"/>
    </row>
    <row r="6" spans="1:9" s="178" customFormat="1" ht="12.75" customHeight="1" x14ac:dyDescent="0.3">
      <c r="A6" s="174" t="s">
        <v>301</v>
      </c>
      <c r="B6" s="173"/>
      <c r="C6" s="173"/>
      <c r="D6" s="173"/>
      <c r="E6" s="173"/>
      <c r="F6" s="173"/>
      <c r="G6" s="173"/>
      <c r="H6" s="180"/>
    </row>
    <row r="7" spans="1:9" s="178" customFormat="1" ht="12.75" customHeight="1" x14ac:dyDescent="0.3">
      <c r="A7" s="187"/>
      <c r="B7" s="173"/>
      <c r="C7" s="173"/>
      <c r="D7" s="173"/>
      <c r="E7" s="173"/>
      <c r="F7" s="173"/>
      <c r="G7" s="173"/>
      <c r="H7" s="180"/>
    </row>
    <row r="8" spans="1:9" s="181" customFormat="1" ht="17.350000000000001" customHeight="1" x14ac:dyDescent="0.35">
      <c r="A8" s="182"/>
      <c r="B8" s="269" t="s">
        <v>43</v>
      </c>
      <c r="C8" s="269"/>
      <c r="D8" s="270"/>
      <c r="E8" s="270"/>
      <c r="F8" s="270"/>
      <c r="G8" s="270"/>
      <c r="H8" s="270"/>
      <c r="I8" s="186"/>
    </row>
    <row r="9" spans="1:9" s="181" customFormat="1" ht="28.95" customHeight="1" x14ac:dyDescent="0.35">
      <c r="A9" s="182" t="s">
        <v>302</v>
      </c>
      <c r="B9" s="183" t="s">
        <v>46</v>
      </c>
      <c r="C9" s="184" t="s">
        <v>47</v>
      </c>
      <c r="D9" s="184" t="s">
        <v>303</v>
      </c>
      <c r="E9" s="183" t="s">
        <v>48</v>
      </c>
      <c r="F9" s="183" t="s">
        <v>32</v>
      </c>
      <c r="G9" s="185" t="s">
        <v>44</v>
      </c>
      <c r="H9" s="186" t="s">
        <v>45</v>
      </c>
      <c r="I9" s="186" t="s">
        <v>34</v>
      </c>
    </row>
    <row r="10" spans="1:9" ht="14.95" customHeight="1" x14ac:dyDescent="0.35">
      <c r="A10" s="190">
        <v>41366</v>
      </c>
      <c r="B10" s="192">
        <v>1</v>
      </c>
      <c r="C10" s="192">
        <v>131</v>
      </c>
      <c r="D10" s="193">
        <f t="shared" ref="D10:D15" si="0">IF(((B10="")*AND(C10="")),"",C10-B10)</f>
        <v>130</v>
      </c>
      <c r="E10" s="193">
        <v>40</v>
      </c>
      <c r="F10" s="194" t="str">
        <f t="shared" ref="F10:F63" si="1">IF(D10="","",IF(D10&lt;=40,"Pass","Fail"))</f>
        <v>Fail</v>
      </c>
      <c r="G10" s="188"/>
      <c r="H10" s="188"/>
      <c r="I10" s="195"/>
    </row>
    <row r="11" spans="1:9" ht="14.95" customHeight="1" x14ac:dyDescent="0.35">
      <c r="A11" s="190">
        <v>41366</v>
      </c>
      <c r="B11" s="192">
        <v>18</v>
      </c>
      <c r="C11" s="192">
        <v>79</v>
      </c>
      <c r="D11" s="193">
        <f t="shared" si="0"/>
        <v>61</v>
      </c>
      <c r="E11" s="193">
        <v>40</v>
      </c>
      <c r="F11" s="194" t="str">
        <f t="shared" si="1"/>
        <v>Fail</v>
      </c>
      <c r="G11" s="188"/>
      <c r="H11" s="188"/>
      <c r="I11" s="195"/>
    </row>
    <row r="12" spans="1:9" ht="12.75" customHeight="1" x14ac:dyDescent="0.35">
      <c r="A12" s="191">
        <v>41661</v>
      </c>
      <c r="B12" s="196">
        <v>11</v>
      </c>
      <c r="C12" s="196">
        <v>130</v>
      </c>
      <c r="D12" s="197">
        <f t="shared" si="0"/>
        <v>119</v>
      </c>
      <c r="E12" s="193">
        <v>40</v>
      </c>
      <c r="F12" s="194" t="str">
        <f t="shared" si="1"/>
        <v>Fail</v>
      </c>
      <c r="G12" s="189">
        <v>1400</v>
      </c>
      <c r="H12" s="189" t="s">
        <v>49</v>
      </c>
      <c r="I12" s="195"/>
    </row>
    <row r="13" spans="1:9" ht="12.75" customHeight="1" x14ac:dyDescent="0.35">
      <c r="A13" s="191">
        <v>41688</v>
      </c>
      <c r="B13" s="196">
        <v>15</v>
      </c>
      <c r="C13" s="196">
        <v>522</v>
      </c>
      <c r="D13" s="197">
        <f t="shared" si="0"/>
        <v>507</v>
      </c>
      <c r="E13" s="193">
        <v>40</v>
      </c>
      <c r="F13" s="194" t="str">
        <f t="shared" si="1"/>
        <v>Fail</v>
      </c>
      <c r="G13" s="188" t="s">
        <v>50</v>
      </c>
      <c r="H13" s="189" t="s">
        <v>51</v>
      </c>
      <c r="I13" s="195"/>
    </row>
    <row r="14" spans="1:9" ht="12.75" customHeight="1" x14ac:dyDescent="0.35">
      <c r="A14" s="191">
        <v>41694</v>
      </c>
      <c r="B14" s="196">
        <v>8</v>
      </c>
      <c r="C14" s="196">
        <v>62</v>
      </c>
      <c r="D14" s="197">
        <f t="shared" si="0"/>
        <v>54</v>
      </c>
      <c r="E14" s="193">
        <v>40</v>
      </c>
      <c r="F14" s="194" t="str">
        <f t="shared" si="1"/>
        <v>Fail</v>
      </c>
      <c r="G14" s="188">
        <v>1400</v>
      </c>
      <c r="H14" s="189" t="s">
        <v>52</v>
      </c>
      <c r="I14" s="195"/>
    </row>
    <row r="15" spans="1:9" ht="12.75" customHeight="1" x14ac:dyDescent="0.35">
      <c r="A15" s="191">
        <v>41695</v>
      </c>
      <c r="B15" s="196">
        <v>62</v>
      </c>
      <c r="C15" s="196">
        <v>142</v>
      </c>
      <c r="D15" s="197">
        <f t="shared" si="0"/>
        <v>80</v>
      </c>
      <c r="E15" s="193">
        <v>40</v>
      </c>
      <c r="F15" s="194" t="str">
        <f t="shared" si="1"/>
        <v>Fail</v>
      </c>
      <c r="G15" s="188">
        <v>1400</v>
      </c>
      <c r="H15" s="189" t="s">
        <v>52</v>
      </c>
      <c r="I15" s="195"/>
    </row>
    <row r="16" spans="1:9" ht="12.75" customHeight="1" x14ac:dyDescent="0.35">
      <c r="A16" s="191">
        <v>41695</v>
      </c>
      <c r="B16" s="196">
        <v>62</v>
      </c>
      <c r="C16" s="196">
        <v>6</v>
      </c>
      <c r="D16" s="197">
        <v>50</v>
      </c>
      <c r="E16" s="193">
        <v>40</v>
      </c>
      <c r="F16" s="194" t="str">
        <f t="shared" si="1"/>
        <v>Fail</v>
      </c>
      <c r="G16" s="188">
        <v>1400</v>
      </c>
      <c r="H16" s="189" t="s">
        <v>53</v>
      </c>
      <c r="I16" s="195"/>
    </row>
    <row r="17" spans="1:9" ht="12.75" customHeight="1" x14ac:dyDescent="0.35">
      <c r="A17" s="191">
        <v>41695</v>
      </c>
      <c r="B17" s="196">
        <v>50</v>
      </c>
      <c r="C17" s="196">
        <v>484</v>
      </c>
      <c r="D17" s="197">
        <f t="shared" ref="D17:D73" si="2">IF(((B17="")*AND(C17="")),"",C17-B17)</f>
        <v>434</v>
      </c>
      <c r="E17" s="193">
        <v>40</v>
      </c>
      <c r="F17" s="194" t="str">
        <f t="shared" si="1"/>
        <v>Fail</v>
      </c>
      <c r="G17" s="188">
        <v>1400</v>
      </c>
      <c r="H17" s="189" t="s">
        <v>53</v>
      </c>
      <c r="I17" s="195"/>
    </row>
    <row r="18" spans="1:9" ht="12.75" customHeight="1" x14ac:dyDescent="0.35">
      <c r="A18" s="191">
        <v>41771</v>
      </c>
      <c r="B18" s="196">
        <v>65</v>
      </c>
      <c r="C18" s="196">
        <v>111</v>
      </c>
      <c r="D18" s="197">
        <f t="shared" si="2"/>
        <v>46</v>
      </c>
      <c r="E18" s="193">
        <v>40</v>
      </c>
      <c r="F18" s="198" t="str">
        <f t="shared" si="1"/>
        <v>Fail</v>
      </c>
      <c r="G18" s="189">
        <v>1400</v>
      </c>
      <c r="H18" s="199" t="s">
        <v>54</v>
      </c>
      <c r="I18" s="195"/>
    </row>
    <row r="19" spans="1:9" ht="12.75" customHeight="1" x14ac:dyDescent="0.35">
      <c r="A19" s="191">
        <v>41803</v>
      </c>
      <c r="B19" s="196">
        <v>44</v>
      </c>
      <c r="C19" s="196">
        <v>91</v>
      </c>
      <c r="D19" s="197">
        <f t="shared" si="2"/>
        <v>47</v>
      </c>
      <c r="E19" s="193">
        <v>40</v>
      </c>
      <c r="F19" s="198" t="str">
        <f t="shared" si="1"/>
        <v>Fail</v>
      </c>
      <c r="G19" s="189">
        <v>1400</v>
      </c>
      <c r="H19" s="189" t="s">
        <v>54</v>
      </c>
      <c r="I19" s="195"/>
    </row>
    <row r="20" spans="1:9" ht="12.75" customHeight="1" x14ac:dyDescent="0.35">
      <c r="A20" s="191">
        <v>41808</v>
      </c>
      <c r="B20" s="196">
        <v>43</v>
      </c>
      <c r="C20" s="196">
        <v>105</v>
      </c>
      <c r="D20" s="197">
        <f t="shared" si="2"/>
        <v>62</v>
      </c>
      <c r="E20" s="193">
        <v>40</v>
      </c>
      <c r="F20" s="198" t="str">
        <f t="shared" si="1"/>
        <v>Fail</v>
      </c>
      <c r="G20" s="189">
        <v>64</v>
      </c>
      <c r="H20" s="189" t="s">
        <v>54</v>
      </c>
      <c r="I20" s="195"/>
    </row>
    <row r="21" spans="1:9" ht="12.75" customHeight="1" x14ac:dyDescent="0.35">
      <c r="A21" s="191">
        <v>41820</v>
      </c>
      <c r="B21" s="196">
        <v>3</v>
      </c>
      <c r="C21" s="196">
        <v>67</v>
      </c>
      <c r="D21" s="197">
        <f t="shared" si="2"/>
        <v>64</v>
      </c>
      <c r="E21" s="193">
        <v>40</v>
      </c>
      <c r="F21" s="198" t="str">
        <f t="shared" si="1"/>
        <v>Fail</v>
      </c>
      <c r="G21" s="189">
        <v>1400</v>
      </c>
      <c r="H21" s="189" t="s">
        <v>55</v>
      </c>
      <c r="I21" s="195"/>
    </row>
    <row r="22" spans="1:9" ht="12.75" customHeight="1" x14ac:dyDescent="0.35">
      <c r="A22" s="191">
        <v>42002</v>
      </c>
      <c r="B22" s="196">
        <v>2</v>
      </c>
      <c r="C22" s="196">
        <v>741</v>
      </c>
      <c r="D22" s="197">
        <f t="shared" si="2"/>
        <v>739</v>
      </c>
      <c r="E22" s="193">
        <v>40</v>
      </c>
      <c r="F22" s="198" t="str">
        <f t="shared" si="1"/>
        <v>Fail</v>
      </c>
      <c r="G22" s="189">
        <v>102</v>
      </c>
      <c r="H22" s="189" t="s">
        <v>55</v>
      </c>
      <c r="I22" s="195"/>
    </row>
    <row r="23" spans="1:9" ht="12.75" customHeight="1" x14ac:dyDescent="0.35">
      <c r="A23" s="191">
        <v>42028</v>
      </c>
      <c r="B23" s="196">
        <v>1</v>
      </c>
      <c r="C23" s="196">
        <v>141</v>
      </c>
      <c r="D23" s="197">
        <f t="shared" si="2"/>
        <v>140</v>
      </c>
      <c r="E23" s="193">
        <v>40</v>
      </c>
      <c r="F23" s="198" t="str">
        <f t="shared" si="1"/>
        <v>Fail</v>
      </c>
      <c r="G23" s="189">
        <v>1428</v>
      </c>
      <c r="H23" s="189" t="s">
        <v>55</v>
      </c>
      <c r="I23" s="195"/>
    </row>
    <row r="24" spans="1:9" ht="12.75" customHeight="1" x14ac:dyDescent="0.35">
      <c r="A24" s="191">
        <v>42080</v>
      </c>
      <c r="B24" s="196">
        <v>44</v>
      </c>
      <c r="C24" s="196">
        <v>198</v>
      </c>
      <c r="D24" s="197">
        <f t="shared" si="2"/>
        <v>154</v>
      </c>
      <c r="E24" s="193">
        <v>40</v>
      </c>
      <c r="F24" s="198" t="str">
        <f t="shared" si="1"/>
        <v>Fail</v>
      </c>
      <c r="G24" s="189">
        <v>1400</v>
      </c>
      <c r="H24" s="189" t="s">
        <v>55</v>
      </c>
      <c r="I24" s="195"/>
    </row>
    <row r="25" spans="1:9" ht="12.75" customHeight="1" x14ac:dyDescent="0.35">
      <c r="A25" s="191">
        <v>42149</v>
      </c>
      <c r="B25" s="196">
        <v>6</v>
      </c>
      <c r="C25" s="196">
        <v>75</v>
      </c>
      <c r="D25" s="197">
        <f t="shared" si="2"/>
        <v>69</v>
      </c>
      <c r="E25" s="193">
        <v>40</v>
      </c>
      <c r="F25" s="198" t="str">
        <f t="shared" si="1"/>
        <v>Fail</v>
      </c>
      <c r="G25" s="189">
        <v>1159</v>
      </c>
      <c r="H25" s="189" t="s">
        <v>56</v>
      </c>
      <c r="I25" s="195"/>
    </row>
    <row r="26" spans="1:9" ht="12.75" customHeight="1" x14ac:dyDescent="0.35">
      <c r="A26" s="191">
        <v>42172</v>
      </c>
      <c r="B26" s="196">
        <v>0</v>
      </c>
      <c r="C26" s="196">
        <v>48</v>
      </c>
      <c r="D26" s="197">
        <f t="shared" si="2"/>
        <v>48</v>
      </c>
      <c r="E26" s="193">
        <v>40</v>
      </c>
      <c r="F26" s="198" t="str">
        <f t="shared" si="1"/>
        <v>Fail</v>
      </c>
      <c r="G26" s="189">
        <v>1159</v>
      </c>
      <c r="H26" s="189" t="s">
        <v>55</v>
      </c>
      <c r="I26" s="195"/>
    </row>
    <row r="27" spans="1:9" ht="12.75" customHeight="1" x14ac:dyDescent="0.35">
      <c r="A27" s="191">
        <v>42275</v>
      </c>
      <c r="B27" s="196">
        <v>33</v>
      </c>
      <c r="C27" s="196">
        <v>115</v>
      </c>
      <c r="D27" s="197">
        <f t="shared" si="2"/>
        <v>82</v>
      </c>
      <c r="E27" s="193">
        <v>40</v>
      </c>
      <c r="F27" s="198" t="str">
        <f t="shared" si="1"/>
        <v>Fail</v>
      </c>
      <c r="G27" s="189">
        <v>1428</v>
      </c>
      <c r="H27" s="189" t="s">
        <v>57</v>
      </c>
      <c r="I27" s="195"/>
    </row>
    <row r="28" spans="1:9" ht="12.75" customHeight="1" x14ac:dyDescent="0.35">
      <c r="A28" s="191">
        <v>42293</v>
      </c>
      <c r="B28" s="196">
        <v>2</v>
      </c>
      <c r="C28" s="196">
        <v>100</v>
      </c>
      <c r="D28" s="197">
        <f t="shared" si="2"/>
        <v>98</v>
      </c>
      <c r="E28" s="193">
        <v>40</v>
      </c>
      <c r="F28" s="198" t="str">
        <f t="shared" si="1"/>
        <v>Fail</v>
      </c>
      <c r="G28" s="189">
        <v>1159</v>
      </c>
      <c r="H28" s="189" t="s">
        <v>58</v>
      </c>
      <c r="I28" s="195"/>
    </row>
    <row r="29" spans="1:9" ht="12.75" customHeight="1" x14ac:dyDescent="0.35">
      <c r="A29" s="191">
        <v>42293</v>
      </c>
      <c r="B29" s="196">
        <v>5</v>
      </c>
      <c r="C29" s="196">
        <v>447</v>
      </c>
      <c r="D29" s="197">
        <f t="shared" si="2"/>
        <v>442</v>
      </c>
      <c r="E29" s="193">
        <v>40</v>
      </c>
      <c r="F29" s="198" t="str">
        <f t="shared" si="1"/>
        <v>Fail</v>
      </c>
      <c r="G29" s="189">
        <v>1159</v>
      </c>
      <c r="H29" s="189" t="s">
        <v>59</v>
      </c>
      <c r="I29" s="195"/>
    </row>
    <row r="30" spans="1:9" ht="12.75" customHeight="1" x14ac:dyDescent="0.35">
      <c r="A30" s="191">
        <v>42305</v>
      </c>
      <c r="B30" s="196">
        <v>4</v>
      </c>
      <c r="C30" s="196">
        <v>67</v>
      </c>
      <c r="D30" s="197">
        <f t="shared" si="2"/>
        <v>63</v>
      </c>
      <c r="E30" s="193">
        <v>40</v>
      </c>
      <c r="F30" s="198" t="str">
        <f t="shared" si="1"/>
        <v>Fail</v>
      </c>
      <c r="G30" s="195" t="s">
        <v>60</v>
      </c>
      <c r="H30" s="195"/>
      <c r="I30" s="195"/>
    </row>
    <row r="31" spans="1:9" ht="12.75" customHeight="1" x14ac:dyDescent="0.35">
      <c r="A31" s="191">
        <v>42404</v>
      </c>
      <c r="B31" s="196">
        <v>24</v>
      </c>
      <c r="C31" s="196">
        <v>64</v>
      </c>
      <c r="D31" s="197">
        <f t="shared" si="2"/>
        <v>40</v>
      </c>
      <c r="E31" s="193">
        <v>40</v>
      </c>
      <c r="F31" s="198" t="str">
        <f t="shared" si="1"/>
        <v>Pass</v>
      </c>
      <c r="G31" s="189">
        <v>1428</v>
      </c>
      <c r="H31" s="189" t="s">
        <v>57</v>
      </c>
      <c r="I31" s="195"/>
    </row>
    <row r="32" spans="1:9" ht="12.75" customHeight="1" x14ac:dyDescent="0.35">
      <c r="A32" s="191">
        <v>42417</v>
      </c>
      <c r="B32" s="196">
        <v>2</v>
      </c>
      <c r="C32" s="196">
        <v>96</v>
      </c>
      <c r="D32" s="197">
        <f t="shared" si="2"/>
        <v>94</v>
      </c>
      <c r="E32" s="193">
        <v>40</v>
      </c>
      <c r="F32" s="198" t="str">
        <f t="shared" si="1"/>
        <v>Fail</v>
      </c>
      <c r="G32" s="189">
        <v>1159</v>
      </c>
      <c r="H32" s="189" t="s">
        <v>61</v>
      </c>
      <c r="I32" s="195"/>
    </row>
    <row r="33" spans="1:9" ht="12.75" customHeight="1" x14ac:dyDescent="0.35">
      <c r="A33" s="191">
        <v>42417</v>
      </c>
      <c r="B33" s="196">
        <v>1</v>
      </c>
      <c r="C33" s="196">
        <v>35</v>
      </c>
      <c r="D33" s="197">
        <f t="shared" si="2"/>
        <v>34</v>
      </c>
      <c r="E33" s="193">
        <v>40</v>
      </c>
      <c r="F33" s="198" t="str">
        <f t="shared" si="1"/>
        <v>Pass</v>
      </c>
      <c r="G33" s="189">
        <v>1159</v>
      </c>
      <c r="H33" s="189" t="s">
        <v>62</v>
      </c>
      <c r="I33" s="195"/>
    </row>
    <row r="34" spans="1:9" ht="12.75" customHeight="1" x14ac:dyDescent="0.35">
      <c r="A34" s="191">
        <v>42445</v>
      </c>
      <c r="B34" s="196">
        <v>9</v>
      </c>
      <c r="C34" s="196">
        <v>42</v>
      </c>
      <c r="D34" s="197">
        <f t="shared" si="2"/>
        <v>33</v>
      </c>
      <c r="E34" s="193">
        <v>40</v>
      </c>
      <c r="F34" s="198" t="str">
        <f t="shared" si="1"/>
        <v>Pass</v>
      </c>
      <c r="G34" s="189">
        <v>102</v>
      </c>
      <c r="H34" s="189" t="s">
        <v>57</v>
      </c>
      <c r="I34" s="195"/>
    </row>
    <row r="35" spans="1:9" ht="12.75" customHeight="1" x14ac:dyDescent="0.35">
      <c r="A35" s="191">
        <v>42465</v>
      </c>
      <c r="B35" s="196">
        <v>16</v>
      </c>
      <c r="C35" s="196">
        <v>204</v>
      </c>
      <c r="D35" s="197">
        <f t="shared" si="2"/>
        <v>188</v>
      </c>
      <c r="E35" s="197">
        <v>40</v>
      </c>
      <c r="F35" s="198" t="str">
        <f t="shared" si="1"/>
        <v>Fail</v>
      </c>
      <c r="G35" s="189">
        <v>1159</v>
      </c>
      <c r="H35" s="189" t="s">
        <v>63</v>
      </c>
      <c r="I35" s="195"/>
    </row>
    <row r="36" spans="1:9" ht="12.75" customHeight="1" x14ac:dyDescent="0.35">
      <c r="A36" s="191">
        <v>42465</v>
      </c>
      <c r="B36" s="196">
        <v>2</v>
      </c>
      <c r="C36" s="196">
        <v>24</v>
      </c>
      <c r="D36" s="197">
        <f t="shared" si="2"/>
        <v>22</v>
      </c>
      <c r="E36" s="197">
        <v>40</v>
      </c>
      <c r="F36" s="198" t="str">
        <f t="shared" si="1"/>
        <v>Pass</v>
      </c>
      <c r="G36" s="189">
        <v>1159</v>
      </c>
      <c r="H36" s="189" t="s">
        <v>64</v>
      </c>
      <c r="I36" s="195"/>
    </row>
    <row r="37" spans="1:9" ht="12.75" customHeight="1" x14ac:dyDescent="0.35">
      <c r="A37" s="191">
        <v>42475</v>
      </c>
      <c r="B37" s="196">
        <v>7</v>
      </c>
      <c r="C37" s="196">
        <v>86</v>
      </c>
      <c r="D37" s="197">
        <f t="shared" si="2"/>
        <v>79</v>
      </c>
      <c r="E37" s="193">
        <v>40</v>
      </c>
      <c r="F37" s="198" t="str">
        <f t="shared" si="1"/>
        <v>Fail</v>
      </c>
      <c r="G37" s="189">
        <v>1159</v>
      </c>
      <c r="H37" s="189" t="s">
        <v>65</v>
      </c>
      <c r="I37" s="195"/>
    </row>
    <row r="38" spans="1:9" ht="12.75" customHeight="1" x14ac:dyDescent="0.35">
      <c r="A38" s="191">
        <v>42478</v>
      </c>
      <c r="B38" s="196">
        <v>6</v>
      </c>
      <c r="C38" s="196">
        <v>42</v>
      </c>
      <c r="D38" s="197">
        <f t="shared" si="2"/>
        <v>36</v>
      </c>
      <c r="E38" s="193">
        <v>40</v>
      </c>
      <c r="F38" s="198" t="str">
        <f t="shared" si="1"/>
        <v>Pass</v>
      </c>
      <c r="G38" s="189">
        <v>1159</v>
      </c>
      <c r="H38" s="189" t="s">
        <v>66</v>
      </c>
      <c r="I38" s="195"/>
    </row>
    <row r="39" spans="1:9" ht="12.75" customHeight="1" x14ac:dyDescent="0.35">
      <c r="A39" s="191">
        <v>42487</v>
      </c>
      <c r="B39" s="196">
        <v>5</v>
      </c>
      <c r="C39" s="196">
        <v>179</v>
      </c>
      <c r="D39" s="197">
        <f t="shared" si="2"/>
        <v>174</v>
      </c>
      <c r="E39" s="197">
        <v>40</v>
      </c>
      <c r="F39" s="198" t="str">
        <f t="shared" si="1"/>
        <v>Fail</v>
      </c>
      <c r="G39" s="189">
        <v>1159</v>
      </c>
      <c r="H39" s="189" t="s">
        <v>67</v>
      </c>
      <c r="I39" s="195"/>
    </row>
    <row r="40" spans="1:9" ht="12.75" customHeight="1" x14ac:dyDescent="0.35">
      <c r="A40" s="191">
        <v>42487</v>
      </c>
      <c r="B40" s="196">
        <v>26</v>
      </c>
      <c r="C40" s="196">
        <v>115</v>
      </c>
      <c r="D40" s="197">
        <f t="shared" si="2"/>
        <v>89</v>
      </c>
      <c r="E40" s="193">
        <v>40</v>
      </c>
      <c r="F40" s="198" t="str">
        <f t="shared" si="1"/>
        <v>Fail</v>
      </c>
      <c r="G40" s="189">
        <v>1159</v>
      </c>
      <c r="H40" s="189" t="s">
        <v>68</v>
      </c>
      <c r="I40" s="195"/>
    </row>
    <row r="41" spans="1:9" ht="12.75" customHeight="1" x14ac:dyDescent="0.35">
      <c r="A41" s="191">
        <v>42487</v>
      </c>
      <c r="B41" s="196">
        <v>5</v>
      </c>
      <c r="C41" s="196">
        <v>54</v>
      </c>
      <c r="D41" s="197">
        <f t="shared" si="2"/>
        <v>49</v>
      </c>
      <c r="E41" s="193">
        <v>40</v>
      </c>
      <c r="F41" s="198" t="str">
        <f t="shared" si="1"/>
        <v>Fail</v>
      </c>
      <c r="G41" s="189">
        <v>1159</v>
      </c>
      <c r="H41" s="189" t="s">
        <v>69</v>
      </c>
      <c r="I41" s="195"/>
    </row>
    <row r="42" spans="1:9" ht="12.75" customHeight="1" x14ac:dyDescent="0.35">
      <c r="A42" s="191">
        <v>42526</v>
      </c>
      <c r="B42" s="196">
        <v>14</v>
      </c>
      <c r="C42" s="196">
        <v>28</v>
      </c>
      <c r="D42" s="197">
        <f t="shared" si="2"/>
        <v>14</v>
      </c>
      <c r="E42" s="197">
        <v>40</v>
      </c>
      <c r="F42" s="198" t="str">
        <f t="shared" si="1"/>
        <v>Pass</v>
      </c>
      <c r="G42" s="189">
        <v>1428</v>
      </c>
      <c r="H42" s="195"/>
      <c r="I42" s="195"/>
    </row>
    <row r="43" spans="1:9" ht="12.75" customHeight="1" x14ac:dyDescent="0.35">
      <c r="A43" s="191">
        <v>42542</v>
      </c>
      <c r="B43" s="196">
        <v>1</v>
      </c>
      <c r="C43" s="196">
        <v>27</v>
      </c>
      <c r="D43" s="197">
        <f t="shared" si="2"/>
        <v>26</v>
      </c>
      <c r="E43" s="197">
        <v>40</v>
      </c>
      <c r="F43" s="198" t="str">
        <f t="shared" si="1"/>
        <v>Pass</v>
      </c>
      <c r="G43" s="189">
        <v>1400</v>
      </c>
      <c r="H43" s="195" t="s">
        <v>57</v>
      </c>
      <c r="I43" s="195"/>
    </row>
    <row r="44" spans="1:9" ht="12.75" customHeight="1" x14ac:dyDescent="0.35">
      <c r="A44" s="191">
        <v>42545</v>
      </c>
      <c r="B44" s="196">
        <v>14</v>
      </c>
      <c r="C44" s="196">
        <v>32</v>
      </c>
      <c r="D44" s="197">
        <f t="shared" si="2"/>
        <v>18</v>
      </c>
      <c r="E44" s="197">
        <v>40</v>
      </c>
      <c r="F44" s="198" t="str">
        <f t="shared" si="1"/>
        <v>Pass</v>
      </c>
      <c r="G44" s="189">
        <v>1335</v>
      </c>
      <c r="H44" s="195" t="s">
        <v>57</v>
      </c>
      <c r="I44" s="195"/>
    </row>
    <row r="45" spans="1:9" ht="12.75" customHeight="1" x14ac:dyDescent="0.35">
      <c r="A45" s="191">
        <v>42555</v>
      </c>
      <c r="B45" s="196">
        <v>6</v>
      </c>
      <c r="C45" s="196">
        <v>39</v>
      </c>
      <c r="D45" s="197">
        <f t="shared" si="2"/>
        <v>33</v>
      </c>
      <c r="E45" s="197">
        <v>40</v>
      </c>
      <c r="F45" s="198" t="str">
        <f>IF(D45="","",IF(D45&lt;=40,"Pass","Fail"))</f>
        <v>Pass</v>
      </c>
      <c r="G45" s="189">
        <v>1400</v>
      </c>
      <c r="H45" s="195" t="s">
        <v>57</v>
      </c>
      <c r="I45" s="195"/>
    </row>
    <row r="46" spans="1:9" ht="12.75" customHeight="1" x14ac:dyDescent="0.35">
      <c r="A46" s="191">
        <v>42564</v>
      </c>
      <c r="B46" s="196">
        <v>4</v>
      </c>
      <c r="C46" s="196">
        <v>35</v>
      </c>
      <c r="D46" s="197">
        <f t="shared" si="2"/>
        <v>31</v>
      </c>
      <c r="E46" s="197">
        <v>40</v>
      </c>
      <c r="F46" s="198" t="str">
        <f t="shared" si="1"/>
        <v>Pass</v>
      </c>
      <c r="G46" s="189">
        <v>1159</v>
      </c>
      <c r="H46" s="195" t="s">
        <v>57</v>
      </c>
      <c r="I46" s="195"/>
    </row>
    <row r="47" spans="1:9" ht="12.75" customHeight="1" x14ac:dyDescent="0.35">
      <c r="A47" s="191">
        <v>42577</v>
      </c>
      <c r="B47" s="196">
        <v>3</v>
      </c>
      <c r="C47" s="196">
        <v>2</v>
      </c>
      <c r="D47" s="197">
        <f t="shared" si="2"/>
        <v>-1</v>
      </c>
      <c r="E47" s="197">
        <v>40</v>
      </c>
      <c r="F47" s="198" t="str">
        <f t="shared" si="1"/>
        <v>Pass</v>
      </c>
      <c r="G47" s="189">
        <v>1335</v>
      </c>
      <c r="H47" s="195" t="s">
        <v>57</v>
      </c>
      <c r="I47" s="195"/>
    </row>
    <row r="48" spans="1:9" ht="12.75" customHeight="1" x14ac:dyDescent="0.35">
      <c r="A48" s="191">
        <v>42590</v>
      </c>
      <c r="B48" s="196">
        <v>2</v>
      </c>
      <c r="C48" s="196">
        <v>71</v>
      </c>
      <c r="D48" s="197">
        <f t="shared" si="2"/>
        <v>69</v>
      </c>
      <c r="E48" s="197">
        <v>40</v>
      </c>
      <c r="F48" s="198" t="str">
        <f t="shared" si="1"/>
        <v>Fail</v>
      </c>
      <c r="G48" s="189">
        <v>1159</v>
      </c>
      <c r="H48" s="189" t="s">
        <v>70</v>
      </c>
      <c r="I48" s="195"/>
    </row>
    <row r="49" spans="1:9" ht="12.75" customHeight="1" x14ac:dyDescent="0.35">
      <c r="A49" s="191">
        <v>42590</v>
      </c>
      <c r="B49" s="196">
        <v>3</v>
      </c>
      <c r="C49" s="196">
        <v>30</v>
      </c>
      <c r="D49" s="197">
        <f t="shared" si="2"/>
        <v>27</v>
      </c>
      <c r="E49" s="197">
        <v>40</v>
      </c>
      <c r="F49" s="198" t="str">
        <f t="shared" si="1"/>
        <v>Pass</v>
      </c>
      <c r="G49" s="189">
        <v>1159</v>
      </c>
      <c r="H49" s="189" t="s">
        <v>71</v>
      </c>
      <c r="I49" s="195"/>
    </row>
    <row r="50" spans="1:9" ht="12.75" customHeight="1" x14ac:dyDescent="0.35">
      <c r="A50" s="191">
        <v>42593</v>
      </c>
      <c r="B50" s="196">
        <v>3</v>
      </c>
      <c r="C50" s="196">
        <v>23</v>
      </c>
      <c r="D50" s="197">
        <f t="shared" si="2"/>
        <v>20</v>
      </c>
      <c r="E50" s="197">
        <v>40</v>
      </c>
      <c r="F50" s="198" t="str">
        <f t="shared" si="1"/>
        <v>Pass</v>
      </c>
      <c r="G50" s="189">
        <v>1159</v>
      </c>
      <c r="H50" s="189" t="s">
        <v>72</v>
      </c>
      <c r="I50" s="195"/>
    </row>
    <row r="51" spans="1:9" ht="12.75" customHeight="1" x14ac:dyDescent="0.35">
      <c r="A51" s="191">
        <v>42614</v>
      </c>
      <c r="B51" s="196">
        <v>1</v>
      </c>
      <c r="C51" s="195"/>
      <c r="D51" s="197">
        <f t="shared" si="2"/>
        <v>-1</v>
      </c>
      <c r="E51" s="197">
        <v>40</v>
      </c>
      <c r="F51" s="198" t="str">
        <f t="shared" si="1"/>
        <v>Pass</v>
      </c>
      <c r="G51" s="189">
        <v>1159</v>
      </c>
      <c r="H51" s="189" t="s">
        <v>73</v>
      </c>
      <c r="I51" s="195"/>
    </row>
    <row r="52" spans="1:9" ht="12.75" customHeight="1" x14ac:dyDescent="0.35">
      <c r="A52" s="191">
        <v>42614</v>
      </c>
      <c r="B52" s="196">
        <v>0</v>
      </c>
      <c r="C52" s="196">
        <v>31</v>
      </c>
      <c r="D52" s="197">
        <f t="shared" si="2"/>
        <v>31</v>
      </c>
      <c r="E52" s="197">
        <v>40</v>
      </c>
      <c r="F52" s="198" t="str">
        <f t="shared" si="1"/>
        <v>Pass</v>
      </c>
      <c r="G52" s="189">
        <v>1159</v>
      </c>
      <c r="H52" s="189" t="s">
        <v>74</v>
      </c>
      <c r="I52" s="195"/>
    </row>
    <row r="53" spans="1:9" ht="12.75" customHeight="1" x14ac:dyDescent="0.35">
      <c r="A53" s="191">
        <v>42630</v>
      </c>
      <c r="B53" s="196">
        <v>4</v>
      </c>
      <c r="C53" s="196">
        <v>32</v>
      </c>
      <c r="D53" s="197">
        <f t="shared" si="2"/>
        <v>28</v>
      </c>
      <c r="E53" s="197">
        <v>40</v>
      </c>
      <c r="F53" s="198" t="str">
        <f t="shared" si="1"/>
        <v>Pass</v>
      </c>
      <c r="G53" s="189">
        <v>1159</v>
      </c>
      <c r="H53" s="189" t="s">
        <v>75</v>
      </c>
      <c r="I53" s="195"/>
    </row>
    <row r="54" spans="1:9" ht="12.75" customHeight="1" x14ac:dyDescent="0.35">
      <c r="A54" s="191">
        <v>42641</v>
      </c>
      <c r="B54" s="196">
        <v>28</v>
      </c>
      <c r="C54" s="196">
        <v>56</v>
      </c>
      <c r="D54" s="197">
        <f t="shared" si="2"/>
        <v>28</v>
      </c>
      <c r="E54" s="197">
        <v>40</v>
      </c>
      <c r="F54" s="198" t="str">
        <f t="shared" si="1"/>
        <v>Pass</v>
      </c>
      <c r="G54" s="189">
        <v>1400</v>
      </c>
      <c r="H54" s="195" t="s">
        <v>57</v>
      </c>
      <c r="I54" s="195"/>
    </row>
    <row r="55" spans="1:9" ht="12.75" customHeight="1" x14ac:dyDescent="0.35">
      <c r="A55" s="191">
        <v>42647</v>
      </c>
      <c r="B55" s="196">
        <v>3</v>
      </c>
      <c r="C55" s="196">
        <v>29</v>
      </c>
      <c r="D55" s="197">
        <f t="shared" si="2"/>
        <v>26</v>
      </c>
      <c r="E55" s="197">
        <v>40</v>
      </c>
      <c r="F55" s="198" t="str">
        <f t="shared" si="1"/>
        <v>Pass</v>
      </c>
      <c r="G55" s="189">
        <v>1400</v>
      </c>
      <c r="H55" s="189" t="s">
        <v>76</v>
      </c>
      <c r="I55" s="195"/>
    </row>
    <row r="56" spans="1:9" ht="12.75" customHeight="1" x14ac:dyDescent="0.35">
      <c r="A56" s="191">
        <v>42656</v>
      </c>
      <c r="B56" s="196">
        <v>2</v>
      </c>
      <c r="C56" s="196">
        <v>38</v>
      </c>
      <c r="D56" s="197">
        <f t="shared" si="2"/>
        <v>36</v>
      </c>
      <c r="E56" s="197">
        <v>40</v>
      </c>
      <c r="F56" s="198" t="str">
        <f t="shared" si="1"/>
        <v>Pass</v>
      </c>
      <c r="G56" s="189">
        <v>1400</v>
      </c>
      <c r="H56" s="189" t="s">
        <v>77</v>
      </c>
      <c r="I56" s="195"/>
    </row>
    <row r="57" spans="1:9" ht="12.75" customHeight="1" x14ac:dyDescent="0.35">
      <c r="A57" s="191">
        <v>42668</v>
      </c>
      <c r="B57" s="196">
        <v>43</v>
      </c>
      <c r="C57" s="196">
        <v>70</v>
      </c>
      <c r="D57" s="197">
        <f t="shared" si="2"/>
        <v>27</v>
      </c>
      <c r="E57" s="197">
        <v>40</v>
      </c>
      <c r="F57" s="198" t="str">
        <f t="shared" si="1"/>
        <v>Pass</v>
      </c>
      <c r="G57" s="189">
        <v>1400</v>
      </c>
      <c r="H57" s="195" t="s">
        <v>57</v>
      </c>
      <c r="I57" s="195"/>
    </row>
    <row r="58" spans="1:9" ht="12.75" customHeight="1" x14ac:dyDescent="0.35">
      <c r="A58" s="191">
        <v>42674</v>
      </c>
      <c r="B58" s="196">
        <v>1</v>
      </c>
      <c r="C58" s="196">
        <v>29</v>
      </c>
      <c r="D58" s="197">
        <f t="shared" si="2"/>
        <v>28</v>
      </c>
      <c r="E58" s="197">
        <v>40</v>
      </c>
      <c r="F58" s="198" t="str">
        <f t="shared" si="1"/>
        <v>Pass</v>
      </c>
      <c r="G58" s="189">
        <v>1400</v>
      </c>
      <c r="H58" s="195" t="s">
        <v>57</v>
      </c>
      <c r="I58" s="195"/>
    </row>
    <row r="59" spans="1:9" ht="12.75" customHeight="1" x14ac:dyDescent="0.35">
      <c r="A59" s="191">
        <v>42682</v>
      </c>
      <c r="B59" s="196">
        <v>1</v>
      </c>
      <c r="C59" s="196">
        <v>18</v>
      </c>
      <c r="D59" s="197">
        <f t="shared" si="2"/>
        <v>17</v>
      </c>
      <c r="E59" s="197">
        <v>40</v>
      </c>
      <c r="F59" s="198" t="str">
        <f t="shared" si="1"/>
        <v>Pass</v>
      </c>
      <c r="G59" s="189">
        <v>1428</v>
      </c>
      <c r="H59" s="195"/>
      <c r="I59" s="195"/>
    </row>
    <row r="60" spans="1:9" ht="12.75" customHeight="1" x14ac:dyDescent="0.35">
      <c r="A60" s="191">
        <v>42689</v>
      </c>
      <c r="B60" s="196">
        <v>1</v>
      </c>
      <c r="C60" s="196">
        <v>68</v>
      </c>
      <c r="D60" s="197">
        <f t="shared" si="2"/>
        <v>67</v>
      </c>
      <c r="E60" s="197">
        <v>40</v>
      </c>
      <c r="F60" s="198" t="str">
        <f t="shared" si="1"/>
        <v>Fail</v>
      </c>
      <c r="G60" s="189">
        <v>1159</v>
      </c>
      <c r="H60" s="189" t="s">
        <v>78</v>
      </c>
      <c r="I60" s="195"/>
    </row>
    <row r="61" spans="1:9" ht="12.75" customHeight="1" x14ac:dyDescent="0.35">
      <c r="A61" s="191">
        <v>42689</v>
      </c>
      <c r="B61" s="196">
        <v>2</v>
      </c>
      <c r="C61" s="196">
        <v>27</v>
      </c>
      <c r="D61" s="197">
        <f t="shared" si="2"/>
        <v>25</v>
      </c>
      <c r="E61" s="197">
        <v>40</v>
      </c>
      <c r="F61" s="198" t="str">
        <f>IF(D61="","",IF(D61&lt;=40,"Pass","Fail"))</f>
        <v>Pass</v>
      </c>
      <c r="G61" s="189">
        <v>1400</v>
      </c>
      <c r="H61" s="189" t="s">
        <v>79</v>
      </c>
      <c r="I61" s="195"/>
    </row>
    <row r="62" spans="1:9" ht="12.75" customHeight="1" x14ac:dyDescent="0.35">
      <c r="A62" s="191">
        <v>42692</v>
      </c>
      <c r="B62" s="196">
        <v>21</v>
      </c>
      <c r="C62" s="196">
        <v>4</v>
      </c>
      <c r="D62" s="197">
        <f t="shared" si="2"/>
        <v>-17</v>
      </c>
      <c r="E62" s="197">
        <v>40</v>
      </c>
      <c r="F62" s="198" t="str">
        <f t="shared" si="1"/>
        <v>Pass</v>
      </c>
      <c r="G62" s="189">
        <v>1335</v>
      </c>
      <c r="H62" s="189" t="s">
        <v>57</v>
      </c>
      <c r="I62" s="195"/>
    </row>
    <row r="63" spans="1:9" ht="12.75" customHeight="1" x14ac:dyDescent="0.35">
      <c r="A63" s="191">
        <v>42697</v>
      </c>
      <c r="B63" s="196">
        <v>5</v>
      </c>
      <c r="C63" s="196">
        <v>42</v>
      </c>
      <c r="D63" s="197">
        <f t="shared" si="2"/>
        <v>37</v>
      </c>
      <c r="E63" s="197">
        <v>40</v>
      </c>
      <c r="F63" s="198" t="str">
        <f t="shared" si="1"/>
        <v>Pass</v>
      </c>
      <c r="G63" s="189">
        <v>1335</v>
      </c>
      <c r="H63" s="189" t="s">
        <v>57</v>
      </c>
      <c r="I63" s="195"/>
    </row>
    <row r="64" spans="1:9" ht="12.75" customHeight="1" x14ac:dyDescent="0.35">
      <c r="A64" s="191">
        <v>42706</v>
      </c>
      <c r="B64" s="196">
        <v>27</v>
      </c>
      <c r="C64" s="196">
        <v>45</v>
      </c>
      <c r="D64" s="197">
        <f t="shared" si="2"/>
        <v>18</v>
      </c>
      <c r="E64" s="197">
        <v>40</v>
      </c>
      <c r="F64" s="198" t="str">
        <f>IF(D64="","",IF(D64&lt;=40,"Pass","Fail"))</f>
        <v>Pass</v>
      </c>
      <c r="G64" s="189">
        <v>1335</v>
      </c>
      <c r="H64" s="189" t="s">
        <v>80</v>
      </c>
      <c r="I64" s="195"/>
    </row>
    <row r="65" spans="1:9" ht="12.75" customHeight="1" x14ac:dyDescent="0.35">
      <c r="A65" s="191">
        <v>42709</v>
      </c>
      <c r="B65" s="196">
        <v>10</v>
      </c>
      <c r="C65" s="196">
        <v>20</v>
      </c>
      <c r="D65" s="197">
        <f t="shared" si="2"/>
        <v>10</v>
      </c>
      <c r="E65" s="197">
        <v>40</v>
      </c>
      <c r="F65" s="198" t="str">
        <f>IF(D65="","",IF(D65&lt;=40,"Pass","Fail"))</f>
        <v>Pass</v>
      </c>
      <c r="G65" s="189">
        <v>102</v>
      </c>
      <c r="H65" s="189" t="s">
        <v>57</v>
      </c>
      <c r="I65" s="195"/>
    </row>
    <row r="66" spans="1:9" ht="12.75" customHeight="1" x14ac:dyDescent="0.35">
      <c r="A66" s="191">
        <v>42714</v>
      </c>
      <c r="B66" s="196">
        <v>1</v>
      </c>
      <c r="C66" s="196">
        <v>68</v>
      </c>
      <c r="D66" s="197">
        <f t="shared" si="2"/>
        <v>67</v>
      </c>
      <c r="E66" s="197">
        <v>40</v>
      </c>
      <c r="F66" s="198" t="str">
        <f>IF(D66="","",IF(D66&lt;=40,"Pass","Fail"))</f>
        <v>Fail</v>
      </c>
      <c r="G66" s="189">
        <v>64</v>
      </c>
      <c r="H66" s="189" t="s">
        <v>57</v>
      </c>
      <c r="I66" s="195"/>
    </row>
    <row r="67" spans="1:9" ht="12.75" customHeight="1" x14ac:dyDescent="0.35">
      <c r="A67" s="191">
        <v>42714</v>
      </c>
      <c r="B67" s="196">
        <v>2</v>
      </c>
      <c r="C67" s="196">
        <v>37</v>
      </c>
      <c r="D67" s="197">
        <f t="shared" si="2"/>
        <v>35</v>
      </c>
      <c r="E67" s="197">
        <v>40</v>
      </c>
      <c r="F67" s="198" t="str">
        <f>IF(D67="","",IF(D67&lt;=40,"Pass","Fail"))</f>
        <v>Pass</v>
      </c>
      <c r="G67" s="189">
        <v>64</v>
      </c>
      <c r="H67" s="189" t="s">
        <v>57</v>
      </c>
      <c r="I67" s="195"/>
    </row>
    <row r="68" spans="1:9" ht="12.75" customHeight="1" x14ac:dyDescent="0.35">
      <c r="A68" s="191">
        <v>42723</v>
      </c>
      <c r="B68" s="196">
        <v>82</v>
      </c>
      <c r="C68" s="196">
        <v>115</v>
      </c>
      <c r="D68" s="197">
        <f t="shared" si="2"/>
        <v>33</v>
      </c>
      <c r="E68" s="197">
        <v>40</v>
      </c>
      <c r="F68" s="198" t="str">
        <f>IF(D68="","",IF(D68&lt;=40,"Pass","Fail"))</f>
        <v>Pass</v>
      </c>
      <c r="G68" s="189">
        <v>1428</v>
      </c>
      <c r="H68" s="189" t="s">
        <v>57</v>
      </c>
      <c r="I68" s="195"/>
    </row>
    <row r="69" spans="1:9" ht="12.75" customHeight="1" x14ac:dyDescent="0.35">
      <c r="A69" s="191">
        <v>42727</v>
      </c>
      <c r="B69" s="196">
        <v>1</v>
      </c>
      <c r="C69" s="196">
        <v>135</v>
      </c>
      <c r="D69" s="197">
        <f t="shared" si="2"/>
        <v>134</v>
      </c>
      <c r="E69" s="197">
        <v>40</v>
      </c>
      <c r="F69" s="198" t="str">
        <f t="shared" ref="F69:F126" si="3">IF(D69="","",IF(D69&lt;=40,"Pass","Fail"))</f>
        <v>Fail</v>
      </c>
      <c r="G69" s="189">
        <v>1428</v>
      </c>
      <c r="H69" s="189" t="s">
        <v>57</v>
      </c>
      <c r="I69" s="195"/>
    </row>
    <row r="70" spans="1:9" ht="12.75" customHeight="1" x14ac:dyDescent="0.35">
      <c r="A70" s="191">
        <v>42727</v>
      </c>
      <c r="B70" s="196">
        <v>2</v>
      </c>
      <c r="C70" s="196">
        <v>8</v>
      </c>
      <c r="D70" s="197">
        <f t="shared" si="2"/>
        <v>6</v>
      </c>
      <c r="E70" s="197">
        <v>40</v>
      </c>
      <c r="F70" s="198" t="str">
        <f t="shared" si="3"/>
        <v>Pass</v>
      </c>
      <c r="G70" s="189">
        <v>1428</v>
      </c>
      <c r="H70" s="189" t="s">
        <v>57</v>
      </c>
      <c r="I70" s="195"/>
    </row>
    <row r="71" spans="1:9" ht="12.75" customHeight="1" x14ac:dyDescent="0.35">
      <c r="A71" s="191">
        <v>42732</v>
      </c>
      <c r="B71" s="196">
        <v>0</v>
      </c>
      <c r="C71" s="196">
        <v>23</v>
      </c>
      <c r="D71" s="197">
        <f t="shared" si="2"/>
        <v>23</v>
      </c>
      <c r="E71" s="197">
        <v>40</v>
      </c>
      <c r="F71" s="198" t="str">
        <f t="shared" si="3"/>
        <v>Pass</v>
      </c>
      <c r="G71" s="189">
        <v>1335</v>
      </c>
      <c r="H71" s="189" t="s">
        <v>57</v>
      </c>
      <c r="I71" s="189"/>
    </row>
    <row r="72" spans="1:9" ht="12.75" customHeight="1" x14ac:dyDescent="0.35">
      <c r="A72" s="191">
        <v>42739</v>
      </c>
      <c r="B72" s="196">
        <v>2</v>
      </c>
      <c r="C72" s="196">
        <v>21</v>
      </c>
      <c r="D72" s="197">
        <f t="shared" si="2"/>
        <v>19</v>
      </c>
      <c r="E72" s="197">
        <v>40</v>
      </c>
      <c r="F72" s="198" t="str">
        <f t="shared" si="3"/>
        <v>Pass</v>
      </c>
      <c r="G72" s="189">
        <v>1335</v>
      </c>
      <c r="H72" s="189" t="s">
        <v>57</v>
      </c>
      <c r="I72" s="195"/>
    </row>
    <row r="73" spans="1:9" ht="12.75" customHeight="1" x14ac:dyDescent="0.35">
      <c r="A73" s="191">
        <v>42746</v>
      </c>
      <c r="B73" s="196">
        <v>5</v>
      </c>
      <c r="C73" s="196">
        <v>122</v>
      </c>
      <c r="D73" s="197">
        <f t="shared" si="2"/>
        <v>117</v>
      </c>
      <c r="E73" s="197">
        <v>40</v>
      </c>
      <c r="F73" s="198" t="str">
        <f t="shared" si="3"/>
        <v>Fail</v>
      </c>
      <c r="G73" s="189">
        <v>1159</v>
      </c>
      <c r="H73" s="189" t="s">
        <v>81</v>
      </c>
      <c r="I73" s="195"/>
    </row>
    <row r="74" spans="1:9" ht="12.75" customHeight="1" x14ac:dyDescent="0.35">
      <c r="A74" s="191">
        <v>42746</v>
      </c>
      <c r="B74" s="196">
        <v>0</v>
      </c>
      <c r="C74" s="196">
        <v>48</v>
      </c>
      <c r="D74" s="197">
        <f t="shared" ref="D74:D126" si="4">IF(((B74="")*AND(C74="")),"",C74-B74)</f>
        <v>48</v>
      </c>
      <c r="E74" s="197">
        <v>40</v>
      </c>
      <c r="F74" s="198" t="str">
        <f t="shared" si="3"/>
        <v>Fail</v>
      </c>
      <c r="G74" s="189">
        <v>1159</v>
      </c>
      <c r="H74" s="189" t="s">
        <v>82</v>
      </c>
      <c r="I74" s="195"/>
    </row>
    <row r="75" spans="1:9" ht="12.75" customHeight="1" x14ac:dyDescent="0.35">
      <c r="A75" s="191">
        <v>42746</v>
      </c>
      <c r="B75" s="196">
        <v>3</v>
      </c>
      <c r="C75" s="196">
        <v>78</v>
      </c>
      <c r="D75" s="197">
        <f t="shared" si="4"/>
        <v>75</v>
      </c>
      <c r="E75" s="197">
        <v>40</v>
      </c>
      <c r="F75" s="198" t="str">
        <f t="shared" si="3"/>
        <v>Fail</v>
      </c>
      <c r="G75" s="189">
        <v>1159</v>
      </c>
      <c r="H75" s="189" t="s">
        <v>83</v>
      </c>
      <c r="I75" s="195"/>
    </row>
    <row r="76" spans="1:9" ht="12.75" customHeight="1" x14ac:dyDescent="0.35">
      <c r="A76" s="191">
        <v>42746</v>
      </c>
      <c r="B76" s="196">
        <v>5</v>
      </c>
      <c r="C76" s="196">
        <v>36</v>
      </c>
      <c r="D76" s="197">
        <f t="shared" si="4"/>
        <v>31</v>
      </c>
      <c r="E76" s="197">
        <v>40</v>
      </c>
      <c r="F76" s="198" t="str">
        <f t="shared" si="3"/>
        <v>Pass</v>
      </c>
      <c r="G76" s="189">
        <v>1159</v>
      </c>
      <c r="H76" s="189" t="s">
        <v>84</v>
      </c>
      <c r="I76" s="195"/>
    </row>
    <row r="77" spans="1:9" ht="12.75" customHeight="1" x14ac:dyDescent="0.35">
      <c r="A77" s="191">
        <v>42750</v>
      </c>
      <c r="B77" s="196">
        <v>3</v>
      </c>
      <c r="C77" s="196">
        <v>33</v>
      </c>
      <c r="D77" s="197">
        <f t="shared" si="4"/>
        <v>30</v>
      </c>
      <c r="E77" s="197">
        <v>40</v>
      </c>
      <c r="F77" s="198" t="str">
        <f t="shared" si="3"/>
        <v>Pass</v>
      </c>
      <c r="G77" s="189">
        <v>1159</v>
      </c>
      <c r="H77" s="189" t="s">
        <v>85</v>
      </c>
      <c r="I77" s="195"/>
    </row>
    <row r="78" spans="1:9" ht="12.75" customHeight="1" x14ac:dyDescent="0.35">
      <c r="A78" s="191">
        <v>42773</v>
      </c>
      <c r="B78" s="196">
        <v>5</v>
      </c>
      <c r="C78" s="196">
        <v>38</v>
      </c>
      <c r="D78" s="197">
        <f t="shared" si="4"/>
        <v>33</v>
      </c>
      <c r="E78" s="197">
        <v>40</v>
      </c>
      <c r="F78" s="198" t="str">
        <f t="shared" si="3"/>
        <v>Pass</v>
      </c>
      <c r="G78" s="189">
        <v>1400</v>
      </c>
      <c r="H78" s="189" t="s">
        <v>86</v>
      </c>
      <c r="I78" s="195"/>
    </row>
    <row r="79" spans="1:9" ht="12.75" customHeight="1" x14ac:dyDescent="0.35">
      <c r="A79" s="191">
        <v>42792</v>
      </c>
      <c r="B79" s="196">
        <v>16</v>
      </c>
      <c r="C79" s="196">
        <v>49</v>
      </c>
      <c r="D79" s="197">
        <f t="shared" si="4"/>
        <v>33</v>
      </c>
      <c r="E79" s="197">
        <v>40</v>
      </c>
      <c r="F79" s="198" t="str">
        <f t="shared" si="3"/>
        <v>Pass</v>
      </c>
      <c r="G79" s="195">
        <v>1159</v>
      </c>
      <c r="H79" s="195"/>
      <c r="I79" s="195"/>
    </row>
    <row r="80" spans="1:9" ht="12.75" customHeight="1" x14ac:dyDescent="0.35">
      <c r="A80" s="191">
        <v>42836</v>
      </c>
      <c r="B80" s="196">
        <v>2</v>
      </c>
      <c r="C80" s="196">
        <v>127</v>
      </c>
      <c r="D80" s="197">
        <f t="shared" si="4"/>
        <v>125</v>
      </c>
      <c r="E80" s="197">
        <v>40</v>
      </c>
      <c r="F80" s="198" t="str">
        <f t="shared" si="3"/>
        <v>Fail</v>
      </c>
      <c r="G80" s="189">
        <v>1400</v>
      </c>
      <c r="H80" s="195" t="s">
        <v>87</v>
      </c>
      <c r="I80" s="195"/>
    </row>
    <row r="81" spans="1:9" ht="12.75" customHeight="1" x14ac:dyDescent="0.35">
      <c r="A81" s="191">
        <v>42845</v>
      </c>
      <c r="B81" s="196">
        <v>3</v>
      </c>
      <c r="C81" s="196">
        <v>200</v>
      </c>
      <c r="D81" s="197">
        <f t="shared" si="4"/>
        <v>197</v>
      </c>
      <c r="E81" s="197">
        <v>40</v>
      </c>
      <c r="F81" s="198" t="str">
        <f t="shared" si="3"/>
        <v>Fail</v>
      </c>
      <c r="G81" s="189">
        <v>1335</v>
      </c>
      <c r="H81" s="189" t="s">
        <v>88</v>
      </c>
      <c r="I81" s="195"/>
    </row>
    <row r="82" spans="1:9" ht="12.75" customHeight="1" x14ac:dyDescent="0.35">
      <c r="A82" s="191">
        <v>42849</v>
      </c>
      <c r="B82" s="196">
        <v>23</v>
      </c>
      <c r="C82" s="196">
        <v>186</v>
      </c>
      <c r="D82" s="197">
        <f t="shared" si="4"/>
        <v>163</v>
      </c>
      <c r="E82" s="197">
        <v>40</v>
      </c>
      <c r="F82" s="198" t="str">
        <f t="shared" si="3"/>
        <v>Fail</v>
      </c>
      <c r="G82" s="189">
        <v>64</v>
      </c>
      <c r="H82" s="189" t="s">
        <v>89</v>
      </c>
      <c r="I82" s="195"/>
    </row>
    <row r="83" spans="1:9" ht="12.75" customHeight="1" x14ac:dyDescent="0.35">
      <c r="A83" s="191">
        <v>42905</v>
      </c>
      <c r="B83" s="196">
        <v>3</v>
      </c>
      <c r="C83" s="196">
        <v>72</v>
      </c>
      <c r="D83" s="197">
        <f t="shared" si="4"/>
        <v>69</v>
      </c>
      <c r="E83" s="197">
        <v>40</v>
      </c>
      <c r="F83" s="198" t="str">
        <f t="shared" si="3"/>
        <v>Fail</v>
      </c>
      <c r="G83" s="189">
        <v>1159</v>
      </c>
      <c r="H83" s="189" t="s">
        <v>90</v>
      </c>
      <c r="I83" s="195"/>
    </row>
    <row r="84" spans="1:9" ht="12.75" customHeight="1" x14ac:dyDescent="0.35">
      <c r="A84" s="191">
        <v>42905</v>
      </c>
      <c r="B84" s="196">
        <v>9</v>
      </c>
      <c r="C84" s="196">
        <v>24</v>
      </c>
      <c r="D84" s="197">
        <f t="shared" si="4"/>
        <v>15</v>
      </c>
      <c r="E84" s="197">
        <v>40</v>
      </c>
      <c r="F84" s="198" t="str">
        <f t="shared" si="3"/>
        <v>Pass</v>
      </c>
      <c r="G84" s="189">
        <v>1159</v>
      </c>
      <c r="H84" s="189" t="s">
        <v>91</v>
      </c>
      <c r="I84" s="195"/>
    </row>
    <row r="85" spans="1:9" ht="12.75" customHeight="1" x14ac:dyDescent="0.35">
      <c r="A85" s="191">
        <v>42912</v>
      </c>
      <c r="B85" s="196">
        <v>3</v>
      </c>
      <c r="C85" s="196">
        <v>90</v>
      </c>
      <c r="D85" s="197">
        <f t="shared" si="4"/>
        <v>87</v>
      </c>
      <c r="E85" s="197">
        <v>40</v>
      </c>
      <c r="F85" s="198" t="str">
        <f t="shared" si="3"/>
        <v>Fail</v>
      </c>
      <c r="G85" s="189">
        <v>1159</v>
      </c>
      <c r="H85" s="189" t="s">
        <v>92</v>
      </c>
      <c r="I85" s="195"/>
    </row>
    <row r="86" spans="1:9" ht="12.75" customHeight="1" x14ac:dyDescent="0.35">
      <c r="A86" s="191">
        <v>42912</v>
      </c>
      <c r="B86" s="196">
        <v>5</v>
      </c>
      <c r="C86" s="196">
        <v>40</v>
      </c>
      <c r="D86" s="197">
        <f t="shared" si="4"/>
        <v>35</v>
      </c>
      <c r="E86" s="197">
        <v>40</v>
      </c>
      <c r="F86" s="198" t="str">
        <f t="shared" si="3"/>
        <v>Pass</v>
      </c>
      <c r="G86" s="189">
        <v>1159</v>
      </c>
      <c r="H86" s="189" t="s">
        <v>92</v>
      </c>
      <c r="I86" s="195"/>
    </row>
    <row r="87" spans="1:9" ht="12.75" customHeight="1" x14ac:dyDescent="0.35">
      <c r="A87" s="191">
        <v>42916</v>
      </c>
      <c r="B87" s="196">
        <v>6</v>
      </c>
      <c r="C87" s="196">
        <v>39</v>
      </c>
      <c r="D87" s="197">
        <f t="shared" si="4"/>
        <v>33</v>
      </c>
      <c r="E87" s="197">
        <v>40</v>
      </c>
      <c r="F87" s="198" t="str">
        <f t="shared" si="3"/>
        <v>Pass</v>
      </c>
      <c r="G87" s="189">
        <v>102</v>
      </c>
      <c r="H87" s="195" t="s">
        <v>87</v>
      </c>
      <c r="I87" s="195"/>
    </row>
    <row r="88" spans="1:9" ht="12.75" customHeight="1" x14ac:dyDescent="0.35">
      <c r="A88" s="191">
        <v>42922</v>
      </c>
      <c r="B88" s="196">
        <v>9</v>
      </c>
      <c r="C88" s="196">
        <v>39</v>
      </c>
      <c r="D88" s="197">
        <f t="shared" si="4"/>
        <v>30</v>
      </c>
      <c r="E88" s="197">
        <v>40</v>
      </c>
      <c r="F88" s="198" t="str">
        <f t="shared" si="3"/>
        <v>Pass</v>
      </c>
      <c r="G88" s="189">
        <v>102</v>
      </c>
      <c r="H88" s="195" t="s">
        <v>87</v>
      </c>
      <c r="I88" s="195"/>
    </row>
    <row r="89" spans="1:9" ht="12.75" customHeight="1" x14ac:dyDescent="0.35">
      <c r="A89" s="191">
        <v>42930</v>
      </c>
      <c r="B89" s="196">
        <v>1</v>
      </c>
      <c r="C89" s="196">
        <v>43</v>
      </c>
      <c r="D89" s="197">
        <f t="shared" si="4"/>
        <v>42</v>
      </c>
      <c r="E89" s="197">
        <v>40</v>
      </c>
      <c r="F89" s="198" t="str">
        <f t="shared" si="3"/>
        <v>Fail</v>
      </c>
      <c r="G89" s="189">
        <v>102</v>
      </c>
      <c r="H89" s="189" t="s">
        <v>93</v>
      </c>
      <c r="I89" s="195"/>
    </row>
    <row r="90" spans="1:9" ht="12.75" customHeight="1" x14ac:dyDescent="0.35">
      <c r="A90" s="191">
        <v>42930</v>
      </c>
      <c r="B90" s="196">
        <v>2</v>
      </c>
      <c r="C90" s="196">
        <v>13</v>
      </c>
      <c r="D90" s="197">
        <f t="shared" si="4"/>
        <v>11</v>
      </c>
      <c r="E90" s="197">
        <v>40</v>
      </c>
      <c r="F90" s="198" t="str">
        <f t="shared" si="3"/>
        <v>Pass</v>
      </c>
      <c r="G90" s="189">
        <v>102</v>
      </c>
      <c r="H90" s="189" t="s">
        <v>94</v>
      </c>
      <c r="I90" s="195"/>
    </row>
    <row r="91" spans="1:9" ht="12.75" customHeight="1" x14ac:dyDescent="0.35">
      <c r="A91" s="191">
        <v>42936</v>
      </c>
      <c r="B91" s="196">
        <v>7</v>
      </c>
      <c r="C91" s="196">
        <v>78</v>
      </c>
      <c r="D91" s="197">
        <f t="shared" si="4"/>
        <v>71</v>
      </c>
      <c r="E91" s="197">
        <v>40</v>
      </c>
      <c r="F91" s="198" t="str">
        <f t="shared" si="3"/>
        <v>Fail</v>
      </c>
      <c r="G91" s="189">
        <v>121</v>
      </c>
      <c r="H91" s="189" t="s">
        <v>95</v>
      </c>
      <c r="I91" s="195"/>
    </row>
    <row r="92" spans="1:9" ht="12.75" customHeight="1" x14ac:dyDescent="0.35">
      <c r="A92" s="191">
        <v>42936</v>
      </c>
      <c r="B92" s="196">
        <v>3</v>
      </c>
      <c r="C92" s="196">
        <v>32</v>
      </c>
      <c r="D92" s="197">
        <f t="shared" si="4"/>
        <v>29</v>
      </c>
      <c r="E92" s="197">
        <v>40</v>
      </c>
      <c r="F92" s="198" t="str">
        <f t="shared" si="3"/>
        <v>Pass</v>
      </c>
      <c r="G92" s="189">
        <v>121</v>
      </c>
      <c r="H92" s="189" t="s">
        <v>96</v>
      </c>
      <c r="I92" s="195"/>
    </row>
    <row r="93" spans="1:9" ht="12.75" customHeight="1" x14ac:dyDescent="0.35">
      <c r="A93" s="191">
        <v>42941</v>
      </c>
      <c r="B93" s="196">
        <v>13</v>
      </c>
      <c r="C93" s="196">
        <v>62</v>
      </c>
      <c r="D93" s="197">
        <f t="shared" si="4"/>
        <v>49</v>
      </c>
      <c r="E93" s="197">
        <v>40</v>
      </c>
      <c r="F93" s="198" t="str">
        <f t="shared" si="3"/>
        <v>Fail</v>
      </c>
      <c r="G93" s="189">
        <v>1159</v>
      </c>
      <c r="H93" s="189" t="s">
        <v>97</v>
      </c>
      <c r="I93" s="195"/>
    </row>
    <row r="94" spans="1:9" ht="12.75" customHeight="1" x14ac:dyDescent="0.35">
      <c r="A94" s="191">
        <v>42941</v>
      </c>
      <c r="B94" s="196">
        <v>17</v>
      </c>
      <c r="C94" s="196">
        <v>56</v>
      </c>
      <c r="D94" s="197">
        <f t="shared" si="4"/>
        <v>39</v>
      </c>
      <c r="E94" s="197">
        <v>40</v>
      </c>
      <c r="F94" s="198" t="str">
        <f t="shared" si="3"/>
        <v>Pass</v>
      </c>
      <c r="G94" s="189">
        <v>1159</v>
      </c>
      <c r="H94" s="189" t="s">
        <v>98</v>
      </c>
      <c r="I94" s="195"/>
    </row>
    <row r="95" spans="1:9" ht="12.75" customHeight="1" x14ac:dyDescent="0.35">
      <c r="A95" s="191">
        <v>42945</v>
      </c>
      <c r="B95" s="196">
        <v>3</v>
      </c>
      <c r="C95" s="196">
        <v>14</v>
      </c>
      <c r="D95" s="197">
        <f t="shared" si="4"/>
        <v>11</v>
      </c>
      <c r="E95" s="197">
        <v>40</v>
      </c>
      <c r="F95" s="198" t="str">
        <f t="shared" si="3"/>
        <v>Pass</v>
      </c>
      <c r="G95" s="189">
        <v>102</v>
      </c>
      <c r="H95" s="189" t="s">
        <v>99</v>
      </c>
      <c r="I95" s="195"/>
    </row>
    <row r="96" spans="1:9" ht="12.75" customHeight="1" x14ac:dyDescent="0.35">
      <c r="A96" s="191">
        <v>42951</v>
      </c>
      <c r="B96" s="192">
        <v>16</v>
      </c>
      <c r="C96" s="192">
        <v>53</v>
      </c>
      <c r="D96" s="193">
        <f t="shared" si="4"/>
        <v>37</v>
      </c>
      <c r="E96" s="193">
        <v>40</v>
      </c>
      <c r="F96" s="194" t="str">
        <f t="shared" si="3"/>
        <v>Pass</v>
      </c>
      <c r="G96" s="188">
        <v>1159</v>
      </c>
      <c r="H96" s="188" t="s">
        <v>100</v>
      </c>
      <c r="I96" s="195"/>
    </row>
    <row r="97" spans="1:9" ht="12.75" customHeight="1" x14ac:dyDescent="0.35">
      <c r="A97" s="191">
        <v>42959</v>
      </c>
      <c r="B97" s="192">
        <v>16</v>
      </c>
      <c r="C97" s="192">
        <v>55</v>
      </c>
      <c r="D97" s="193">
        <f t="shared" si="4"/>
        <v>39</v>
      </c>
      <c r="E97" s="193">
        <v>40</v>
      </c>
      <c r="F97" s="194" t="str">
        <f t="shared" si="3"/>
        <v>Pass</v>
      </c>
      <c r="G97" s="188">
        <v>102</v>
      </c>
      <c r="H97" s="188" t="s">
        <v>101</v>
      </c>
      <c r="I97" s="195"/>
    </row>
    <row r="98" spans="1:9" ht="12.75" customHeight="1" x14ac:dyDescent="0.35">
      <c r="A98" s="191">
        <v>42968</v>
      </c>
      <c r="B98" s="192">
        <v>4</v>
      </c>
      <c r="C98" s="192">
        <v>239</v>
      </c>
      <c r="D98" s="193">
        <f t="shared" si="4"/>
        <v>235</v>
      </c>
      <c r="E98" s="193">
        <v>40</v>
      </c>
      <c r="F98" s="194" t="str">
        <f t="shared" si="3"/>
        <v>Fail</v>
      </c>
      <c r="G98" s="188">
        <v>1159</v>
      </c>
      <c r="H98" s="188" t="s">
        <v>102</v>
      </c>
      <c r="I98" s="195"/>
    </row>
    <row r="99" spans="1:9" ht="12.75" customHeight="1" x14ac:dyDescent="0.35">
      <c r="A99" s="191">
        <v>42968</v>
      </c>
      <c r="B99" s="192">
        <v>36</v>
      </c>
      <c r="C99" s="192">
        <v>231</v>
      </c>
      <c r="D99" s="193">
        <f t="shared" si="4"/>
        <v>195</v>
      </c>
      <c r="E99" s="193">
        <v>40</v>
      </c>
      <c r="F99" s="194" t="str">
        <f t="shared" si="3"/>
        <v>Fail</v>
      </c>
      <c r="G99" s="188">
        <v>1159</v>
      </c>
      <c r="H99" s="188" t="s">
        <v>103</v>
      </c>
      <c r="I99" s="195"/>
    </row>
    <row r="100" spans="1:9" ht="12.75" customHeight="1" x14ac:dyDescent="0.35">
      <c r="A100" s="191">
        <v>42969</v>
      </c>
      <c r="B100" s="192">
        <v>5</v>
      </c>
      <c r="C100" s="192">
        <v>216</v>
      </c>
      <c r="D100" s="193">
        <f t="shared" si="4"/>
        <v>211</v>
      </c>
      <c r="E100" s="193">
        <v>40</v>
      </c>
      <c r="F100" s="194" t="str">
        <f t="shared" si="3"/>
        <v>Fail</v>
      </c>
      <c r="G100" s="188">
        <v>1159</v>
      </c>
      <c r="H100" s="188" t="s">
        <v>104</v>
      </c>
      <c r="I100" s="195"/>
    </row>
    <row r="101" spans="1:9" ht="12.75" customHeight="1" x14ac:dyDescent="0.35">
      <c r="A101" s="191">
        <v>42970</v>
      </c>
      <c r="B101" s="192">
        <v>6</v>
      </c>
      <c r="C101" s="192">
        <v>84</v>
      </c>
      <c r="D101" s="193">
        <f t="shared" si="4"/>
        <v>78</v>
      </c>
      <c r="E101" s="193">
        <v>40</v>
      </c>
      <c r="F101" s="194" t="str">
        <f t="shared" si="3"/>
        <v>Fail</v>
      </c>
      <c r="G101" s="188">
        <v>1534</v>
      </c>
      <c r="H101" s="188" t="s">
        <v>105</v>
      </c>
      <c r="I101" s="195"/>
    </row>
    <row r="102" spans="1:9" ht="12.75" customHeight="1" x14ac:dyDescent="0.35">
      <c r="A102" s="191">
        <v>42970</v>
      </c>
      <c r="B102" s="192">
        <v>3</v>
      </c>
      <c r="C102" s="192">
        <v>29</v>
      </c>
      <c r="D102" s="193">
        <f t="shared" si="4"/>
        <v>26</v>
      </c>
      <c r="E102" s="193">
        <v>40</v>
      </c>
      <c r="F102" s="194" t="str">
        <f t="shared" si="3"/>
        <v>Pass</v>
      </c>
      <c r="G102" s="188">
        <v>1534</v>
      </c>
      <c r="H102" s="188" t="s">
        <v>106</v>
      </c>
      <c r="I102" s="195"/>
    </row>
    <row r="103" spans="1:9" ht="12.75" customHeight="1" x14ac:dyDescent="0.35">
      <c r="A103" s="191">
        <v>42976</v>
      </c>
      <c r="B103" s="192">
        <v>1</v>
      </c>
      <c r="C103" s="192">
        <v>12</v>
      </c>
      <c r="D103" s="193">
        <f t="shared" si="4"/>
        <v>11</v>
      </c>
      <c r="E103" s="193">
        <v>40</v>
      </c>
      <c r="F103" s="194" t="str">
        <f t="shared" si="3"/>
        <v>Pass</v>
      </c>
      <c r="G103" s="188">
        <v>1428</v>
      </c>
      <c r="H103" s="188"/>
      <c r="I103" s="195"/>
    </row>
    <row r="104" spans="1:9" ht="12.75" customHeight="1" x14ac:dyDescent="0.35">
      <c r="A104" s="191">
        <v>42981</v>
      </c>
      <c r="B104" s="192">
        <v>8</v>
      </c>
      <c r="C104" s="192">
        <v>115</v>
      </c>
      <c r="D104" s="193">
        <f t="shared" si="4"/>
        <v>107</v>
      </c>
      <c r="E104" s="193">
        <v>40</v>
      </c>
      <c r="F104" s="194" t="str">
        <f t="shared" si="3"/>
        <v>Fail</v>
      </c>
      <c r="G104" s="188">
        <v>1159</v>
      </c>
      <c r="H104" s="188" t="s">
        <v>107</v>
      </c>
      <c r="I104" s="195"/>
    </row>
    <row r="105" spans="1:9" ht="12.75" customHeight="1" x14ac:dyDescent="0.35">
      <c r="A105" s="191">
        <v>42981</v>
      </c>
      <c r="B105" s="192">
        <v>6</v>
      </c>
      <c r="C105" s="192">
        <v>89</v>
      </c>
      <c r="D105" s="193">
        <f t="shared" si="4"/>
        <v>83</v>
      </c>
      <c r="E105" s="193">
        <v>40</v>
      </c>
      <c r="F105" s="194" t="str">
        <f t="shared" si="3"/>
        <v>Fail</v>
      </c>
      <c r="G105" s="188">
        <v>1159</v>
      </c>
      <c r="H105" s="188" t="s">
        <v>108</v>
      </c>
      <c r="I105" s="195"/>
    </row>
    <row r="106" spans="1:9" ht="12.75" customHeight="1" x14ac:dyDescent="0.35">
      <c r="A106" s="191">
        <v>42981</v>
      </c>
      <c r="B106" s="192">
        <v>11</v>
      </c>
      <c r="C106" s="192">
        <v>153</v>
      </c>
      <c r="D106" s="193">
        <f t="shared" si="4"/>
        <v>142</v>
      </c>
      <c r="E106" s="193">
        <v>40</v>
      </c>
      <c r="F106" s="194" t="str">
        <f t="shared" si="3"/>
        <v>Fail</v>
      </c>
      <c r="G106" s="188">
        <v>1159</v>
      </c>
      <c r="H106" s="188" t="s">
        <v>109</v>
      </c>
      <c r="I106" s="195"/>
    </row>
    <row r="107" spans="1:9" ht="12.75" customHeight="1" x14ac:dyDescent="0.35">
      <c r="A107" s="191">
        <v>42981</v>
      </c>
      <c r="B107" s="192">
        <v>7</v>
      </c>
      <c r="C107" s="192">
        <v>146</v>
      </c>
      <c r="D107" s="193">
        <f t="shared" si="4"/>
        <v>139</v>
      </c>
      <c r="E107" s="193">
        <v>40</v>
      </c>
      <c r="F107" s="194" t="str">
        <f t="shared" si="3"/>
        <v>Fail</v>
      </c>
      <c r="G107" s="188">
        <v>1159</v>
      </c>
      <c r="H107" s="188" t="s">
        <v>110</v>
      </c>
      <c r="I107" s="195"/>
    </row>
    <row r="108" spans="1:9" ht="12.75" customHeight="1" x14ac:dyDescent="0.35">
      <c r="A108" s="191">
        <v>42981</v>
      </c>
      <c r="B108" s="192">
        <v>15</v>
      </c>
      <c r="C108" s="192">
        <v>136</v>
      </c>
      <c r="D108" s="193">
        <f t="shared" si="4"/>
        <v>121</v>
      </c>
      <c r="E108" s="193">
        <v>40</v>
      </c>
      <c r="F108" s="194" t="str">
        <f t="shared" si="3"/>
        <v>Fail</v>
      </c>
      <c r="G108" s="188">
        <v>1159</v>
      </c>
      <c r="H108" s="188" t="s">
        <v>111</v>
      </c>
      <c r="I108" s="195"/>
    </row>
    <row r="109" spans="1:9" ht="12.75" customHeight="1" x14ac:dyDescent="0.35">
      <c r="A109" s="191">
        <v>42981</v>
      </c>
      <c r="B109" s="192">
        <v>4</v>
      </c>
      <c r="C109" s="192">
        <v>126</v>
      </c>
      <c r="D109" s="193">
        <f t="shared" si="4"/>
        <v>122</v>
      </c>
      <c r="E109" s="193">
        <v>40</v>
      </c>
      <c r="F109" s="194" t="str">
        <f t="shared" si="3"/>
        <v>Fail</v>
      </c>
      <c r="G109" s="188">
        <v>1159</v>
      </c>
      <c r="H109" s="188" t="s">
        <v>112</v>
      </c>
      <c r="I109" s="195"/>
    </row>
    <row r="110" spans="1:9" ht="12.75" customHeight="1" x14ac:dyDescent="0.35">
      <c r="A110" s="191">
        <v>42981</v>
      </c>
      <c r="B110" s="192">
        <v>7</v>
      </c>
      <c r="C110" s="192">
        <v>260</v>
      </c>
      <c r="D110" s="193">
        <f t="shared" si="4"/>
        <v>253</v>
      </c>
      <c r="E110" s="193">
        <v>40</v>
      </c>
      <c r="F110" s="194" t="str">
        <f t="shared" si="3"/>
        <v>Fail</v>
      </c>
      <c r="G110" s="188">
        <v>1159</v>
      </c>
      <c r="H110" s="188" t="s">
        <v>113</v>
      </c>
      <c r="I110" s="195"/>
    </row>
    <row r="111" spans="1:9" ht="12.75" customHeight="1" x14ac:dyDescent="0.35">
      <c r="A111" s="191">
        <v>42981</v>
      </c>
      <c r="B111" s="192">
        <v>10</v>
      </c>
      <c r="C111" s="192">
        <v>46</v>
      </c>
      <c r="D111" s="193">
        <f t="shared" si="4"/>
        <v>36</v>
      </c>
      <c r="E111" s="193">
        <v>40</v>
      </c>
      <c r="F111" s="194" t="str">
        <f t="shared" si="3"/>
        <v>Pass</v>
      </c>
      <c r="G111" s="188">
        <v>1159</v>
      </c>
      <c r="H111" s="188" t="s">
        <v>114</v>
      </c>
      <c r="I111" s="195"/>
    </row>
    <row r="112" spans="1:9" ht="12.75" customHeight="1" x14ac:dyDescent="0.35">
      <c r="A112" s="191">
        <v>42261</v>
      </c>
      <c r="B112" s="192">
        <v>37</v>
      </c>
      <c r="C112" s="192">
        <v>129</v>
      </c>
      <c r="D112" s="193">
        <f t="shared" si="4"/>
        <v>92</v>
      </c>
      <c r="E112" s="193">
        <v>40</v>
      </c>
      <c r="F112" s="194" t="str">
        <f t="shared" si="3"/>
        <v>Fail</v>
      </c>
      <c r="G112" s="188">
        <v>121</v>
      </c>
      <c r="H112" s="188"/>
      <c r="I112" s="195"/>
    </row>
    <row r="113" spans="1:9" ht="12.75" customHeight="1" x14ac:dyDescent="0.35">
      <c r="A113" s="191">
        <v>42261</v>
      </c>
      <c r="B113" s="192">
        <v>24</v>
      </c>
      <c r="C113" s="192">
        <v>119</v>
      </c>
      <c r="D113" s="193">
        <f t="shared" si="4"/>
        <v>95</v>
      </c>
      <c r="E113" s="193">
        <v>40</v>
      </c>
      <c r="F113" s="194" t="str">
        <f t="shared" si="3"/>
        <v>Fail</v>
      </c>
      <c r="G113" s="188">
        <v>121</v>
      </c>
      <c r="H113" s="188"/>
      <c r="I113" s="195"/>
    </row>
    <row r="114" spans="1:9" ht="12.75" customHeight="1" x14ac:dyDescent="0.35">
      <c r="A114" s="191">
        <v>42997</v>
      </c>
      <c r="B114" s="192">
        <v>1</v>
      </c>
      <c r="C114" s="192">
        <v>30</v>
      </c>
      <c r="D114" s="193">
        <f t="shared" si="4"/>
        <v>29</v>
      </c>
      <c r="E114" s="193">
        <v>40</v>
      </c>
      <c r="F114" s="194" t="str">
        <f t="shared" si="3"/>
        <v>Pass</v>
      </c>
      <c r="G114" s="188">
        <v>1335</v>
      </c>
      <c r="H114" s="188" t="s">
        <v>304</v>
      </c>
      <c r="I114" s="195"/>
    </row>
    <row r="115" spans="1:9" ht="12.75" customHeight="1" x14ac:dyDescent="0.35">
      <c r="A115" s="191">
        <v>43004</v>
      </c>
      <c r="B115" s="192">
        <v>4</v>
      </c>
      <c r="C115" s="192">
        <v>65</v>
      </c>
      <c r="D115" s="193">
        <f t="shared" si="4"/>
        <v>61</v>
      </c>
      <c r="E115" s="193">
        <v>40</v>
      </c>
      <c r="F115" s="194" t="str">
        <f t="shared" si="3"/>
        <v>Fail</v>
      </c>
      <c r="G115" s="188">
        <v>121</v>
      </c>
      <c r="H115" s="188" t="s">
        <v>115</v>
      </c>
      <c r="I115" s="195"/>
    </row>
    <row r="116" spans="1:9" ht="12.75" customHeight="1" x14ac:dyDescent="0.35">
      <c r="A116" s="191">
        <v>43004</v>
      </c>
      <c r="B116" s="192">
        <v>3</v>
      </c>
      <c r="C116" s="192">
        <v>114</v>
      </c>
      <c r="D116" s="193">
        <f t="shared" si="4"/>
        <v>111</v>
      </c>
      <c r="E116" s="193">
        <v>40</v>
      </c>
      <c r="F116" s="194" t="str">
        <f t="shared" si="3"/>
        <v>Fail</v>
      </c>
      <c r="G116" s="188">
        <v>121</v>
      </c>
      <c r="H116" s="188" t="s">
        <v>116</v>
      </c>
      <c r="I116" s="195"/>
    </row>
    <row r="117" spans="1:9" ht="12.75" customHeight="1" x14ac:dyDescent="0.35">
      <c r="A117" s="191">
        <v>43005</v>
      </c>
      <c r="B117" s="192">
        <v>10</v>
      </c>
      <c r="C117" s="192">
        <v>54</v>
      </c>
      <c r="D117" s="193">
        <f t="shared" si="4"/>
        <v>44</v>
      </c>
      <c r="E117" s="193">
        <v>40</v>
      </c>
      <c r="F117" s="194" t="str">
        <f t="shared" si="3"/>
        <v>Fail</v>
      </c>
      <c r="G117" s="188">
        <v>121</v>
      </c>
      <c r="H117" s="188" t="s">
        <v>117</v>
      </c>
      <c r="I117" s="195"/>
    </row>
    <row r="118" spans="1:9" ht="12.75" customHeight="1" x14ac:dyDescent="0.35">
      <c r="A118" s="191">
        <v>43006</v>
      </c>
      <c r="B118" s="192">
        <v>6</v>
      </c>
      <c r="C118" s="192">
        <v>23</v>
      </c>
      <c r="D118" s="193">
        <f t="shared" si="4"/>
        <v>17</v>
      </c>
      <c r="E118" s="193">
        <v>40</v>
      </c>
      <c r="F118" s="194" t="str">
        <f t="shared" si="3"/>
        <v>Pass</v>
      </c>
      <c r="G118" s="188">
        <v>121</v>
      </c>
      <c r="H118" s="188" t="s">
        <v>87</v>
      </c>
      <c r="I118" s="195"/>
    </row>
    <row r="119" spans="1:9" ht="12.75" customHeight="1" x14ac:dyDescent="0.35">
      <c r="A119" s="191">
        <v>43011</v>
      </c>
      <c r="B119" s="192">
        <v>9</v>
      </c>
      <c r="C119" s="192">
        <v>37</v>
      </c>
      <c r="D119" s="193">
        <f t="shared" si="4"/>
        <v>28</v>
      </c>
      <c r="E119" s="193">
        <v>40</v>
      </c>
      <c r="F119" s="194" t="str">
        <f t="shared" si="3"/>
        <v>Pass</v>
      </c>
      <c r="G119" s="188">
        <v>1428</v>
      </c>
      <c r="H119" s="188"/>
      <c r="I119" s="195"/>
    </row>
    <row r="120" spans="1:9" ht="12.75" customHeight="1" x14ac:dyDescent="0.35">
      <c r="A120" s="191">
        <v>43018</v>
      </c>
      <c r="B120" s="192">
        <v>11</v>
      </c>
      <c r="C120" s="192">
        <v>21</v>
      </c>
      <c r="D120" s="193">
        <f t="shared" si="4"/>
        <v>10</v>
      </c>
      <c r="E120" s="193">
        <v>40</v>
      </c>
      <c r="F120" s="194" t="str">
        <f t="shared" si="3"/>
        <v>Pass</v>
      </c>
      <c r="G120" s="188">
        <v>1428</v>
      </c>
      <c r="H120" s="188"/>
      <c r="I120" s="195"/>
    </row>
    <row r="121" spans="1:9" ht="12.75" customHeight="1" x14ac:dyDescent="0.35">
      <c r="A121" s="191">
        <v>43025</v>
      </c>
      <c r="B121" s="192">
        <v>37</v>
      </c>
      <c r="C121" s="192">
        <v>85</v>
      </c>
      <c r="D121" s="193">
        <f t="shared" si="4"/>
        <v>48</v>
      </c>
      <c r="E121" s="193">
        <v>40</v>
      </c>
      <c r="F121" s="194" t="str">
        <f t="shared" si="3"/>
        <v>Fail</v>
      </c>
      <c r="G121" s="188">
        <v>102</v>
      </c>
      <c r="H121" s="188" t="s">
        <v>118</v>
      </c>
      <c r="I121" s="195"/>
    </row>
    <row r="122" spans="1:9" ht="12.75" customHeight="1" x14ac:dyDescent="0.35">
      <c r="A122" s="191">
        <v>43025</v>
      </c>
      <c r="B122" s="192">
        <v>4</v>
      </c>
      <c r="C122" s="192">
        <v>54</v>
      </c>
      <c r="D122" s="193">
        <f t="shared" si="4"/>
        <v>50</v>
      </c>
      <c r="E122" s="193">
        <v>40</v>
      </c>
      <c r="F122" s="194" t="str">
        <f t="shared" si="3"/>
        <v>Fail</v>
      </c>
      <c r="G122" s="188">
        <v>102</v>
      </c>
      <c r="H122" s="188" t="s">
        <v>119</v>
      </c>
      <c r="I122" s="195"/>
    </row>
    <row r="123" spans="1:9" ht="12.75" customHeight="1" x14ac:dyDescent="0.35">
      <c r="A123" s="191">
        <v>43026</v>
      </c>
      <c r="B123" s="196">
        <v>7</v>
      </c>
      <c r="C123" s="196">
        <v>60</v>
      </c>
      <c r="D123" s="197">
        <f t="shared" si="4"/>
        <v>53</v>
      </c>
      <c r="E123" s="197">
        <v>40</v>
      </c>
      <c r="F123" s="194" t="str">
        <f t="shared" si="3"/>
        <v>Fail</v>
      </c>
      <c r="G123" s="189">
        <v>1335</v>
      </c>
      <c r="H123" s="188" t="s">
        <v>120</v>
      </c>
      <c r="I123" s="195"/>
    </row>
    <row r="124" spans="1:9" ht="12.75" customHeight="1" x14ac:dyDescent="0.35">
      <c r="A124" s="191">
        <v>43026</v>
      </c>
      <c r="B124" s="196">
        <v>5</v>
      </c>
      <c r="C124" s="196">
        <v>65</v>
      </c>
      <c r="D124" s="197">
        <f t="shared" si="4"/>
        <v>60</v>
      </c>
      <c r="E124" s="197">
        <v>40</v>
      </c>
      <c r="F124" s="194" t="str">
        <f t="shared" si="3"/>
        <v>Fail</v>
      </c>
      <c r="G124" s="189">
        <v>1335</v>
      </c>
      <c r="H124" s="188" t="s">
        <v>121</v>
      </c>
      <c r="I124" s="195"/>
    </row>
    <row r="125" spans="1:9" ht="12.75" customHeight="1" x14ac:dyDescent="0.35">
      <c r="A125" s="191">
        <v>43031</v>
      </c>
      <c r="B125" s="196">
        <v>20</v>
      </c>
      <c r="C125" s="196">
        <v>67</v>
      </c>
      <c r="D125" s="197">
        <f t="shared" si="4"/>
        <v>47</v>
      </c>
      <c r="E125" s="197">
        <v>40</v>
      </c>
      <c r="F125" s="194" t="str">
        <f t="shared" si="3"/>
        <v>Fail</v>
      </c>
      <c r="G125" s="189">
        <v>1159</v>
      </c>
      <c r="H125" s="188" t="s">
        <v>122</v>
      </c>
      <c r="I125" s="195"/>
    </row>
    <row r="126" spans="1:9" ht="12.75" customHeight="1" x14ac:dyDescent="0.35">
      <c r="A126" s="191">
        <v>43031</v>
      </c>
      <c r="B126" s="196">
        <v>1</v>
      </c>
      <c r="C126" s="196">
        <v>50</v>
      </c>
      <c r="D126" s="197">
        <f t="shared" si="4"/>
        <v>49</v>
      </c>
      <c r="E126" s="197">
        <v>40</v>
      </c>
      <c r="F126" s="194" t="str">
        <f t="shared" si="3"/>
        <v>Fail</v>
      </c>
      <c r="G126" s="189">
        <v>1159</v>
      </c>
      <c r="H126" s="188" t="s">
        <v>123</v>
      </c>
      <c r="I126" s="195"/>
    </row>
    <row r="127" spans="1:9" ht="12.75" customHeight="1" x14ac:dyDescent="0.35">
      <c r="A127" s="191">
        <v>43031</v>
      </c>
      <c r="B127" s="196">
        <v>3</v>
      </c>
      <c r="C127" s="196">
        <v>27</v>
      </c>
      <c r="D127" s="197">
        <f>IF(((B127="")*AND(C127="")),"",C127-B127)</f>
        <v>24</v>
      </c>
      <c r="E127" s="197">
        <v>40</v>
      </c>
      <c r="F127" s="194" t="str">
        <f>IF(D127="","",IF(D127&lt;=40,"Pass","Fail"))</f>
        <v>Pass</v>
      </c>
      <c r="G127" s="189">
        <v>1534</v>
      </c>
      <c r="H127" s="188" t="s">
        <v>124</v>
      </c>
      <c r="I127" s="195"/>
    </row>
    <row r="128" spans="1:9" ht="12.75" customHeight="1" x14ac:dyDescent="0.35">
      <c r="A128" s="191">
        <v>43039</v>
      </c>
      <c r="B128" s="196">
        <v>26</v>
      </c>
      <c r="C128" s="196">
        <v>79</v>
      </c>
      <c r="D128" s="197">
        <f>IF(((B128="")*AND(C128="")),"",C128-B128)</f>
        <v>53</v>
      </c>
      <c r="E128" s="197">
        <v>40</v>
      </c>
      <c r="F128" s="194" t="str">
        <f>IF(D128="","",IF(D128&lt;=40,"Pass","Fail"))</f>
        <v>Fail</v>
      </c>
      <c r="G128" s="189">
        <v>1428</v>
      </c>
      <c r="H128" s="188" t="s">
        <v>125</v>
      </c>
      <c r="I128" s="195"/>
    </row>
    <row r="129" spans="1:9" ht="12.75" customHeight="1" x14ac:dyDescent="0.35">
      <c r="A129" s="191">
        <v>43039</v>
      </c>
      <c r="B129" s="196">
        <v>6</v>
      </c>
      <c r="C129" s="196">
        <v>140</v>
      </c>
      <c r="D129" s="197">
        <f>IF(((B129="")*AND(C129="")),"",C129-B129)</f>
        <v>134</v>
      </c>
      <c r="E129" s="197">
        <v>40</v>
      </c>
      <c r="F129" s="194" t="str">
        <f>IF(D129="","",IF(D129&lt;=40,"Pass","Fail"))</f>
        <v>Fail</v>
      </c>
      <c r="G129" s="189">
        <v>1428</v>
      </c>
      <c r="H129" s="188" t="s">
        <v>126</v>
      </c>
      <c r="I129" s="195"/>
    </row>
    <row r="130" spans="1:9" ht="12.75" customHeight="1" x14ac:dyDescent="0.35">
      <c r="A130" s="191">
        <v>43039</v>
      </c>
      <c r="B130" s="196">
        <v>8</v>
      </c>
      <c r="C130" s="196">
        <v>59</v>
      </c>
      <c r="D130" s="197">
        <f>IF(((B130="")*AND(C130="")),"",C130-B130)</f>
        <v>51</v>
      </c>
      <c r="E130" s="197">
        <v>40</v>
      </c>
      <c r="F130" s="194" t="str">
        <f>IF(D130="","",IF(D130&lt;=40,"Pass","Fail"))</f>
        <v>Fail</v>
      </c>
      <c r="G130" s="189">
        <v>1335</v>
      </c>
      <c r="H130" s="188" t="s">
        <v>127</v>
      </c>
      <c r="I130" s="195"/>
    </row>
    <row r="131" spans="1:9" ht="12.75" customHeight="1" x14ac:dyDescent="0.35">
      <c r="A131" s="191">
        <v>43039</v>
      </c>
      <c r="B131" s="196">
        <v>3</v>
      </c>
      <c r="C131" s="196">
        <v>383</v>
      </c>
      <c r="D131" s="197">
        <f t="shared" ref="D131:D195" si="5">IF(((B131="")*AND(C131="")),"",C131-B131)</f>
        <v>380</v>
      </c>
      <c r="E131" s="197">
        <v>40</v>
      </c>
      <c r="F131" s="194" t="str">
        <f t="shared" ref="F131:F195" si="6">IF(D131="","",IF(D131&lt;=40,"Pass","Fail"))</f>
        <v>Fail</v>
      </c>
      <c r="G131" s="189">
        <v>1335</v>
      </c>
      <c r="H131" s="188" t="s">
        <v>128</v>
      </c>
      <c r="I131" s="195"/>
    </row>
    <row r="132" spans="1:9" ht="12.75" customHeight="1" x14ac:dyDescent="0.35">
      <c r="A132" s="191">
        <v>43040</v>
      </c>
      <c r="B132" s="196">
        <v>10</v>
      </c>
      <c r="C132" s="196">
        <v>106</v>
      </c>
      <c r="D132" s="197">
        <f t="shared" si="5"/>
        <v>96</v>
      </c>
      <c r="E132" s="197">
        <v>40</v>
      </c>
      <c r="F132" s="194" t="str">
        <f t="shared" si="6"/>
        <v>Fail</v>
      </c>
      <c r="G132" s="189">
        <v>121</v>
      </c>
      <c r="H132" s="188" t="s">
        <v>129</v>
      </c>
      <c r="I132" s="195"/>
    </row>
    <row r="133" spans="1:9" ht="12.75" customHeight="1" x14ac:dyDescent="0.35">
      <c r="A133" s="191">
        <v>43040</v>
      </c>
      <c r="B133" s="196">
        <v>3</v>
      </c>
      <c r="C133" s="196">
        <v>48</v>
      </c>
      <c r="D133" s="197">
        <f t="shared" si="5"/>
        <v>45</v>
      </c>
      <c r="E133" s="197">
        <v>40</v>
      </c>
      <c r="F133" s="194" t="str">
        <f t="shared" si="6"/>
        <v>Fail</v>
      </c>
      <c r="G133" s="189">
        <v>121</v>
      </c>
      <c r="H133" s="188" t="s">
        <v>130</v>
      </c>
      <c r="I133" s="195"/>
    </row>
    <row r="134" spans="1:9" ht="12.75" customHeight="1" x14ac:dyDescent="0.35">
      <c r="A134" s="191">
        <v>43040</v>
      </c>
      <c r="B134" s="196">
        <v>8</v>
      </c>
      <c r="C134" s="196">
        <v>136</v>
      </c>
      <c r="D134" s="197">
        <f t="shared" si="5"/>
        <v>128</v>
      </c>
      <c r="E134" s="197">
        <v>40</v>
      </c>
      <c r="F134" s="194" t="str">
        <f t="shared" si="6"/>
        <v>Fail</v>
      </c>
      <c r="G134" s="189">
        <v>102</v>
      </c>
      <c r="H134" s="188" t="s">
        <v>131</v>
      </c>
      <c r="I134" s="195"/>
    </row>
    <row r="135" spans="1:9" ht="12.75" customHeight="1" x14ac:dyDescent="0.35">
      <c r="A135" s="191">
        <v>43040</v>
      </c>
      <c r="B135" s="196">
        <v>6</v>
      </c>
      <c r="C135" s="196">
        <v>91</v>
      </c>
      <c r="D135" s="197">
        <f t="shared" si="5"/>
        <v>85</v>
      </c>
      <c r="E135" s="197">
        <v>40</v>
      </c>
      <c r="F135" s="194" t="str">
        <f>IF(D135="","",IF(D135&lt;=40,"Pass","Fail"))</f>
        <v>Fail</v>
      </c>
      <c r="G135" s="189">
        <v>102</v>
      </c>
      <c r="H135" s="188" t="s">
        <v>132</v>
      </c>
      <c r="I135" s="195"/>
    </row>
    <row r="136" spans="1:9" ht="12.75" customHeight="1" x14ac:dyDescent="0.35">
      <c r="A136" s="191">
        <v>43045</v>
      </c>
      <c r="B136" s="196">
        <v>7</v>
      </c>
      <c r="C136" s="196">
        <v>68</v>
      </c>
      <c r="D136" s="197">
        <f t="shared" si="5"/>
        <v>61</v>
      </c>
      <c r="E136" s="197">
        <v>40</v>
      </c>
      <c r="F136" s="194" t="str">
        <f t="shared" si="6"/>
        <v>Fail</v>
      </c>
      <c r="G136" s="189">
        <v>1159</v>
      </c>
      <c r="H136" s="188" t="s">
        <v>133</v>
      </c>
      <c r="I136" s="195"/>
    </row>
    <row r="137" spans="1:9" ht="12.75" customHeight="1" x14ac:dyDescent="0.35">
      <c r="A137" s="191">
        <v>43047</v>
      </c>
      <c r="B137" s="196">
        <v>4</v>
      </c>
      <c r="C137" s="196">
        <v>34</v>
      </c>
      <c r="D137" s="197">
        <f t="shared" si="5"/>
        <v>30</v>
      </c>
      <c r="E137" s="197">
        <v>40</v>
      </c>
      <c r="F137" s="194" t="str">
        <f t="shared" si="6"/>
        <v>Pass</v>
      </c>
      <c r="G137" s="189">
        <v>102</v>
      </c>
      <c r="H137" s="188" t="s">
        <v>57</v>
      </c>
      <c r="I137" s="195"/>
    </row>
    <row r="138" spans="1:9" ht="12.75" customHeight="1" x14ac:dyDescent="0.35">
      <c r="A138" s="191">
        <v>43053</v>
      </c>
      <c r="B138" s="196">
        <v>25</v>
      </c>
      <c r="C138" s="196">
        <v>79</v>
      </c>
      <c r="D138" s="197">
        <f t="shared" si="5"/>
        <v>54</v>
      </c>
      <c r="E138" s="197">
        <v>40</v>
      </c>
      <c r="F138" s="194" t="str">
        <f t="shared" si="6"/>
        <v>Fail</v>
      </c>
      <c r="G138" s="189">
        <v>1159</v>
      </c>
      <c r="H138" s="188" t="s">
        <v>132</v>
      </c>
      <c r="I138" s="195"/>
    </row>
    <row r="139" spans="1:9" ht="12.75" customHeight="1" x14ac:dyDescent="0.35">
      <c r="A139" s="191">
        <v>43054</v>
      </c>
      <c r="B139" s="196">
        <v>5</v>
      </c>
      <c r="C139" s="196">
        <v>85</v>
      </c>
      <c r="D139" s="197">
        <f t="shared" si="5"/>
        <v>80</v>
      </c>
      <c r="E139" s="197">
        <v>40</v>
      </c>
      <c r="F139" s="194" t="str">
        <f t="shared" si="6"/>
        <v>Fail</v>
      </c>
      <c r="G139" s="189">
        <v>1159</v>
      </c>
      <c r="H139" s="188" t="s">
        <v>132</v>
      </c>
      <c r="I139" s="195"/>
    </row>
    <row r="140" spans="1:9" ht="12.75" customHeight="1" x14ac:dyDescent="0.35">
      <c r="A140" s="191">
        <v>43055</v>
      </c>
      <c r="B140" s="196">
        <v>3</v>
      </c>
      <c r="C140" s="196">
        <v>73</v>
      </c>
      <c r="D140" s="197">
        <f t="shared" si="5"/>
        <v>70</v>
      </c>
      <c r="E140" s="197">
        <v>40</v>
      </c>
      <c r="F140" s="194" t="str">
        <f t="shared" si="6"/>
        <v>Fail</v>
      </c>
      <c r="G140" s="189">
        <v>102</v>
      </c>
      <c r="H140" s="188" t="s">
        <v>134</v>
      </c>
      <c r="I140" s="195"/>
    </row>
    <row r="141" spans="1:9" ht="12.75" customHeight="1" x14ac:dyDescent="0.35">
      <c r="A141" s="191">
        <v>43055</v>
      </c>
      <c r="B141" s="196">
        <v>1</v>
      </c>
      <c r="C141" s="196">
        <v>1</v>
      </c>
      <c r="D141" s="197">
        <f t="shared" si="5"/>
        <v>0</v>
      </c>
      <c r="E141" s="197">
        <v>40</v>
      </c>
      <c r="F141" s="194" t="str">
        <f t="shared" si="6"/>
        <v>Pass</v>
      </c>
      <c r="G141" s="189">
        <v>102</v>
      </c>
      <c r="H141" s="188" t="s">
        <v>135</v>
      </c>
      <c r="I141" s="195"/>
    </row>
    <row r="142" spans="1:9" ht="12.75" customHeight="1" x14ac:dyDescent="0.35">
      <c r="A142" s="191">
        <v>43063</v>
      </c>
      <c r="B142" s="196">
        <v>5</v>
      </c>
      <c r="C142" s="196">
        <v>56</v>
      </c>
      <c r="D142" s="197">
        <f t="shared" si="5"/>
        <v>51</v>
      </c>
      <c r="E142" s="197">
        <v>40</v>
      </c>
      <c r="F142" s="194" t="str">
        <f t="shared" si="6"/>
        <v>Fail</v>
      </c>
      <c r="G142" s="189">
        <v>121</v>
      </c>
      <c r="H142" s="188" t="s">
        <v>136</v>
      </c>
      <c r="I142" s="195"/>
    </row>
    <row r="143" spans="1:9" ht="12.75" customHeight="1" x14ac:dyDescent="0.35">
      <c r="A143" s="191">
        <v>43063</v>
      </c>
      <c r="B143" s="196">
        <v>5</v>
      </c>
      <c r="C143" s="196">
        <v>56</v>
      </c>
      <c r="D143" s="197">
        <f>IF(((B143="")*AND(C143="")),"",C143-B143)</f>
        <v>51</v>
      </c>
      <c r="E143" s="197">
        <v>40</v>
      </c>
      <c r="F143" s="194" t="str">
        <f>IF(D143="","",IF(D143&lt;=40,"Pass","Fail"))</f>
        <v>Fail</v>
      </c>
      <c r="G143" s="189">
        <v>121</v>
      </c>
      <c r="H143" s="188" t="s">
        <v>87</v>
      </c>
      <c r="I143" s="195"/>
    </row>
    <row r="144" spans="1:9" ht="12.75" customHeight="1" x14ac:dyDescent="0.35">
      <c r="A144" s="191">
        <v>43075</v>
      </c>
      <c r="B144" s="196">
        <v>15</v>
      </c>
      <c r="C144" s="196">
        <v>359</v>
      </c>
      <c r="D144" s="197">
        <f t="shared" si="5"/>
        <v>344</v>
      </c>
      <c r="E144" s="197">
        <v>40</v>
      </c>
      <c r="F144" s="194" t="str">
        <f t="shared" si="6"/>
        <v>Fail</v>
      </c>
      <c r="G144" s="189">
        <v>102</v>
      </c>
      <c r="H144" s="188" t="s">
        <v>137</v>
      </c>
      <c r="I144" s="195"/>
    </row>
    <row r="145" spans="1:9" ht="12.75" customHeight="1" x14ac:dyDescent="0.35">
      <c r="A145" s="191">
        <v>43075</v>
      </c>
      <c r="B145" s="196">
        <v>6</v>
      </c>
      <c r="C145" s="196">
        <v>223</v>
      </c>
      <c r="D145" s="197">
        <f t="shared" si="5"/>
        <v>217</v>
      </c>
      <c r="E145" s="197">
        <v>40</v>
      </c>
      <c r="F145" s="194" t="str">
        <f t="shared" si="6"/>
        <v>Fail</v>
      </c>
      <c r="G145" s="189">
        <v>102</v>
      </c>
      <c r="H145" s="188" t="s">
        <v>138</v>
      </c>
      <c r="I145" s="200"/>
    </row>
    <row r="146" spans="1:9" ht="12.75" customHeight="1" x14ac:dyDescent="0.35">
      <c r="A146" s="191">
        <v>43076</v>
      </c>
      <c r="B146" s="196">
        <v>9</v>
      </c>
      <c r="C146" s="196">
        <v>153</v>
      </c>
      <c r="D146" s="197">
        <f>IF(((B146="")*AND(C146="")),"",C146-B146)</f>
        <v>144</v>
      </c>
      <c r="E146" s="197">
        <v>40</v>
      </c>
      <c r="F146" s="194" t="str">
        <f>IF(D146="","",IF(D146&lt;=40,"Pass","Fail"))</f>
        <v>Fail</v>
      </c>
      <c r="G146" s="189">
        <v>102</v>
      </c>
      <c r="H146" s="188"/>
      <c r="I146" s="200"/>
    </row>
    <row r="147" spans="1:9" ht="12.75" customHeight="1" x14ac:dyDescent="0.35">
      <c r="A147" s="191">
        <v>43080</v>
      </c>
      <c r="B147" s="196">
        <v>5</v>
      </c>
      <c r="C147" s="196">
        <v>93</v>
      </c>
      <c r="D147" s="197">
        <f t="shared" si="5"/>
        <v>88</v>
      </c>
      <c r="E147" s="197">
        <v>40</v>
      </c>
      <c r="F147" s="194" t="str">
        <f t="shared" si="6"/>
        <v>Fail</v>
      </c>
      <c r="G147" s="189">
        <v>102</v>
      </c>
      <c r="H147" s="188"/>
      <c r="I147" s="195"/>
    </row>
    <row r="148" spans="1:9" ht="12.75" customHeight="1" x14ac:dyDescent="0.35">
      <c r="A148" s="191">
        <v>43091</v>
      </c>
      <c r="B148" s="196">
        <v>4</v>
      </c>
      <c r="C148" s="196">
        <v>96</v>
      </c>
      <c r="D148" s="197">
        <f t="shared" si="5"/>
        <v>92</v>
      </c>
      <c r="E148" s="197">
        <v>40</v>
      </c>
      <c r="F148" s="194" t="str">
        <f t="shared" si="6"/>
        <v>Fail</v>
      </c>
      <c r="G148" s="189">
        <v>121</v>
      </c>
      <c r="H148" s="188"/>
      <c r="I148" s="195"/>
    </row>
    <row r="149" spans="1:9" ht="12.75" customHeight="1" x14ac:dyDescent="0.35">
      <c r="A149" s="191">
        <v>43091</v>
      </c>
      <c r="B149" s="196">
        <v>11</v>
      </c>
      <c r="C149" s="196">
        <v>54</v>
      </c>
      <c r="D149" s="197">
        <f t="shared" si="5"/>
        <v>43</v>
      </c>
      <c r="E149" s="197">
        <v>40</v>
      </c>
      <c r="F149" s="194" t="str">
        <f t="shared" si="6"/>
        <v>Fail</v>
      </c>
      <c r="G149" s="189">
        <v>1428</v>
      </c>
      <c r="H149" s="188" t="s">
        <v>139</v>
      </c>
      <c r="I149" s="195"/>
    </row>
    <row r="150" spans="1:9" ht="12.75" customHeight="1" x14ac:dyDescent="0.35">
      <c r="A150" s="191">
        <v>43092</v>
      </c>
      <c r="B150" s="196">
        <v>3</v>
      </c>
      <c r="C150" s="196">
        <v>51</v>
      </c>
      <c r="D150" s="197">
        <f t="shared" si="5"/>
        <v>48</v>
      </c>
      <c r="E150" s="197">
        <v>40</v>
      </c>
      <c r="F150" s="194" t="str">
        <f t="shared" si="6"/>
        <v>Fail</v>
      </c>
      <c r="G150" s="189">
        <v>1159</v>
      </c>
      <c r="H150" s="188" t="s">
        <v>140</v>
      </c>
      <c r="I150" s="195"/>
    </row>
    <row r="151" spans="1:9" ht="12.75" customHeight="1" x14ac:dyDescent="0.35">
      <c r="A151" s="191">
        <v>43092</v>
      </c>
      <c r="B151" s="196">
        <v>3</v>
      </c>
      <c r="C151" s="196">
        <v>57</v>
      </c>
      <c r="D151" s="197">
        <f t="shared" si="5"/>
        <v>54</v>
      </c>
      <c r="E151" s="197">
        <v>40</v>
      </c>
      <c r="F151" s="194" t="str">
        <f t="shared" si="6"/>
        <v>Fail</v>
      </c>
      <c r="G151" s="189">
        <v>1159</v>
      </c>
      <c r="H151" s="188"/>
      <c r="I151" s="195"/>
    </row>
    <row r="152" spans="1:9" ht="12.75" customHeight="1" x14ac:dyDescent="0.35">
      <c r="A152" s="191">
        <v>43096</v>
      </c>
      <c r="B152" s="196">
        <v>14</v>
      </c>
      <c r="C152" s="196">
        <v>31</v>
      </c>
      <c r="D152" s="197">
        <f t="shared" si="5"/>
        <v>17</v>
      </c>
      <c r="E152" s="197">
        <v>40</v>
      </c>
      <c r="F152" s="194" t="str">
        <f t="shared" si="6"/>
        <v>Pass</v>
      </c>
      <c r="G152" s="189">
        <v>1428</v>
      </c>
      <c r="H152" s="188"/>
      <c r="I152" s="195"/>
    </row>
    <row r="153" spans="1:9" ht="12.75" customHeight="1" x14ac:dyDescent="0.35">
      <c r="A153" s="191">
        <v>43105</v>
      </c>
      <c r="B153" s="196">
        <v>9</v>
      </c>
      <c r="C153" s="196">
        <v>43</v>
      </c>
      <c r="D153" s="197">
        <f>IF(((B153="")*AND(C153="")),"",C153-B153)</f>
        <v>34</v>
      </c>
      <c r="E153" s="197">
        <v>40</v>
      </c>
      <c r="F153" s="194" t="str">
        <f>IF(D153="","",IF(D153&lt;=40,"Pass","Fail"))</f>
        <v>Pass</v>
      </c>
      <c r="G153" s="189">
        <v>64</v>
      </c>
      <c r="H153" s="188"/>
      <c r="I153" s="195"/>
    </row>
    <row r="154" spans="1:9" ht="12.75" customHeight="1" x14ac:dyDescent="0.35">
      <c r="A154" s="191">
        <v>43105</v>
      </c>
      <c r="B154" s="196">
        <v>3</v>
      </c>
      <c r="C154" s="196">
        <v>28</v>
      </c>
      <c r="D154" s="197">
        <f t="shared" si="5"/>
        <v>25</v>
      </c>
      <c r="E154" s="197">
        <v>40</v>
      </c>
      <c r="F154" s="194" t="str">
        <f t="shared" si="6"/>
        <v>Pass</v>
      </c>
      <c r="G154" s="189">
        <v>1335</v>
      </c>
      <c r="H154" s="188"/>
      <c r="I154" s="195"/>
    </row>
    <row r="155" spans="1:9" ht="12.75" customHeight="1" x14ac:dyDescent="0.35">
      <c r="A155" s="191">
        <v>43108</v>
      </c>
      <c r="B155" s="196">
        <v>9</v>
      </c>
      <c r="C155" s="196">
        <v>33</v>
      </c>
      <c r="D155" s="197">
        <f t="shared" si="5"/>
        <v>24</v>
      </c>
      <c r="E155" s="197">
        <v>40</v>
      </c>
      <c r="F155" s="194" t="str">
        <f t="shared" si="6"/>
        <v>Pass</v>
      </c>
      <c r="G155" s="189">
        <v>1335</v>
      </c>
      <c r="H155" s="188" t="s">
        <v>141</v>
      </c>
      <c r="I155" s="195"/>
    </row>
    <row r="156" spans="1:9" ht="12.75" customHeight="1" x14ac:dyDescent="0.35">
      <c r="A156" s="191">
        <v>43114</v>
      </c>
      <c r="B156" s="196">
        <v>10</v>
      </c>
      <c r="C156" s="196">
        <v>95</v>
      </c>
      <c r="D156" s="197">
        <f t="shared" si="5"/>
        <v>85</v>
      </c>
      <c r="E156" s="197">
        <v>40</v>
      </c>
      <c r="F156" s="194" t="str">
        <f t="shared" si="6"/>
        <v>Fail</v>
      </c>
      <c r="G156" s="189">
        <v>1335</v>
      </c>
      <c r="H156" s="188" t="s">
        <v>142</v>
      </c>
      <c r="I156" s="195"/>
    </row>
    <row r="157" spans="1:9" ht="12.75" customHeight="1" x14ac:dyDescent="0.35">
      <c r="A157" s="191">
        <v>43119</v>
      </c>
      <c r="B157" s="196">
        <v>5</v>
      </c>
      <c r="C157" s="196">
        <v>29</v>
      </c>
      <c r="D157" s="197">
        <f t="shared" si="5"/>
        <v>24</v>
      </c>
      <c r="E157" s="197">
        <v>40</v>
      </c>
      <c r="F157" s="194" t="str">
        <f t="shared" si="6"/>
        <v>Pass</v>
      </c>
      <c r="G157" s="189">
        <v>1519</v>
      </c>
      <c r="H157" s="188" t="s">
        <v>143</v>
      </c>
      <c r="I157" s="195"/>
    </row>
    <row r="158" spans="1:9" ht="12.75" customHeight="1" x14ac:dyDescent="0.35">
      <c r="A158" s="191">
        <v>43125</v>
      </c>
      <c r="B158" s="196">
        <v>27</v>
      </c>
      <c r="C158" s="196">
        <v>44</v>
      </c>
      <c r="D158" s="197">
        <f t="shared" si="5"/>
        <v>17</v>
      </c>
      <c r="E158" s="197">
        <v>40</v>
      </c>
      <c r="F158" s="194" t="str">
        <f t="shared" si="6"/>
        <v>Pass</v>
      </c>
      <c r="G158" s="189">
        <v>1428</v>
      </c>
      <c r="H158" s="188"/>
      <c r="I158" s="195"/>
    </row>
    <row r="159" spans="1:9" ht="12.75" customHeight="1" x14ac:dyDescent="0.35">
      <c r="A159" s="191">
        <v>43129</v>
      </c>
      <c r="B159" s="196">
        <v>2</v>
      </c>
      <c r="C159" s="196">
        <v>26</v>
      </c>
      <c r="D159" s="197">
        <f t="shared" si="5"/>
        <v>24</v>
      </c>
      <c r="E159" s="197">
        <v>40</v>
      </c>
      <c r="F159" s="194" t="str">
        <f t="shared" si="6"/>
        <v>Pass</v>
      </c>
      <c r="G159" s="189">
        <v>121</v>
      </c>
      <c r="H159" s="188" t="s">
        <v>144</v>
      </c>
      <c r="I159" s="195"/>
    </row>
    <row r="160" spans="1:9" ht="12.75" customHeight="1" x14ac:dyDescent="0.35">
      <c r="A160" s="191">
        <v>43135</v>
      </c>
      <c r="B160" s="196">
        <v>11</v>
      </c>
      <c r="C160" s="196">
        <v>53</v>
      </c>
      <c r="D160" s="197">
        <f t="shared" si="5"/>
        <v>42</v>
      </c>
      <c r="E160" s="197">
        <v>40</v>
      </c>
      <c r="F160" s="194" t="str">
        <f t="shared" si="6"/>
        <v>Fail</v>
      </c>
      <c r="G160" s="189">
        <v>1335</v>
      </c>
      <c r="H160" s="188" t="s">
        <v>145</v>
      </c>
      <c r="I160" s="195"/>
    </row>
    <row r="161" spans="1:9" ht="12.75" customHeight="1" x14ac:dyDescent="0.35">
      <c r="A161" s="191">
        <v>43140</v>
      </c>
      <c r="B161" s="196">
        <v>5</v>
      </c>
      <c r="C161" s="196">
        <v>69</v>
      </c>
      <c r="D161" s="197">
        <f t="shared" si="5"/>
        <v>64</v>
      </c>
      <c r="E161" s="197">
        <v>40</v>
      </c>
      <c r="F161" s="194" t="str">
        <f t="shared" si="6"/>
        <v>Fail</v>
      </c>
      <c r="G161" s="189">
        <v>1159</v>
      </c>
      <c r="H161" s="188"/>
      <c r="I161" s="195"/>
    </row>
    <row r="162" spans="1:9" ht="12.75" customHeight="1" x14ac:dyDescent="0.35">
      <c r="A162" s="191">
        <v>43140</v>
      </c>
      <c r="B162" s="196">
        <v>4</v>
      </c>
      <c r="C162" s="196">
        <v>38</v>
      </c>
      <c r="D162" s="197">
        <f t="shared" si="5"/>
        <v>34</v>
      </c>
      <c r="E162" s="197">
        <v>40</v>
      </c>
      <c r="F162" s="194" t="str">
        <f t="shared" si="6"/>
        <v>Pass</v>
      </c>
      <c r="G162" s="189">
        <v>1428</v>
      </c>
      <c r="H162" s="188" t="s">
        <v>146</v>
      </c>
      <c r="I162" s="195"/>
    </row>
    <row r="163" spans="1:9" ht="12.75" customHeight="1" x14ac:dyDescent="0.35">
      <c r="A163" s="191">
        <v>43140</v>
      </c>
      <c r="B163" s="196">
        <v>1</v>
      </c>
      <c r="C163" s="196">
        <v>7</v>
      </c>
      <c r="D163" s="197">
        <f>IF(((B163="")*AND(C163="")),"",C163-B163)</f>
        <v>6</v>
      </c>
      <c r="E163" s="197">
        <v>40</v>
      </c>
      <c r="F163" s="194" t="str">
        <f>IF(D163="","",IF(D163&lt;=40,"Pass","Fail"))</f>
        <v>Pass</v>
      </c>
      <c r="G163" s="189">
        <v>1428</v>
      </c>
      <c r="H163" s="188"/>
      <c r="I163" s="195"/>
    </row>
    <row r="164" spans="1:9" ht="12.75" customHeight="1" x14ac:dyDescent="0.35">
      <c r="A164" s="191">
        <v>43140</v>
      </c>
      <c r="B164" s="196">
        <v>4</v>
      </c>
      <c r="C164" s="196">
        <v>218</v>
      </c>
      <c r="D164" s="197">
        <f>IF(((B164="")*AND(C164="")),"",C164-B164)</f>
        <v>214</v>
      </c>
      <c r="E164" s="197">
        <v>40</v>
      </c>
      <c r="F164" s="194" t="str">
        <f>IF(D164="","",IF(D164&lt;=40,"Pass","Fail"))</f>
        <v>Fail</v>
      </c>
      <c r="G164" s="189">
        <v>102</v>
      </c>
      <c r="H164" s="188" t="s">
        <v>147</v>
      </c>
      <c r="I164" s="195"/>
    </row>
    <row r="165" spans="1:9" ht="12.75" customHeight="1" x14ac:dyDescent="0.35">
      <c r="A165" s="191">
        <v>43198</v>
      </c>
      <c r="B165" s="196">
        <v>3</v>
      </c>
      <c r="C165" s="196">
        <v>76</v>
      </c>
      <c r="D165" s="197">
        <f t="shared" si="5"/>
        <v>73</v>
      </c>
      <c r="E165" s="197">
        <v>40</v>
      </c>
      <c r="F165" s="194" t="str">
        <f t="shared" si="6"/>
        <v>Fail</v>
      </c>
      <c r="G165" s="189"/>
      <c r="H165" s="188"/>
      <c r="I165" s="195"/>
    </row>
    <row r="166" spans="1:9" ht="12.75" customHeight="1" x14ac:dyDescent="0.35">
      <c r="A166" s="191">
        <v>43294</v>
      </c>
      <c r="B166" s="196">
        <v>5</v>
      </c>
      <c r="C166" s="196">
        <v>47</v>
      </c>
      <c r="D166" s="197">
        <f t="shared" si="5"/>
        <v>42</v>
      </c>
      <c r="E166" s="197">
        <v>40</v>
      </c>
      <c r="F166" s="194" t="str">
        <f t="shared" si="6"/>
        <v>Fail</v>
      </c>
      <c r="G166" s="189">
        <v>1335</v>
      </c>
      <c r="H166" s="188"/>
      <c r="I166" s="195"/>
    </row>
    <row r="167" spans="1:9" ht="12.75" customHeight="1" x14ac:dyDescent="0.35">
      <c r="A167" s="191">
        <v>43296</v>
      </c>
      <c r="B167" s="196">
        <v>35</v>
      </c>
      <c r="C167" s="196">
        <v>68</v>
      </c>
      <c r="D167" s="197">
        <f t="shared" si="5"/>
        <v>33</v>
      </c>
      <c r="E167" s="197">
        <v>40</v>
      </c>
      <c r="F167" s="194" t="str">
        <f t="shared" si="6"/>
        <v>Pass</v>
      </c>
      <c r="G167" s="189">
        <v>74</v>
      </c>
      <c r="H167" s="188"/>
      <c r="I167" s="195"/>
    </row>
    <row r="168" spans="1:9" ht="12.75" customHeight="1" x14ac:dyDescent="0.35">
      <c r="A168" s="191">
        <v>43297</v>
      </c>
      <c r="B168" s="196">
        <v>14</v>
      </c>
      <c r="C168" s="196">
        <v>54</v>
      </c>
      <c r="D168" s="197">
        <f t="shared" si="5"/>
        <v>40</v>
      </c>
      <c r="E168" s="197">
        <v>40</v>
      </c>
      <c r="F168" s="194" t="str">
        <f t="shared" si="6"/>
        <v>Pass</v>
      </c>
      <c r="G168" s="189">
        <v>1159</v>
      </c>
      <c r="H168" s="188" t="s">
        <v>148</v>
      </c>
      <c r="I168" s="188" t="s">
        <v>149</v>
      </c>
    </row>
    <row r="169" spans="1:9" ht="12.75" customHeight="1" x14ac:dyDescent="0.35">
      <c r="A169" s="191">
        <v>43297</v>
      </c>
      <c r="B169" s="196">
        <v>23</v>
      </c>
      <c r="C169" s="196">
        <v>40</v>
      </c>
      <c r="D169" s="197">
        <f t="shared" si="5"/>
        <v>17</v>
      </c>
      <c r="E169" s="197">
        <v>40</v>
      </c>
      <c r="F169" s="194" t="str">
        <f t="shared" si="6"/>
        <v>Pass</v>
      </c>
      <c r="G169" s="189">
        <v>1159</v>
      </c>
      <c r="H169" s="188"/>
      <c r="I169" s="195"/>
    </row>
    <row r="170" spans="1:9" ht="12.75" customHeight="1" x14ac:dyDescent="0.35">
      <c r="A170" s="191">
        <v>43304</v>
      </c>
      <c r="B170" s="196">
        <v>23</v>
      </c>
      <c r="C170" s="196">
        <v>29</v>
      </c>
      <c r="D170" s="197">
        <f t="shared" si="5"/>
        <v>6</v>
      </c>
      <c r="E170" s="197">
        <v>40</v>
      </c>
      <c r="F170" s="194" t="str">
        <f t="shared" si="6"/>
        <v>Pass</v>
      </c>
      <c r="G170" s="189">
        <v>121</v>
      </c>
      <c r="H170" s="188" t="s">
        <v>150</v>
      </c>
      <c r="I170" s="195"/>
    </row>
    <row r="171" spans="1:9" ht="12.75" customHeight="1" x14ac:dyDescent="0.35">
      <c r="A171" s="191">
        <v>43304</v>
      </c>
      <c r="B171" s="196">
        <v>17</v>
      </c>
      <c r="C171" s="196">
        <v>34</v>
      </c>
      <c r="D171" s="197">
        <f t="shared" si="5"/>
        <v>17</v>
      </c>
      <c r="E171" s="197">
        <v>40</v>
      </c>
      <c r="F171" s="194" t="str">
        <f t="shared" si="6"/>
        <v>Pass</v>
      </c>
      <c r="G171" s="189">
        <v>121</v>
      </c>
      <c r="H171" s="188" t="s">
        <v>151</v>
      </c>
      <c r="I171" s="195"/>
    </row>
    <row r="172" spans="1:9" ht="13.75" customHeight="1" x14ac:dyDescent="0.35">
      <c r="A172" s="191">
        <v>43305</v>
      </c>
      <c r="B172" s="196">
        <v>24</v>
      </c>
      <c r="C172" s="196">
        <v>127</v>
      </c>
      <c r="D172" s="197">
        <f t="shared" si="5"/>
        <v>103</v>
      </c>
      <c r="E172" s="197">
        <v>40</v>
      </c>
      <c r="F172" s="194" t="str">
        <f t="shared" si="6"/>
        <v>Fail</v>
      </c>
      <c r="G172" s="189">
        <v>74</v>
      </c>
      <c r="H172" s="188"/>
      <c r="I172" s="192" t="s">
        <v>152</v>
      </c>
    </row>
    <row r="173" spans="1:9" ht="13.75" customHeight="1" x14ac:dyDescent="0.35">
      <c r="A173" s="191">
        <v>43305</v>
      </c>
      <c r="B173" s="196">
        <v>25</v>
      </c>
      <c r="C173" s="196">
        <v>57</v>
      </c>
      <c r="D173" s="197">
        <f>IF(((B173="")*AND(C173="")),"",C173-B173)</f>
        <v>32</v>
      </c>
      <c r="E173" s="197">
        <v>40</v>
      </c>
      <c r="F173" s="194" t="str">
        <f>IF(D173="","",IF(D173&lt;=40,"Pass","Fail"))</f>
        <v>Pass</v>
      </c>
      <c r="G173" s="189">
        <v>1335</v>
      </c>
      <c r="H173" s="188" t="s">
        <v>153</v>
      </c>
      <c r="I173" s="192" t="s">
        <v>152</v>
      </c>
    </row>
    <row r="174" spans="1:9" ht="12.75" customHeight="1" x14ac:dyDescent="0.35">
      <c r="A174" s="191">
        <v>43307</v>
      </c>
      <c r="B174" s="196">
        <v>51</v>
      </c>
      <c r="C174" s="196">
        <v>66</v>
      </c>
      <c r="D174" s="197">
        <f t="shared" si="5"/>
        <v>15</v>
      </c>
      <c r="E174" s="197">
        <v>40</v>
      </c>
      <c r="F174" s="194" t="str">
        <f t="shared" si="6"/>
        <v>Pass</v>
      </c>
      <c r="G174" s="189">
        <v>121</v>
      </c>
      <c r="H174" s="188" t="s">
        <v>154</v>
      </c>
      <c r="I174" s="195"/>
    </row>
    <row r="175" spans="1:9" ht="12.75" customHeight="1" x14ac:dyDescent="0.35">
      <c r="A175" s="191">
        <v>43307</v>
      </c>
      <c r="B175" s="196">
        <v>47</v>
      </c>
      <c r="C175" s="196">
        <v>59</v>
      </c>
      <c r="D175" s="197">
        <f t="shared" si="5"/>
        <v>12</v>
      </c>
      <c r="E175" s="197">
        <v>40</v>
      </c>
      <c r="F175" s="194" t="str">
        <f t="shared" si="6"/>
        <v>Pass</v>
      </c>
      <c r="G175" s="189">
        <v>121</v>
      </c>
      <c r="H175" s="188" t="s">
        <v>155</v>
      </c>
      <c r="I175" s="195"/>
    </row>
    <row r="176" spans="1:9" ht="12.75" customHeight="1" x14ac:dyDescent="0.35">
      <c r="A176" s="191">
        <v>43311</v>
      </c>
      <c r="B176" s="196">
        <v>13</v>
      </c>
      <c r="C176" s="196">
        <v>65</v>
      </c>
      <c r="D176" s="197">
        <f t="shared" si="5"/>
        <v>52</v>
      </c>
      <c r="E176" s="197">
        <v>40</v>
      </c>
      <c r="F176" s="194" t="str">
        <f t="shared" si="6"/>
        <v>Fail</v>
      </c>
      <c r="G176" s="189">
        <v>1428</v>
      </c>
      <c r="H176" s="188"/>
      <c r="I176" s="195"/>
    </row>
    <row r="177" spans="1:9" ht="12.75" customHeight="1" x14ac:dyDescent="0.35">
      <c r="A177" s="191">
        <v>43311</v>
      </c>
      <c r="B177" s="196">
        <v>45</v>
      </c>
      <c r="C177" s="196">
        <v>60</v>
      </c>
      <c r="D177" s="197">
        <f t="shared" si="5"/>
        <v>15</v>
      </c>
      <c r="E177" s="197">
        <v>40</v>
      </c>
      <c r="F177" s="194" t="str">
        <f t="shared" si="6"/>
        <v>Pass</v>
      </c>
      <c r="G177" s="189">
        <v>1428</v>
      </c>
      <c r="H177" s="188"/>
      <c r="I177" s="195"/>
    </row>
    <row r="178" spans="1:9" ht="12.75" customHeight="1" x14ac:dyDescent="0.35">
      <c r="A178" s="191">
        <v>43319</v>
      </c>
      <c r="B178" s="196">
        <v>1</v>
      </c>
      <c r="C178" s="196">
        <v>27</v>
      </c>
      <c r="D178" s="197">
        <f t="shared" si="5"/>
        <v>26</v>
      </c>
      <c r="E178" s="197">
        <v>40</v>
      </c>
      <c r="F178" s="194" t="str">
        <f t="shared" si="6"/>
        <v>Pass</v>
      </c>
      <c r="G178" s="189">
        <v>1340</v>
      </c>
      <c r="H178" s="188"/>
      <c r="I178" s="195"/>
    </row>
    <row r="179" spans="1:9" ht="12.75" customHeight="1" x14ac:dyDescent="0.35">
      <c r="A179" s="191">
        <v>43336</v>
      </c>
      <c r="B179" s="196">
        <v>17</v>
      </c>
      <c r="C179" s="196">
        <v>171</v>
      </c>
      <c r="D179" s="197">
        <f t="shared" si="5"/>
        <v>154</v>
      </c>
      <c r="E179" s="197">
        <v>40</v>
      </c>
      <c r="F179" s="194" t="str">
        <f t="shared" si="6"/>
        <v>Fail</v>
      </c>
      <c r="G179" s="189">
        <v>1340</v>
      </c>
      <c r="H179" s="188"/>
      <c r="I179" s="195"/>
    </row>
    <row r="180" spans="1:9" ht="12.75" customHeight="1" x14ac:dyDescent="0.35">
      <c r="A180" s="191">
        <v>43336</v>
      </c>
      <c r="B180" s="196">
        <v>15</v>
      </c>
      <c r="C180" s="196">
        <v>53</v>
      </c>
      <c r="D180" s="197">
        <f t="shared" si="5"/>
        <v>38</v>
      </c>
      <c r="E180" s="197">
        <v>40</v>
      </c>
      <c r="F180" s="194" t="str">
        <f t="shared" si="6"/>
        <v>Pass</v>
      </c>
      <c r="G180" s="189">
        <v>1519</v>
      </c>
      <c r="H180" s="188"/>
      <c r="I180" s="195"/>
    </row>
    <row r="181" spans="1:9" ht="12.75" customHeight="1" x14ac:dyDescent="0.35">
      <c r="A181" s="191">
        <v>43347</v>
      </c>
      <c r="B181" s="196">
        <v>19</v>
      </c>
      <c r="C181" s="196">
        <v>140</v>
      </c>
      <c r="D181" s="197">
        <f t="shared" si="5"/>
        <v>121</v>
      </c>
      <c r="E181" s="197">
        <v>40</v>
      </c>
      <c r="F181" s="194" t="str">
        <f t="shared" si="6"/>
        <v>Fail</v>
      </c>
      <c r="G181" s="189">
        <v>1335</v>
      </c>
      <c r="H181" s="188" t="s">
        <v>156</v>
      </c>
      <c r="I181" s="195"/>
    </row>
    <row r="182" spans="1:9" ht="12.75" customHeight="1" x14ac:dyDescent="0.35">
      <c r="A182" s="191">
        <v>43347</v>
      </c>
      <c r="B182" s="196">
        <v>23</v>
      </c>
      <c r="C182" s="196">
        <v>121</v>
      </c>
      <c r="D182" s="197">
        <f t="shared" si="5"/>
        <v>98</v>
      </c>
      <c r="E182" s="197">
        <v>40</v>
      </c>
      <c r="F182" s="194" t="str">
        <f t="shared" si="6"/>
        <v>Fail</v>
      </c>
      <c r="G182" s="189">
        <v>1335</v>
      </c>
      <c r="H182" s="188" t="s">
        <v>157</v>
      </c>
      <c r="I182" s="195"/>
    </row>
    <row r="183" spans="1:9" ht="12.75" customHeight="1" x14ac:dyDescent="0.35">
      <c r="A183" s="191">
        <v>43350</v>
      </c>
      <c r="B183" s="196">
        <v>20</v>
      </c>
      <c r="C183" s="196">
        <v>99</v>
      </c>
      <c r="D183" s="197">
        <f t="shared" si="5"/>
        <v>79</v>
      </c>
      <c r="E183" s="197">
        <v>40</v>
      </c>
      <c r="F183" s="194" t="str">
        <f t="shared" si="6"/>
        <v>Fail</v>
      </c>
      <c r="G183" s="189">
        <v>1335</v>
      </c>
      <c r="H183" s="188" t="s">
        <v>158</v>
      </c>
      <c r="I183" s="195"/>
    </row>
    <row r="184" spans="1:9" ht="12.75" customHeight="1" x14ac:dyDescent="0.35">
      <c r="A184" s="191">
        <v>43350</v>
      </c>
      <c r="B184" s="196">
        <v>9</v>
      </c>
      <c r="C184" s="196">
        <v>69</v>
      </c>
      <c r="D184" s="197">
        <f t="shared" si="5"/>
        <v>60</v>
      </c>
      <c r="E184" s="197">
        <v>40</v>
      </c>
      <c r="F184" s="194" t="str">
        <f t="shared" si="6"/>
        <v>Fail</v>
      </c>
      <c r="G184" s="189">
        <v>1335</v>
      </c>
      <c r="H184" s="188" t="s">
        <v>159</v>
      </c>
      <c r="I184" s="195"/>
    </row>
    <row r="185" spans="1:9" ht="12.75" customHeight="1" x14ac:dyDescent="0.35">
      <c r="A185" s="191">
        <v>43350</v>
      </c>
      <c r="B185" s="196">
        <v>22</v>
      </c>
      <c r="C185" s="196">
        <v>71</v>
      </c>
      <c r="D185" s="197">
        <f t="shared" si="5"/>
        <v>49</v>
      </c>
      <c r="E185" s="197">
        <v>40</v>
      </c>
      <c r="F185" s="194" t="str">
        <f t="shared" si="6"/>
        <v>Fail</v>
      </c>
      <c r="G185" s="189">
        <v>1335</v>
      </c>
      <c r="H185" s="188" t="s">
        <v>160</v>
      </c>
      <c r="I185" s="195"/>
    </row>
    <row r="186" spans="1:9" ht="12.75" customHeight="1" x14ac:dyDescent="0.35">
      <c r="A186" s="191">
        <v>43350</v>
      </c>
      <c r="B186" s="196">
        <v>11</v>
      </c>
      <c r="C186" s="196">
        <v>49</v>
      </c>
      <c r="D186" s="197">
        <f t="shared" si="5"/>
        <v>38</v>
      </c>
      <c r="E186" s="197">
        <v>40</v>
      </c>
      <c r="F186" s="194" t="str">
        <f t="shared" si="6"/>
        <v>Pass</v>
      </c>
      <c r="G186" s="189">
        <v>1335</v>
      </c>
      <c r="H186" s="188" t="s">
        <v>161</v>
      </c>
      <c r="I186" s="195"/>
    </row>
    <row r="187" spans="1:9" ht="12.75" customHeight="1" x14ac:dyDescent="0.35">
      <c r="A187" s="191">
        <v>43354</v>
      </c>
      <c r="B187" s="196">
        <v>18</v>
      </c>
      <c r="C187" s="196">
        <v>53</v>
      </c>
      <c r="D187" s="197">
        <v>35</v>
      </c>
      <c r="E187" s="197">
        <v>40</v>
      </c>
      <c r="F187" s="194" t="str">
        <f t="shared" si="6"/>
        <v>Pass</v>
      </c>
      <c r="G187" s="189">
        <v>121</v>
      </c>
      <c r="H187" s="188"/>
      <c r="I187" s="195"/>
    </row>
    <row r="188" spans="1:9" ht="12.75" customHeight="1" x14ac:dyDescent="0.35">
      <c r="A188" s="191">
        <v>43356</v>
      </c>
      <c r="B188" s="196">
        <v>9</v>
      </c>
      <c r="C188" s="196">
        <v>30</v>
      </c>
      <c r="D188" s="197">
        <f t="shared" si="5"/>
        <v>21</v>
      </c>
      <c r="E188" s="197">
        <v>40</v>
      </c>
      <c r="F188" s="194" t="str">
        <f t="shared" si="6"/>
        <v>Pass</v>
      </c>
      <c r="G188" s="189">
        <v>1335</v>
      </c>
      <c r="H188" s="188"/>
      <c r="I188" s="195" t="s">
        <v>162</v>
      </c>
    </row>
    <row r="189" spans="1:9" ht="12.75" customHeight="1" x14ac:dyDescent="0.35">
      <c r="A189" s="191">
        <v>43361</v>
      </c>
      <c r="B189" s="196">
        <v>18</v>
      </c>
      <c r="C189" s="196">
        <v>75</v>
      </c>
      <c r="D189" s="197">
        <f t="shared" si="5"/>
        <v>57</v>
      </c>
      <c r="E189" s="197">
        <v>40</v>
      </c>
      <c r="F189" s="194" t="str">
        <f t="shared" si="6"/>
        <v>Fail</v>
      </c>
      <c r="G189" s="189">
        <v>1340</v>
      </c>
      <c r="H189" s="188"/>
      <c r="I189" s="195"/>
    </row>
    <row r="190" spans="1:9" ht="12.75" customHeight="1" x14ac:dyDescent="0.35">
      <c r="A190" s="191">
        <v>43362</v>
      </c>
      <c r="B190" s="196">
        <v>41</v>
      </c>
      <c r="C190" s="196">
        <v>59</v>
      </c>
      <c r="D190" s="197">
        <f t="shared" si="5"/>
        <v>18</v>
      </c>
      <c r="E190" s="197">
        <v>40</v>
      </c>
      <c r="F190" s="194" t="str">
        <f t="shared" si="6"/>
        <v>Pass</v>
      </c>
      <c r="G190" s="189" t="s">
        <v>163</v>
      </c>
      <c r="H190" s="188" t="s">
        <v>164</v>
      </c>
      <c r="I190" s="195"/>
    </row>
    <row r="191" spans="1:9" ht="12.75" customHeight="1" x14ac:dyDescent="0.35">
      <c r="A191" s="191">
        <v>43368</v>
      </c>
      <c r="B191" s="196">
        <v>12</v>
      </c>
      <c r="C191" s="196">
        <v>34</v>
      </c>
      <c r="D191" s="197">
        <f t="shared" si="5"/>
        <v>22</v>
      </c>
      <c r="E191" s="197">
        <v>40</v>
      </c>
      <c r="F191" s="194" t="str">
        <f t="shared" si="6"/>
        <v>Pass</v>
      </c>
      <c r="G191" s="189">
        <v>1335</v>
      </c>
      <c r="H191" s="188"/>
      <c r="I191" s="195"/>
    </row>
    <row r="192" spans="1:9" ht="12.75" customHeight="1" x14ac:dyDescent="0.35">
      <c r="A192" s="191">
        <v>43370</v>
      </c>
      <c r="B192" s="196">
        <v>16</v>
      </c>
      <c r="C192" s="196">
        <v>216</v>
      </c>
      <c r="D192" s="197">
        <f t="shared" si="5"/>
        <v>200</v>
      </c>
      <c r="E192" s="197">
        <v>40</v>
      </c>
      <c r="F192" s="194" t="str">
        <f t="shared" si="6"/>
        <v>Fail</v>
      </c>
      <c r="G192" s="189">
        <v>1340</v>
      </c>
      <c r="H192" s="188"/>
      <c r="I192" s="195"/>
    </row>
    <row r="193" spans="1:9" ht="12.75" customHeight="1" x14ac:dyDescent="0.35">
      <c r="A193" s="191">
        <v>43371</v>
      </c>
      <c r="B193" s="196">
        <v>11</v>
      </c>
      <c r="C193" s="196">
        <v>171</v>
      </c>
      <c r="D193" s="197">
        <f t="shared" si="5"/>
        <v>160</v>
      </c>
      <c r="E193" s="197">
        <v>40</v>
      </c>
      <c r="F193" s="194" t="str">
        <f t="shared" si="6"/>
        <v>Fail</v>
      </c>
      <c r="G193" s="189">
        <v>1340</v>
      </c>
      <c r="H193" s="188"/>
      <c r="I193" s="195"/>
    </row>
    <row r="194" spans="1:9" ht="12.75" customHeight="1" x14ac:dyDescent="0.35">
      <c r="A194" s="191">
        <v>43376</v>
      </c>
      <c r="B194" s="196">
        <v>12</v>
      </c>
      <c r="C194" s="196">
        <v>213</v>
      </c>
      <c r="D194" s="197">
        <f t="shared" si="5"/>
        <v>201</v>
      </c>
      <c r="E194" s="197">
        <v>40</v>
      </c>
      <c r="F194" s="194" t="str">
        <f t="shared" si="6"/>
        <v>Fail</v>
      </c>
      <c r="G194" s="189">
        <v>1340</v>
      </c>
      <c r="H194" s="188"/>
      <c r="I194" s="195"/>
    </row>
    <row r="195" spans="1:9" ht="12.75" customHeight="1" x14ac:dyDescent="0.35">
      <c r="A195" s="191">
        <v>43376</v>
      </c>
      <c r="B195" s="196">
        <v>18</v>
      </c>
      <c r="C195" s="196">
        <v>69</v>
      </c>
      <c r="D195" s="197">
        <f t="shared" si="5"/>
        <v>51</v>
      </c>
      <c r="E195" s="197">
        <v>40</v>
      </c>
      <c r="F195" s="194" t="str">
        <f t="shared" si="6"/>
        <v>Fail</v>
      </c>
      <c r="G195" s="189">
        <v>1340</v>
      </c>
      <c r="H195" s="188"/>
      <c r="I195" s="195"/>
    </row>
    <row r="196" spans="1:9" ht="12.75" customHeight="1" x14ac:dyDescent="0.35">
      <c r="A196" s="191">
        <v>43378</v>
      </c>
      <c r="B196" s="196">
        <v>10</v>
      </c>
      <c r="C196" s="196">
        <v>80</v>
      </c>
      <c r="D196" s="197">
        <f t="shared" ref="D196:D241" si="7">IF(((B196="")*AND(C196="")),"",C196-B196)</f>
        <v>70</v>
      </c>
      <c r="E196" s="197">
        <v>40</v>
      </c>
      <c r="F196" s="194" t="str">
        <f t="shared" ref="F196:F240" si="8">IF(D196="","",IF(D196&lt;=40,"Pass","Fail"))</f>
        <v>Fail</v>
      </c>
      <c r="G196" s="189">
        <v>1340</v>
      </c>
      <c r="H196" s="188"/>
      <c r="I196" s="195"/>
    </row>
    <row r="197" spans="1:9" ht="12.75" customHeight="1" x14ac:dyDescent="0.35">
      <c r="A197" s="191">
        <v>43378</v>
      </c>
      <c r="B197" s="196">
        <v>4</v>
      </c>
      <c r="C197" s="196">
        <v>19</v>
      </c>
      <c r="D197" s="197">
        <f t="shared" si="7"/>
        <v>15</v>
      </c>
      <c r="E197" s="197">
        <v>40</v>
      </c>
      <c r="F197" s="194" t="str">
        <f t="shared" si="8"/>
        <v>Pass</v>
      </c>
      <c r="G197" s="189">
        <v>1340</v>
      </c>
      <c r="H197" s="188"/>
      <c r="I197" s="195"/>
    </row>
    <row r="198" spans="1:9" ht="12.75" customHeight="1" x14ac:dyDescent="0.35">
      <c r="A198" s="191">
        <v>43382</v>
      </c>
      <c r="B198" s="196">
        <v>20</v>
      </c>
      <c r="C198" s="196">
        <v>24</v>
      </c>
      <c r="D198" s="197">
        <f t="shared" si="7"/>
        <v>4</v>
      </c>
      <c r="E198" s="197">
        <v>40</v>
      </c>
      <c r="F198" s="194" t="str">
        <f t="shared" si="8"/>
        <v>Pass</v>
      </c>
      <c r="G198" s="189">
        <v>1340</v>
      </c>
      <c r="H198" s="188"/>
      <c r="I198" s="195"/>
    </row>
    <row r="199" spans="1:9" ht="12.75" customHeight="1" x14ac:dyDescent="0.35">
      <c r="A199" s="191">
        <v>43391</v>
      </c>
      <c r="B199" s="196">
        <v>32</v>
      </c>
      <c r="C199" s="196">
        <v>238</v>
      </c>
      <c r="D199" s="197">
        <f t="shared" si="7"/>
        <v>206</v>
      </c>
      <c r="E199" s="197">
        <v>40</v>
      </c>
      <c r="F199" s="194" t="str">
        <f t="shared" si="8"/>
        <v>Fail</v>
      </c>
      <c r="G199" s="189">
        <v>1159</v>
      </c>
      <c r="H199" s="188" t="s">
        <v>165</v>
      </c>
      <c r="I199" s="195"/>
    </row>
    <row r="200" spans="1:9" ht="12.75" customHeight="1" x14ac:dyDescent="0.35">
      <c r="A200" s="191">
        <v>43391</v>
      </c>
      <c r="B200" s="196">
        <v>6</v>
      </c>
      <c r="C200" s="196">
        <v>54</v>
      </c>
      <c r="D200" s="197">
        <f t="shared" si="7"/>
        <v>48</v>
      </c>
      <c r="E200" s="197">
        <v>40</v>
      </c>
      <c r="F200" s="194" t="str">
        <f t="shared" si="8"/>
        <v>Fail</v>
      </c>
      <c r="G200" s="189">
        <v>1159</v>
      </c>
      <c r="H200" s="188" t="s">
        <v>166</v>
      </c>
      <c r="I200" s="195"/>
    </row>
    <row r="201" spans="1:9" ht="12.75" customHeight="1" x14ac:dyDescent="0.35">
      <c r="A201" s="191">
        <v>43396</v>
      </c>
      <c r="B201" s="196">
        <v>17</v>
      </c>
      <c r="C201" s="196">
        <v>53</v>
      </c>
      <c r="D201" s="197">
        <f t="shared" si="7"/>
        <v>36</v>
      </c>
      <c r="E201" s="197">
        <v>40</v>
      </c>
      <c r="F201" s="194" t="str">
        <f t="shared" si="8"/>
        <v>Pass</v>
      </c>
      <c r="G201" s="189">
        <v>1159</v>
      </c>
      <c r="H201" s="188" t="s">
        <v>167</v>
      </c>
      <c r="I201" s="195"/>
    </row>
    <row r="202" spans="1:9" ht="12.75" customHeight="1" x14ac:dyDescent="0.35">
      <c r="A202" s="191">
        <v>43403</v>
      </c>
      <c r="B202" s="196">
        <v>10</v>
      </c>
      <c r="C202" s="196">
        <v>70</v>
      </c>
      <c r="D202" s="197">
        <f t="shared" si="7"/>
        <v>60</v>
      </c>
      <c r="E202" s="197">
        <v>40</v>
      </c>
      <c r="F202" s="194" t="str">
        <f t="shared" si="8"/>
        <v>Fail</v>
      </c>
      <c r="G202" s="189">
        <v>1335</v>
      </c>
      <c r="H202" s="188" t="s">
        <v>168</v>
      </c>
      <c r="I202" s="195"/>
    </row>
    <row r="203" spans="1:9" ht="12.75" customHeight="1" x14ac:dyDescent="0.35">
      <c r="A203" s="191">
        <v>43403</v>
      </c>
      <c r="B203" s="196">
        <v>13</v>
      </c>
      <c r="C203" s="196">
        <v>61</v>
      </c>
      <c r="D203" s="197">
        <f t="shared" si="7"/>
        <v>48</v>
      </c>
      <c r="E203" s="197">
        <v>40</v>
      </c>
      <c r="F203" s="198" t="str">
        <f t="shared" si="8"/>
        <v>Fail</v>
      </c>
      <c r="G203" s="189">
        <v>1335</v>
      </c>
      <c r="H203" s="188" t="s">
        <v>169</v>
      </c>
      <c r="I203" s="195"/>
    </row>
    <row r="204" spans="1:9" ht="12.75" customHeight="1" x14ac:dyDescent="0.35">
      <c r="A204" s="191">
        <v>43403</v>
      </c>
      <c r="B204" s="196">
        <v>13</v>
      </c>
      <c r="C204" s="196">
        <v>27</v>
      </c>
      <c r="D204" s="197">
        <f t="shared" si="7"/>
        <v>14</v>
      </c>
      <c r="E204" s="197">
        <v>40</v>
      </c>
      <c r="F204" s="198" t="str">
        <f t="shared" si="8"/>
        <v>Pass</v>
      </c>
      <c r="G204" s="189">
        <v>1335</v>
      </c>
      <c r="H204" s="188" t="s">
        <v>170</v>
      </c>
      <c r="I204" s="195"/>
    </row>
    <row r="205" spans="1:9" ht="12.75" customHeight="1" x14ac:dyDescent="0.35">
      <c r="A205" s="191">
        <v>43409</v>
      </c>
      <c r="B205" s="196">
        <v>22</v>
      </c>
      <c r="C205" s="196">
        <v>37</v>
      </c>
      <c r="D205" s="197">
        <f t="shared" si="7"/>
        <v>15</v>
      </c>
      <c r="E205" s="197">
        <v>40</v>
      </c>
      <c r="F205" s="198" t="str">
        <f t="shared" si="8"/>
        <v>Pass</v>
      </c>
      <c r="G205" s="189">
        <v>1340</v>
      </c>
      <c r="H205" s="195"/>
      <c r="I205" s="195"/>
    </row>
    <row r="206" spans="1:9" ht="12.75" customHeight="1" x14ac:dyDescent="0.35">
      <c r="A206" s="191">
        <v>43424</v>
      </c>
      <c r="B206" s="196">
        <v>58</v>
      </c>
      <c r="C206" s="196">
        <v>204</v>
      </c>
      <c r="D206" s="197">
        <f t="shared" si="7"/>
        <v>146</v>
      </c>
      <c r="E206" s="197">
        <v>40</v>
      </c>
      <c r="F206" s="198" t="str">
        <f t="shared" si="8"/>
        <v>Fail</v>
      </c>
      <c r="G206" s="189">
        <v>121</v>
      </c>
      <c r="H206" s="188" t="s">
        <v>171</v>
      </c>
      <c r="I206" s="195"/>
    </row>
    <row r="207" spans="1:9" ht="12.75" customHeight="1" x14ac:dyDescent="0.35">
      <c r="A207" s="191">
        <v>43424</v>
      </c>
      <c r="B207" s="196">
        <v>24</v>
      </c>
      <c r="C207" s="196">
        <v>343</v>
      </c>
      <c r="D207" s="197">
        <f t="shared" si="7"/>
        <v>319</v>
      </c>
      <c r="E207" s="197">
        <v>40</v>
      </c>
      <c r="F207" s="198" t="str">
        <f t="shared" si="8"/>
        <v>Fail</v>
      </c>
      <c r="G207" s="189">
        <v>121</v>
      </c>
      <c r="H207" s="188" t="s">
        <v>172</v>
      </c>
      <c r="I207" s="195"/>
    </row>
    <row r="208" spans="1:9" ht="12.75" customHeight="1" x14ac:dyDescent="0.35">
      <c r="A208" s="191">
        <v>43424</v>
      </c>
      <c r="B208" s="196">
        <v>13</v>
      </c>
      <c r="C208" s="196">
        <v>568</v>
      </c>
      <c r="D208" s="197">
        <f t="shared" si="7"/>
        <v>555</v>
      </c>
      <c r="E208" s="197">
        <v>40</v>
      </c>
      <c r="F208" s="198" t="str">
        <f t="shared" si="8"/>
        <v>Fail</v>
      </c>
      <c r="G208" s="189">
        <v>64</v>
      </c>
      <c r="H208" s="188"/>
      <c r="I208" s="195"/>
    </row>
    <row r="209" spans="1:9" ht="12.75" customHeight="1" x14ac:dyDescent="0.35">
      <c r="A209" s="191">
        <v>43424</v>
      </c>
      <c r="B209" s="196">
        <v>18</v>
      </c>
      <c r="C209" s="196">
        <v>36</v>
      </c>
      <c r="D209" s="197">
        <f t="shared" si="7"/>
        <v>18</v>
      </c>
      <c r="E209" s="197">
        <v>40</v>
      </c>
      <c r="F209" s="198" t="str">
        <f t="shared" si="8"/>
        <v>Pass</v>
      </c>
      <c r="G209" s="189">
        <v>121</v>
      </c>
      <c r="H209" s="188" t="s">
        <v>173</v>
      </c>
      <c r="I209" s="195"/>
    </row>
    <row r="210" spans="1:9" ht="12.75" customHeight="1" x14ac:dyDescent="0.35">
      <c r="A210" s="191">
        <v>43430</v>
      </c>
      <c r="B210" s="196">
        <v>23</v>
      </c>
      <c r="C210" s="196">
        <v>249</v>
      </c>
      <c r="D210" s="197">
        <f t="shared" si="7"/>
        <v>226</v>
      </c>
      <c r="E210" s="197">
        <v>40</v>
      </c>
      <c r="F210" s="198" t="str">
        <f t="shared" si="8"/>
        <v>Fail</v>
      </c>
      <c r="G210" s="189">
        <v>1428</v>
      </c>
      <c r="H210" s="188"/>
      <c r="I210" s="195"/>
    </row>
    <row r="211" spans="1:9" ht="12.75" customHeight="1" x14ac:dyDescent="0.35">
      <c r="A211" s="191">
        <v>43430</v>
      </c>
      <c r="B211" s="196">
        <v>28</v>
      </c>
      <c r="C211" s="196">
        <v>479</v>
      </c>
      <c r="D211" s="197">
        <f t="shared" si="7"/>
        <v>451</v>
      </c>
      <c r="E211" s="197">
        <v>40</v>
      </c>
      <c r="F211" s="198" t="str">
        <f t="shared" si="8"/>
        <v>Fail</v>
      </c>
      <c r="G211" s="189">
        <v>1428</v>
      </c>
      <c r="H211" s="188" t="s">
        <v>173</v>
      </c>
      <c r="I211" s="195"/>
    </row>
    <row r="212" spans="1:9" ht="12.75" customHeight="1" x14ac:dyDescent="0.35">
      <c r="A212" s="191">
        <v>43432</v>
      </c>
      <c r="B212" s="196">
        <v>39</v>
      </c>
      <c r="C212" s="196">
        <v>287</v>
      </c>
      <c r="D212" s="197">
        <f t="shared" si="7"/>
        <v>248</v>
      </c>
      <c r="E212" s="197">
        <v>40</v>
      </c>
      <c r="F212" s="198" t="str">
        <f t="shared" si="8"/>
        <v>Fail</v>
      </c>
      <c r="G212" s="189">
        <v>74</v>
      </c>
      <c r="H212" s="195"/>
      <c r="I212" s="195"/>
    </row>
    <row r="213" spans="1:9" ht="12.75" customHeight="1" x14ac:dyDescent="0.35">
      <c r="A213" s="191">
        <v>43434</v>
      </c>
      <c r="B213" s="196">
        <v>36</v>
      </c>
      <c r="C213" s="196">
        <v>65</v>
      </c>
      <c r="D213" s="197">
        <f t="shared" si="7"/>
        <v>29</v>
      </c>
      <c r="E213" s="197">
        <v>40</v>
      </c>
      <c r="F213" s="198" t="str">
        <f t="shared" si="8"/>
        <v>Pass</v>
      </c>
      <c r="G213" s="189">
        <v>64</v>
      </c>
      <c r="H213" s="195"/>
      <c r="I213" s="195"/>
    </row>
    <row r="214" spans="1:9" ht="12.75" customHeight="1" x14ac:dyDescent="0.35">
      <c r="A214" s="191">
        <v>43445</v>
      </c>
      <c r="B214" s="196">
        <v>6</v>
      </c>
      <c r="C214" s="196">
        <v>15</v>
      </c>
      <c r="D214" s="197">
        <f t="shared" si="7"/>
        <v>9</v>
      </c>
      <c r="E214" s="197">
        <v>40</v>
      </c>
      <c r="F214" s="198" t="str">
        <f t="shared" si="8"/>
        <v>Pass</v>
      </c>
      <c r="G214" s="189">
        <v>1340</v>
      </c>
      <c r="H214" s="195" t="s">
        <v>174</v>
      </c>
      <c r="I214" s="195"/>
    </row>
    <row r="215" spans="1:9" ht="12.75" customHeight="1" x14ac:dyDescent="0.35">
      <c r="A215" s="191">
        <v>43476</v>
      </c>
      <c r="B215" s="196">
        <v>23</v>
      </c>
      <c r="C215" s="196">
        <v>208</v>
      </c>
      <c r="D215" s="197">
        <f t="shared" si="7"/>
        <v>185</v>
      </c>
      <c r="E215" s="197">
        <v>40</v>
      </c>
      <c r="F215" s="198" t="str">
        <f t="shared" si="8"/>
        <v>Fail</v>
      </c>
      <c r="G215" s="189">
        <v>1335</v>
      </c>
      <c r="H215" s="188" t="s">
        <v>175</v>
      </c>
      <c r="I215" s="195"/>
    </row>
    <row r="216" spans="1:9" ht="12.75" customHeight="1" x14ac:dyDescent="0.35">
      <c r="A216" s="191">
        <v>43476</v>
      </c>
      <c r="B216" s="196">
        <v>24</v>
      </c>
      <c r="C216" s="196">
        <v>50</v>
      </c>
      <c r="D216" s="197">
        <f t="shared" si="7"/>
        <v>26</v>
      </c>
      <c r="E216" s="197">
        <v>40</v>
      </c>
      <c r="F216" s="198" t="str">
        <f t="shared" si="8"/>
        <v>Pass</v>
      </c>
      <c r="G216" s="189">
        <v>1335</v>
      </c>
      <c r="H216" s="188" t="s">
        <v>176</v>
      </c>
      <c r="I216" s="195"/>
    </row>
    <row r="217" spans="1:9" ht="12.75" customHeight="1" x14ac:dyDescent="0.35">
      <c r="A217" s="191">
        <v>43480</v>
      </c>
      <c r="B217" s="196">
        <v>24</v>
      </c>
      <c r="C217" s="196">
        <v>2</v>
      </c>
      <c r="D217" s="197">
        <f t="shared" si="7"/>
        <v>-22</v>
      </c>
      <c r="E217" s="197">
        <v>40</v>
      </c>
      <c r="F217" s="198" t="str">
        <f t="shared" si="8"/>
        <v>Pass</v>
      </c>
      <c r="G217" s="189">
        <v>1336</v>
      </c>
      <c r="H217" s="189" t="s">
        <v>177</v>
      </c>
      <c r="I217" s="195"/>
    </row>
    <row r="218" spans="1:9" ht="12.75" customHeight="1" x14ac:dyDescent="0.35">
      <c r="A218" s="191">
        <v>43481</v>
      </c>
      <c r="B218" s="196">
        <v>11</v>
      </c>
      <c r="C218" s="196">
        <v>139</v>
      </c>
      <c r="D218" s="197">
        <f t="shared" si="7"/>
        <v>128</v>
      </c>
      <c r="E218" s="197">
        <v>40</v>
      </c>
      <c r="F218" s="198" t="str">
        <f t="shared" si="8"/>
        <v>Fail</v>
      </c>
      <c r="G218" s="189" t="s">
        <v>178</v>
      </c>
      <c r="H218" s="188"/>
      <c r="I218" s="195"/>
    </row>
    <row r="219" spans="1:9" ht="12.75" customHeight="1" x14ac:dyDescent="0.35">
      <c r="A219" s="191">
        <v>43481</v>
      </c>
      <c r="B219" s="196">
        <v>2</v>
      </c>
      <c r="C219" s="196">
        <v>38</v>
      </c>
      <c r="D219" s="197">
        <f t="shared" si="7"/>
        <v>36</v>
      </c>
      <c r="E219" s="197">
        <v>40</v>
      </c>
      <c r="F219" s="198" t="str">
        <f t="shared" si="8"/>
        <v>Pass</v>
      </c>
      <c r="G219" s="189">
        <v>1159</v>
      </c>
      <c r="H219" s="188" t="s">
        <v>179</v>
      </c>
      <c r="I219" s="195"/>
    </row>
    <row r="220" spans="1:9" ht="12.75" customHeight="1" x14ac:dyDescent="0.35">
      <c r="A220" s="191">
        <v>43481</v>
      </c>
      <c r="B220" s="196">
        <v>8</v>
      </c>
      <c r="C220" s="196">
        <v>34</v>
      </c>
      <c r="D220" s="197">
        <f t="shared" si="7"/>
        <v>26</v>
      </c>
      <c r="E220" s="197">
        <v>40</v>
      </c>
      <c r="F220" s="198" t="str">
        <f t="shared" si="8"/>
        <v>Pass</v>
      </c>
      <c r="G220" s="189">
        <v>1340</v>
      </c>
      <c r="H220" s="189" t="s">
        <v>57</v>
      </c>
      <c r="I220" s="195"/>
    </row>
    <row r="221" spans="1:9" ht="12.75" customHeight="1" x14ac:dyDescent="0.35">
      <c r="A221" s="191">
        <v>43488</v>
      </c>
      <c r="B221" s="196">
        <v>12</v>
      </c>
      <c r="C221" s="196">
        <v>32</v>
      </c>
      <c r="D221" s="197">
        <f t="shared" si="7"/>
        <v>20</v>
      </c>
      <c r="E221" s="197">
        <v>40</v>
      </c>
      <c r="F221" s="198" t="str">
        <f t="shared" si="8"/>
        <v>Pass</v>
      </c>
      <c r="G221" s="189">
        <v>1159</v>
      </c>
      <c r="H221" s="188" t="s">
        <v>180</v>
      </c>
      <c r="I221" s="195"/>
    </row>
    <row r="222" spans="1:9" ht="12.75" customHeight="1" x14ac:dyDescent="0.35">
      <c r="A222" s="191">
        <v>43493</v>
      </c>
      <c r="B222" s="196">
        <v>22</v>
      </c>
      <c r="C222" s="196">
        <v>109</v>
      </c>
      <c r="D222" s="197">
        <f t="shared" si="7"/>
        <v>87</v>
      </c>
      <c r="E222" s="197">
        <v>40</v>
      </c>
      <c r="F222" s="198" t="str">
        <f t="shared" si="8"/>
        <v>Fail</v>
      </c>
      <c r="G222" s="189">
        <v>1159</v>
      </c>
      <c r="H222" s="188" t="s">
        <v>180</v>
      </c>
      <c r="I222" s="188"/>
    </row>
    <row r="223" spans="1:9" ht="12.75" customHeight="1" x14ac:dyDescent="0.35">
      <c r="A223" s="191">
        <v>43493</v>
      </c>
      <c r="B223" s="196">
        <v>32</v>
      </c>
      <c r="C223" s="196">
        <v>293</v>
      </c>
      <c r="D223" s="197">
        <f t="shared" si="7"/>
        <v>261</v>
      </c>
      <c r="E223" s="197">
        <v>40</v>
      </c>
      <c r="F223" s="198" t="str">
        <f t="shared" si="8"/>
        <v>Fail</v>
      </c>
      <c r="G223" s="189">
        <v>64</v>
      </c>
      <c r="H223" s="188" t="s">
        <v>318</v>
      </c>
      <c r="I223" s="188" t="s">
        <v>319</v>
      </c>
    </row>
    <row r="224" spans="1:9" ht="12.75" customHeight="1" x14ac:dyDescent="0.35">
      <c r="A224" s="191">
        <v>43494</v>
      </c>
      <c r="B224" s="196">
        <v>9</v>
      </c>
      <c r="C224" s="196">
        <v>17</v>
      </c>
      <c r="D224" s="197">
        <f t="shared" si="7"/>
        <v>8</v>
      </c>
      <c r="E224" s="197">
        <v>40</v>
      </c>
      <c r="F224" s="198" t="str">
        <f t="shared" si="8"/>
        <v>Pass</v>
      </c>
      <c r="G224" s="189">
        <v>1335</v>
      </c>
      <c r="H224" s="188" t="s">
        <v>182</v>
      </c>
      <c r="I224" s="188"/>
    </row>
    <row r="225" spans="1:9" ht="12.75" customHeight="1" x14ac:dyDescent="0.35">
      <c r="A225" s="191">
        <v>43494</v>
      </c>
      <c r="B225" s="196">
        <v>7</v>
      </c>
      <c r="C225" s="196">
        <v>13</v>
      </c>
      <c r="D225" s="197">
        <f t="shared" si="7"/>
        <v>6</v>
      </c>
      <c r="E225" s="197">
        <v>40</v>
      </c>
      <c r="F225" s="198" t="str">
        <f t="shared" si="8"/>
        <v>Pass</v>
      </c>
      <c r="G225" s="189">
        <v>1335</v>
      </c>
      <c r="H225" s="188" t="s">
        <v>183</v>
      </c>
      <c r="I225" s="188"/>
    </row>
    <row r="226" spans="1:9" ht="12.75" customHeight="1" x14ac:dyDescent="0.35">
      <c r="A226" s="191">
        <v>43501</v>
      </c>
      <c r="B226" s="196">
        <v>37</v>
      </c>
      <c r="C226" s="196">
        <v>70</v>
      </c>
      <c r="D226" s="197">
        <f t="shared" si="7"/>
        <v>33</v>
      </c>
      <c r="E226" s="197">
        <v>40</v>
      </c>
      <c r="F226" s="198" t="str">
        <f t="shared" si="8"/>
        <v>Pass</v>
      </c>
      <c r="G226" s="189">
        <v>1159</v>
      </c>
      <c r="H226" s="188" t="s">
        <v>184</v>
      </c>
      <c r="I226" s="195"/>
    </row>
    <row r="227" spans="1:9" ht="12.75" customHeight="1" x14ac:dyDescent="0.35">
      <c r="A227" s="191">
        <v>43507</v>
      </c>
      <c r="B227" s="196">
        <v>25</v>
      </c>
      <c r="C227" s="196">
        <v>111</v>
      </c>
      <c r="D227" s="197">
        <f t="shared" si="7"/>
        <v>86</v>
      </c>
      <c r="E227" s="197">
        <v>40</v>
      </c>
      <c r="F227" s="198" t="str">
        <f t="shared" si="8"/>
        <v>Fail</v>
      </c>
      <c r="G227" s="189">
        <v>1335</v>
      </c>
      <c r="H227" s="188" t="s">
        <v>185</v>
      </c>
      <c r="I227" s="195"/>
    </row>
    <row r="228" spans="1:9" ht="12.75" customHeight="1" x14ac:dyDescent="0.35">
      <c r="A228" s="191">
        <v>43507</v>
      </c>
      <c r="B228" s="196">
        <v>18</v>
      </c>
      <c r="C228" s="196">
        <v>62</v>
      </c>
      <c r="D228" s="197">
        <f t="shared" si="7"/>
        <v>44</v>
      </c>
      <c r="E228" s="197">
        <v>40</v>
      </c>
      <c r="F228" s="198" t="str">
        <f t="shared" si="8"/>
        <v>Fail</v>
      </c>
      <c r="G228" s="189">
        <v>1335</v>
      </c>
      <c r="H228" s="188" t="s">
        <v>186</v>
      </c>
      <c r="I228" s="195"/>
    </row>
    <row r="229" spans="1:9" ht="12.75" customHeight="1" x14ac:dyDescent="0.35">
      <c r="A229" s="191">
        <v>43507</v>
      </c>
      <c r="B229" s="196">
        <v>32</v>
      </c>
      <c r="C229" s="196">
        <v>221</v>
      </c>
      <c r="D229" s="197">
        <f t="shared" si="7"/>
        <v>189</v>
      </c>
      <c r="E229" s="197">
        <v>40</v>
      </c>
      <c r="F229" s="198" t="str">
        <f t="shared" si="8"/>
        <v>Fail</v>
      </c>
      <c r="G229" s="189">
        <v>1335</v>
      </c>
      <c r="H229" s="188" t="s">
        <v>187</v>
      </c>
      <c r="I229" s="195"/>
    </row>
    <row r="230" spans="1:9" ht="12.75" customHeight="1" x14ac:dyDescent="0.35">
      <c r="A230" s="191">
        <v>43507</v>
      </c>
      <c r="B230" s="196">
        <v>17</v>
      </c>
      <c r="C230" s="196">
        <v>74</v>
      </c>
      <c r="D230" s="197">
        <f t="shared" si="7"/>
        <v>57</v>
      </c>
      <c r="E230" s="197">
        <v>40</v>
      </c>
      <c r="F230" s="198" t="str">
        <f t="shared" si="8"/>
        <v>Fail</v>
      </c>
      <c r="G230" s="189">
        <v>1335</v>
      </c>
      <c r="H230" s="188" t="s">
        <v>188</v>
      </c>
      <c r="I230" s="195"/>
    </row>
    <row r="231" spans="1:9" ht="12.75" customHeight="1" x14ac:dyDescent="0.35">
      <c r="A231" s="191">
        <v>43507</v>
      </c>
      <c r="B231" s="196">
        <v>11</v>
      </c>
      <c r="C231" s="196">
        <v>21</v>
      </c>
      <c r="D231" s="197">
        <f t="shared" si="7"/>
        <v>10</v>
      </c>
      <c r="E231" s="197">
        <v>40</v>
      </c>
      <c r="F231" s="198" t="str">
        <f t="shared" si="8"/>
        <v>Pass</v>
      </c>
      <c r="G231" s="189">
        <v>1335</v>
      </c>
      <c r="H231" s="188" t="s">
        <v>189</v>
      </c>
      <c r="I231" s="195"/>
    </row>
    <row r="232" spans="1:9" ht="12.75" customHeight="1" x14ac:dyDescent="0.35">
      <c r="A232" s="191">
        <v>43514</v>
      </c>
      <c r="B232" s="196">
        <v>17</v>
      </c>
      <c r="C232" s="196">
        <v>233</v>
      </c>
      <c r="D232" s="197">
        <f t="shared" si="7"/>
        <v>216</v>
      </c>
      <c r="E232" s="197">
        <v>40</v>
      </c>
      <c r="F232" s="198" t="str">
        <f t="shared" si="8"/>
        <v>Fail</v>
      </c>
      <c r="G232" s="189">
        <v>1340</v>
      </c>
      <c r="H232" s="189" t="s">
        <v>57</v>
      </c>
      <c r="I232" s="195"/>
    </row>
    <row r="233" spans="1:9" ht="12.75" customHeight="1" x14ac:dyDescent="0.35">
      <c r="A233" s="191">
        <v>43514</v>
      </c>
      <c r="B233" s="196">
        <v>9</v>
      </c>
      <c r="C233" s="196">
        <v>78</v>
      </c>
      <c r="D233" s="197">
        <f t="shared" si="7"/>
        <v>69</v>
      </c>
      <c r="E233" s="197">
        <v>40</v>
      </c>
      <c r="F233" s="198" t="str">
        <f t="shared" si="8"/>
        <v>Fail</v>
      </c>
      <c r="G233" s="189">
        <v>1340</v>
      </c>
      <c r="H233" s="189" t="s">
        <v>57</v>
      </c>
      <c r="I233" s="195"/>
    </row>
    <row r="234" spans="1:9" ht="12.75" customHeight="1" x14ac:dyDescent="0.35">
      <c r="A234" s="191">
        <v>43514</v>
      </c>
      <c r="B234" s="196">
        <v>13</v>
      </c>
      <c r="C234" s="196">
        <v>90</v>
      </c>
      <c r="D234" s="197">
        <f t="shared" si="7"/>
        <v>77</v>
      </c>
      <c r="E234" s="197">
        <v>40</v>
      </c>
      <c r="F234" s="198" t="str">
        <f t="shared" si="8"/>
        <v>Fail</v>
      </c>
      <c r="G234" s="189">
        <v>1340</v>
      </c>
      <c r="H234" s="189" t="s">
        <v>57</v>
      </c>
      <c r="I234" s="195"/>
    </row>
    <row r="235" spans="1:9" ht="12.75" customHeight="1" x14ac:dyDescent="0.35">
      <c r="A235" s="191">
        <v>43515</v>
      </c>
      <c r="B235" s="196">
        <v>10</v>
      </c>
      <c r="C235" s="196">
        <v>55</v>
      </c>
      <c r="D235" s="197">
        <f t="shared" si="7"/>
        <v>45</v>
      </c>
      <c r="E235" s="197">
        <v>40</v>
      </c>
      <c r="F235" s="198" t="str">
        <f t="shared" si="8"/>
        <v>Fail</v>
      </c>
      <c r="G235" s="189">
        <v>1340</v>
      </c>
      <c r="H235" s="189" t="s">
        <v>57</v>
      </c>
      <c r="I235" s="195"/>
    </row>
    <row r="236" spans="1:9" ht="12.75" customHeight="1" x14ac:dyDescent="0.35">
      <c r="A236" s="191">
        <v>43515</v>
      </c>
      <c r="B236" s="196">
        <v>16</v>
      </c>
      <c r="C236" s="196">
        <v>75</v>
      </c>
      <c r="D236" s="197">
        <f t="shared" si="7"/>
        <v>59</v>
      </c>
      <c r="E236" s="197">
        <v>40</v>
      </c>
      <c r="F236" s="198" t="str">
        <f t="shared" si="8"/>
        <v>Fail</v>
      </c>
      <c r="G236" s="189">
        <v>1340</v>
      </c>
      <c r="H236" s="189" t="s">
        <v>57</v>
      </c>
      <c r="I236" s="195"/>
    </row>
    <row r="237" spans="1:9" ht="12.75" customHeight="1" x14ac:dyDescent="0.35">
      <c r="A237" s="191">
        <v>43515</v>
      </c>
      <c r="B237" s="196">
        <v>9</v>
      </c>
      <c r="C237" s="196">
        <v>19</v>
      </c>
      <c r="D237" s="197">
        <f t="shared" si="7"/>
        <v>10</v>
      </c>
      <c r="E237" s="197">
        <v>40</v>
      </c>
      <c r="F237" s="198" t="str">
        <f t="shared" si="8"/>
        <v>Pass</v>
      </c>
      <c r="G237" s="189">
        <v>1159</v>
      </c>
      <c r="H237" s="188" t="s">
        <v>190</v>
      </c>
      <c r="I237" s="195"/>
    </row>
    <row r="238" spans="1:9" ht="12.75" customHeight="1" x14ac:dyDescent="0.35">
      <c r="A238" s="191">
        <v>43515</v>
      </c>
      <c r="B238" s="196">
        <v>19</v>
      </c>
      <c r="C238" s="196">
        <v>46</v>
      </c>
      <c r="D238" s="197">
        <f t="shared" si="7"/>
        <v>27</v>
      </c>
      <c r="E238" s="197">
        <v>40</v>
      </c>
      <c r="F238" s="198" t="str">
        <f t="shared" si="8"/>
        <v>Pass</v>
      </c>
      <c r="G238" s="189">
        <v>1159</v>
      </c>
      <c r="H238" s="188" t="s">
        <v>191</v>
      </c>
      <c r="I238" s="195"/>
    </row>
    <row r="239" spans="1:9" ht="12.75" customHeight="1" x14ac:dyDescent="0.35">
      <c r="A239" s="191">
        <v>43517</v>
      </c>
      <c r="B239" s="196">
        <v>6</v>
      </c>
      <c r="C239" s="196">
        <v>37</v>
      </c>
      <c r="D239" s="197">
        <f t="shared" si="7"/>
        <v>31</v>
      </c>
      <c r="E239" s="197">
        <v>40</v>
      </c>
      <c r="F239" s="198" t="str">
        <f t="shared" si="8"/>
        <v>Pass</v>
      </c>
      <c r="G239" s="189">
        <v>1340</v>
      </c>
      <c r="H239" s="188">
        <v>0</v>
      </c>
      <c r="I239" s="195"/>
    </row>
    <row r="240" spans="1:9" ht="12.75" customHeight="1" x14ac:dyDescent="0.35">
      <c r="A240" s="191">
        <v>43521</v>
      </c>
      <c r="B240" s="196">
        <v>14</v>
      </c>
      <c r="C240" s="196">
        <v>53</v>
      </c>
      <c r="D240" s="197">
        <f t="shared" si="7"/>
        <v>39</v>
      </c>
      <c r="E240" s="197">
        <v>40</v>
      </c>
      <c r="F240" s="198" t="str">
        <f t="shared" si="8"/>
        <v>Pass</v>
      </c>
      <c r="G240" s="189">
        <v>1335</v>
      </c>
      <c r="H240" s="188" t="s">
        <v>192</v>
      </c>
      <c r="I240" s="195"/>
    </row>
    <row r="241" spans="1:9" ht="12.75" customHeight="1" x14ac:dyDescent="0.35">
      <c r="A241" s="191">
        <v>43524</v>
      </c>
      <c r="B241" s="196">
        <v>8</v>
      </c>
      <c r="C241" s="196">
        <v>222</v>
      </c>
      <c r="D241" s="197">
        <f t="shared" si="7"/>
        <v>214</v>
      </c>
      <c r="E241" s="197">
        <v>40</v>
      </c>
      <c r="F241" s="198" t="s">
        <v>193</v>
      </c>
      <c r="G241" s="189">
        <v>1335</v>
      </c>
      <c r="H241" s="188" t="s">
        <v>194</v>
      </c>
      <c r="I241" s="195"/>
    </row>
    <row r="242" spans="1:9" ht="12.75" customHeight="1" x14ac:dyDescent="0.35">
      <c r="A242" s="191">
        <v>43528</v>
      </c>
      <c r="B242" s="196">
        <v>14</v>
      </c>
      <c r="C242" s="196">
        <v>33</v>
      </c>
      <c r="D242" s="197">
        <f>IF(((B242="")*AND(C242="")),"",C242-B242)</f>
        <v>19</v>
      </c>
      <c r="E242" s="197">
        <v>40</v>
      </c>
      <c r="F242" s="198" t="str">
        <f>IF(D242="","",IF(D242&lt;=40,"Pass","Fail"))</f>
        <v>Pass</v>
      </c>
      <c r="G242" s="189">
        <v>74</v>
      </c>
      <c r="H242" s="195"/>
      <c r="I242" s="195"/>
    </row>
    <row r="243" spans="1:9" ht="12.75" customHeight="1" x14ac:dyDescent="0.35">
      <c r="A243" s="191">
        <v>43535</v>
      </c>
      <c r="B243" s="196">
        <v>10</v>
      </c>
      <c r="C243" s="196">
        <v>78</v>
      </c>
      <c r="D243" s="197">
        <f>IF(((B243="")*AND(C243="")),"",C243-B243)</f>
        <v>68</v>
      </c>
      <c r="E243" s="197">
        <v>40</v>
      </c>
      <c r="F243" s="198" t="str">
        <f>IF(D243="","",IF(D243&lt;=40,"Pass","Fail"))</f>
        <v>Fail</v>
      </c>
      <c r="G243" s="189">
        <v>1534</v>
      </c>
      <c r="H243" s="195"/>
      <c r="I243" s="195"/>
    </row>
    <row r="244" spans="1:9" ht="12.75" customHeight="1" x14ac:dyDescent="0.35">
      <c r="A244" s="191">
        <v>43535</v>
      </c>
      <c r="B244" s="196">
        <v>15</v>
      </c>
      <c r="C244" s="196">
        <v>39</v>
      </c>
      <c r="D244" s="197">
        <f>IF(((B244="")*AND(C244="")),"",C244-B244)</f>
        <v>24</v>
      </c>
      <c r="E244" s="197">
        <v>40</v>
      </c>
      <c r="F244" s="198" t="str">
        <f>IF(D244="","",IF(D244&lt;=40,"Pass","Fail"))</f>
        <v>Pass</v>
      </c>
      <c r="G244" s="189">
        <v>1428</v>
      </c>
      <c r="H244" s="195"/>
      <c r="I244" s="195"/>
    </row>
    <row r="245" spans="1:9" ht="12.75" customHeight="1" x14ac:dyDescent="0.35">
      <c r="A245" s="191">
        <v>43538</v>
      </c>
      <c r="B245" s="196">
        <v>6</v>
      </c>
      <c r="C245" s="196">
        <v>38</v>
      </c>
      <c r="D245" s="197">
        <f>IF(((B245="")*AND(C245="")),"",C245-B245)</f>
        <v>32</v>
      </c>
      <c r="E245" s="197">
        <v>40</v>
      </c>
      <c r="F245" s="198" t="str">
        <f>IF(D245="","",IF(D245&lt;=40,"Pass","Fail"))</f>
        <v>Pass</v>
      </c>
      <c r="G245" s="189">
        <v>121</v>
      </c>
      <c r="H245" s="195"/>
      <c r="I245" s="195"/>
    </row>
    <row r="246" spans="1:9" ht="12.75" customHeight="1" x14ac:dyDescent="0.35">
      <c r="A246" s="191">
        <v>43546</v>
      </c>
      <c r="B246" s="196">
        <v>29</v>
      </c>
      <c r="C246" s="196">
        <v>48</v>
      </c>
      <c r="D246" s="197">
        <f>IF(((B246="")*AND(C246="")),"",C246-B246)</f>
        <v>19</v>
      </c>
      <c r="E246" s="197">
        <v>40</v>
      </c>
      <c r="F246" s="198" t="str">
        <f>IF(D246="","",IF(D246&lt;=40,"Pass","Fail"))</f>
        <v>Pass</v>
      </c>
      <c r="G246" s="189">
        <v>1340</v>
      </c>
      <c r="H246" s="195"/>
      <c r="I246" s="195"/>
    </row>
    <row r="247" spans="1:9" ht="12.75" customHeight="1" x14ac:dyDescent="0.35">
      <c r="A247" s="191">
        <v>43549</v>
      </c>
      <c r="B247" s="196">
        <v>6</v>
      </c>
      <c r="C247" s="196">
        <v>222</v>
      </c>
      <c r="D247" s="197">
        <v>356</v>
      </c>
      <c r="E247" s="197">
        <v>40</v>
      </c>
      <c r="F247" s="198" t="s">
        <v>193</v>
      </c>
      <c r="G247" s="189">
        <v>1159</v>
      </c>
      <c r="H247" s="188"/>
      <c r="I247" s="195"/>
    </row>
    <row r="248" spans="1:9" ht="12.75" customHeight="1" x14ac:dyDescent="0.35">
      <c r="A248" s="191">
        <v>43551</v>
      </c>
      <c r="B248" s="196">
        <v>7</v>
      </c>
      <c r="C248" s="196">
        <v>41</v>
      </c>
      <c r="D248" s="197">
        <f t="shared" ref="D248:D257" si="9">IF(((B248="")*AND(C248="")),"",C248-B248)</f>
        <v>34</v>
      </c>
      <c r="E248" s="197">
        <v>40</v>
      </c>
      <c r="F248" s="198" t="str">
        <f t="shared" ref="F248:F257" si="10">IF(D248="","",IF(D248&lt;=40,"Pass","Fail"))</f>
        <v>Pass</v>
      </c>
      <c r="G248" s="189">
        <v>1159</v>
      </c>
      <c r="H248" s="195" t="s">
        <v>195</v>
      </c>
      <c r="I248" s="195"/>
    </row>
    <row r="249" spans="1:9" ht="12.75" customHeight="1" x14ac:dyDescent="0.35">
      <c r="A249" s="191">
        <v>43556</v>
      </c>
      <c r="B249" s="196">
        <v>39</v>
      </c>
      <c r="C249" s="196">
        <v>271</v>
      </c>
      <c r="D249" s="197">
        <f t="shared" si="9"/>
        <v>232</v>
      </c>
      <c r="E249" s="197">
        <v>40</v>
      </c>
      <c r="F249" s="198" t="str">
        <f t="shared" si="10"/>
        <v>Fail</v>
      </c>
      <c r="G249" s="189">
        <v>1159</v>
      </c>
      <c r="H249" s="195" t="s">
        <v>195</v>
      </c>
      <c r="I249" s="195"/>
    </row>
    <row r="250" spans="1:9" ht="12.75" customHeight="1" x14ac:dyDescent="0.35">
      <c r="A250" s="191">
        <v>43559</v>
      </c>
      <c r="B250" s="196">
        <v>23</v>
      </c>
      <c r="C250" s="196">
        <v>311</v>
      </c>
      <c r="D250" s="197">
        <f t="shared" si="9"/>
        <v>288</v>
      </c>
      <c r="E250" s="197">
        <v>40</v>
      </c>
      <c r="F250" s="198" t="str">
        <f t="shared" si="10"/>
        <v>Fail</v>
      </c>
      <c r="G250" s="189">
        <v>121</v>
      </c>
      <c r="H250" s="195"/>
      <c r="I250" s="195"/>
    </row>
    <row r="251" spans="1:9" ht="12.75" customHeight="1" x14ac:dyDescent="0.35">
      <c r="A251" s="191">
        <v>43560</v>
      </c>
      <c r="B251" s="196">
        <v>6</v>
      </c>
      <c r="C251" s="196">
        <v>29</v>
      </c>
      <c r="D251" s="197">
        <f t="shared" si="9"/>
        <v>23</v>
      </c>
      <c r="E251" s="197">
        <v>40</v>
      </c>
      <c r="F251" s="198" t="str">
        <f t="shared" si="10"/>
        <v>Pass</v>
      </c>
      <c r="G251" s="189">
        <v>1340</v>
      </c>
      <c r="H251" s="247"/>
      <c r="I251" s="201" t="s">
        <v>196</v>
      </c>
    </row>
    <row r="252" spans="1:9" ht="12.75" customHeight="1" x14ac:dyDescent="0.35">
      <c r="A252" s="191">
        <v>43560</v>
      </c>
      <c r="B252" s="196">
        <v>4</v>
      </c>
      <c r="C252" s="196">
        <v>5</v>
      </c>
      <c r="D252" s="197">
        <f t="shared" si="9"/>
        <v>1</v>
      </c>
      <c r="E252" s="197">
        <v>40</v>
      </c>
      <c r="F252" s="198" t="str">
        <f t="shared" si="10"/>
        <v>Pass</v>
      </c>
      <c r="G252" s="189">
        <v>1340</v>
      </c>
      <c r="H252" s="247"/>
      <c r="I252" s="201" t="s">
        <v>196</v>
      </c>
    </row>
    <row r="253" spans="1:9" ht="12.75" customHeight="1" x14ac:dyDescent="0.35">
      <c r="A253" s="191">
        <v>43564</v>
      </c>
      <c r="B253" s="196">
        <v>10</v>
      </c>
      <c r="C253" s="196">
        <v>23</v>
      </c>
      <c r="D253" s="197">
        <f t="shared" si="9"/>
        <v>13</v>
      </c>
      <c r="E253" s="197">
        <v>40</v>
      </c>
      <c r="F253" s="198" t="str">
        <f t="shared" si="10"/>
        <v>Pass</v>
      </c>
      <c r="G253" s="189">
        <v>1428</v>
      </c>
      <c r="H253" s="195"/>
      <c r="I253" s="195"/>
    </row>
    <row r="254" spans="1:9" ht="12.75" customHeight="1" x14ac:dyDescent="0.35">
      <c r="A254" s="191">
        <v>43568</v>
      </c>
      <c r="B254" s="196">
        <v>20</v>
      </c>
      <c r="C254" s="196">
        <v>169</v>
      </c>
      <c r="D254" s="197">
        <f t="shared" si="9"/>
        <v>149</v>
      </c>
      <c r="E254" s="197">
        <v>40</v>
      </c>
      <c r="F254" s="198" t="str">
        <f t="shared" si="10"/>
        <v>Fail</v>
      </c>
      <c r="G254" s="189">
        <v>1428</v>
      </c>
      <c r="H254" s="195"/>
      <c r="I254" s="195"/>
    </row>
    <row r="255" spans="1:9" ht="12.75" customHeight="1" x14ac:dyDescent="0.35">
      <c r="A255" s="191">
        <v>43568</v>
      </c>
      <c r="B255" s="196">
        <v>16</v>
      </c>
      <c r="C255" s="196">
        <v>54</v>
      </c>
      <c r="D255" s="197">
        <f t="shared" si="9"/>
        <v>38</v>
      </c>
      <c r="E255" s="197">
        <v>40</v>
      </c>
      <c r="F255" s="198" t="str">
        <f t="shared" si="10"/>
        <v>Pass</v>
      </c>
      <c r="G255" s="189">
        <v>1428</v>
      </c>
      <c r="H255" s="195"/>
      <c r="I255" s="195"/>
    </row>
    <row r="256" spans="1:9" ht="12.75" customHeight="1" x14ac:dyDescent="0.35">
      <c r="A256" s="191">
        <v>43578</v>
      </c>
      <c r="B256" s="196">
        <v>14</v>
      </c>
      <c r="C256" s="196">
        <v>27</v>
      </c>
      <c r="D256" s="197">
        <f t="shared" si="9"/>
        <v>13</v>
      </c>
      <c r="E256" s="197">
        <v>40</v>
      </c>
      <c r="F256" s="198" t="str">
        <f t="shared" si="10"/>
        <v>Pass</v>
      </c>
      <c r="G256" s="189">
        <v>1340</v>
      </c>
      <c r="H256" s="195"/>
      <c r="I256" s="195"/>
    </row>
    <row r="257" spans="1:9" ht="12.75" customHeight="1" x14ac:dyDescent="0.35">
      <c r="A257" s="191">
        <v>43580</v>
      </c>
      <c r="B257" s="196">
        <v>20</v>
      </c>
      <c r="C257" s="196">
        <v>53</v>
      </c>
      <c r="D257" s="197">
        <f t="shared" si="9"/>
        <v>33</v>
      </c>
      <c r="E257" s="197">
        <v>40</v>
      </c>
      <c r="F257" s="198" t="str">
        <f t="shared" si="10"/>
        <v>Pass</v>
      </c>
      <c r="G257" s="189">
        <v>1159</v>
      </c>
      <c r="H257" s="188" t="s">
        <v>198</v>
      </c>
      <c r="I257" s="195"/>
    </row>
  </sheetData>
  <autoFilter ref="A9:I257"/>
  <mergeCells count="4">
    <mergeCell ref="A1:H1"/>
    <mergeCell ref="F3:H3"/>
    <mergeCell ref="B8:C8"/>
    <mergeCell ref="D8:H8"/>
  </mergeCells>
  <conditionalFormatting sqref="F10:F240">
    <cfRule type="containsText" dxfId="31" priority="19" stopIfTrue="1" operator="containsText" text="PASS">
      <formula>NOT(ISERROR(SEARCH("PASS",F10)))</formula>
    </cfRule>
    <cfRule type="containsText" dxfId="30" priority="20" stopIfTrue="1" operator="containsText" text="FAIL">
      <formula>NOT(ISERROR(SEARCH("FAIL",F10)))</formula>
    </cfRule>
  </conditionalFormatting>
  <conditionalFormatting sqref="F242:F248 F250:F256">
    <cfRule type="containsText" dxfId="29" priority="17" stopIfTrue="1" operator="containsText" text="PASS">
      <formula>NOT(ISERROR(SEARCH("PASS",F242)))</formula>
    </cfRule>
    <cfRule type="containsText" dxfId="28" priority="18" stopIfTrue="1" operator="containsText" text="FAIL">
      <formula>NOT(ISERROR(SEARCH("FAIL",F242)))</formula>
    </cfRule>
  </conditionalFormatting>
  <conditionalFormatting sqref="F241">
    <cfRule type="containsText" dxfId="27" priority="15" stopIfTrue="1" operator="containsText" text="PASS">
      <formula>NOT(ISERROR(SEARCH("PASS",F241)))</formula>
    </cfRule>
    <cfRule type="containsText" dxfId="26" priority="16" stopIfTrue="1" operator="containsText" text="FAIL">
      <formula>NOT(ISERROR(SEARCH("FAIL",F241)))</formula>
    </cfRule>
  </conditionalFormatting>
  <conditionalFormatting sqref="F247">
    <cfRule type="containsText" dxfId="25" priority="13" stopIfTrue="1" operator="containsText" text="PASS">
      <formula>NOT(ISERROR(SEARCH("PASS",F247)))</formula>
    </cfRule>
    <cfRule type="containsText" dxfId="24" priority="14" stopIfTrue="1" operator="containsText" text="FAIL">
      <formula>NOT(ISERROR(SEARCH("FAIL",F247)))</formula>
    </cfRule>
  </conditionalFormatting>
  <conditionalFormatting sqref="F248 F250:F256">
    <cfRule type="containsText" dxfId="23" priority="11" stopIfTrue="1" operator="containsText" text="PASS">
      <formula>NOT(ISERROR(SEARCH("PASS",F248)))</formula>
    </cfRule>
    <cfRule type="containsText" dxfId="22" priority="12" stopIfTrue="1" operator="containsText" text="FAIL">
      <formula>NOT(ISERROR(SEARCH("FAIL",F248)))</formula>
    </cfRule>
  </conditionalFormatting>
  <conditionalFormatting sqref="F248 F250:F256">
    <cfRule type="containsText" dxfId="21" priority="9" stopIfTrue="1" operator="containsText" text="PASS">
      <formula>NOT(ISERROR(SEARCH("PASS",F248)))</formula>
    </cfRule>
    <cfRule type="containsText" dxfId="20" priority="10" stopIfTrue="1" operator="containsText" text="FAIL">
      <formula>NOT(ISERROR(SEARCH("FAIL",F248)))</formula>
    </cfRule>
  </conditionalFormatting>
  <conditionalFormatting sqref="F249">
    <cfRule type="containsText" dxfId="19" priority="7" stopIfTrue="1" operator="containsText" text="PASS">
      <formula>NOT(ISERROR(SEARCH("PASS",F249)))</formula>
    </cfRule>
    <cfRule type="containsText" dxfId="18" priority="8" stopIfTrue="1" operator="containsText" text="FAIL">
      <formula>NOT(ISERROR(SEARCH("FAIL",F249)))</formula>
    </cfRule>
  </conditionalFormatting>
  <conditionalFormatting sqref="F249">
    <cfRule type="containsText" dxfId="17" priority="5" stopIfTrue="1" operator="containsText" text="PASS">
      <formula>NOT(ISERROR(SEARCH("PASS",F249)))</formula>
    </cfRule>
    <cfRule type="containsText" dxfId="16" priority="6" stopIfTrue="1" operator="containsText" text="FAIL">
      <formula>NOT(ISERROR(SEARCH("FAIL",F249)))</formula>
    </cfRule>
  </conditionalFormatting>
  <conditionalFormatting sqref="F249">
    <cfRule type="containsText" dxfId="15" priority="3" stopIfTrue="1" operator="containsText" text="PASS">
      <formula>NOT(ISERROR(SEARCH("PASS",F249)))</formula>
    </cfRule>
    <cfRule type="containsText" dxfId="14" priority="4" stopIfTrue="1" operator="containsText" text="FAIL">
      <formula>NOT(ISERROR(SEARCH("FAIL",F249)))</formula>
    </cfRule>
  </conditionalFormatting>
  <conditionalFormatting sqref="F257">
    <cfRule type="containsText" dxfId="13" priority="1" stopIfTrue="1" operator="containsText" text="PASS">
      <formula>NOT(ISERROR(SEARCH("PASS",F257)))</formula>
    </cfRule>
    <cfRule type="containsText" dxfId="12" priority="2" stopIfTrue="1" operator="containsText" text="FAIL">
      <formula>NOT(ISERROR(SEARCH("FAIL",F257)))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87"/>
  <sheetViews>
    <sheetView zoomScale="70" zoomScaleNormal="70" workbookViewId="0">
      <pane xSplit="2" ySplit="10" topLeftCell="C748" activePane="bottomRight" state="frozen"/>
      <selection pane="topRight" activeCell="C1" sqref="C1"/>
      <selection pane="bottomLeft" activeCell="A11" sqref="A11"/>
      <selection pane="bottomRight" activeCell="H753" sqref="H753"/>
    </sheetView>
  </sheetViews>
  <sheetFormatPr defaultColWidth="8.7265625" defaultRowHeight="12.75" x14ac:dyDescent="0.25"/>
  <cols>
    <col min="1" max="1" width="12.90625" style="40" customWidth="1"/>
    <col min="2" max="2" width="10.08984375" style="35" customWidth="1"/>
    <col min="3" max="3" width="13.36328125" style="35" customWidth="1"/>
    <col min="4" max="16" width="6.08984375" style="35" customWidth="1"/>
    <col min="17" max="17" width="10.36328125" style="39" bestFit="1" customWidth="1"/>
    <col min="18" max="18" width="7.26953125" style="39" bestFit="1" customWidth="1"/>
    <col min="19" max="19" width="9" style="39" customWidth="1"/>
    <col min="20" max="20" width="11.453125" style="39" customWidth="1"/>
    <col min="21" max="21" width="10.36328125" style="39" customWidth="1"/>
    <col min="22" max="22" width="11.90625" style="38" customWidth="1"/>
    <col min="23" max="23" width="11.08984375" style="38" customWidth="1"/>
    <col min="24" max="24" width="26.08984375" style="38" customWidth="1"/>
    <col min="25" max="25" width="34.08984375" style="38" customWidth="1"/>
    <col min="26" max="29" width="8.26953125" style="37" customWidth="1"/>
    <col min="30" max="30" width="10.26953125" style="38" customWidth="1"/>
    <col min="31" max="31" width="10.453125" style="36" customWidth="1"/>
    <col min="32" max="16384" width="8.7265625" style="35"/>
  </cols>
  <sheetData>
    <row r="1" spans="1:31" s="162" customFormat="1" ht="12.75" customHeight="1" x14ac:dyDescent="0.25">
      <c r="A1" s="172" t="s">
        <v>14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60"/>
      <c r="Q1" s="167"/>
      <c r="R1" s="167"/>
      <c r="S1" s="167"/>
      <c r="T1" s="167"/>
      <c r="U1" s="167"/>
      <c r="V1" s="166"/>
      <c r="W1" s="166"/>
      <c r="X1" s="172"/>
      <c r="Y1" s="165"/>
      <c r="Z1" s="164"/>
      <c r="AA1" s="164"/>
      <c r="AB1" s="164"/>
      <c r="AC1" s="164"/>
      <c r="AD1" s="249"/>
      <c r="AE1" s="163"/>
    </row>
    <row r="2" spans="1:31" ht="12.75" customHeight="1" x14ac:dyDescent="0.25">
      <c r="A2" s="170" t="s">
        <v>15</v>
      </c>
      <c r="B2" s="147"/>
      <c r="C2" s="161"/>
      <c r="D2" s="146"/>
      <c r="E2" s="147"/>
      <c r="F2" s="147"/>
      <c r="G2" s="147"/>
      <c r="H2" s="147"/>
      <c r="I2" s="145"/>
      <c r="J2" s="147" t="s">
        <v>16</v>
      </c>
      <c r="K2" s="147"/>
      <c r="L2" s="147"/>
      <c r="M2" s="147"/>
      <c r="N2" s="147"/>
      <c r="O2" s="147"/>
      <c r="P2" s="160"/>
      <c r="Q2" s="159" t="s">
        <v>290</v>
      </c>
      <c r="R2" s="158"/>
      <c r="S2" s="157" t="s">
        <v>271</v>
      </c>
      <c r="T2" s="157" t="s">
        <v>270</v>
      </c>
      <c r="U2" s="157"/>
      <c r="V2" s="156" t="s">
        <v>272</v>
      </c>
      <c r="W2" s="156" t="s">
        <v>48</v>
      </c>
      <c r="X2" s="172"/>
      <c r="Y2" s="171"/>
    </row>
    <row r="3" spans="1:31" ht="12.75" customHeight="1" x14ac:dyDescent="0.3">
      <c r="A3" s="170" t="s">
        <v>289</v>
      </c>
      <c r="B3" s="154"/>
      <c r="C3" s="153"/>
      <c r="D3" s="153"/>
      <c r="E3" s="145"/>
      <c r="F3" s="145" t="s">
        <v>288</v>
      </c>
      <c r="G3" s="145"/>
      <c r="H3" s="145"/>
      <c r="I3" s="145"/>
      <c r="J3" s="145"/>
      <c r="K3" s="145"/>
      <c r="L3" s="145"/>
      <c r="M3" s="145"/>
      <c r="N3" s="145"/>
      <c r="O3" s="145"/>
      <c r="P3" s="144"/>
      <c r="Q3" s="152" t="s">
        <v>287</v>
      </c>
      <c r="R3" s="151"/>
      <c r="S3" s="150">
        <v>4720</v>
      </c>
      <c r="T3" s="150">
        <v>5640</v>
      </c>
      <c r="U3" s="150"/>
      <c r="V3" s="149">
        <v>4470</v>
      </c>
      <c r="W3" s="149">
        <v>6020</v>
      </c>
      <c r="X3" s="208"/>
      <c r="Y3" s="148"/>
    </row>
    <row r="4" spans="1:31" ht="12.75" customHeight="1" x14ac:dyDescent="0.25">
      <c r="A4" s="170" t="s">
        <v>286</v>
      </c>
      <c r="B4" s="147"/>
      <c r="C4" s="146"/>
      <c r="D4" s="146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4"/>
      <c r="Q4" s="152" t="s">
        <v>282</v>
      </c>
      <c r="R4" s="151"/>
      <c r="S4" s="150">
        <v>0</v>
      </c>
      <c r="T4" s="150">
        <v>2.5</v>
      </c>
      <c r="U4" s="150"/>
      <c r="V4" s="149">
        <v>0</v>
      </c>
      <c r="W4" s="149">
        <v>10</v>
      </c>
      <c r="X4" s="208"/>
      <c r="Y4" s="148"/>
    </row>
    <row r="5" spans="1:31" ht="12.75" customHeight="1" x14ac:dyDescent="0.25">
      <c r="A5" s="170" t="s">
        <v>285</v>
      </c>
      <c r="B5" s="147"/>
      <c r="C5" s="146"/>
      <c r="D5" s="146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4"/>
      <c r="Q5" s="152" t="s">
        <v>284</v>
      </c>
      <c r="R5" s="151"/>
      <c r="S5" s="150">
        <v>6300</v>
      </c>
      <c r="T5" s="150">
        <v>8260</v>
      </c>
      <c r="U5" s="150"/>
      <c r="V5" s="149">
        <v>4955</v>
      </c>
      <c r="W5" s="149">
        <v>9645</v>
      </c>
      <c r="X5" s="208"/>
      <c r="Y5" s="148"/>
    </row>
    <row r="6" spans="1:31" ht="12.75" customHeight="1" x14ac:dyDescent="0.25">
      <c r="A6" s="170" t="s">
        <v>283</v>
      </c>
      <c r="B6" s="147"/>
      <c r="C6" s="146"/>
      <c r="D6" s="146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4"/>
      <c r="Q6" s="152" t="s">
        <v>282</v>
      </c>
      <c r="R6" s="151"/>
      <c r="S6" s="150">
        <v>0</v>
      </c>
      <c r="T6" s="150">
        <v>10</v>
      </c>
      <c r="U6" s="150"/>
      <c r="V6" s="149">
        <v>0</v>
      </c>
      <c r="W6" s="149">
        <v>10</v>
      </c>
      <c r="X6" s="208"/>
      <c r="Y6" s="148"/>
    </row>
    <row r="7" spans="1:31" ht="12.75" customHeight="1" x14ac:dyDescent="0.25">
      <c r="A7" s="170" t="s">
        <v>281</v>
      </c>
      <c r="B7" s="147"/>
      <c r="C7" s="146"/>
      <c r="D7" s="146"/>
      <c r="E7" s="84"/>
      <c r="F7" s="84"/>
      <c r="G7" s="84"/>
      <c r="H7" s="84"/>
      <c r="I7" s="84"/>
      <c r="K7" s="145"/>
      <c r="L7" s="145"/>
      <c r="M7" s="145"/>
      <c r="N7" s="145"/>
      <c r="O7" s="145"/>
      <c r="P7" s="144"/>
      <c r="Q7" s="143"/>
      <c r="R7" s="143"/>
      <c r="S7" s="142"/>
      <c r="T7" s="141"/>
      <c r="U7" s="141"/>
      <c r="V7" s="140"/>
      <c r="W7" s="139"/>
      <c r="X7" s="209"/>
      <c r="Y7" s="138"/>
    </row>
    <row r="8" spans="1:31" ht="12.75" customHeight="1" x14ac:dyDescent="0.25">
      <c r="A8" s="137"/>
      <c r="B8" s="135"/>
      <c r="C8" s="136"/>
      <c r="D8" s="136"/>
      <c r="E8" s="136"/>
      <c r="F8" s="136"/>
      <c r="G8" s="136"/>
      <c r="H8" s="136"/>
      <c r="I8" s="136"/>
      <c r="J8" s="136"/>
      <c r="K8" s="135"/>
      <c r="L8" s="135"/>
      <c r="M8" s="135"/>
      <c r="N8" s="135"/>
      <c r="O8" s="135"/>
      <c r="P8" s="134"/>
      <c r="Q8" s="133"/>
      <c r="R8" s="133"/>
      <c r="S8" s="132"/>
      <c r="T8" s="132"/>
      <c r="U8" s="132"/>
      <c r="V8" s="131"/>
      <c r="W8" s="131"/>
      <c r="X8" s="208"/>
      <c r="Y8" s="130"/>
    </row>
    <row r="9" spans="1:31" s="223" customFormat="1" ht="29.5" customHeight="1" thickBot="1" x14ac:dyDescent="0.35">
      <c r="A9" s="219"/>
      <c r="B9" s="220"/>
      <c r="C9" s="271" t="s">
        <v>312</v>
      </c>
      <c r="D9" s="272"/>
      <c r="E9" s="272"/>
      <c r="F9" s="272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21"/>
      <c r="R9" s="221"/>
      <c r="S9" s="222"/>
      <c r="T9" s="241"/>
      <c r="U9" s="241"/>
      <c r="V9" s="242"/>
      <c r="W9" s="224"/>
      <c r="X9" s="243"/>
      <c r="Y9" s="241"/>
      <c r="Z9" s="242"/>
      <c r="AA9" s="250"/>
      <c r="AB9" s="242"/>
      <c r="AC9" s="242"/>
      <c r="AD9" s="242"/>
      <c r="AE9" s="242"/>
    </row>
    <row r="10" spans="1:31" s="227" customFormat="1" ht="41.95" customHeight="1" thickBot="1" x14ac:dyDescent="0.4">
      <c r="A10" s="225" t="s">
        <v>302</v>
      </c>
      <c r="B10" s="226" t="s">
        <v>316</v>
      </c>
      <c r="C10" s="244" t="s">
        <v>310</v>
      </c>
      <c r="D10" s="226">
        <v>1</v>
      </c>
      <c r="E10" s="226">
        <v>2</v>
      </c>
      <c r="F10" s="226">
        <v>3</v>
      </c>
      <c r="G10" s="226">
        <v>4</v>
      </c>
      <c r="H10" s="226">
        <v>5</v>
      </c>
      <c r="I10" s="226">
        <v>6</v>
      </c>
      <c r="J10" s="226">
        <v>7</v>
      </c>
      <c r="K10" s="226">
        <v>8</v>
      </c>
      <c r="L10" s="226">
        <v>9</v>
      </c>
      <c r="M10" s="226">
        <v>10</v>
      </c>
      <c r="N10" s="226">
        <v>11</v>
      </c>
      <c r="O10" s="226">
        <v>12</v>
      </c>
      <c r="P10" s="226">
        <v>13</v>
      </c>
      <c r="Q10" s="238" t="s">
        <v>278</v>
      </c>
      <c r="R10" s="238" t="s">
        <v>277</v>
      </c>
      <c r="S10" s="238" t="s">
        <v>311</v>
      </c>
      <c r="T10" s="238" t="s">
        <v>317</v>
      </c>
      <c r="U10" s="238" t="s">
        <v>274</v>
      </c>
      <c r="V10" s="239" t="s">
        <v>32</v>
      </c>
      <c r="W10" s="240" t="s">
        <v>273</v>
      </c>
      <c r="X10" s="239" t="s">
        <v>305</v>
      </c>
      <c r="Y10" s="239" t="s">
        <v>34</v>
      </c>
      <c r="Z10" s="245" t="s">
        <v>272</v>
      </c>
      <c r="AA10" s="245" t="s">
        <v>48</v>
      </c>
      <c r="AB10" s="245" t="s">
        <v>271</v>
      </c>
      <c r="AC10" s="245" t="s">
        <v>270</v>
      </c>
      <c r="AD10" s="246" t="s">
        <v>268</v>
      </c>
      <c r="AE10" s="246" t="s">
        <v>269</v>
      </c>
    </row>
    <row r="11" spans="1:31" x14ac:dyDescent="0.25">
      <c r="A11" s="234">
        <v>42404</v>
      </c>
      <c r="B11" s="46" t="s">
        <v>204</v>
      </c>
      <c r="C11" s="78" t="s">
        <v>201</v>
      </c>
      <c r="D11" s="35">
        <v>5881.31</v>
      </c>
      <c r="E11" s="35">
        <v>5941.71</v>
      </c>
      <c r="F11" s="35">
        <v>5955.92</v>
      </c>
      <c r="G11" s="35">
        <v>5937.02</v>
      </c>
      <c r="H11" s="35">
        <v>5815.89</v>
      </c>
      <c r="I11" s="35">
        <v>5815.89</v>
      </c>
      <c r="J11" s="35">
        <v>5944.28</v>
      </c>
      <c r="K11" s="35">
        <v>5946.97</v>
      </c>
      <c r="L11" s="35">
        <v>5887.04</v>
      </c>
      <c r="M11" s="53"/>
      <c r="N11" s="53"/>
      <c r="O11" s="53"/>
      <c r="P11" s="53"/>
      <c r="Q11" s="46">
        <f>IF((L12=""),"",MAX(D13:L13))</f>
        <v>7144.68</v>
      </c>
      <c r="R11" s="46">
        <f>IF(L12="","",MIN(D13:L13))</f>
        <v>6642.5</v>
      </c>
      <c r="S11" s="236">
        <f>IF((L13=""),"",AVERAGE(D13:L13))</f>
        <v>6831.56</v>
      </c>
      <c r="T11" s="237">
        <f>IF((L12=""),"",(Q11-R11)/(Q11+R11)*100)</f>
        <v>3.6423692154595808</v>
      </c>
      <c r="U11" s="46">
        <f>STDEV(D13:P13)</f>
        <v>142.11199703051125</v>
      </c>
      <c r="V11" s="229" t="str">
        <f>IF(L12="","",IF(T11&lt;7.3,IF(S11&gt;5700,IF(S11&lt;7200,"Pass","Fail"),"Fail"),"Fail"))</f>
        <v>Pass</v>
      </c>
      <c r="W11" s="46">
        <v>1428</v>
      </c>
      <c r="X11" s="210"/>
      <c r="Y11" s="119"/>
      <c r="Z11" s="37">
        <v>4955</v>
      </c>
      <c r="AA11" s="37">
        <v>9645</v>
      </c>
      <c r="AB11" s="37">
        <v>5100</v>
      </c>
      <c r="AC11" s="37">
        <v>8300</v>
      </c>
      <c r="AD11" s="67">
        <v>10</v>
      </c>
      <c r="AE11" s="67">
        <v>9.8000000000000007</v>
      </c>
    </row>
    <row r="12" spans="1:31" ht="12.75" customHeight="1" x14ac:dyDescent="0.35">
      <c r="A12" s="294"/>
      <c r="B12" s="46"/>
      <c r="C12" s="54" t="s">
        <v>200</v>
      </c>
      <c r="D12" s="35">
        <v>2449.15</v>
      </c>
      <c r="E12" s="35">
        <v>2555.1</v>
      </c>
      <c r="F12" s="35">
        <v>2569.75</v>
      </c>
      <c r="G12" s="35">
        <v>2524.59</v>
      </c>
      <c r="H12" s="35">
        <v>2356.71</v>
      </c>
      <c r="I12" s="35">
        <v>2243.5500000000002</v>
      </c>
      <c r="J12" s="35">
        <v>2533.11</v>
      </c>
      <c r="K12" s="35">
        <v>2586.2600000000002</v>
      </c>
      <c r="L12" s="35">
        <v>2565.79</v>
      </c>
      <c r="M12" s="53"/>
      <c r="N12" s="53"/>
      <c r="O12" s="53"/>
      <c r="P12" s="53"/>
      <c r="Q12" s="46"/>
      <c r="R12" s="46"/>
      <c r="S12" s="46"/>
      <c r="T12" s="46"/>
      <c r="U12" s="46"/>
      <c r="V12" s="229"/>
      <c r="W12" s="46"/>
      <c r="X12" s="210"/>
      <c r="Y12" s="118"/>
      <c r="Z12" s="38"/>
      <c r="AA12" s="38"/>
      <c r="AB12" s="38"/>
      <c r="AC12" s="38"/>
      <c r="AE12" s="38"/>
    </row>
    <row r="13" spans="1:31" ht="24.8" customHeight="1" thickBot="1" x14ac:dyDescent="0.4">
      <c r="A13" s="294"/>
      <c r="B13" s="42"/>
      <c r="C13" s="74" t="s">
        <v>199</v>
      </c>
      <c r="D13" s="81">
        <f t="shared" ref="D13:L13" si="0">IF(((D11="")*AND(D12="")),"",(D11-D12)*2)</f>
        <v>6864.3200000000006</v>
      </c>
      <c r="E13" s="81">
        <f t="shared" si="0"/>
        <v>6773.22</v>
      </c>
      <c r="F13" s="81">
        <f t="shared" si="0"/>
        <v>6772.34</v>
      </c>
      <c r="G13" s="81">
        <f t="shared" si="0"/>
        <v>6824.8600000000006</v>
      </c>
      <c r="H13" s="81">
        <f t="shared" si="0"/>
        <v>6918.3600000000006</v>
      </c>
      <c r="I13" s="81">
        <f t="shared" si="0"/>
        <v>7144.68</v>
      </c>
      <c r="J13" s="81">
        <f t="shared" si="0"/>
        <v>6822.3399999999992</v>
      </c>
      <c r="K13" s="81">
        <f t="shared" si="0"/>
        <v>6721.42</v>
      </c>
      <c r="L13" s="81">
        <f t="shared" si="0"/>
        <v>6642.5</v>
      </c>
      <c r="M13" s="81"/>
      <c r="N13" s="81"/>
      <c r="O13" s="81"/>
      <c r="P13" s="81" t="str">
        <f>IF(((P11="")*AND(P12="")),"",(P11-P12)*2)</f>
        <v/>
      </c>
      <c r="Q13" s="42"/>
      <c r="R13" s="42"/>
      <c r="S13" s="42"/>
      <c r="T13" s="42"/>
      <c r="U13" s="78"/>
      <c r="V13" s="230"/>
      <c r="W13" s="42"/>
      <c r="X13" s="210"/>
      <c r="Y13" s="117"/>
      <c r="Z13" s="38"/>
      <c r="AA13" s="38"/>
      <c r="AB13" s="38"/>
      <c r="AC13" s="38"/>
      <c r="AE13" s="38"/>
    </row>
    <row r="14" spans="1:31" ht="12.75" customHeight="1" x14ac:dyDescent="0.25">
      <c r="A14" s="235">
        <v>42417</v>
      </c>
      <c r="B14" s="55" t="s">
        <v>202</v>
      </c>
      <c r="C14" s="59" t="s">
        <v>201</v>
      </c>
      <c r="D14" s="35">
        <v>6844.87</v>
      </c>
      <c r="E14" s="35">
        <v>6787.08</v>
      </c>
      <c r="F14" s="35">
        <v>6846.09</v>
      </c>
      <c r="G14" s="35">
        <v>6902.26</v>
      </c>
      <c r="H14" s="35">
        <v>7017.06</v>
      </c>
      <c r="I14" s="35">
        <v>7030.17</v>
      </c>
      <c r="J14" s="35">
        <v>6871.56</v>
      </c>
      <c r="K14" s="35">
        <v>6919.95</v>
      </c>
      <c r="L14" s="35">
        <v>7084.23</v>
      </c>
      <c r="M14" s="35">
        <v>7030.17</v>
      </c>
      <c r="N14" s="35">
        <v>6871.56</v>
      </c>
      <c r="O14" s="35">
        <v>6919.95</v>
      </c>
      <c r="P14" s="35">
        <v>7084.23</v>
      </c>
      <c r="Q14" s="120">
        <f>IF((P15=""),"",MAX(D16:P16))</f>
        <v>5097.6499999999996</v>
      </c>
      <c r="R14" s="120">
        <f>IF(P15="","",MIN(D16:P16))</f>
        <v>4814.91</v>
      </c>
      <c r="S14" s="51">
        <f>IF((P16=""),"",AVERAGE(D16:P16))</f>
        <v>4969.9053846153847</v>
      </c>
      <c r="T14" s="51">
        <f>IF((P15=""),"",(Q14-R14)/(Q14+R14)*100)</f>
        <v>2.8523408685546396</v>
      </c>
      <c r="U14" s="50">
        <f>STDEV(D16:P16)</f>
        <v>104.30453894049742</v>
      </c>
      <c r="V14" s="231" t="str">
        <f>IF(P15="","",IF(T14&lt;2.7,IF(S14&gt;5150,IF(S14&lt;5600,"Pass","Fail"),"Fail"),"Fail"))</f>
        <v>Fail</v>
      </c>
      <c r="W14" s="55">
        <v>1159</v>
      </c>
      <c r="X14" s="210"/>
      <c r="Y14" s="119" t="s">
        <v>315</v>
      </c>
      <c r="Z14" s="251">
        <v>4470</v>
      </c>
      <c r="AA14" s="251">
        <v>6020</v>
      </c>
      <c r="AB14" s="251">
        <v>5150</v>
      </c>
      <c r="AC14" s="251">
        <v>5600</v>
      </c>
      <c r="AD14" s="67">
        <v>10</v>
      </c>
      <c r="AE14" s="252">
        <v>2.7</v>
      </c>
    </row>
    <row r="15" spans="1:31" ht="12.75" customHeight="1" x14ac:dyDescent="0.35">
      <c r="A15" s="294"/>
      <c r="B15" s="46"/>
      <c r="C15" s="54" t="s">
        <v>200</v>
      </c>
      <c r="D15" s="35">
        <v>2008.27</v>
      </c>
      <c r="E15" s="35">
        <v>1758.62</v>
      </c>
      <c r="F15" s="35">
        <v>1748.44</v>
      </c>
      <c r="G15" s="35">
        <v>1826.05</v>
      </c>
      <c r="H15" s="35">
        <v>2119.63</v>
      </c>
      <c r="I15" s="35">
        <v>2100.73</v>
      </c>
      <c r="J15" s="35">
        <v>1803.04</v>
      </c>
      <c r="K15" s="35">
        <v>1896.61</v>
      </c>
      <c r="L15" s="35">
        <v>2269.3200000000002</v>
      </c>
      <c r="M15" s="35">
        <v>2100.73</v>
      </c>
      <c r="N15" s="35">
        <v>1803.04</v>
      </c>
      <c r="O15" s="35">
        <v>1896.61</v>
      </c>
      <c r="P15" s="35">
        <v>2269.3200000000002</v>
      </c>
      <c r="Q15" s="46"/>
      <c r="R15" s="46"/>
      <c r="S15" s="46"/>
      <c r="T15" s="46"/>
      <c r="U15" s="46"/>
      <c r="V15" s="229"/>
      <c r="W15" s="46"/>
      <c r="X15" s="210"/>
      <c r="Y15" s="118"/>
      <c r="Z15" s="38"/>
      <c r="AA15" s="38"/>
      <c r="AB15" s="38"/>
      <c r="AC15" s="38"/>
      <c r="AE15" s="38"/>
    </row>
    <row r="16" spans="1:31" ht="23.95" customHeight="1" x14ac:dyDescent="0.35">
      <c r="A16" s="294"/>
      <c r="B16" s="78"/>
      <c r="C16" s="54" t="s">
        <v>199</v>
      </c>
      <c r="D16" s="93">
        <f t="shared" ref="D16:P16" si="1">IF(((D14="")*AND(D15="")),"",(D14-D15))</f>
        <v>4836.6000000000004</v>
      </c>
      <c r="E16" s="93">
        <f t="shared" si="1"/>
        <v>5028.46</v>
      </c>
      <c r="F16" s="93">
        <f t="shared" si="1"/>
        <v>5097.6499999999996</v>
      </c>
      <c r="G16" s="93">
        <f t="shared" si="1"/>
        <v>5076.21</v>
      </c>
      <c r="H16" s="93">
        <f t="shared" si="1"/>
        <v>4897.43</v>
      </c>
      <c r="I16" s="93">
        <f t="shared" si="1"/>
        <v>4929.4400000000005</v>
      </c>
      <c r="J16" s="93">
        <f t="shared" si="1"/>
        <v>5068.5200000000004</v>
      </c>
      <c r="K16" s="93">
        <f t="shared" si="1"/>
        <v>5023.34</v>
      </c>
      <c r="L16" s="93">
        <f t="shared" si="1"/>
        <v>4814.91</v>
      </c>
      <c r="M16" s="93">
        <f t="shared" si="1"/>
        <v>4929.4400000000005</v>
      </c>
      <c r="N16" s="93">
        <f t="shared" si="1"/>
        <v>5068.5200000000004</v>
      </c>
      <c r="O16" s="93">
        <f t="shared" si="1"/>
        <v>5023.34</v>
      </c>
      <c r="P16" s="93">
        <f t="shared" si="1"/>
        <v>4814.91</v>
      </c>
      <c r="Q16" s="78"/>
      <c r="R16" s="78"/>
      <c r="S16" s="78"/>
      <c r="T16" s="78"/>
      <c r="U16" s="78"/>
      <c r="V16" s="232"/>
      <c r="W16" s="78"/>
      <c r="X16" s="210"/>
      <c r="Y16" s="118"/>
      <c r="Z16" s="38"/>
      <c r="AA16" s="38"/>
      <c r="AB16" s="38"/>
      <c r="AC16" s="38"/>
      <c r="AE16" s="38"/>
    </row>
    <row r="17" spans="1:31" ht="12.75" customHeight="1" x14ac:dyDescent="0.25">
      <c r="A17" s="233">
        <v>42417</v>
      </c>
      <c r="B17" s="48" t="s">
        <v>204</v>
      </c>
      <c r="C17" s="54" t="s">
        <v>201</v>
      </c>
      <c r="D17" s="35">
        <v>6043.73</v>
      </c>
      <c r="E17" s="35">
        <v>6135.6</v>
      </c>
      <c r="F17" s="35">
        <v>6167.78</v>
      </c>
      <c r="G17" s="35">
        <v>6133.73</v>
      </c>
      <c r="H17" s="35">
        <v>6006.14</v>
      </c>
      <c r="I17" s="35">
        <v>6009.26</v>
      </c>
      <c r="J17" s="35">
        <v>6132.59</v>
      </c>
      <c r="K17" s="35">
        <v>6173.8</v>
      </c>
      <c r="L17" s="35">
        <v>6092.93</v>
      </c>
      <c r="M17" s="53"/>
      <c r="N17" s="53"/>
      <c r="O17" s="53"/>
      <c r="P17" s="53"/>
      <c r="Q17" s="48">
        <f>IF((L18=""),"",MAX(D19:L19))</f>
        <v>7162.34</v>
      </c>
      <c r="R17" s="48">
        <f>IF(L18="","",MIN(D19:L19))</f>
        <v>7006.3600000000006</v>
      </c>
      <c r="S17" s="75">
        <f>IF((L19=""),"",AVERAGE(D19:L19))</f>
        <v>7084.9333333333334</v>
      </c>
      <c r="T17" s="75">
        <f>IF((L17=""),"",(Q17-R17)/(Q17+R17)*100)</f>
        <v>1.1008772858483811</v>
      </c>
      <c r="U17" s="48">
        <f>STDEV(D19:P19)</f>
        <v>52.141413482950355</v>
      </c>
      <c r="V17" s="228" t="str">
        <f>IF(L18="","",IF(T17&lt;7.3,IF(S17&gt;5700,IF(S17&lt;7200,"Pass","Fail"),"Fail"),"Fail"))</f>
        <v>Pass</v>
      </c>
      <c r="W17" s="48">
        <v>1159</v>
      </c>
      <c r="X17" s="210"/>
      <c r="Y17" s="118"/>
      <c r="Z17" s="37">
        <v>4955</v>
      </c>
      <c r="AA17" s="37">
        <v>9645</v>
      </c>
      <c r="AB17" s="37">
        <v>5100</v>
      </c>
      <c r="AC17" s="37">
        <v>8300</v>
      </c>
      <c r="AD17" s="67">
        <v>10</v>
      </c>
      <c r="AE17" s="67">
        <v>9.8000000000000007</v>
      </c>
    </row>
    <row r="18" spans="1:31" ht="12.75" customHeight="1" x14ac:dyDescent="0.35">
      <c r="A18" s="294"/>
      <c r="B18" s="46"/>
      <c r="C18" s="54" t="s">
        <v>200</v>
      </c>
      <c r="D18" s="35">
        <v>2488</v>
      </c>
      <c r="E18" s="35">
        <v>2615.8200000000002</v>
      </c>
      <c r="F18" s="35">
        <v>2628.11</v>
      </c>
      <c r="G18" s="35">
        <v>2588.9699999999998</v>
      </c>
      <c r="H18" s="35">
        <v>2427.1799999999998</v>
      </c>
      <c r="I18" s="35">
        <v>2428.09</v>
      </c>
      <c r="J18" s="35">
        <v>2606.5100000000002</v>
      </c>
      <c r="K18" s="35">
        <v>2640.93</v>
      </c>
      <c r="L18" s="35">
        <v>2589.75</v>
      </c>
      <c r="M18" s="53"/>
      <c r="N18" s="53"/>
      <c r="O18" s="53"/>
      <c r="P18" s="53"/>
      <c r="Q18" s="46"/>
      <c r="R18" s="46"/>
      <c r="S18" s="46"/>
      <c r="T18" s="46"/>
      <c r="U18" s="46"/>
      <c r="V18" s="229"/>
      <c r="W18" s="46"/>
      <c r="X18" s="210"/>
      <c r="Y18" s="118"/>
      <c r="Z18" s="38"/>
      <c r="AA18" s="38"/>
      <c r="AB18" s="38"/>
      <c r="AC18" s="38"/>
      <c r="AE18" s="38"/>
    </row>
    <row r="19" spans="1:31" ht="24.8" customHeight="1" thickBot="1" x14ac:dyDescent="0.4">
      <c r="A19" s="294"/>
      <c r="B19" s="42"/>
      <c r="C19" s="74" t="s">
        <v>199</v>
      </c>
      <c r="D19" s="81">
        <f t="shared" ref="D19:L19" si="2">IF(((D17="")*AND(D18="")),"",(D17-D18)*2)</f>
        <v>7111.4599999999991</v>
      </c>
      <c r="E19" s="81">
        <f t="shared" si="2"/>
        <v>7039.56</v>
      </c>
      <c r="F19" s="81">
        <f t="shared" si="2"/>
        <v>7079.3399999999992</v>
      </c>
      <c r="G19" s="81">
        <f t="shared" si="2"/>
        <v>7089.5199999999995</v>
      </c>
      <c r="H19" s="81">
        <f t="shared" si="2"/>
        <v>7157.920000000001</v>
      </c>
      <c r="I19" s="81">
        <f t="shared" si="2"/>
        <v>7162.34</v>
      </c>
      <c r="J19" s="81">
        <f t="shared" si="2"/>
        <v>7052.16</v>
      </c>
      <c r="K19" s="81">
        <f t="shared" si="2"/>
        <v>7065.7400000000007</v>
      </c>
      <c r="L19" s="81">
        <f t="shared" si="2"/>
        <v>7006.3600000000006</v>
      </c>
      <c r="M19" s="81"/>
      <c r="N19" s="81"/>
      <c r="O19" s="81"/>
      <c r="P19" s="81" t="str">
        <f>IF(((P17="")*AND(P18="")),"",(P17-P18)*2)</f>
        <v/>
      </c>
      <c r="Q19" s="42"/>
      <c r="R19" s="42"/>
      <c r="S19" s="42"/>
      <c r="T19" s="42"/>
      <c r="U19" s="78"/>
      <c r="V19" s="230"/>
      <c r="W19" s="42"/>
      <c r="X19" s="210"/>
      <c r="Y19" s="117"/>
      <c r="Z19" s="38"/>
      <c r="AA19" s="38"/>
      <c r="AB19" s="38"/>
      <c r="AC19" s="38"/>
      <c r="AE19" s="38"/>
    </row>
    <row r="20" spans="1:31" ht="12.75" customHeight="1" x14ac:dyDescent="0.25">
      <c r="A20" s="233">
        <v>42423</v>
      </c>
      <c r="B20" s="48" t="s">
        <v>204</v>
      </c>
      <c r="C20" s="54" t="s">
        <v>201</v>
      </c>
      <c r="D20" s="35">
        <v>15911.98</v>
      </c>
      <c r="E20" s="35">
        <v>16103.1</v>
      </c>
      <c r="F20" s="35">
        <v>16283.17</v>
      </c>
      <c r="G20" s="35">
        <v>16242.09</v>
      </c>
      <c r="H20" s="35">
        <v>16286.92</v>
      </c>
      <c r="I20" s="35">
        <v>15813.83</v>
      </c>
      <c r="J20" s="35">
        <v>16125.45</v>
      </c>
      <c r="K20" s="35">
        <v>16174.5</v>
      </c>
      <c r="L20" s="35">
        <v>15885.98</v>
      </c>
      <c r="M20" s="53"/>
      <c r="N20" s="53"/>
      <c r="O20" s="53"/>
      <c r="P20" s="53"/>
      <c r="Q20" s="48">
        <f>IF((L21=""),"",MAX(D22:L22))</f>
        <v>8420.6160000000018</v>
      </c>
      <c r="R20" s="48">
        <f>IF(L21="","",MIN(D22:L22))</f>
        <v>7550.0160000000005</v>
      </c>
      <c r="S20" s="75">
        <f>IF((L22=""),"",AVERAGE(D22:L22))</f>
        <v>7908.3866666666681</v>
      </c>
      <c r="T20" s="75">
        <f>IF((L20=""),"",(Q20-R20)/(Q20+R20)*100)</f>
        <v>5.4512557799841685</v>
      </c>
      <c r="U20" s="48">
        <f>STDEV(D22:P22)</f>
        <v>304.62774836183257</v>
      </c>
      <c r="V20" s="228" t="str">
        <f>IF(L21="","",IF(T20&lt;7.3,IF(S20&gt;5700,IF(S20&lt;7200,"Pass","Fail"),"Fail"),"Fail"))</f>
        <v>Fail</v>
      </c>
      <c r="W20" s="48">
        <v>1159</v>
      </c>
      <c r="X20" s="210"/>
      <c r="Y20" s="118" t="s">
        <v>315</v>
      </c>
      <c r="Z20" s="37">
        <v>4955</v>
      </c>
      <c r="AA20" s="37">
        <v>9645</v>
      </c>
      <c r="AB20" s="37">
        <v>5100</v>
      </c>
      <c r="AC20" s="37">
        <v>8300</v>
      </c>
      <c r="AD20" s="67">
        <v>10</v>
      </c>
      <c r="AE20" s="67">
        <v>9.8000000000000007</v>
      </c>
    </row>
    <row r="21" spans="1:31" ht="12.75" customHeight="1" x14ac:dyDescent="0.35">
      <c r="A21" s="294"/>
      <c r="B21" s="46"/>
      <c r="C21" s="54" t="s">
        <v>200</v>
      </c>
      <c r="D21" s="35">
        <v>9260.85</v>
      </c>
      <c r="E21" s="35">
        <v>9758.73</v>
      </c>
      <c r="F21" s="35">
        <v>9991.49</v>
      </c>
      <c r="G21" s="35">
        <v>9695.2900000000009</v>
      </c>
      <c r="H21" s="35">
        <v>9269.74</v>
      </c>
      <c r="I21" s="35">
        <v>8891.15</v>
      </c>
      <c r="J21" s="35">
        <v>9657.94</v>
      </c>
      <c r="K21" s="35">
        <v>9791.32</v>
      </c>
      <c r="L21" s="35">
        <v>9197.61</v>
      </c>
      <c r="M21" s="53"/>
      <c r="N21" s="53"/>
      <c r="O21" s="53"/>
      <c r="P21" s="53"/>
      <c r="Q21" s="46"/>
      <c r="R21" s="46"/>
      <c r="S21" s="46"/>
      <c r="T21" s="46"/>
      <c r="U21" s="46"/>
      <c r="V21" s="229"/>
      <c r="W21" s="46"/>
      <c r="X21" s="210"/>
      <c r="Y21" s="118"/>
      <c r="Z21" s="38"/>
      <c r="AA21" s="38"/>
      <c r="AB21" s="38"/>
      <c r="AC21" s="38"/>
      <c r="AE21" s="38"/>
    </row>
    <row r="22" spans="1:31" ht="24.8" customHeight="1" thickBot="1" x14ac:dyDescent="0.4">
      <c r="A22" s="294"/>
      <c r="B22" s="42"/>
      <c r="C22" s="74" t="s">
        <v>199</v>
      </c>
      <c r="D22" s="81">
        <f t="shared" ref="D22:L22" si="3">IF(((D20="")*AND(D21="")),"",(D20-D21)*60/50)</f>
        <v>7981.3559999999989</v>
      </c>
      <c r="E22" s="81">
        <f t="shared" si="3"/>
        <v>7613.2440000000015</v>
      </c>
      <c r="F22" s="81">
        <f t="shared" si="3"/>
        <v>7550.0160000000005</v>
      </c>
      <c r="G22" s="81">
        <f t="shared" si="3"/>
        <v>7856.1599999999989</v>
      </c>
      <c r="H22" s="81">
        <f t="shared" si="3"/>
        <v>8420.6160000000018</v>
      </c>
      <c r="I22" s="81">
        <f t="shared" si="3"/>
        <v>8307.2160000000003</v>
      </c>
      <c r="J22" s="81">
        <f t="shared" si="3"/>
        <v>7761.0120000000006</v>
      </c>
      <c r="K22" s="81">
        <f t="shared" si="3"/>
        <v>7659.8160000000007</v>
      </c>
      <c r="L22" s="81">
        <f t="shared" si="3"/>
        <v>8026.043999999999</v>
      </c>
      <c r="M22" s="81"/>
      <c r="N22" s="81"/>
      <c r="O22" s="81"/>
      <c r="P22" s="81" t="str">
        <f>IF(((P20="")*AND(P21="")),"",(P20-P21)*2)</f>
        <v/>
      </c>
      <c r="Q22" s="42"/>
      <c r="R22" s="42"/>
      <c r="S22" s="42"/>
      <c r="T22" s="42"/>
      <c r="U22" s="78"/>
      <c r="V22" s="230"/>
      <c r="W22" s="42"/>
      <c r="X22" s="210"/>
      <c r="Y22" s="117"/>
      <c r="Z22" s="38"/>
      <c r="AA22" s="38"/>
      <c r="AB22" s="38"/>
      <c r="AC22" s="38"/>
      <c r="AE22" s="38"/>
    </row>
    <row r="23" spans="1:31" ht="12.75" customHeight="1" x14ac:dyDescent="0.25">
      <c r="A23" s="233">
        <v>42465</v>
      </c>
      <c r="B23" s="48" t="s">
        <v>204</v>
      </c>
      <c r="C23" s="54" t="s">
        <v>201</v>
      </c>
      <c r="D23" s="35">
        <v>6056.8</v>
      </c>
      <c r="E23" s="35">
        <v>6130.65</v>
      </c>
      <c r="F23" s="35">
        <v>6168.66</v>
      </c>
      <c r="G23" s="35">
        <v>6131.84</v>
      </c>
      <c r="H23" s="35">
        <v>6020.35</v>
      </c>
      <c r="I23" s="35">
        <v>6009.05</v>
      </c>
      <c r="J23" s="35">
        <v>6131.08</v>
      </c>
      <c r="K23" s="35">
        <v>6173.22</v>
      </c>
      <c r="L23" s="35">
        <v>6088.07</v>
      </c>
      <c r="M23" s="53"/>
      <c r="N23" s="53"/>
      <c r="O23" s="53"/>
      <c r="P23" s="53"/>
      <c r="Q23" s="48">
        <f>IF((L24=""),"",MAX(D25:L25))</f>
        <v>6817.68</v>
      </c>
      <c r="R23" s="48">
        <f>IF(L24="","",MIN(D25:L25))</f>
        <v>6477.0399999999991</v>
      </c>
      <c r="S23" s="75">
        <f>IF((L25=""),"",AVERAGE(D25:L25))</f>
        <v>6620.8355555555554</v>
      </c>
      <c r="T23" s="75">
        <f>IF((L15=""),"",(Q23-R23)/(Q23+R23)*100)</f>
        <v>2.5622201896692913</v>
      </c>
      <c r="U23" s="48">
        <f>STDEV(D25:P25)</f>
        <v>96.038807144705018</v>
      </c>
      <c r="V23" s="228" t="str">
        <f>IF(L24="","",IF(T23&lt;7.3,IF(S23&gt;5700,IF(S23&lt;7200,"Pass","Fail"),"Fail"),"Fail"))</f>
        <v>Pass</v>
      </c>
      <c r="W23" s="48">
        <v>1159</v>
      </c>
      <c r="X23" s="210"/>
      <c r="Y23" s="118"/>
      <c r="Z23" s="37">
        <v>4955</v>
      </c>
      <c r="AA23" s="37">
        <v>9645</v>
      </c>
      <c r="AB23" s="37">
        <v>5100</v>
      </c>
      <c r="AC23" s="37">
        <v>8300</v>
      </c>
      <c r="AD23" s="67">
        <v>10</v>
      </c>
      <c r="AE23" s="67">
        <v>9.8000000000000007</v>
      </c>
    </row>
    <row r="24" spans="1:31" ht="12.75" customHeight="1" x14ac:dyDescent="0.35">
      <c r="A24" s="294"/>
      <c r="B24" s="46"/>
      <c r="C24" s="54" t="s">
        <v>200</v>
      </c>
      <c r="D24" s="35">
        <v>2776.19</v>
      </c>
      <c r="E24" s="35">
        <v>2840.86</v>
      </c>
      <c r="F24" s="35">
        <v>2863.46</v>
      </c>
      <c r="G24" s="35">
        <v>2817.95</v>
      </c>
      <c r="H24" s="35">
        <v>2664.88</v>
      </c>
      <c r="I24" s="35">
        <v>2600.21</v>
      </c>
      <c r="J24" s="35">
        <v>2827.23</v>
      </c>
      <c r="K24" s="35">
        <v>2875.63</v>
      </c>
      <c r="L24" s="35">
        <v>2849.55</v>
      </c>
      <c r="M24" s="53"/>
      <c r="N24" s="53"/>
      <c r="O24" s="53"/>
      <c r="P24" s="53"/>
      <c r="Q24" s="46"/>
      <c r="R24" s="46"/>
      <c r="S24" s="46"/>
      <c r="T24" s="46"/>
      <c r="U24" s="46"/>
      <c r="V24" s="229"/>
      <c r="W24" s="46"/>
      <c r="X24" s="210"/>
      <c r="Y24" s="118"/>
      <c r="Z24" s="38"/>
      <c r="AA24" s="38"/>
      <c r="AB24" s="38"/>
      <c r="AC24" s="38"/>
      <c r="AE24" s="38"/>
    </row>
    <row r="25" spans="1:31" ht="24.8" customHeight="1" thickBot="1" x14ac:dyDescent="0.4">
      <c r="A25" s="294"/>
      <c r="B25" s="42"/>
      <c r="C25" s="74" t="s">
        <v>199</v>
      </c>
      <c r="D25" s="81">
        <f t="shared" ref="D25:L25" si="4">IF(((D23="")*AND(D24="")),"",(D23-D24)*2)</f>
        <v>6561.22</v>
      </c>
      <c r="E25" s="81">
        <f t="shared" si="4"/>
        <v>6579.579999999999</v>
      </c>
      <c r="F25" s="81">
        <f t="shared" si="4"/>
        <v>6610.4</v>
      </c>
      <c r="G25" s="81">
        <f t="shared" si="4"/>
        <v>6627.7800000000007</v>
      </c>
      <c r="H25" s="81">
        <f t="shared" si="4"/>
        <v>6710.9400000000005</v>
      </c>
      <c r="I25" s="81">
        <f t="shared" si="4"/>
        <v>6817.68</v>
      </c>
      <c r="J25" s="81">
        <f t="shared" si="4"/>
        <v>6607.7</v>
      </c>
      <c r="K25" s="81">
        <f t="shared" si="4"/>
        <v>6595.18</v>
      </c>
      <c r="L25" s="81">
        <f t="shared" si="4"/>
        <v>6477.0399999999991</v>
      </c>
      <c r="M25" s="81"/>
      <c r="N25" s="81"/>
      <c r="O25" s="81"/>
      <c r="P25" s="81" t="str">
        <f>IF(((P23="")*AND(P24="")),"",(P23-P24)*2)</f>
        <v/>
      </c>
      <c r="Q25" s="42"/>
      <c r="R25" s="42"/>
      <c r="S25" s="42"/>
      <c r="T25" s="42"/>
      <c r="U25" s="78"/>
      <c r="V25" s="230"/>
      <c r="W25" s="42"/>
      <c r="X25" s="210"/>
      <c r="Y25" s="117"/>
      <c r="Z25" s="38"/>
      <c r="AA25" s="38"/>
      <c r="AB25" s="38"/>
      <c r="AC25" s="38"/>
      <c r="AE25" s="38"/>
    </row>
    <row r="26" spans="1:31" ht="12.75" customHeight="1" x14ac:dyDescent="0.25">
      <c r="A26" s="233">
        <v>42526</v>
      </c>
      <c r="B26" s="48" t="s">
        <v>204</v>
      </c>
      <c r="C26" s="54" t="s">
        <v>201</v>
      </c>
      <c r="D26" s="35">
        <v>6095.62</v>
      </c>
      <c r="E26" s="35">
        <v>6194.3</v>
      </c>
      <c r="F26" s="35">
        <v>6230.65</v>
      </c>
      <c r="G26" s="35">
        <v>6198.03</v>
      </c>
      <c r="H26" s="35">
        <v>6060.9</v>
      </c>
      <c r="I26" s="35">
        <v>6045.36</v>
      </c>
      <c r="J26" s="35">
        <v>6194.19</v>
      </c>
      <c r="K26" s="35">
        <v>6238.81</v>
      </c>
      <c r="L26" s="35">
        <v>6163.81</v>
      </c>
      <c r="M26" s="53"/>
      <c r="N26" s="53"/>
      <c r="O26" s="53"/>
      <c r="P26" s="53"/>
      <c r="Q26" s="48">
        <f>IF((L27=""),"",MAX(D28:L28))</f>
        <v>7702.7200000000012</v>
      </c>
      <c r="R26" s="48">
        <f>IF(L27="","",MIN(D28:L28))</f>
        <v>7395.579999999999</v>
      </c>
      <c r="S26" s="75">
        <f>IF((L28=""),"",AVERAGE(D28:L28))</f>
        <v>7469.2866666666669</v>
      </c>
      <c r="T26" s="123">
        <f>IF((L27=""),"",(Q26-R26)/(Q26+R26)*100)</f>
        <v>2.0342687587344415</v>
      </c>
      <c r="U26" s="48">
        <f>STDEV(D28:P28)</f>
        <v>95.044119754985914</v>
      </c>
      <c r="V26" s="228" t="str">
        <f>IF(L27="","",IF(T26&lt;7.3,IF(S26&gt;5700,IF(S26&lt;7200,"Pass","Fail"),"Fail"),"Fail"))</f>
        <v>Fail</v>
      </c>
      <c r="W26" s="48">
        <v>1428</v>
      </c>
      <c r="X26" s="210"/>
      <c r="Y26" s="118" t="s">
        <v>315</v>
      </c>
      <c r="Z26" s="37">
        <v>4955</v>
      </c>
      <c r="AA26" s="37">
        <v>9645</v>
      </c>
      <c r="AB26" s="37">
        <v>5100</v>
      </c>
      <c r="AC26" s="37">
        <v>8300</v>
      </c>
      <c r="AD26" s="67">
        <v>10</v>
      </c>
      <c r="AE26" s="67">
        <v>9.8000000000000007</v>
      </c>
    </row>
    <row r="27" spans="1:31" ht="12.75" customHeight="1" x14ac:dyDescent="0.35">
      <c r="A27" s="294"/>
      <c r="B27" s="46"/>
      <c r="C27" s="54" t="s">
        <v>200</v>
      </c>
      <c r="D27" s="35">
        <v>2362.5700000000002</v>
      </c>
      <c r="E27" s="35">
        <v>2492.35</v>
      </c>
      <c r="F27" s="35">
        <v>2515.46</v>
      </c>
      <c r="G27" s="35">
        <v>2476.3200000000002</v>
      </c>
      <c r="H27" s="35">
        <v>2310.06</v>
      </c>
      <c r="I27" s="35">
        <v>2347.5700000000002</v>
      </c>
      <c r="J27" s="35">
        <v>2493.92</v>
      </c>
      <c r="K27" s="35">
        <v>2499.1799999999998</v>
      </c>
      <c r="L27" s="35">
        <v>2312.4499999999998</v>
      </c>
      <c r="M27" s="53"/>
      <c r="N27" s="53"/>
      <c r="O27" s="53"/>
      <c r="P27" s="53"/>
      <c r="Q27" s="46"/>
      <c r="R27" s="46"/>
      <c r="S27" s="46"/>
      <c r="T27" s="46"/>
      <c r="U27" s="46"/>
      <c r="V27" s="229"/>
      <c r="W27" s="46"/>
      <c r="X27" s="210"/>
      <c r="Y27" s="118"/>
      <c r="Z27" s="38"/>
      <c r="AA27" s="38"/>
      <c r="AB27" s="38"/>
      <c r="AC27" s="38"/>
      <c r="AE27" s="38"/>
    </row>
    <row r="28" spans="1:31" ht="24.8" customHeight="1" thickBot="1" x14ac:dyDescent="0.4">
      <c r="A28" s="294"/>
      <c r="B28" s="42"/>
      <c r="C28" s="74" t="s">
        <v>199</v>
      </c>
      <c r="D28" s="81">
        <f t="shared" ref="D28:L28" si="5">IF(((D26="")*AND(D27="")),"",(D26-D27)*2)</f>
        <v>7466.0999999999995</v>
      </c>
      <c r="E28" s="81">
        <f t="shared" si="5"/>
        <v>7403.9000000000005</v>
      </c>
      <c r="F28" s="81">
        <f t="shared" si="5"/>
        <v>7430.3799999999992</v>
      </c>
      <c r="G28" s="81">
        <f t="shared" si="5"/>
        <v>7443.4199999999992</v>
      </c>
      <c r="H28" s="81">
        <f t="shared" si="5"/>
        <v>7501.6799999999994</v>
      </c>
      <c r="I28" s="81">
        <f t="shared" si="5"/>
        <v>7395.579999999999</v>
      </c>
      <c r="J28" s="81">
        <f t="shared" si="5"/>
        <v>7400.5399999999991</v>
      </c>
      <c r="K28" s="81">
        <f t="shared" si="5"/>
        <v>7479.2600000000011</v>
      </c>
      <c r="L28" s="81">
        <f t="shared" si="5"/>
        <v>7702.7200000000012</v>
      </c>
      <c r="M28" s="81"/>
      <c r="N28" s="81"/>
      <c r="O28" s="81"/>
      <c r="P28" s="81" t="str">
        <f>IF(((P26="")*AND(P27="")),"",(P26-P27)*2)</f>
        <v/>
      </c>
      <c r="Q28" s="42"/>
      <c r="R28" s="42"/>
      <c r="S28" s="42"/>
      <c r="T28" s="42"/>
      <c r="U28" s="78"/>
      <c r="V28" s="230"/>
      <c r="W28" s="42"/>
      <c r="X28" s="210"/>
      <c r="Y28" s="117"/>
      <c r="Z28" s="38"/>
      <c r="AA28" s="38"/>
      <c r="AB28" s="38"/>
      <c r="AC28" s="38"/>
      <c r="AE28" s="38"/>
    </row>
    <row r="29" spans="1:31" ht="12.75" customHeight="1" x14ac:dyDescent="0.25">
      <c r="A29" s="233">
        <v>42526</v>
      </c>
      <c r="B29" s="48" t="s">
        <v>204</v>
      </c>
      <c r="C29" s="54" t="s">
        <v>201</v>
      </c>
      <c r="D29" s="35">
        <v>5918.92</v>
      </c>
      <c r="E29" s="35">
        <v>5995.56</v>
      </c>
      <c r="F29" s="35">
        <v>6022.12</v>
      </c>
      <c r="G29" s="35">
        <v>5985.13</v>
      </c>
      <c r="H29" s="35">
        <v>5848.28</v>
      </c>
      <c r="I29" s="35">
        <v>5731.91</v>
      </c>
      <c r="J29" s="35">
        <v>6001.5</v>
      </c>
      <c r="K29" s="35">
        <v>6007.09</v>
      </c>
      <c r="L29" s="35">
        <v>5931.06</v>
      </c>
      <c r="M29" s="53"/>
      <c r="N29" s="53"/>
      <c r="O29" s="53"/>
      <c r="P29" s="53"/>
      <c r="Q29" s="48">
        <f>IF((L30=""),"",MAX(D31:L31))</f>
        <v>6931.86</v>
      </c>
      <c r="R29" s="48">
        <f>IF(L30="","",MIN(D31:L31))</f>
        <v>6666.38</v>
      </c>
      <c r="S29" s="75">
        <f>IF((L31=""),"",AVERAGE(D31:L31))</f>
        <v>6824.4111111111106</v>
      </c>
      <c r="T29" s="75">
        <f>IF((L21=""),"",(Q29-R29)/(Q29+R29)*100)</f>
        <v>1.9523114756027218</v>
      </c>
      <c r="U29" s="48">
        <f>STDEV(D31:P31)</f>
        <v>82.065844363602821</v>
      </c>
      <c r="V29" s="228" t="str">
        <f>IF(L30="","",IF(T29&lt;7.3,IF(S29&gt;5700,IF(S29&lt;7200,"Pass","Fail"),"Fail"),"Fail"))</f>
        <v>Pass</v>
      </c>
      <c r="W29" s="48"/>
      <c r="X29" s="210"/>
      <c r="Y29" s="118"/>
      <c r="Z29" s="37">
        <v>4955</v>
      </c>
      <c r="AA29" s="37">
        <v>9645</v>
      </c>
      <c r="AB29" s="37">
        <v>5100</v>
      </c>
      <c r="AC29" s="37">
        <v>8300</v>
      </c>
      <c r="AD29" s="67">
        <v>10</v>
      </c>
      <c r="AE29" s="67">
        <v>9.8000000000000007</v>
      </c>
    </row>
    <row r="30" spans="1:31" ht="12.75" customHeight="1" x14ac:dyDescent="0.35">
      <c r="A30" s="294"/>
      <c r="B30" s="46"/>
      <c r="C30" s="54" t="s">
        <v>200</v>
      </c>
      <c r="D30" s="35">
        <v>2486.0700000000002</v>
      </c>
      <c r="E30" s="35">
        <v>2598.37</v>
      </c>
      <c r="F30" s="35">
        <v>2651.7</v>
      </c>
      <c r="G30" s="35">
        <v>2562.52</v>
      </c>
      <c r="H30" s="35">
        <v>2382.35</v>
      </c>
      <c r="I30" s="35">
        <v>2284.5</v>
      </c>
      <c r="J30" s="35">
        <v>2566.06</v>
      </c>
      <c r="K30" s="35">
        <v>2673.9</v>
      </c>
      <c r="L30" s="35">
        <v>2526.25</v>
      </c>
      <c r="M30" s="53"/>
      <c r="N30" s="53"/>
      <c r="O30" s="53"/>
      <c r="P30" s="53"/>
      <c r="Q30" s="46"/>
      <c r="R30" s="46"/>
      <c r="S30" s="46"/>
      <c r="T30" s="46"/>
      <c r="U30" s="46"/>
      <c r="V30" s="229"/>
      <c r="W30" s="46"/>
      <c r="X30" s="210"/>
      <c r="Y30" s="118"/>
      <c r="Z30" s="38"/>
      <c r="AA30" s="38"/>
      <c r="AB30" s="38"/>
      <c r="AC30" s="38"/>
      <c r="AE30" s="38"/>
    </row>
    <row r="31" spans="1:31" ht="24.8" customHeight="1" thickBot="1" x14ac:dyDescent="0.4">
      <c r="A31" s="294"/>
      <c r="B31" s="42"/>
      <c r="C31" s="74" t="s">
        <v>199</v>
      </c>
      <c r="D31" s="81">
        <f t="shared" ref="D31:L31" si="6">IF(((D29="")*AND(D30="")),"",(D29-D30)*2)</f>
        <v>6865.7</v>
      </c>
      <c r="E31" s="81">
        <f t="shared" si="6"/>
        <v>6794.380000000001</v>
      </c>
      <c r="F31" s="81">
        <f t="shared" si="6"/>
        <v>6740.84</v>
      </c>
      <c r="G31" s="81">
        <f t="shared" si="6"/>
        <v>6845.22</v>
      </c>
      <c r="H31" s="81">
        <f t="shared" si="6"/>
        <v>6931.86</v>
      </c>
      <c r="I31" s="81">
        <f t="shared" si="6"/>
        <v>6894.82</v>
      </c>
      <c r="J31" s="81">
        <f t="shared" si="6"/>
        <v>6870.88</v>
      </c>
      <c r="K31" s="81">
        <f t="shared" si="6"/>
        <v>6666.38</v>
      </c>
      <c r="L31" s="81">
        <f t="shared" si="6"/>
        <v>6809.6200000000008</v>
      </c>
      <c r="M31" s="81"/>
      <c r="N31" s="81"/>
      <c r="O31" s="81"/>
      <c r="P31" s="81" t="str">
        <f>IF(((P29="")*AND(P30="")),"",(P29-P30)*2)</f>
        <v/>
      </c>
      <c r="Q31" s="42"/>
      <c r="R31" s="42"/>
      <c r="S31" s="42"/>
      <c r="T31" s="42"/>
      <c r="U31" s="78"/>
      <c r="V31" s="230"/>
      <c r="W31" s="42"/>
      <c r="X31" s="210"/>
      <c r="Y31" s="117"/>
      <c r="Z31" s="38"/>
      <c r="AA31" s="38"/>
      <c r="AB31" s="38"/>
      <c r="AC31" s="38"/>
      <c r="AE31" s="38"/>
    </row>
    <row r="32" spans="1:31" ht="12.75" customHeight="1" x14ac:dyDescent="0.25">
      <c r="A32" s="235">
        <v>42542</v>
      </c>
      <c r="B32" s="55" t="s">
        <v>202</v>
      </c>
      <c r="C32" s="59" t="s">
        <v>201</v>
      </c>
      <c r="D32" s="35">
        <v>6998.84</v>
      </c>
      <c r="E32" s="35">
        <v>6854.11</v>
      </c>
      <c r="F32" s="35">
        <v>6816.89</v>
      </c>
      <c r="G32" s="35">
        <v>6871.35</v>
      </c>
      <c r="H32" s="35">
        <v>7020.86</v>
      </c>
      <c r="I32" s="35">
        <v>6941.4</v>
      </c>
      <c r="J32" s="35">
        <v>6831.31</v>
      </c>
      <c r="K32" s="35">
        <v>6881.16</v>
      </c>
      <c r="L32" s="35">
        <v>7070.89</v>
      </c>
      <c r="M32" s="53"/>
      <c r="N32" s="53"/>
      <c r="O32" s="53"/>
      <c r="P32" s="53"/>
      <c r="Q32" s="48">
        <f>IF((L33=""),"",MAX(D34:P34))</f>
        <v>5208.2300000000005</v>
      </c>
      <c r="R32" s="120">
        <f>IF(L33="","",MIN(D34:L34))</f>
        <v>4900.7000000000007</v>
      </c>
      <c r="S32" s="51">
        <f>IF((L34=""),"",AVERAGE(D34:L34))</f>
        <v>5077.1844444444441</v>
      </c>
      <c r="T32" s="51">
        <f>IF((L33=""),"",(Q32-R32)/(Q32+R32)*100)</f>
        <v>3.0421617322505914</v>
      </c>
      <c r="U32" s="50">
        <f>STDEV(D34:L34)</f>
        <v>119.5191140687454</v>
      </c>
      <c r="V32" s="229" t="str">
        <f>IF(P33="","",IF(T32&lt;2.7,IF(S32&gt;5150,IF(S32&lt;5600,"Pass","Fail"),"Fail"),"Fail"))</f>
        <v/>
      </c>
      <c r="W32" s="55">
        <v>1400</v>
      </c>
      <c r="X32" s="210"/>
      <c r="Y32" s="119" t="s">
        <v>315</v>
      </c>
      <c r="Z32" s="251">
        <v>4470</v>
      </c>
      <c r="AA32" s="251">
        <v>6020</v>
      </c>
      <c r="AB32" s="251">
        <v>5150</v>
      </c>
      <c r="AC32" s="251">
        <v>5600</v>
      </c>
      <c r="AD32" s="67">
        <v>10</v>
      </c>
      <c r="AE32" s="252">
        <v>2.7</v>
      </c>
    </row>
    <row r="33" spans="1:31" ht="12.75" customHeight="1" x14ac:dyDescent="0.35">
      <c r="A33" s="294"/>
      <c r="B33" s="46"/>
      <c r="C33" s="54" t="s">
        <v>200</v>
      </c>
      <c r="D33" s="35">
        <v>2098.14</v>
      </c>
      <c r="E33" s="35">
        <v>1724.07</v>
      </c>
      <c r="F33" s="35">
        <v>1608.66</v>
      </c>
      <c r="G33" s="35">
        <v>1690.25</v>
      </c>
      <c r="H33" s="35">
        <v>2015.83</v>
      </c>
      <c r="I33" s="35">
        <v>1885.91</v>
      </c>
      <c r="J33" s="35">
        <v>1632.63</v>
      </c>
      <c r="K33" s="35">
        <v>1767.94</v>
      </c>
      <c r="L33" s="35">
        <v>2168.7199999999998</v>
      </c>
      <c r="M33" s="53"/>
      <c r="N33" s="53"/>
      <c r="O33" s="53"/>
      <c r="P33" s="53"/>
      <c r="Q33" s="46"/>
      <c r="R33" s="46"/>
      <c r="S33" s="46"/>
      <c r="T33" s="46"/>
      <c r="U33" s="46"/>
      <c r="V33" s="229"/>
      <c r="W33" s="46"/>
      <c r="X33" s="210"/>
      <c r="Y33" s="118"/>
      <c r="Z33" s="38"/>
      <c r="AA33" s="38"/>
      <c r="AB33" s="38"/>
      <c r="AC33" s="38"/>
      <c r="AE33" s="38"/>
    </row>
    <row r="34" spans="1:31" ht="24.8" customHeight="1" thickBot="1" x14ac:dyDescent="0.4">
      <c r="A34" s="294"/>
      <c r="B34" s="78"/>
      <c r="C34" s="54" t="s">
        <v>199</v>
      </c>
      <c r="D34" s="93">
        <f t="shared" ref="D34:P34" si="7">IF(((D32="")*AND(D33="")),"",(D32-D33))</f>
        <v>4900.7000000000007</v>
      </c>
      <c r="E34" s="93">
        <f t="shared" si="7"/>
        <v>5130.04</v>
      </c>
      <c r="F34" s="93">
        <f t="shared" si="7"/>
        <v>5208.2300000000005</v>
      </c>
      <c r="G34" s="93">
        <f t="shared" si="7"/>
        <v>5181.1000000000004</v>
      </c>
      <c r="H34" s="93">
        <f t="shared" si="7"/>
        <v>5005.03</v>
      </c>
      <c r="I34" s="93">
        <f t="shared" si="7"/>
        <v>5055.49</v>
      </c>
      <c r="J34" s="93">
        <f t="shared" si="7"/>
        <v>5198.68</v>
      </c>
      <c r="K34" s="93">
        <f t="shared" si="7"/>
        <v>5113.2199999999993</v>
      </c>
      <c r="L34" s="93">
        <f t="shared" si="7"/>
        <v>4902.17</v>
      </c>
      <c r="M34" s="93" t="str">
        <f t="shared" si="7"/>
        <v/>
      </c>
      <c r="N34" s="93" t="str">
        <f t="shared" si="7"/>
        <v/>
      </c>
      <c r="O34" s="93" t="str">
        <f t="shared" si="7"/>
        <v/>
      </c>
      <c r="P34" s="93" t="str">
        <f t="shared" si="7"/>
        <v/>
      </c>
      <c r="Q34" s="78"/>
      <c r="R34" s="78"/>
      <c r="S34" s="78"/>
      <c r="T34" s="78"/>
      <c r="U34" s="78"/>
      <c r="V34" s="232"/>
      <c r="W34" s="78"/>
      <c r="X34" s="210"/>
      <c r="Y34" s="118"/>
      <c r="Z34" s="38"/>
      <c r="AA34" s="38"/>
      <c r="AB34" s="38"/>
      <c r="AC34" s="38"/>
      <c r="AE34" s="38"/>
    </row>
    <row r="35" spans="1:31" ht="12.75" customHeight="1" x14ac:dyDescent="0.25">
      <c r="A35" s="235">
        <v>42542</v>
      </c>
      <c r="B35" s="48" t="s">
        <v>204</v>
      </c>
      <c r="C35" s="54" t="s">
        <v>201</v>
      </c>
      <c r="D35" s="35">
        <v>5907.57</v>
      </c>
      <c r="E35" s="35">
        <v>5997.16</v>
      </c>
      <c r="F35" s="35">
        <v>6022.26</v>
      </c>
      <c r="G35" s="35">
        <v>5986.19</v>
      </c>
      <c r="H35" s="35">
        <v>5840.85</v>
      </c>
      <c r="I35" s="35">
        <v>5716.51</v>
      </c>
      <c r="J35" s="35">
        <v>6008.16</v>
      </c>
      <c r="K35" s="35">
        <v>6012.94</v>
      </c>
      <c r="L35" s="35">
        <v>5937.14</v>
      </c>
      <c r="M35" s="53"/>
      <c r="N35" s="53"/>
      <c r="O35" s="53"/>
      <c r="P35" s="53"/>
      <c r="Q35" s="48">
        <f>IF((L36=""),"",MAX(D37:L37))</f>
        <v>6801.7600000000011</v>
      </c>
      <c r="R35" s="48">
        <f>IF(L36="","",MIN(D37:L37))</f>
        <v>6533.48</v>
      </c>
      <c r="S35" s="75">
        <f>IF((L37=""),"",AVERAGE(D37:L37))</f>
        <v>6666.8999999999987</v>
      </c>
      <c r="T35" s="122">
        <f>IF((L24=""),"",(Q35-R35)/(Q35+R35)*100)</f>
        <v>2.0118123108395611</v>
      </c>
      <c r="U35" s="48">
        <f>STDEV(D37:P37)</f>
        <v>84.423983559176079</v>
      </c>
      <c r="V35" s="228" t="str">
        <f>IF(L36="","",IF(T35&lt;7.3,IF(S35&gt;5700,IF(S35&lt;7200,"Pass","Fail"),"Fail"),"Fail"))</f>
        <v>Pass</v>
      </c>
      <c r="W35" s="55">
        <v>1400</v>
      </c>
      <c r="X35" s="210"/>
      <c r="Y35" s="118"/>
      <c r="Z35" s="37">
        <v>4955</v>
      </c>
      <c r="AA35" s="37">
        <v>9645</v>
      </c>
      <c r="AB35" s="37">
        <v>5100</v>
      </c>
      <c r="AC35" s="37">
        <v>8300</v>
      </c>
      <c r="AD35" s="67">
        <v>10</v>
      </c>
      <c r="AE35" s="67">
        <v>9.8000000000000007</v>
      </c>
    </row>
    <row r="36" spans="1:31" ht="12.75" customHeight="1" x14ac:dyDescent="0.35">
      <c r="A36" s="294"/>
      <c r="B36" s="46"/>
      <c r="C36" s="54" t="s">
        <v>200</v>
      </c>
      <c r="D36" s="35">
        <v>2546.31</v>
      </c>
      <c r="E36" s="35">
        <v>2687.7</v>
      </c>
      <c r="F36" s="35">
        <v>2728.08</v>
      </c>
      <c r="G36" s="35">
        <v>2641.69</v>
      </c>
      <c r="H36" s="35">
        <v>2439.9699999999998</v>
      </c>
      <c r="I36" s="35">
        <v>2345.87</v>
      </c>
      <c r="J36" s="35">
        <v>2661.84</v>
      </c>
      <c r="K36" s="35">
        <v>2746.2</v>
      </c>
      <c r="L36" s="35">
        <v>2630.07</v>
      </c>
      <c r="M36" s="53"/>
      <c r="N36" s="53"/>
      <c r="O36" s="53"/>
      <c r="P36" s="53"/>
      <c r="Q36" s="46"/>
      <c r="R36" s="46"/>
      <c r="S36" s="46"/>
      <c r="T36" s="46"/>
      <c r="U36" s="46"/>
      <c r="V36" s="229"/>
      <c r="W36" s="46"/>
      <c r="X36" s="210"/>
      <c r="Y36" s="118"/>
      <c r="Z36" s="38"/>
      <c r="AA36" s="38"/>
      <c r="AB36" s="38"/>
      <c r="AC36" s="38"/>
      <c r="AE36" s="38"/>
    </row>
    <row r="37" spans="1:31" ht="24.8" customHeight="1" thickBot="1" x14ac:dyDescent="0.4">
      <c r="A37" s="294"/>
      <c r="B37" s="42"/>
      <c r="C37" s="74" t="s">
        <v>199</v>
      </c>
      <c r="D37" s="81">
        <f t="shared" ref="D37:L37" si="8">IF(((D35="")*AND(D36="")),"",(D35-D36)*2)</f>
        <v>6722.5199999999995</v>
      </c>
      <c r="E37" s="81">
        <f t="shared" si="8"/>
        <v>6618.92</v>
      </c>
      <c r="F37" s="81">
        <f t="shared" si="8"/>
        <v>6588.3600000000006</v>
      </c>
      <c r="G37" s="81">
        <f t="shared" si="8"/>
        <v>6688.9999999999991</v>
      </c>
      <c r="H37" s="81">
        <f t="shared" si="8"/>
        <v>6801.7600000000011</v>
      </c>
      <c r="I37" s="81">
        <f t="shared" si="8"/>
        <v>6741.2800000000007</v>
      </c>
      <c r="J37" s="81">
        <f t="shared" si="8"/>
        <v>6692.6399999999994</v>
      </c>
      <c r="K37" s="81">
        <f t="shared" si="8"/>
        <v>6533.48</v>
      </c>
      <c r="L37" s="81">
        <f t="shared" si="8"/>
        <v>6614.14</v>
      </c>
      <c r="M37" s="81"/>
      <c r="N37" s="81"/>
      <c r="O37" s="81"/>
      <c r="P37" s="81" t="str">
        <f>IF(((P35="")*AND(P36="")),"",(P35-P36)*2)</f>
        <v/>
      </c>
      <c r="Q37" s="42"/>
      <c r="R37" s="42"/>
      <c r="S37" s="42"/>
      <c r="T37" s="42"/>
      <c r="U37" s="78"/>
      <c r="V37" s="230"/>
      <c r="W37" s="42"/>
      <c r="X37" s="210"/>
      <c r="Y37" s="117"/>
      <c r="Z37" s="38"/>
      <c r="AA37" s="38"/>
      <c r="AB37" s="38"/>
      <c r="AC37" s="38"/>
      <c r="AE37" s="38"/>
    </row>
    <row r="38" spans="1:31" ht="12.75" customHeight="1" x14ac:dyDescent="0.25">
      <c r="A38" s="235">
        <v>42545</v>
      </c>
      <c r="B38" s="55" t="s">
        <v>202</v>
      </c>
      <c r="C38" s="59" t="s">
        <v>201</v>
      </c>
      <c r="D38" s="35">
        <v>7003.73</v>
      </c>
      <c r="E38" s="35">
        <v>6844.69</v>
      </c>
      <c r="F38" s="35">
        <v>6795.33</v>
      </c>
      <c r="G38" s="35">
        <v>6842.84</v>
      </c>
      <c r="H38" s="35">
        <v>7005.44</v>
      </c>
      <c r="I38" s="35">
        <v>7038.72</v>
      </c>
      <c r="J38" s="35">
        <v>6856.31</v>
      </c>
      <c r="K38" s="35">
        <v>6819.4</v>
      </c>
      <c r="L38" s="35">
        <v>6951.9</v>
      </c>
      <c r="M38" s="53"/>
      <c r="N38" s="53"/>
      <c r="O38" s="53"/>
      <c r="P38" s="53"/>
      <c r="Q38" s="48">
        <f>IF((L39=""),"",MAX(D40:P40))</f>
        <v>5198.4399999999996</v>
      </c>
      <c r="R38" s="120">
        <f>IF(L39="","",MIN(D40:L40))</f>
        <v>4935.4299999999994</v>
      </c>
      <c r="S38" s="51">
        <f>IF((L40=""),"",AVERAGE(D40:L40))</f>
        <v>5082.7222222222226</v>
      </c>
      <c r="T38" s="51">
        <f>IF((L39=""),"",(Q38-R38)/(Q38+R38)*100)</f>
        <v>2.5953559696345052</v>
      </c>
      <c r="U38" s="50">
        <f>STDEV(D40:L40)</f>
        <v>101.53072771060233</v>
      </c>
      <c r="V38" s="228" t="str">
        <f>IF(L39="","",IF(T38&lt;7.3,IF(S38&gt;5700,IF(S38&lt;7200,"Pass","Fail"),"Fail"),"Fail"))</f>
        <v>Fail</v>
      </c>
      <c r="W38" s="55">
        <v>1335</v>
      </c>
      <c r="X38" s="210"/>
      <c r="Y38" s="119" t="s">
        <v>315</v>
      </c>
      <c r="Z38" s="251">
        <v>4470</v>
      </c>
      <c r="AA38" s="251">
        <v>6020</v>
      </c>
      <c r="AB38" s="251">
        <v>5150</v>
      </c>
      <c r="AC38" s="251">
        <v>5600</v>
      </c>
      <c r="AD38" s="67">
        <v>10</v>
      </c>
      <c r="AE38" s="252">
        <v>2.7</v>
      </c>
    </row>
    <row r="39" spans="1:31" ht="12.75" customHeight="1" x14ac:dyDescent="0.35">
      <c r="A39" s="294"/>
      <c r="B39" s="46"/>
      <c r="C39" s="54" t="s">
        <v>200</v>
      </c>
      <c r="D39" s="35">
        <v>2068.3000000000002</v>
      </c>
      <c r="E39" s="35">
        <v>1712.58</v>
      </c>
      <c r="F39" s="35">
        <v>1596.89</v>
      </c>
      <c r="G39" s="35">
        <v>1667.93</v>
      </c>
      <c r="H39" s="35">
        <v>1989.57</v>
      </c>
      <c r="I39" s="35">
        <v>2005.45</v>
      </c>
      <c r="J39" s="35">
        <v>1674.87</v>
      </c>
      <c r="K39" s="35">
        <v>1694.81</v>
      </c>
      <c r="L39" s="35">
        <v>2003.46</v>
      </c>
      <c r="M39" s="53"/>
      <c r="N39" s="53"/>
      <c r="O39" s="53"/>
      <c r="P39" s="53"/>
      <c r="Q39" s="46"/>
      <c r="R39" s="46"/>
      <c r="S39" s="46"/>
      <c r="T39" s="46"/>
      <c r="U39" s="46"/>
      <c r="V39" s="229"/>
      <c r="W39" s="46"/>
      <c r="X39" s="210"/>
      <c r="Y39" s="118"/>
      <c r="Z39" s="38"/>
      <c r="AA39" s="38"/>
      <c r="AB39" s="38"/>
      <c r="AC39" s="38"/>
      <c r="AE39" s="38"/>
    </row>
    <row r="40" spans="1:31" ht="24.8" customHeight="1" thickBot="1" x14ac:dyDescent="0.4">
      <c r="A40" s="294"/>
      <c r="B40" s="78"/>
      <c r="C40" s="54" t="s">
        <v>199</v>
      </c>
      <c r="D40" s="93">
        <f t="shared" ref="D40:P40" si="9">IF(((D38="")*AND(D39="")),"",(D38-D39))</f>
        <v>4935.4299999999994</v>
      </c>
      <c r="E40" s="93">
        <f t="shared" si="9"/>
        <v>5132.1099999999997</v>
      </c>
      <c r="F40" s="93">
        <f t="shared" si="9"/>
        <v>5198.4399999999996</v>
      </c>
      <c r="G40" s="93">
        <f t="shared" si="9"/>
        <v>5174.91</v>
      </c>
      <c r="H40" s="93">
        <f t="shared" si="9"/>
        <v>5015.87</v>
      </c>
      <c r="I40" s="93">
        <f t="shared" si="9"/>
        <v>5033.2700000000004</v>
      </c>
      <c r="J40" s="93">
        <f t="shared" si="9"/>
        <v>5181.4400000000005</v>
      </c>
      <c r="K40" s="93">
        <f t="shared" si="9"/>
        <v>5124.59</v>
      </c>
      <c r="L40" s="93">
        <f t="shared" si="9"/>
        <v>4948.4399999999996</v>
      </c>
      <c r="M40" s="93" t="str">
        <f t="shared" si="9"/>
        <v/>
      </c>
      <c r="N40" s="93" t="str">
        <f t="shared" si="9"/>
        <v/>
      </c>
      <c r="O40" s="93" t="str">
        <f t="shared" si="9"/>
        <v/>
      </c>
      <c r="P40" s="93" t="str">
        <f t="shared" si="9"/>
        <v/>
      </c>
      <c r="Q40" s="78"/>
      <c r="R40" s="78"/>
      <c r="S40" s="78"/>
      <c r="T40" s="78"/>
      <c r="U40" s="78"/>
      <c r="V40" s="232"/>
      <c r="W40" s="78"/>
      <c r="X40" s="210"/>
      <c r="Y40" s="118"/>
      <c r="Z40" s="38"/>
      <c r="AA40" s="38"/>
      <c r="AB40" s="38"/>
      <c r="AC40" s="38"/>
      <c r="AE40" s="38"/>
    </row>
    <row r="41" spans="1:31" ht="12.75" customHeight="1" x14ac:dyDescent="0.25">
      <c r="A41" s="235">
        <v>42545</v>
      </c>
      <c r="B41" s="48" t="s">
        <v>204</v>
      </c>
      <c r="C41" s="54" t="s">
        <v>201</v>
      </c>
      <c r="D41" s="35">
        <v>5894.64</v>
      </c>
      <c r="E41" s="35">
        <v>5995.11</v>
      </c>
      <c r="F41" s="35">
        <v>6019.35</v>
      </c>
      <c r="G41" s="35">
        <v>5976.02</v>
      </c>
      <c r="H41" s="35">
        <v>5833.78</v>
      </c>
      <c r="I41" s="35">
        <v>5724.86</v>
      </c>
      <c r="J41" s="35">
        <v>6000.33</v>
      </c>
      <c r="K41" s="35">
        <v>6007.87</v>
      </c>
      <c r="L41" s="35">
        <v>5935.58</v>
      </c>
      <c r="M41" s="53"/>
      <c r="N41" s="53"/>
      <c r="O41" s="53"/>
      <c r="P41" s="53"/>
      <c r="Q41" s="48">
        <f>IF((L42=""),"",MAX(D43:L43))</f>
        <v>6797.8799999999992</v>
      </c>
      <c r="R41" s="48">
        <f>IF(L42="","",MIN(D43:L43))</f>
        <v>6616.96</v>
      </c>
      <c r="S41" s="75">
        <f>IF((L43=""),"",AVERAGE(D43:L43))</f>
        <v>6697.5533333333333</v>
      </c>
      <c r="T41" s="51">
        <f>IF((L42=""),"",(Q41-R41)/(Q41+R41)*100)</f>
        <v>1.348655667902108</v>
      </c>
      <c r="U41" s="48">
        <f>STDEV(D43:P43)</f>
        <v>62.551163858076968</v>
      </c>
      <c r="V41" s="228" t="str">
        <f>IF(L42="","",IF(T41&lt;7.3,IF(S41&gt;5700,IF(S41&lt;7200,"Pass","Fail"),"Fail"),"Fail"))</f>
        <v>Pass</v>
      </c>
      <c r="W41" s="55">
        <v>1335</v>
      </c>
      <c r="X41" s="210"/>
      <c r="Y41" s="118"/>
      <c r="Z41" s="37">
        <v>4955</v>
      </c>
      <c r="AA41" s="37">
        <v>9645</v>
      </c>
      <c r="AB41" s="37">
        <v>5100</v>
      </c>
      <c r="AC41" s="37">
        <v>8300</v>
      </c>
      <c r="AD41" s="67">
        <v>10</v>
      </c>
      <c r="AE41" s="67">
        <v>9.8000000000000007</v>
      </c>
    </row>
    <row r="42" spans="1:31" ht="12.75" customHeight="1" x14ac:dyDescent="0.35">
      <c r="A42" s="294"/>
      <c r="B42" s="46"/>
      <c r="C42" s="54" t="s">
        <v>200</v>
      </c>
      <c r="D42" s="35">
        <v>2520.9499999999998</v>
      </c>
      <c r="E42" s="35">
        <v>2672.39</v>
      </c>
      <c r="F42" s="35">
        <v>2701.59</v>
      </c>
      <c r="G42" s="35">
        <v>2621.66</v>
      </c>
      <c r="H42" s="35">
        <v>2434.84</v>
      </c>
      <c r="I42" s="35">
        <v>2394.12</v>
      </c>
      <c r="J42" s="35">
        <v>2649.4</v>
      </c>
      <c r="K42" s="35">
        <v>2699.39</v>
      </c>
      <c r="L42" s="35">
        <v>2554.21</v>
      </c>
      <c r="M42" s="53"/>
      <c r="N42" s="53"/>
      <c r="O42" s="53"/>
      <c r="P42" s="53"/>
      <c r="Q42" s="46"/>
      <c r="R42" s="46"/>
      <c r="S42" s="46"/>
      <c r="T42" s="46"/>
      <c r="U42" s="46"/>
      <c r="V42" s="229"/>
      <c r="W42" s="46"/>
      <c r="X42" s="210"/>
      <c r="Y42" s="118"/>
      <c r="Z42" s="38"/>
      <c r="AA42" s="38"/>
      <c r="AB42" s="38"/>
      <c r="AC42" s="38"/>
      <c r="AE42" s="38"/>
    </row>
    <row r="43" spans="1:31" ht="24.8" customHeight="1" thickBot="1" x14ac:dyDescent="0.4">
      <c r="A43" s="294"/>
      <c r="B43" s="42"/>
      <c r="C43" s="74" t="s">
        <v>199</v>
      </c>
      <c r="D43" s="81">
        <f t="shared" ref="D43:L43" si="10">IF(((D41="")*AND(D42="")),"",(D41-D42)*2)</f>
        <v>6747.380000000001</v>
      </c>
      <c r="E43" s="81">
        <f t="shared" si="10"/>
        <v>6645.44</v>
      </c>
      <c r="F43" s="81">
        <f t="shared" si="10"/>
        <v>6635.52</v>
      </c>
      <c r="G43" s="81">
        <f t="shared" si="10"/>
        <v>6708.7200000000012</v>
      </c>
      <c r="H43" s="81">
        <f t="shared" si="10"/>
        <v>6797.8799999999992</v>
      </c>
      <c r="I43" s="81">
        <f t="shared" si="10"/>
        <v>6661.48</v>
      </c>
      <c r="J43" s="81">
        <f t="shared" si="10"/>
        <v>6701.86</v>
      </c>
      <c r="K43" s="81">
        <f t="shared" si="10"/>
        <v>6616.96</v>
      </c>
      <c r="L43" s="81">
        <f t="shared" si="10"/>
        <v>6762.74</v>
      </c>
      <c r="M43" s="81"/>
      <c r="N43" s="81"/>
      <c r="O43" s="81"/>
      <c r="P43" s="81" t="str">
        <f>IF(((P41="")*AND(P42="")),"",(P41-P42)*2)</f>
        <v/>
      </c>
      <c r="Q43" s="42"/>
      <c r="R43" s="42"/>
      <c r="S43" s="42"/>
      <c r="T43" s="42"/>
      <c r="U43" s="78"/>
      <c r="V43" s="230"/>
      <c r="W43" s="42"/>
      <c r="X43" s="210"/>
      <c r="Y43" s="117"/>
      <c r="Z43" s="38"/>
      <c r="AA43" s="38"/>
      <c r="AB43" s="38"/>
      <c r="AC43" s="38"/>
      <c r="AE43" s="38"/>
    </row>
    <row r="44" spans="1:31" ht="12.75" customHeight="1" x14ac:dyDescent="0.25">
      <c r="A44" s="235">
        <v>42555</v>
      </c>
      <c r="B44" s="55" t="s">
        <v>202</v>
      </c>
      <c r="C44" s="59" t="s">
        <v>201</v>
      </c>
      <c r="D44" s="35">
        <v>7082.78</v>
      </c>
      <c r="E44" s="35">
        <v>6932.11</v>
      </c>
      <c r="F44" s="35">
        <v>7003.15</v>
      </c>
      <c r="G44" s="35">
        <v>7039.46</v>
      </c>
      <c r="H44" s="35">
        <v>7314.77</v>
      </c>
      <c r="I44" s="35">
        <v>7199.73</v>
      </c>
      <c r="J44" s="35">
        <v>7002.56</v>
      </c>
      <c r="K44" s="35">
        <v>7055.15</v>
      </c>
      <c r="L44" s="35">
        <v>7358.51</v>
      </c>
      <c r="M44" s="53"/>
      <c r="N44" s="53"/>
      <c r="O44" s="53"/>
      <c r="P44" s="53"/>
      <c r="Q44" s="48">
        <f>IF((L45=""),"",MAX(D46:P46))</f>
        <v>5062.2699999999995</v>
      </c>
      <c r="R44" s="120">
        <f>IF(L45="","",MIN(D46:L46))</f>
        <v>4802.99</v>
      </c>
      <c r="S44" s="51">
        <f>IF((L46=""),"",AVERAGE(D46:L46))</f>
        <v>4954.2311111111103</v>
      </c>
      <c r="T44" s="51">
        <f>IF((L45=""),"",(Q44-R44)/(Q44+R44)*100)</f>
        <v>2.6282125357061021</v>
      </c>
      <c r="U44" s="50">
        <f>STDEV(D46:L46)</f>
        <v>103.16979226552264</v>
      </c>
      <c r="V44" s="231" t="str">
        <f>IF(P45="","",IF(T44&lt;2.7,IF(S44&gt;5150,IF(S44&lt;5600,"Pass","Fail"),"Fail"),"Fail"))</f>
        <v/>
      </c>
      <c r="W44" s="55">
        <v>1400</v>
      </c>
      <c r="X44" s="210"/>
      <c r="Y44" s="119" t="s">
        <v>315</v>
      </c>
      <c r="Z44" s="251">
        <v>4470</v>
      </c>
      <c r="AA44" s="251">
        <v>6020</v>
      </c>
      <c r="AB44" s="251">
        <v>5150</v>
      </c>
      <c r="AC44" s="251">
        <v>5600</v>
      </c>
      <c r="AD44" s="67">
        <v>10</v>
      </c>
      <c r="AE44" s="252">
        <v>2.7</v>
      </c>
    </row>
    <row r="45" spans="1:31" ht="12.75" customHeight="1" x14ac:dyDescent="0.35">
      <c r="A45" s="294"/>
      <c r="B45" s="46"/>
      <c r="C45" s="54" t="s">
        <v>200</v>
      </c>
      <c r="D45" s="35">
        <v>2279.79</v>
      </c>
      <c r="E45" s="35">
        <v>1929.98</v>
      </c>
      <c r="F45" s="35">
        <v>1940.88</v>
      </c>
      <c r="G45" s="35">
        <v>1982.75</v>
      </c>
      <c r="H45" s="35">
        <v>2422.98</v>
      </c>
      <c r="I45" s="35">
        <v>2298.71</v>
      </c>
      <c r="J45" s="35">
        <v>1942.16</v>
      </c>
      <c r="K45" s="35">
        <v>2063.06</v>
      </c>
      <c r="L45" s="35">
        <v>2539.83</v>
      </c>
      <c r="M45" s="53"/>
      <c r="N45" s="53"/>
      <c r="O45" s="53"/>
      <c r="P45" s="53"/>
      <c r="Q45" s="46"/>
      <c r="R45" s="46"/>
      <c r="S45" s="46"/>
      <c r="T45" s="46"/>
      <c r="U45" s="46"/>
      <c r="V45" s="229"/>
      <c r="W45" s="46"/>
      <c r="X45" s="210"/>
      <c r="Y45" s="118"/>
      <c r="Z45" s="38"/>
      <c r="AA45" s="38"/>
      <c r="AB45" s="38"/>
      <c r="AC45" s="38"/>
      <c r="AE45" s="38"/>
    </row>
    <row r="46" spans="1:31" ht="24.8" customHeight="1" thickBot="1" x14ac:dyDescent="0.4">
      <c r="A46" s="294"/>
      <c r="B46" s="78"/>
      <c r="C46" s="54" t="s">
        <v>199</v>
      </c>
      <c r="D46" s="93">
        <f t="shared" ref="D46:P46" si="11">IF(((D44="")*AND(D45="")),"",(D44-D45))</f>
        <v>4802.99</v>
      </c>
      <c r="E46" s="93">
        <f t="shared" si="11"/>
        <v>5002.1299999999992</v>
      </c>
      <c r="F46" s="93">
        <f t="shared" si="11"/>
        <v>5062.2699999999995</v>
      </c>
      <c r="G46" s="93">
        <f t="shared" si="11"/>
        <v>5056.71</v>
      </c>
      <c r="H46" s="93">
        <f t="shared" si="11"/>
        <v>4891.7900000000009</v>
      </c>
      <c r="I46" s="93">
        <f t="shared" si="11"/>
        <v>4901.0199999999995</v>
      </c>
      <c r="J46" s="93">
        <f t="shared" si="11"/>
        <v>5060.4000000000005</v>
      </c>
      <c r="K46" s="93">
        <f t="shared" si="11"/>
        <v>4992.09</v>
      </c>
      <c r="L46" s="93">
        <f t="shared" si="11"/>
        <v>4818.68</v>
      </c>
      <c r="M46" s="93" t="str">
        <f t="shared" si="11"/>
        <v/>
      </c>
      <c r="N46" s="93" t="str">
        <f t="shared" si="11"/>
        <v/>
      </c>
      <c r="O46" s="93" t="str">
        <f t="shared" si="11"/>
        <v/>
      </c>
      <c r="P46" s="93" t="str">
        <f t="shared" si="11"/>
        <v/>
      </c>
      <c r="Q46" s="78"/>
      <c r="R46" s="78"/>
      <c r="S46" s="78"/>
      <c r="T46" s="78"/>
      <c r="U46" s="78"/>
      <c r="V46" s="232"/>
      <c r="W46" s="78"/>
      <c r="X46" s="210"/>
      <c r="Y46" s="118"/>
      <c r="Z46" s="38"/>
      <c r="AA46" s="38"/>
      <c r="AB46" s="38"/>
      <c r="AC46" s="38"/>
      <c r="AE46" s="38"/>
    </row>
    <row r="47" spans="1:31" ht="12.75" customHeight="1" x14ac:dyDescent="0.25">
      <c r="A47" s="235">
        <v>42555</v>
      </c>
      <c r="B47" s="48" t="s">
        <v>204</v>
      </c>
      <c r="C47" s="54" t="s">
        <v>201</v>
      </c>
      <c r="D47" s="35">
        <v>6004.45</v>
      </c>
      <c r="E47" s="35">
        <v>6214.71</v>
      </c>
      <c r="F47" s="35">
        <v>6284.34</v>
      </c>
      <c r="G47" s="35">
        <v>6215.69</v>
      </c>
      <c r="H47" s="35">
        <v>5968.92</v>
      </c>
      <c r="I47" s="35">
        <v>6187.83</v>
      </c>
      <c r="J47" s="35">
        <v>6249.03</v>
      </c>
      <c r="K47" s="35">
        <v>6190.06</v>
      </c>
      <c r="L47" s="35">
        <v>5987.94</v>
      </c>
      <c r="M47" s="53"/>
      <c r="N47" s="53"/>
      <c r="O47" s="53"/>
      <c r="P47" s="53"/>
      <c r="Q47" s="48">
        <f>IF((L48=""),"",MAX(D49:L49))</f>
        <v>11691.06</v>
      </c>
      <c r="R47" s="48">
        <f>IF(L48="","",MIN(D49:L49))</f>
        <v>6681.8199999999988</v>
      </c>
      <c r="S47" s="75">
        <f>IF((L49=""),"",AVERAGE(D49:L49))</f>
        <v>10733.031111111111</v>
      </c>
      <c r="T47" s="51">
        <f>IF((L48=""),"",(Q47-R47)/(Q47+R47)*100)</f>
        <v>27.264315665263155</v>
      </c>
      <c r="U47" s="48">
        <f>STDEV(D49:P49)</f>
        <v>1583.8454163241802</v>
      </c>
      <c r="V47" s="228" t="str">
        <f>IF(L48="","",IF(T47&lt;7.3,IF(S47&gt;5700,IF(S47&lt;7200,"Pass","Fail"),"Fail"),"Fail"))</f>
        <v>Fail</v>
      </c>
      <c r="W47" s="55">
        <v>1400</v>
      </c>
      <c r="X47" s="210"/>
      <c r="Y47" s="118" t="s">
        <v>315</v>
      </c>
      <c r="Z47" s="37">
        <v>4955</v>
      </c>
      <c r="AA47" s="37">
        <v>9645</v>
      </c>
      <c r="AB47" s="37">
        <v>5100</v>
      </c>
      <c r="AC47" s="37">
        <v>8300</v>
      </c>
      <c r="AD47" s="67">
        <v>10</v>
      </c>
      <c r="AE47" s="67">
        <v>9.8000000000000007</v>
      </c>
    </row>
    <row r="48" spans="1:31" ht="12.75" customHeight="1" x14ac:dyDescent="0.35">
      <c r="A48" s="294"/>
      <c r="B48" s="46"/>
      <c r="C48" s="54" t="s">
        <v>200</v>
      </c>
      <c r="D48" s="35">
        <v>790.13</v>
      </c>
      <c r="E48" s="35">
        <v>443.79</v>
      </c>
      <c r="F48" s="35">
        <v>438.81</v>
      </c>
      <c r="G48" s="35">
        <v>448.42</v>
      </c>
      <c r="H48" s="35">
        <v>622.29999999999995</v>
      </c>
      <c r="I48" s="35">
        <v>710.42</v>
      </c>
      <c r="J48" s="35">
        <v>445.92</v>
      </c>
      <c r="K48" s="35">
        <v>457.51</v>
      </c>
      <c r="L48" s="35">
        <v>2647.03</v>
      </c>
      <c r="M48" s="53"/>
      <c r="N48" s="53"/>
      <c r="O48" s="53"/>
      <c r="P48" s="53"/>
      <c r="Q48" s="46"/>
      <c r="R48" s="46"/>
      <c r="S48" s="46"/>
      <c r="T48" s="46"/>
      <c r="U48" s="46"/>
      <c r="V48" s="229"/>
      <c r="W48" s="46"/>
      <c r="X48" s="210"/>
      <c r="Y48" s="118"/>
      <c r="Z48" s="38"/>
      <c r="AA48" s="38"/>
      <c r="AB48" s="38"/>
      <c r="AC48" s="38"/>
      <c r="AE48" s="38"/>
    </row>
    <row r="49" spans="1:31" ht="24.8" customHeight="1" thickBot="1" x14ac:dyDescent="0.4">
      <c r="A49" s="294"/>
      <c r="B49" s="42"/>
      <c r="C49" s="74" t="s">
        <v>199</v>
      </c>
      <c r="D49" s="81">
        <f t="shared" ref="D49:L49" si="12">IF(((D47="")*AND(D48="")),"",(D47-D48)*2)</f>
        <v>10428.64</v>
      </c>
      <c r="E49" s="81">
        <f t="shared" si="12"/>
        <v>11541.84</v>
      </c>
      <c r="F49" s="81">
        <f t="shared" si="12"/>
        <v>11691.06</v>
      </c>
      <c r="G49" s="81">
        <f t="shared" si="12"/>
        <v>11534.539999999999</v>
      </c>
      <c r="H49" s="81">
        <f t="shared" si="12"/>
        <v>10693.24</v>
      </c>
      <c r="I49" s="81">
        <f t="shared" si="12"/>
        <v>10954.82</v>
      </c>
      <c r="J49" s="81">
        <f t="shared" si="12"/>
        <v>11606.22</v>
      </c>
      <c r="K49" s="81">
        <f t="shared" si="12"/>
        <v>11465.1</v>
      </c>
      <c r="L49" s="81">
        <f t="shared" si="12"/>
        <v>6681.8199999999988</v>
      </c>
      <c r="M49" s="81"/>
      <c r="N49" s="81"/>
      <c r="O49" s="81"/>
      <c r="P49" s="81" t="str">
        <f>IF(((P47="")*AND(P48="")),"",(P47-P48)*2)</f>
        <v/>
      </c>
      <c r="Q49" s="42"/>
      <c r="R49" s="42"/>
      <c r="S49" s="42"/>
      <c r="T49" s="42"/>
      <c r="U49" s="78"/>
      <c r="V49" s="230"/>
      <c r="W49" s="42"/>
      <c r="X49" s="210"/>
      <c r="Y49" s="117"/>
      <c r="Z49" s="38"/>
      <c r="AA49" s="38"/>
      <c r="AB49" s="38"/>
      <c r="AC49" s="38"/>
      <c r="AE49" s="38"/>
    </row>
    <row r="50" spans="1:31" ht="12.75" customHeight="1" x14ac:dyDescent="0.25">
      <c r="A50" s="235">
        <v>42564</v>
      </c>
      <c r="B50" s="55" t="s">
        <v>202</v>
      </c>
      <c r="C50" s="59" t="s">
        <v>201</v>
      </c>
      <c r="D50" s="35">
        <v>7124.37</v>
      </c>
      <c r="E50" s="35">
        <v>6960.62</v>
      </c>
      <c r="F50" s="35">
        <v>6900.83</v>
      </c>
      <c r="G50" s="35">
        <v>6907.48</v>
      </c>
      <c r="H50" s="35">
        <v>6994.1</v>
      </c>
      <c r="I50" s="35">
        <v>7086.28</v>
      </c>
      <c r="J50" s="35">
        <v>6942.31</v>
      </c>
      <c r="K50" s="35">
        <v>6945.47</v>
      </c>
      <c r="L50" s="35">
        <v>7118.08</v>
      </c>
      <c r="M50" s="53"/>
      <c r="N50" s="53"/>
      <c r="O50" s="53"/>
      <c r="P50" s="53"/>
      <c r="Q50" s="48">
        <f>IF((L51=""),"",MAX(D52:P52))</f>
        <v>5188.1499999999996</v>
      </c>
      <c r="R50" s="120">
        <f>IF(L51="","",MIN(D52:L52))</f>
        <v>4913.26</v>
      </c>
      <c r="S50" s="51">
        <f>IF((L52=""),"",AVERAGE(D52:L52))</f>
        <v>5073.0622222222219</v>
      </c>
      <c r="T50" s="51">
        <f>IF((L51=""),"",(Q50-R50)/(Q50+R50)*100)</f>
        <v>2.7213032636037884</v>
      </c>
      <c r="U50" s="50">
        <f>STDEV(D52:L52)</f>
        <v>105.22827148368654</v>
      </c>
      <c r="V50" s="231" t="str">
        <f>IF(P51="","",IF(T50&lt;2.7,IF(S50&gt;5150,IF(S50&lt;5600,"Pass","Fail"),"Fail"),"Fail"))</f>
        <v/>
      </c>
      <c r="W50" s="55">
        <v>1159</v>
      </c>
      <c r="X50" s="210"/>
      <c r="Y50" s="119" t="s">
        <v>315</v>
      </c>
      <c r="Z50" s="251">
        <v>4470</v>
      </c>
      <c r="AA50" s="251">
        <v>6020</v>
      </c>
      <c r="AB50" s="251">
        <v>5150</v>
      </c>
      <c r="AC50" s="251">
        <v>5600</v>
      </c>
      <c r="AD50" s="67">
        <v>10</v>
      </c>
      <c r="AE50" s="252">
        <v>2.7</v>
      </c>
    </row>
    <row r="51" spans="1:31" ht="12.75" customHeight="1" x14ac:dyDescent="0.35">
      <c r="A51" s="294"/>
      <c r="B51" s="46"/>
      <c r="C51" s="54" t="s">
        <v>200</v>
      </c>
      <c r="D51" s="35">
        <v>2211.11</v>
      </c>
      <c r="E51" s="35">
        <v>1840.33</v>
      </c>
      <c r="F51" s="35">
        <v>1712.68</v>
      </c>
      <c r="G51" s="35">
        <v>1742.13</v>
      </c>
      <c r="H51" s="35">
        <v>1982.66</v>
      </c>
      <c r="I51" s="35">
        <v>2041.73</v>
      </c>
      <c r="J51" s="35">
        <v>1760.72</v>
      </c>
      <c r="K51" s="35">
        <v>1838.84</v>
      </c>
      <c r="L51" s="35">
        <v>2191.7800000000002</v>
      </c>
      <c r="M51" s="53"/>
      <c r="N51" s="53"/>
      <c r="O51" s="53"/>
      <c r="P51" s="53"/>
      <c r="Q51" s="46"/>
      <c r="R51" s="46"/>
      <c r="S51" s="46"/>
      <c r="T51" s="46"/>
      <c r="U51" s="46"/>
      <c r="V51" s="229"/>
      <c r="W51" s="46"/>
      <c r="X51" s="210"/>
      <c r="Y51" s="118"/>
      <c r="Z51" s="38"/>
      <c r="AA51" s="38"/>
      <c r="AB51" s="38"/>
      <c r="AC51" s="38"/>
      <c r="AE51" s="38"/>
    </row>
    <row r="52" spans="1:31" ht="24.8" customHeight="1" thickBot="1" x14ac:dyDescent="0.4">
      <c r="A52" s="294"/>
      <c r="B52" s="78"/>
      <c r="C52" s="54" t="s">
        <v>199</v>
      </c>
      <c r="D52" s="93">
        <f t="shared" ref="D52:P52" si="13">IF(((D50="")*AND(D51="")),"",(D50-D51))</f>
        <v>4913.26</v>
      </c>
      <c r="E52" s="93">
        <f t="shared" si="13"/>
        <v>5120.29</v>
      </c>
      <c r="F52" s="93">
        <f t="shared" si="13"/>
        <v>5188.1499999999996</v>
      </c>
      <c r="G52" s="93">
        <f t="shared" si="13"/>
        <v>5165.3499999999995</v>
      </c>
      <c r="H52" s="93">
        <f t="shared" si="13"/>
        <v>5011.4400000000005</v>
      </c>
      <c r="I52" s="93">
        <f t="shared" si="13"/>
        <v>5044.5499999999993</v>
      </c>
      <c r="J52" s="93">
        <f t="shared" si="13"/>
        <v>5181.59</v>
      </c>
      <c r="K52" s="93">
        <f t="shared" si="13"/>
        <v>5106.63</v>
      </c>
      <c r="L52" s="93">
        <f t="shared" si="13"/>
        <v>4926.2999999999993</v>
      </c>
      <c r="M52" s="93" t="str">
        <f t="shared" si="13"/>
        <v/>
      </c>
      <c r="N52" s="93" t="str">
        <f t="shared" si="13"/>
        <v/>
      </c>
      <c r="O52" s="93" t="str">
        <f t="shared" si="13"/>
        <v/>
      </c>
      <c r="P52" s="93" t="str">
        <f t="shared" si="13"/>
        <v/>
      </c>
      <c r="Q52" s="78"/>
      <c r="R52" s="78"/>
      <c r="S52" s="78"/>
      <c r="T52" s="78"/>
      <c r="U52" s="78"/>
      <c r="V52" s="232"/>
      <c r="W52" s="78"/>
      <c r="X52" s="210"/>
      <c r="Y52" s="118"/>
      <c r="Z52" s="38"/>
      <c r="AA52" s="38"/>
      <c r="AB52" s="38"/>
      <c r="AC52" s="38"/>
      <c r="AE52" s="38"/>
    </row>
    <row r="53" spans="1:31" ht="12.75" customHeight="1" x14ac:dyDescent="0.25">
      <c r="A53" s="235">
        <v>42564</v>
      </c>
      <c r="B53" s="48" t="s">
        <v>204</v>
      </c>
      <c r="C53" s="54" t="s">
        <v>201</v>
      </c>
      <c r="D53" s="35">
        <v>6028.8</v>
      </c>
      <c r="E53" s="35">
        <v>6228.62</v>
      </c>
      <c r="F53" s="35">
        <v>6298.1</v>
      </c>
      <c r="G53" s="35">
        <v>6231.44</v>
      </c>
      <c r="H53" s="35">
        <v>6001.03</v>
      </c>
      <c r="I53" s="35">
        <v>6220.02</v>
      </c>
      <c r="J53" s="35">
        <v>6265.66</v>
      </c>
      <c r="K53" s="35">
        <v>6202.73</v>
      </c>
      <c r="L53" s="35">
        <v>6023.12</v>
      </c>
      <c r="M53" s="53"/>
      <c r="N53" s="53"/>
      <c r="O53" s="53"/>
      <c r="P53" s="53"/>
      <c r="Q53" s="48">
        <f>IF((L54=""),"",MAX(D55:L55))</f>
        <v>11619.66</v>
      </c>
      <c r="R53" s="48">
        <f>IF(L54="","",MIN(D55:L55))</f>
        <v>6713.58</v>
      </c>
      <c r="S53" s="75">
        <f>IF((L55=""),"",AVERAGE(D55:L55))</f>
        <v>10739.155555555555</v>
      </c>
      <c r="T53" s="51">
        <f>IF((L54=""),"",(Q53-R53)/(Q53+R53)*100)</f>
        <v>26.760572599278692</v>
      </c>
      <c r="U53" s="48">
        <f>STDEV(D55:P55)</f>
        <v>1558.0566810863502</v>
      </c>
      <c r="V53" s="228" t="str">
        <f>IF(L54="","",IF(T53&lt;7.3,IF(S53&gt;5700,IF(S53&lt;7200,"Pass","Fail"),"Fail"),"Fail"))</f>
        <v>Fail</v>
      </c>
      <c r="W53" s="55">
        <v>1159</v>
      </c>
      <c r="X53" s="210"/>
      <c r="Y53" s="118" t="s">
        <v>315</v>
      </c>
      <c r="Z53" s="37">
        <v>4955</v>
      </c>
      <c r="AA53" s="37">
        <v>9645</v>
      </c>
      <c r="AB53" s="37">
        <v>5100</v>
      </c>
      <c r="AC53" s="37">
        <v>8300</v>
      </c>
      <c r="AD53" s="67">
        <v>10</v>
      </c>
      <c r="AE53" s="67">
        <v>9.8000000000000007</v>
      </c>
    </row>
    <row r="54" spans="1:31" ht="12.75" customHeight="1" x14ac:dyDescent="0.35">
      <c r="A54" s="294"/>
      <c r="B54" s="46"/>
      <c r="C54" s="54" t="s">
        <v>200</v>
      </c>
      <c r="D54" s="35">
        <v>724.84</v>
      </c>
      <c r="E54" s="35">
        <v>484.77</v>
      </c>
      <c r="F54" s="35">
        <v>488.27</v>
      </c>
      <c r="G54" s="35">
        <v>497.6</v>
      </c>
      <c r="H54" s="35">
        <v>679.48</v>
      </c>
      <c r="I54" s="35">
        <v>672.35</v>
      </c>
      <c r="J54" s="35">
        <v>474.28</v>
      </c>
      <c r="K54" s="35">
        <v>485.4</v>
      </c>
      <c r="L54" s="35">
        <v>2666.33</v>
      </c>
      <c r="M54" s="53"/>
      <c r="N54" s="53"/>
      <c r="O54" s="53"/>
      <c r="P54" s="53"/>
      <c r="Q54" s="46"/>
      <c r="R54" s="46"/>
      <c r="S54" s="46"/>
      <c r="T54" s="46"/>
      <c r="U54" s="46"/>
      <c r="V54" s="229"/>
      <c r="W54" s="46"/>
      <c r="X54" s="210"/>
      <c r="Y54" s="118"/>
      <c r="Z54" s="38"/>
      <c r="AA54" s="38"/>
      <c r="AB54" s="38"/>
      <c r="AC54" s="38"/>
      <c r="AE54" s="38"/>
    </row>
    <row r="55" spans="1:31" ht="24.8" customHeight="1" thickBot="1" x14ac:dyDescent="0.4">
      <c r="A55" s="294"/>
      <c r="B55" s="42"/>
      <c r="C55" s="74" t="s">
        <v>199</v>
      </c>
      <c r="D55" s="81">
        <f t="shared" ref="D55:L55" si="14">IF(((D53="")*AND(D54="")),"",(D53-D54)*2)</f>
        <v>10607.92</v>
      </c>
      <c r="E55" s="81">
        <f t="shared" si="14"/>
        <v>11487.7</v>
      </c>
      <c r="F55" s="81">
        <f t="shared" si="14"/>
        <v>11619.66</v>
      </c>
      <c r="G55" s="81">
        <f t="shared" si="14"/>
        <v>11467.679999999998</v>
      </c>
      <c r="H55" s="81">
        <f t="shared" si="14"/>
        <v>10643.099999999999</v>
      </c>
      <c r="I55" s="81">
        <f t="shared" si="14"/>
        <v>11095.34</v>
      </c>
      <c r="J55" s="81">
        <f t="shared" si="14"/>
        <v>11582.76</v>
      </c>
      <c r="K55" s="81">
        <f t="shared" si="14"/>
        <v>11434.66</v>
      </c>
      <c r="L55" s="81">
        <f t="shared" si="14"/>
        <v>6713.58</v>
      </c>
      <c r="M55" s="81"/>
      <c r="N55" s="81"/>
      <c r="O55" s="81"/>
      <c r="P55" s="81" t="str">
        <f>IF(((P53="")*AND(P54="")),"",(P53-P54)*2)</f>
        <v/>
      </c>
      <c r="Q55" s="42"/>
      <c r="R55" s="42"/>
      <c r="S55" s="42"/>
      <c r="T55" s="42"/>
      <c r="U55" s="78"/>
      <c r="V55" s="230"/>
      <c r="W55" s="42"/>
      <c r="X55" s="210"/>
      <c r="Y55" s="117"/>
      <c r="Z55" s="38"/>
      <c r="AA55" s="38"/>
      <c r="AB55" s="38"/>
      <c r="AC55" s="38"/>
      <c r="AE55" s="38"/>
    </row>
    <row r="56" spans="1:31" ht="12.75" customHeight="1" x14ac:dyDescent="0.25">
      <c r="A56" s="235">
        <v>42577</v>
      </c>
      <c r="B56" s="55" t="s">
        <v>202</v>
      </c>
      <c r="C56" s="59" t="s">
        <v>201</v>
      </c>
      <c r="D56" s="35">
        <v>7257.01</v>
      </c>
      <c r="E56" s="35">
        <v>7009.79</v>
      </c>
      <c r="F56" s="35">
        <v>6951.53</v>
      </c>
      <c r="G56" s="35">
        <v>7035.24</v>
      </c>
      <c r="H56" s="35">
        <v>7208.43</v>
      </c>
      <c r="I56" s="35">
        <v>7265.76</v>
      </c>
      <c r="J56" s="35">
        <v>7018.36</v>
      </c>
      <c r="K56" s="35">
        <v>7023.73</v>
      </c>
      <c r="L56" s="35">
        <v>7297.23</v>
      </c>
      <c r="M56" s="53"/>
      <c r="N56" s="53"/>
      <c r="O56" s="53"/>
      <c r="P56" s="53"/>
      <c r="Q56" s="48">
        <f>IF((L57=""),"",MAX(D58:P58))</f>
        <v>5198.4799999999996</v>
      </c>
      <c r="R56" s="120">
        <f>IF(L57="","",MIN(D58:L58))</f>
        <v>4981.4500000000007</v>
      </c>
      <c r="S56" s="51">
        <f>IF((L58=""),"",AVERAGE(D58:L58))</f>
        <v>5098.0333333333338</v>
      </c>
      <c r="T56" s="51">
        <f>IF((L57=""),"",(Q56-R56)/(Q56+R56)*100)</f>
        <v>2.131940003516712</v>
      </c>
      <c r="U56" s="50">
        <f>STDEV(D58:L58)</f>
        <v>82.416986113300297</v>
      </c>
      <c r="V56" s="231" t="str">
        <f>IF(P57="","",IF(T56&lt;2.7,IF(S56&gt;5150,IF(S56&lt;5600,"Pass","Fail"),"Fail"),"Fail"))</f>
        <v/>
      </c>
      <c r="W56" s="55">
        <v>1335</v>
      </c>
      <c r="X56" s="210"/>
      <c r="Y56" s="119" t="s">
        <v>315</v>
      </c>
      <c r="Z56" s="251">
        <v>4470</v>
      </c>
      <c r="AA56" s="251">
        <v>6020</v>
      </c>
      <c r="AB56" s="251">
        <v>5150</v>
      </c>
      <c r="AC56" s="251">
        <v>5600</v>
      </c>
      <c r="AD56" s="67">
        <v>10</v>
      </c>
      <c r="AE56" s="252">
        <v>2.7</v>
      </c>
    </row>
    <row r="57" spans="1:31" ht="12.75" customHeight="1" x14ac:dyDescent="0.35">
      <c r="A57" s="294"/>
      <c r="B57" s="46"/>
      <c r="C57" s="54" t="s">
        <v>200</v>
      </c>
      <c r="D57" s="35">
        <v>2275.56</v>
      </c>
      <c r="E57" s="35">
        <v>1869.99</v>
      </c>
      <c r="F57" s="35">
        <v>1753.05</v>
      </c>
      <c r="G57" s="35">
        <v>1869.64</v>
      </c>
      <c r="H57" s="35">
        <v>2159.7199999999998</v>
      </c>
      <c r="I57" s="35">
        <v>2207.2199999999998</v>
      </c>
      <c r="J57" s="35">
        <v>1839.3</v>
      </c>
      <c r="K57" s="35">
        <v>1897.18</v>
      </c>
      <c r="L57" s="35">
        <v>2313.12</v>
      </c>
      <c r="M57" s="53"/>
      <c r="N57" s="53"/>
      <c r="O57" s="53"/>
      <c r="P57" s="53"/>
      <c r="Q57" s="46"/>
      <c r="R57" s="46"/>
      <c r="S57" s="46"/>
      <c r="T57" s="46"/>
      <c r="U57" s="46"/>
      <c r="V57" s="229"/>
      <c r="W57" s="46"/>
      <c r="X57" s="210"/>
      <c r="Y57" s="118"/>
      <c r="Z57" s="38"/>
      <c r="AA57" s="38"/>
      <c r="AB57" s="38"/>
      <c r="AC57" s="38"/>
      <c r="AE57" s="38"/>
    </row>
    <row r="58" spans="1:31" ht="24.8" customHeight="1" thickBot="1" x14ac:dyDescent="0.4">
      <c r="A58" s="294"/>
      <c r="B58" s="78"/>
      <c r="C58" s="54" t="s">
        <v>199</v>
      </c>
      <c r="D58" s="93">
        <f t="shared" ref="D58:P58" si="15">IF(((D56="")*AND(D57="")),"",(D56-D57))</f>
        <v>4981.4500000000007</v>
      </c>
      <c r="E58" s="93">
        <f t="shared" si="15"/>
        <v>5139.8</v>
      </c>
      <c r="F58" s="93">
        <f t="shared" si="15"/>
        <v>5198.4799999999996</v>
      </c>
      <c r="G58" s="93">
        <f t="shared" si="15"/>
        <v>5165.5999999999995</v>
      </c>
      <c r="H58" s="93">
        <f t="shared" si="15"/>
        <v>5048.7100000000009</v>
      </c>
      <c r="I58" s="93">
        <f t="shared" si="15"/>
        <v>5058.5400000000009</v>
      </c>
      <c r="J58" s="93">
        <f t="shared" si="15"/>
        <v>5179.0599999999995</v>
      </c>
      <c r="K58" s="93">
        <f t="shared" si="15"/>
        <v>5126.5499999999993</v>
      </c>
      <c r="L58" s="93">
        <f t="shared" si="15"/>
        <v>4984.1099999999997</v>
      </c>
      <c r="M58" s="93" t="str">
        <f t="shared" si="15"/>
        <v/>
      </c>
      <c r="N58" s="93" t="str">
        <f t="shared" si="15"/>
        <v/>
      </c>
      <c r="O58" s="93" t="str">
        <f t="shared" si="15"/>
        <v/>
      </c>
      <c r="P58" s="93" t="str">
        <f t="shared" si="15"/>
        <v/>
      </c>
      <c r="Q58" s="78"/>
      <c r="R58" s="78"/>
      <c r="S58" s="78"/>
      <c r="T58" s="78"/>
      <c r="U58" s="78"/>
      <c r="V58" s="232"/>
      <c r="W58" s="78"/>
      <c r="X58" s="210"/>
      <c r="Y58" s="118"/>
      <c r="Z58" s="38"/>
      <c r="AA58" s="38"/>
      <c r="AB58" s="38"/>
      <c r="AC58" s="38"/>
      <c r="AE58" s="38"/>
    </row>
    <row r="59" spans="1:31" ht="12.75" customHeight="1" x14ac:dyDescent="0.25">
      <c r="A59" s="235">
        <v>42577</v>
      </c>
      <c r="B59" s="48" t="s">
        <v>204</v>
      </c>
      <c r="C59" s="54" t="s">
        <v>201</v>
      </c>
      <c r="D59" s="35">
        <v>6040.85</v>
      </c>
      <c r="E59" s="35">
        <v>6227.73</v>
      </c>
      <c r="F59" s="35">
        <v>6295.29</v>
      </c>
      <c r="G59" s="35">
        <v>6229.63</v>
      </c>
      <c r="H59" s="35">
        <v>6023.54</v>
      </c>
      <c r="I59" s="35">
        <v>6230.6</v>
      </c>
      <c r="J59" s="35">
        <v>6263.28</v>
      </c>
      <c r="K59" s="35">
        <v>6199.85</v>
      </c>
      <c r="L59" s="35">
        <v>6036.48</v>
      </c>
      <c r="M59" s="53"/>
      <c r="N59" s="53"/>
      <c r="O59" s="53"/>
      <c r="P59" s="53"/>
      <c r="Q59" s="48">
        <f>IF((L60=""),"",MAX(D61:L61))</f>
        <v>12014.380000000001</v>
      </c>
      <c r="R59" s="48">
        <f>IF(L60="","",MIN(D61:L61))</f>
        <v>1552.9799999999996</v>
      </c>
      <c r="S59" s="75">
        <f>IF((L61=""),"",AVERAGE(D61:L61))</f>
        <v>6622.7333333333327</v>
      </c>
      <c r="T59" s="51">
        <f>IF((L60=""),"",(Q59-R59)/(Q59+R59)*100)</f>
        <v>77.107115901693476</v>
      </c>
      <c r="U59" s="48">
        <f>STDEV(D61:P61)</f>
        <v>5083.4792534542712</v>
      </c>
      <c r="V59" s="228" t="str">
        <f>IF(L60="","",IF(T59&lt;7.3,IF(S59&gt;5700,IF(S59&lt;7200,"Pass","Fail"),"Fail"),"Fail"))</f>
        <v>Fail</v>
      </c>
      <c r="W59" s="55">
        <v>1335</v>
      </c>
      <c r="X59" s="210"/>
      <c r="Y59" s="118" t="s">
        <v>315</v>
      </c>
      <c r="Z59" s="37">
        <v>4955</v>
      </c>
      <c r="AA59" s="37">
        <v>9645</v>
      </c>
      <c r="AB59" s="37">
        <v>5100</v>
      </c>
      <c r="AC59" s="37">
        <v>8300</v>
      </c>
      <c r="AD59" s="67">
        <v>10</v>
      </c>
      <c r="AE59" s="67">
        <v>9.8000000000000007</v>
      </c>
    </row>
    <row r="60" spans="1:31" ht="12.75" customHeight="1" x14ac:dyDescent="0.35">
      <c r="A60" s="294"/>
      <c r="B60" s="46"/>
      <c r="C60" s="54" t="s">
        <v>200</v>
      </c>
      <c r="D60" s="35">
        <v>4788.96</v>
      </c>
      <c r="E60" s="35">
        <v>252.78</v>
      </c>
      <c r="F60" s="35">
        <v>5518.8</v>
      </c>
      <c r="G60" s="35">
        <v>222.44</v>
      </c>
      <c r="H60" s="35">
        <v>4740.82</v>
      </c>
      <c r="I60" s="35">
        <v>4957.1899999999996</v>
      </c>
      <c r="J60" s="35">
        <v>267.93</v>
      </c>
      <c r="K60" s="35">
        <v>235.43</v>
      </c>
      <c r="L60" s="35">
        <v>4760.6000000000004</v>
      </c>
      <c r="M60" s="53"/>
      <c r="N60" s="53"/>
      <c r="O60" s="53"/>
      <c r="P60" s="53"/>
      <c r="Q60" s="46"/>
      <c r="R60" s="46"/>
      <c r="S60" s="46"/>
      <c r="T60" s="46"/>
      <c r="U60" s="46"/>
      <c r="V60" s="229"/>
      <c r="W60" s="46"/>
      <c r="X60" s="210"/>
      <c r="Y60" s="118"/>
      <c r="Z60" s="38"/>
      <c r="AA60" s="38"/>
      <c r="AB60" s="38"/>
      <c r="AC60" s="38"/>
      <c r="AE60" s="38"/>
    </row>
    <row r="61" spans="1:31" ht="24.8" customHeight="1" thickBot="1" x14ac:dyDescent="0.4">
      <c r="A61" s="294"/>
      <c r="B61" s="42"/>
      <c r="C61" s="74" t="s">
        <v>199</v>
      </c>
      <c r="D61" s="81">
        <f t="shared" ref="D61:L61" si="16">IF(((D59="")*AND(D60="")),"",(D59-D60)*2)</f>
        <v>2503.7800000000007</v>
      </c>
      <c r="E61" s="81">
        <f t="shared" si="16"/>
        <v>11949.9</v>
      </c>
      <c r="F61" s="81">
        <f t="shared" si="16"/>
        <v>1552.9799999999996</v>
      </c>
      <c r="G61" s="81">
        <f t="shared" si="16"/>
        <v>12014.380000000001</v>
      </c>
      <c r="H61" s="81">
        <f t="shared" si="16"/>
        <v>2565.4400000000005</v>
      </c>
      <c r="I61" s="81">
        <f t="shared" si="16"/>
        <v>2546.8200000000015</v>
      </c>
      <c r="J61" s="81">
        <f t="shared" si="16"/>
        <v>11990.699999999999</v>
      </c>
      <c r="K61" s="81">
        <f t="shared" si="16"/>
        <v>11928.84</v>
      </c>
      <c r="L61" s="81">
        <f t="shared" si="16"/>
        <v>2551.7599999999984</v>
      </c>
      <c r="M61" s="81"/>
      <c r="N61" s="81"/>
      <c r="O61" s="81"/>
      <c r="P61" s="81" t="str">
        <f>IF(((P59="")*AND(P60="")),"",(P59-P60)*2)</f>
        <v/>
      </c>
      <c r="Q61" s="42"/>
      <c r="R61" s="42"/>
      <c r="S61" s="42"/>
      <c r="T61" s="42"/>
      <c r="U61" s="78"/>
      <c r="V61" s="230"/>
      <c r="W61" s="42"/>
      <c r="X61" s="210"/>
      <c r="Y61" s="117"/>
      <c r="Z61" s="38"/>
      <c r="AA61" s="38"/>
      <c r="AB61" s="38"/>
      <c r="AC61" s="38"/>
      <c r="AE61" s="38"/>
    </row>
    <row r="62" spans="1:31" ht="12.75" customHeight="1" x14ac:dyDescent="0.25">
      <c r="A62" s="235">
        <v>42590</v>
      </c>
      <c r="B62" s="55" t="s">
        <v>202</v>
      </c>
      <c r="C62" s="59" t="s">
        <v>201</v>
      </c>
      <c r="D62" s="35">
        <v>7248.21</v>
      </c>
      <c r="E62" s="35">
        <v>7101.16</v>
      </c>
      <c r="F62" s="35">
        <v>7050.99</v>
      </c>
      <c r="G62" s="35">
        <v>7072.95</v>
      </c>
      <c r="H62" s="35">
        <v>7193.11</v>
      </c>
      <c r="I62" s="35">
        <v>7240.91</v>
      </c>
      <c r="J62" s="35">
        <v>7099.94</v>
      </c>
      <c r="K62" s="35">
        <v>7042.05</v>
      </c>
      <c r="L62" s="35">
        <v>7080.84</v>
      </c>
      <c r="M62" s="53"/>
      <c r="N62" s="53"/>
      <c r="O62" s="53"/>
      <c r="P62" s="53"/>
      <c r="Q62" s="48">
        <f>IF((L63=""),"",MAX(D64:P64))</f>
        <v>5209.83</v>
      </c>
      <c r="R62" s="120">
        <f>IF(L63="","",MIN(D64:L64))</f>
        <v>4954.01</v>
      </c>
      <c r="S62" s="51">
        <f>IF((L64=""),"",AVERAGE(D64:L64))</f>
        <v>5099.1966666666667</v>
      </c>
      <c r="T62" s="51">
        <f>IF((L63=""),"",(Q62-R62)/(Q62+R62)*100)</f>
        <v>2.5169620930671841</v>
      </c>
      <c r="U62" s="50">
        <f>STDEV(D64:L64)</f>
        <v>104.1715201002652</v>
      </c>
      <c r="V62" s="231" t="str">
        <f>IF(P63="","",IF(T62&lt;2.7,IF(S62&gt;5150,IF(S62&lt;5600,"Pass","Fail"),"Fail"),"Fail"))</f>
        <v/>
      </c>
      <c r="W62" s="55">
        <v>1159</v>
      </c>
      <c r="X62" s="210"/>
      <c r="Y62" s="119" t="s">
        <v>315</v>
      </c>
      <c r="Z62" s="251">
        <v>4470</v>
      </c>
      <c r="AA62" s="251">
        <v>6020</v>
      </c>
      <c r="AB62" s="251">
        <v>5150</v>
      </c>
      <c r="AC62" s="251">
        <v>5600</v>
      </c>
      <c r="AD62" s="67">
        <v>10</v>
      </c>
      <c r="AE62" s="252">
        <v>2.7</v>
      </c>
    </row>
    <row r="63" spans="1:31" ht="12.75" customHeight="1" x14ac:dyDescent="0.35">
      <c r="A63" s="294"/>
      <c r="B63" s="46"/>
      <c r="C63" s="54" t="s">
        <v>200</v>
      </c>
      <c r="D63" s="35">
        <v>2293.1799999999998</v>
      </c>
      <c r="E63" s="35">
        <v>1947.38</v>
      </c>
      <c r="F63" s="35">
        <v>1841.16</v>
      </c>
      <c r="G63" s="35">
        <v>1874.69</v>
      </c>
      <c r="H63" s="35">
        <v>2168.61</v>
      </c>
      <c r="I63" s="35">
        <v>2185.86</v>
      </c>
      <c r="J63" s="35">
        <v>1896.9</v>
      </c>
      <c r="K63" s="35">
        <v>1902.78</v>
      </c>
      <c r="L63" s="35">
        <v>2126.83</v>
      </c>
      <c r="M63" s="53"/>
      <c r="N63" s="53"/>
      <c r="O63" s="53"/>
      <c r="P63" s="53"/>
      <c r="Q63" s="46"/>
      <c r="R63" s="46"/>
      <c r="S63" s="46"/>
      <c r="T63" s="46"/>
      <c r="U63" s="46"/>
      <c r="V63" s="229"/>
      <c r="W63" s="46"/>
      <c r="X63" s="210"/>
      <c r="Y63" s="118"/>
    </row>
    <row r="64" spans="1:31" ht="24.8" customHeight="1" thickBot="1" x14ac:dyDescent="0.4">
      <c r="A64" s="294"/>
      <c r="B64" s="78"/>
      <c r="C64" s="54" t="s">
        <v>199</v>
      </c>
      <c r="D64" s="93">
        <f t="shared" ref="D64:P64" si="17">IF(((D62="")*AND(D63="")),"",(D62-D63))</f>
        <v>4955.0300000000007</v>
      </c>
      <c r="E64" s="93">
        <f t="shared" si="17"/>
        <v>5153.78</v>
      </c>
      <c r="F64" s="93">
        <f t="shared" si="17"/>
        <v>5209.83</v>
      </c>
      <c r="G64" s="93">
        <f t="shared" si="17"/>
        <v>5198.26</v>
      </c>
      <c r="H64" s="93">
        <f t="shared" si="17"/>
        <v>5024.5</v>
      </c>
      <c r="I64" s="93">
        <f t="shared" si="17"/>
        <v>5055.0499999999993</v>
      </c>
      <c r="J64" s="93">
        <f t="shared" si="17"/>
        <v>5203.0399999999991</v>
      </c>
      <c r="K64" s="93">
        <f t="shared" si="17"/>
        <v>5139.2700000000004</v>
      </c>
      <c r="L64" s="93">
        <f t="shared" si="17"/>
        <v>4954.01</v>
      </c>
      <c r="M64" s="93" t="str">
        <f t="shared" si="17"/>
        <v/>
      </c>
      <c r="N64" s="93" t="str">
        <f t="shared" si="17"/>
        <v/>
      </c>
      <c r="O64" s="93" t="str">
        <f t="shared" si="17"/>
        <v/>
      </c>
      <c r="P64" s="93" t="str">
        <f t="shared" si="17"/>
        <v/>
      </c>
      <c r="Q64" s="78"/>
      <c r="R64" s="78"/>
      <c r="S64" s="78"/>
      <c r="T64" s="78"/>
      <c r="U64" s="78"/>
      <c r="V64" s="232"/>
      <c r="W64" s="78"/>
      <c r="X64" s="210"/>
      <c r="Y64" s="118"/>
    </row>
    <row r="65" spans="1:31" ht="12.75" customHeight="1" x14ac:dyDescent="0.25">
      <c r="A65" s="235">
        <v>42590</v>
      </c>
      <c r="B65" s="48" t="s">
        <v>204</v>
      </c>
      <c r="C65" s="54" t="s">
        <v>201</v>
      </c>
      <c r="D65" s="35">
        <v>6046.42</v>
      </c>
      <c r="E65" s="35">
        <v>6226.79</v>
      </c>
      <c r="F65" s="35">
        <v>6294.13</v>
      </c>
      <c r="G65" s="35">
        <v>6227.15</v>
      </c>
      <c r="H65" s="35">
        <v>6025.52</v>
      </c>
      <c r="I65" s="35">
        <v>6233.95</v>
      </c>
      <c r="J65" s="35">
        <v>6261.77</v>
      </c>
      <c r="K65" s="35">
        <v>6199.34</v>
      </c>
      <c r="L65" s="35">
        <v>6042.71</v>
      </c>
      <c r="M65" s="53"/>
      <c r="N65" s="53"/>
      <c r="O65" s="53"/>
      <c r="P65" s="53"/>
      <c r="Q65" s="48">
        <f>IF((L66=""),"",MAX(D67:L67))</f>
        <v>12125.859999999999</v>
      </c>
      <c r="R65" s="48">
        <f>IF(L66="","",MIN(D67:L67))</f>
        <v>1763.2800000000007</v>
      </c>
      <c r="S65" s="75">
        <f>IF((L67=""),"",AVERAGE(D67:L67))</f>
        <v>3204.6288888888885</v>
      </c>
      <c r="T65" s="51">
        <f>IF((L66=""),"",(Q65-R65)/(Q65+R65)*100)</f>
        <v>74.60922706517465</v>
      </c>
      <c r="U65" s="48">
        <f>STDEV(D67:P67)</f>
        <v>3357.8222184194201</v>
      </c>
      <c r="V65" s="228" t="str">
        <f>IF(L66="","",IF(T65&lt;7.3,IF(S65&gt;5700,IF(S65&lt;7200,"Pass","Fail"),"Fail"),"Fail"))</f>
        <v>Fail</v>
      </c>
      <c r="W65" s="55">
        <v>1159</v>
      </c>
      <c r="X65" s="210"/>
      <c r="Y65" s="118" t="s">
        <v>315</v>
      </c>
      <c r="Z65" s="37">
        <v>4955</v>
      </c>
      <c r="AA65" s="37">
        <v>9645</v>
      </c>
      <c r="AB65" s="37">
        <v>5100</v>
      </c>
      <c r="AC65" s="37">
        <v>8300</v>
      </c>
      <c r="AD65" s="67">
        <v>10</v>
      </c>
      <c r="AE65" s="67">
        <v>9.8000000000000007</v>
      </c>
    </row>
    <row r="66" spans="1:31" ht="12.75" customHeight="1" x14ac:dyDescent="0.35">
      <c r="A66" s="294"/>
      <c r="B66" s="46"/>
      <c r="C66" s="54" t="s">
        <v>200</v>
      </c>
      <c r="D66" s="35">
        <v>4903.0600000000004</v>
      </c>
      <c r="E66" s="35">
        <v>5321.42</v>
      </c>
      <c r="F66" s="35">
        <v>5412.49</v>
      </c>
      <c r="G66" s="35">
        <v>164.22</v>
      </c>
      <c r="H66" s="35">
        <v>4821.07</v>
      </c>
      <c r="I66" s="35">
        <v>4982.8599999999997</v>
      </c>
      <c r="J66" s="35">
        <v>5353.95</v>
      </c>
      <c r="K66" s="35">
        <v>5274.04</v>
      </c>
      <c r="L66" s="35">
        <v>4903.84</v>
      </c>
      <c r="M66" s="53"/>
      <c r="N66" s="53"/>
      <c r="O66" s="53"/>
      <c r="P66" s="53"/>
      <c r="Q66" s="46"/>
      <c r="R66" s="46"/>
      <c r="S66" s="46"/>
      <c r="T66" s="46"/>
      <c r="U66" s="46"/>
      <c r="V66" s="229"/>
      <c r="W66" s="46"/>
      <c r="X66" s="210"/>
      <c r="Y66" s="118"/>
      <c r="AD66" s="67"/>
      <c r="AE66" s="67"/>
    </row>
    <row r="67" spans="1:31" ht="24.8" customHeight="1" thickBot="1" x14ac:dyDescent="0.4">
      <c r="A67" s="294"/>
      <c r="B67" s="42"/>
      <c r="C67" s="74" t="s">
        <v>199</v>
      </c>
      <c r="D67" s="81">
        <f t="shared" ref="D67:L67" si="18">IF(((D65="")*AND(D66="")),"",(D65-D66)*2)</f>
        <v>2286.7199999999993</v>
      </c>
      <c r="E67" s="81">
        <f t="shared" si="18"/>
        <v>1810.7399999999998</v>
      </c>
      <c r="F67" s="81">
        <f t="shared" si="18"/>
        <v>1763.2800000000007</v>
      </c>
      <c r="G67" s="81">
        <f t="shared" si="18"/>
        <v>12125.859999999999</v>
      </c>
      <c r="H67" s="81">
        <f t="shared" si="18"/>
        <v>2408.9000000000015</v>
      </c>
      <c r="I67" s="81">
        <f t="shared" si="18"/>
        <v>2502.1800000000003</v>
      </c>
      <c r="J67" s="81">
        <f t="shared" si="18"/>
        <v>1815.6400000000012</v>
      </c>
      <c r="K67" s="81">
        <f t="shared" si="18"/>
        <v>1850.6000000000004</v>
      </c>
      <c r="L67" s="81">
        <f t="shared" si="18"/>
        <v>2277.7399999999998</v>
      </c>
      <c r="M67" s="81"/>
      <c r="N67" s="81"/>
      <c r="O67" s="81"/>
      <c r="P67" s="81" t="str">
        <f>IF(((P65="")*AND(P66="")),"",(P65-P66)*2)</f>
        <v/>
      </c>
      <c r="Q67" s="42"/>
      <c r="R67" s="42"/>
      <c r="S67" s="42"/>
      <c r="T67" s="42"/>
      <c r="U67" s="78"/>
      <c r="V67" s="230"/>
      <c r="W67" s="42"/>
      <c r="X67" s="210"/>
      <c r="Y67" s="117"/>
      <c r="AD67" s="67"/>
      <c r="AE67" s="67"/>
    </row>
    <row r="68" spans="1:31" ht="12.75" customHeight="1" x14ac:dyDescent="0.25">
      <c r="A68" s="235">
        <v>42593</v>
      </c>
      <c r="B68" s="55" t="s">
        <v>202</v>
      </c>
      <c r="C68" s="59" t="s">
        <v>201</v>
      </c>
      <c r="D68" s="35">
        <v>7154.94</v>
      </c>
      <c r="E68" s="35">
        <v>6934.79</v>
      </c>
      <c r="F68" s="35">
        <v>6879.33</v>
      </c>
      <c r="G68" s="35">
        <v>6963.48</v>
      </c>
      <c r="H68" s="35">
        <v>7229.32</v>
      </c>
      <c r="I68" s="35">
        <v>7222.51</v>
      </c>
      <c r="J68" s="35">
        <v>6956.77</v>
      </c>
      <c r="K68" s="35">
        <v>6960.28</v>
      </c>
      <c r="L68" s="35">
        <v>7236.29</v>
      </c>
      <c r="M68" s="53"/>
      <c r="N68" s="53"/>
      <c r="O68" s="53"/>
      <c r="P68" s="53"/>
      <c r="Q68" s="48">
        <f>IF((L69=""),"",MAX(D70:P70))</f>
        <v>5184.87</v>
      </c>
      <c r="R68" s="120">
        <f>IF(L69="","",MIN(D70:L70))</f>
        <v>4979.08</v>
      </c>
      <c r="S68" s="51">
        <f>IF((L70=""),"",AVERAGE(D70:L70))</f>
        <v>5097.1133333333328</v>
      </c>
      <c r="T68" s="51">
        <f>IF((L69=""),"",(Q68-R68)/(Q68+R68)*100)</f>
        <v>2.0247049621456221</v>
      </c>
      <c r="U68" s="50">
        <f>STDEV(D70:L70)</f>
        <v>80.366581985300243</v>
      </c>
      <c r="V68" s="231" t="str">
        <f>IF(P69="","",IF(T68&lt;2.7,IF(S68&gt;5150,IF(S68&lt;5600,"Pass","Fail"),"Fail"),"Fail"))</f>
        <v/>
      </c>
      <c r="W68" s="55">
        <v>1159</v>
      </c>
      <c r="X68" s="210"/>
      <c r="Y68" s="119" t="s">
        <v>315</v>
      </c>
      <c r="Z68" s="251">
        <v>4470</v>
      </c>
      <c r="AA68" s="251">
        <v>6020</v>
      </c>
      <c r="AB68" s="251">
        <v>5150</v>
      </c>
      <c r="AC68" s="251">
        <v>5600</v>
      </c>
      <c r="AD68" s="67">
        <v>10</v>
      </c>
      <c r="AE68" s="252">
        <v>2.7</v>
      </c>
    </row>
    <row r="69" spans="1:31" ht="12.75" customHeight="1" x14ac:dyDescent="0.35">
      <c r="A69" s="294"/>
      <c r="B69" s="46"/>
      <c r="C69" s="54" t="s">
        <v>200</v>
      </c>
      <c r="D69" s="35">
        <v>2175.86</v>
      </c>
      <c r="E69" s="35">
        <v>1796.23</v>
      </c>
      <c r="F69" s="35">
        <v>1694.46</v>
      </c>
      <c r="G69" s="35">
        <v>1791.8</v>
      </c>
      <c r="H69" s="35">
        <v>2172.34</v>
      </c>
      <c r="I69" s="35">
        <v>2170.08</v>
      </c>
      <c r="J69" s="35">
        <v>1786.39</v>
      </c>
      <c r="K69" s="35">
        <v>1825.99</v>
      </c>
      <c r="L69" s="35">
        <v>2250.54</v>
      </c>
      <c r="M69" s="53"/>
      <c r="N69" s="53"/>
      <c r="O69" s="53"/>
      <c r="P69" s="53"/>
      <c r="Q69" s="46"/>
      <c r="R69" s="46"/>
      <c r="S69" s="46"/>
      <c r="T69" s="46"/>
      <c r="U69" s="46"/>
      <c r="V69" s="229"/>
      <c r="W69" s="46"/>
      <c r="X69" s="210"/>
      <c r="Y69" s="118"/>
      <c r="AD69" s="67"/>
      <c r="AE69" s="67"/>
    </row>
    <row r="70" spans="1:31" ht="24.8" customHeight="1" thickBot="1" x14ac:dyDescent="0.4">
      <c r="A70" s="294"/>
      <c r="B70" s="78"/>
      <c r="C70" s="54" t="s">
        <v>199</v>
      </c>
      <c r="D70" s="93">
        <f t="shared" ref="D70:P70" si="19">IF(((D68="")*AND(D69="")),"",(D68-D69))</f>
        <v>4979.08</v>
      </c>
      <c r="E70" s="93">
        <f t="shared" si="19"/>
        <v>5138.5599999999995</v>
      </c>
      <c r="F70" s="93">
        <f t="shared" si="19"/>
        <v>5184.87</v>
      </c>
      <c r="G70" s="93">
        <f t="shared" si="19"/>
        <v>5171.6799999999994</v>
      </c>
      <c r="H70" s="93">
        <f t="shared" si="19"/>
        <v>5056.9799999999996</v>
      </c>
      <c r="I70" s="93">
        <f t="shared" si="19"/>
        <v>5052.43</v>
      </c>
      <c r="J70" s="93">
        <f t="shared" si="19"/>
        <v>5170.38</v>
      </c>
      <c r="K70" s="93">
        <f t="shared" si="19"/>
        <v>5134.29</v>
      </c>
      <c r="L70" s="93">
        <f t="shared" si="19"/>
        <v>4985.75</v>
      </c>
      <c r="M70" s="93" t="str">
        <f t="shared" si="19"/>
        <v/>
      </c>
      <c r="N70" s="93" t="str">
        <f t="shared" si="19"/>
        <v/>
      </c>
      <c r="O70" s="93" t="str">
        <f t="shared" si="19"/>
        <v/>
      </c>
      <c r="P70" s="93" t="str">
        <f t="shared" si="19"/>
        <v/>
      </c>
      <c r="Q70" s="78"/>
      <c r="R70" s="78"/>
      <c r="S70" s="78"/>
      <c r="T70" s="78"/>
      <c r="U70" s="78"/>
      <c r="V70" s="232"/>
      <c r="W70" s="78"/>
      <c r="X70" s="210"/>
      <c r="Y70" s="118"/>
      <c r="AD70" s="67"/>
      <c r="AE70" s="67"/>
    </row>
    <row r="71" spans="1:31" ht="12.75" customHeight="1" x14ac:dyDescent="0.25">
      <c r="A71" s="235">
        <v>42593</v>
      </c>
      <c r="B71" s="48" t="s">
        <v>204</v>
      </c>
      <c r="C71" s="54" t="s">
        <v>201</v>
      </c>
      <c r="D71" s="35">
        <v>6055.37</v>
      </c>
      <c r="E71" s="35">
        <v>6228.81</v>
      </c>
      <c r="F71" s="35">
        <v>6295.71</v>
      </c>
      <c r="G71" s="35">
        <v>6230.12</v>
      </c>
      <c r="H71" s="35">
        <v>6030.67</v>
      </c>
      <c r="I71" s="35">
        <v>6238.5</v>
      </c>
      <c r="J71" s="35">
        <v>6264.98</v>
      </c>
      <c r="K71" s="35">
        <v>6199.46</v>
      </c>
      <c r="L71" s="35">
        <v>6048.47</v>
      </c>
      <c r="M71" s="53"/>
      <c r="N71" s="53"/>
      <c r="O71" s="53"/>
      <c r="P71" s="53"/>
      <c r="Q71" s="48">
        <f>IF((L72=""),"",MAX(D73:L73))</f>
        <v>12144.24</v>
      </c>
      <c r="R71" s="48">
        <f>IF(L72="","",MIN(D73:L73))</f>
        <v>1728.3799999999992</v>
      </c>
      <c r="S71" s="75">
        <f>IF((L73=""),"",AVERAGE(D73:L73))</f>
        <v>6671.3577777777773</v>
      </c>
      <c r="T71" s="51">
        <f>IF((L72=""),"",(Q71-R71)/(Q71+R71)*100)</f>
        <v>75.082140215763147</v>
      </c>
      <c r="U71" s="48">
        <f>STDEV(D73:P73)</f>
        <v>5138.7107223645562</v>
      </c>
      <c r="V71" s="228" t="str">
        <f>IF(L72="","",IF(T71&lt;7.3,IF(S71&gt;5700,IF(S71&lt;7200,"Pass","Fail"),"Fail"),"Fail"))</f>
        <v>Fail</v>
      </c>
      <c r="W71" s="55">
        <v>1159</v>
      </c>
      <c r="X71" s="210"/>
      <c r="Y71" s="118" t="s">
        <v>315</v>
      </c>
      <c r="Z71" s="37">
        <v>4955</v>
      </c>
      <c r="AA71" s="37">
        <v>9645</v>
      </c>
      <c r="AB71" s="37">
        <v>5100</v>
      </c>
      <c r="AC71" s="37">
        <v>8300</v>
      </c>
      <c r="AD71" s="67">
        <v>10</v>
      </c>
      <c r="AE71" s="67">
        <v>9.8000000000000007</v>
      </c>
    </row>
    <row r="72" spans="1:31" ht="12.75" customHeight="1" x14ac:dyDescent="0.35">
      <c r="A72" s="294"/>
      <c r="B72" s="46"/>
      <c r="C72" s="54" t="s">
        <v>200</v>
      </c>
      <c r="D72" s="35">
        <v>4830.57</v>
      </c>
      <c r="E72" s="35">
        <v>178.41</v>
      </c>
      <c r="F72" s="35">
        <v>5431.52</v>
      </c>
      <c r="G72" s="35">
        <v>196.96</v>
      </c>
      <c r="H72" s="35">
        <v>4784</v>
      </c>
      <c r="I72" s="35">
        <v>4986.96</v>
      </c>
      <c r="J72" s="35">
        <v>192.86</v>
      </c>
      <c r="K72" s="35">
        <v>191.52</v>
      </c>
      <c r="L72" s="35">
        <v>4778.18</v>
      </c>
      <c r="M72" s="53"/>
      <c r="N72" s="53"/>
      <c r="O72" s="53"/>
      <c r="P72" s="53"/>
      <c r="Q72" s="46"/>
      <c r="R72" s="46"/>
      <c r="S72" s="46"/>
      <c r="T72" s="46"/>
      <c r="U72" s="46"/>
      <c r="V72" s="229"/>
      <c r="W72" s="46"/>
      <c r="X72" s="210"/>
      <c r="Y72" s="118"/>
      <c r="AD72" s="67"/>
      <c r="AE72" s="67"/>
    </row>
    <row r="73" spans="1:31" ht="24.8" customHeight="1" thickBot="1" x14ac:dyDescent="0.4">
      <c r="A73" s="294"/>
      <c r="B73" s="42"/>
      <c r="C73" s="74" t="s">
        <v>199</v>
      </c>
      <c r="D73" s="81">
        <f t="shared" ref="D73:L73" si="20">IF(((D71="")*AND(D72="")),"",(D71-D72)*2)</f>
        <v>2449.6000000000004</v>
      </c>
      <c r="E73" s="81">
        <f t="shared" si="20"/>
        <v>12100.800000000001</v>
      </c>
      <c r="F73" s="81">
        <f t="shared" si="20"/>
        <v>1728.3799999999992</v>
      </c>
      <c r="G73" s="81">
        <f t="shared" si="20"/>
        <v>12066.32</v>
      </c>
      <c r="H73" s="81">
        <f t="shared" si="20"/>
        <v>2493.34</v>
      </c>
      <c r="I73" s="81">
        <f t="shared" si="20"/>
        <v>2503.08</v>
      </c>
      <c r="J73" s="81">
        <f t="shared" si="20"/>
        <v>12144.24</v>
      </c>
      <c r="K73" s="81">
        <f t="shared" si="20"/>
        <v>12015.88</v>
      </c>
      <c r="L73" s="81">
        <f t="shared" si="20"/>
        <v>2540.58</v>
      </c>
      <c r="M73" s="81"/>
      <c r="N73" s="81"/>
      <c r="O73" s="81"/>
      <c r="P73" s="81" t="str">
        <f>IF(((P71="")*AND(P72="")),"",(P71-P72)*2)</f>
        <v/>
      </c>
      <c r="Q73" s="42"/>
      <c r="R73" s="42"/>
      <c r="S73" s="42"/>
      <c r="T73" s="42"/>
      <c r="U73" s="78"/>
      <c r="V73" s="230"/>
      <c r="W73" s="42"/>
      <c r="X73" s="210"/>
      <c r="Y73" s="117"/>
      <c r="AD73" s="67"/>
      <c r="AE73" s="67"/>
    </row>
    <row r="74" spans="1:31" ht="12.75" customHeight="1" x14ac:dyDescent="0.25">
      <c r="A74" s="233">
        <v>42614</v>
      </c>
      <c r="B74" s="55" t="s">
        <v>202</v>
      </c>
      <c r="C74" s="59" t="s">
        <v>201</v>
      </c>
      <c r="D74" s="35">
        <v>7122.86</v>
      </c>
      <c r="E74" s="35">
        <v>7316.15</v>
      </c>
      <c r="F74" s="35">
        <v>7096.15</v>
      </c>
      <c r="G74" s="35">
        <v>7097.93</v>
      </c>
      <c r="H74" s="35">
        <v>7260.97</v>
      </c>
      <c r="I74" s="35">
        <v>7169.85</v>
      </c>
      <c r="J74" s="35">
        <v>7140.44</v>
      </c>
      <c r="K74" s="35">
        <v>7096.97</v>
      </c>
      <c r="L74" s="35">
        <v>7173.52</v>
      </c>
      <c r="M74" s="35">
        <v>7192.56</v>
      </c>
      <c r="N74" s="35">
        <v>7351.48</v>
      </c>
      <c r="O74" s="35">
        <v>7197.65</v>
      </c>
      <c r="P74" s="35">
        <v>7249.18</v>
      </c>
      <c r="Q74" s="48">
        <f>IF((L75=""),"",MAX(D76:P76))</f>
        <v>5371.16</v>
      </c>
      <c r="R74" s="120">
        <f>IF(P75="","",MIN(D76:P76))</f>
        <v>5260.99</v>
      </c>
      <c r="S74" s="51">
        <f>IF((P76=""),"",AVERAGE(D76:P76))</f>
        <v>5321.9792307692305</v>
      </c>
      <c r="T74" s="51">
        <f>IF((P75=""),"",(Q74-R74)/(Q74+R74)*100)</f>
        <v>1.0361968181412047</v>
      </c>
      <c r="U74" s="50">
        <f>STDEV(D76:P76)</f>
        <v>36.215023231972445</v>
      </c>
      <c r="V74" s="231" t="str">
        <f>IF(P75="","",IF(T74&lt;2.7,IF(S74&gt;5150,IF(S74&lt;5600,"Pass","Fail"),"Fail"),"Fail"))</f>
        <v>Pass</v>
      </c>
      <c r="W74" s="55">
        <v>1159</v>
      </c>
      <c r="X74" s="210"/>
      <c r="Y74" s="119"/>
      <c r="Z74" s="251">
        <v>4470</v>
      </c>
      <c r="AA74" s="251">
        <v>6020</v>
      </c>
      <c r="AB74" s="251">
        <v>5150</v>
      </c>
      <c r="AC74" s="251">
        <v>5600</v>
      </c>
      <c r="AD74" s="67">
        <v>10</v>
      </c>
      <c r="AE74" s="252">
        <v>2.7</v>
      </c>
    </row>
    <row r="75" spans="1:31" ht="12.75" customHeight="1" x14ac:dyDescent="0.35">
      <c r="A75" s="294"/>
      <c r="B75" s="46"/>
      <c r="C75" s="54" t="s">
        <v>200</v>
      </c>
      <c r="D75" s="35">
        <v>1835.41</v>
      </c>
      <c r="E75" s="35">
        <v>1985.59</v>
      </c>
      <c r="F75" s="35">
        <v>1835.16</v>
      </c>
      <c r="G75" s="35">
        <v>1805.91</v>
      </c>
      <c r="H75" s="35">
        <v>1907.23</v>
      </c>
      <c r="I75" s="35">
        <v>1798.69</v>
      </c>
      <c r="J75" s="35">
        <v>1827.42</v>
      </c>
      <c r="K75" s="35">
        <v>1779.25</v>
      </c>
      <c r="L75" s="35">
        <v>1901.64</v>
      </c>
      <c r="M75" s="35">
        <v>1842.46</v>
      </c>
      <c r="N75" s="35">
        <v>1987.25</v>
      </c>
      <c r="O75" s="35">
        <v>1881.54</v>
      </c>
      <c r="P75" s="35">
        <v>1892.43</v>
      </c>
      <c r="Q75" s="46"/>
      <c r="R75" s="46"/>
      <c r="S75" s="46"/>
      <c r="T75" s="46"/>
      <c r="U75" s="46"/>
      <c r="V75" s="229"/>
      <c r="W75" s="46"/>
      <c r="X75" s="210"/>
      <c r="Y75" s="118"/>
      <c r="AD75" s="67"/>
      <c r="AE75" s="67"/>
    </row>
    <row r="76" spans="1:31" ht="24.8" customHeight="1" thickBot="1" x14ac:dyDescent="0.4">
      <c r="A76" s="294"/>
      <c r="B76" s="78"/>
      <c r="C76" s="54" t="s">
        <v>199</v>
      </c>
      <c r="D76" s="93">
        <f t="shared" ref="D76:P76" si="21">IF(((D74="")*AND(D75="")),"",(D74-D75))</f>
        <v>5287.45</v>
      </c>
      <c r="E76" s="93">
        <f t="shared" si="21"/>
        <v>5330.5599999999995</v>
      </c>
      <c r="F76" s="93">
        <f t="shared" si="21"/>
        <v>5260.99</v>
      </c>
      <c r="G76" s="93">
        <f t="shared" si="21"/>
        <v>5292.02</v>
      </c>
      <c r="H76" s="93">
        <f t="shared" si="21"/>
        <v>5353.74</v>
      </c>
      <c r="I76" s="93">
        <f t="shared" si="21"/>
        <v>5371.16</v>
      </c>
      <c r="J76" s="93">
        <f t="shared" si="21"/>
        <v>5313.0199999999995</v>
      </c>
      <c r="K76" s="93">
        <f t="shared" si="21"/>
        <v>5317.72</v>
      </c>
      <c r="L76" s="93">
        <f t="shared" si="21"/>
        <v>5271.88</v>
      </c>
      <c r="M76" s="93">
        <f t="shared" si="21"/>
        <v>5350.1</v>
      </c>
      <c r="N76" s="93">
        <f t="shared" si="21"/>
        <v>5364.23</v>
      </c>
      <c r="O76" s="93">
        <f t="shared" si="21"/>
        <v>5316.11</v>
      </c>
      <c r="P76" s="93">
        <f t="shared" si="21"/>
        <v>5356.75</v>
      </c>
      <c r="Q76" s="78"/>
      <c r="R76" s="78"/>
      <c r="S76" s="78"/>
      <c r="T76" s="78"/>
      <c r="U76" s="78"/>
      <c r="V76" s="232"/>
      <c r="W76" s="78"/>
      <c r="X76" s="210"/>
      <c r="Y76" s="118"/>
      <c r="AD76" s="67"/>
      <c r="AE76" s="67"/>
    </row>
    <row r="77" spans="1:31" ht="12.75" customHeight="1" x14ac:dyDescent="0.25">
      <c r="A77" s="235">
        <v>42614</v>
      </c>
      <c r="B77" s="48" t="s">
        <v>204</v>
      </c>
      <c r="C77" s="54" t="s">
        <v>201</v>
      </c>
      <c r="D77" s="35">
        <v>6105.15</v>
      </c>
      <c r="E77" s="35">
        <v>6263.05</v>
      </c>
      <c r="F77" s="35">
        <v>6287.75</v>
      </c>
      <c r="G77" s="35">
        <v>6262.28</v>
      </c>
      <c r="H77" s="35">
        <v>6106.61</v>
      </c>
      <c r="I77" s="35">
        <v>6239.49</v>
      </c>
      <c r="J77" s="35">
        <v>6260.81</v>
      </c>
      <c r="K77" s="35">
        <v>6268.96</v>
      </c>
      <c r="L77" s="35">
        <v>6160.46</v>
      </c>
      <c r="M77" s="53"/>
      <c r="N77" s="53"/>
      <c r="O77" s="53"/>
      <c r="P77" s="53"/>
      <c r="Q77" s="48">
        <f>IF((L78=""),"",MAX(D79:L79))</f>
        <v>9005.9400000000041</v>
      </c>
      <c r="R77" s="48">
        <f>IF(L78="","",MIN(D79:L79))</f>
        <v>8378.8199999999961</v>
      </c>
      <c r="S77" s="75">
        <f>IF((L79=""),"",AVERAGE(D79:L79))</f>
        <v>8781.4466666666649</v>
      </c>
      <c r="T77" s="51">
        <f>IF((L78=""),"",(Q77-R77)/(Q77+R77)*100)</f>
        <v>3.6072974260214581</v>
      </c>
      <c r="U77" s="48">
        <f>STDEV(D79:P79)</f>
        <v>234.65689165247352</v>
      </c>
      <c r="V77" s="228" t="str">
        <f>IF(L78="","",IF(T77&lt;7.3,IF(S77&gt;5700,IF(S77&lt;7200,"Pass","Fail"),"Fail"),"Fail"))</f>
        <v>Fail</v>
      </c>
      <c r="W77" s="55">
        <v>1159</v>
      </c>
      <c r="X77" s="210"/>
      <c r="Y77" s="119" t="s">
        <v>261</v>
      </c>
      <c r="Z77" s="37">
        <v>4955</v>
      </c>
      <c r="AA77" s="37">
        <v>9645</v>
      </c>
      <c r="AB77" s="37">
        <v>5100</v>
      </c>
      <c r="AC77" s="37">
        <v>8300</v>
      </c>
      <c r="AD77" s="67">
        <v>10</v>
      </c>
      <c r="AE77" s="67">
        <v>9.8000000000000007</v>
      </c>
    </row>
    <row r="78" spans="1:31" ht="12.75" customHeight="1" x14ac:dyDescent="0.35">
      <c r="A78" s="294"/>
      <c r="B78" s="46"/>
      <c r="C78" s="54" t="s">
        <v>200</v>
      </c>
      <c r="D78" s="35">
        <v>4697.41</v>
      </c>
      <c r="E78" s="35">
        <v>4777.16</v>
      </c>
      <c r="F78" s="35">
        <v>4805.8100000000004</v>
      </c>
      <c r="G78" s="35">
        <v>4762</v>
      </c>
      <c r="H78" s="35">
        <v>4710.1400000000003</v>
      </c>
      <c r="I78" s="35">
        <v>4786.51</v>
      </c>
      <c r="J78" s="35">
        <v>4759.82</v>
      </c>
      <c r="K78" s="35">
        <v>4776.71</v>
      </c>
      <c r="L78" s="35">
        <v>4706.83</v>
      </c>
      <c r="M78" s="53"/>
      <c r="N78" s="53"/>
      <c r="O78" s="53"/>
      <c r="P78" s="53"/>
      <c r="Q78" s="46"/>
      <c r="R78" s="46"/>
      <c r="S78" s="46"/>
      <c r="T78" s="46"/>
      <c r="U78" s="46"/>
      <c r="V78" s="229"/>
      <c r="W78" s="46"/>
      <c r="X78" s="210"/>
      <c r="Y78" s="118"/>
      <c r="AD78" s="67"/>
      <c r="AE78" s="67"/>
    </row>
    <row r="79" spans="1:31" s="206" customFormat="1" ht="24.8" customHeight="1" x14ac:dyDescent="0.35">
      <c r="A79" s="294"/>
      <c r="B79" s="78"/>
      <c r="C79" s="54" t="s">
        <v>199</v>
      </c>
      <c r="D79" s="93">
        <f t="shared" ref="D79:L79" si="22">IF(((D77="")*AND(D78="")),"",(D77-D78)*6)</f>
        <v>8446.4399999999987</v>
      </c>
      <c r="E79" s="93">
        <f t="shared" si="22"/>
        <v>8915.340000000002</v>
      </c>
      <c r="F79" s="93">
        <f t="shared" si="22"/>
        <v>8891.6399999999976</v>
      </c>
      <c r="G79" s="93">
        <f t="shared" si="22"/>
        <v>9001.6799999999985</v>
      </c>
      <c r="H79" s="93">
        <f t="shared" si="22"/>
        <v>8378.8199999999961</v>
      </c>
      <c r="I79" s="93">
        <f t="shared" si="22"/>
        <v>8717.8799999999974</v>
      </c>
      <c r="J79" s="93">
        <f t="shared" si="22"/>
        <v>9005.9400000000041</v>
      </c>
      <c r="K79" s="93">
        <f t="shared" si="22"/>
        <v>8953.5</v>
      </c>
      <c r="L79" s="93">
        <f t="shared" si="22"/>
        <v>8721.7800000000007</v>
      </c>
      <c r="M79" s="93"/>
      <c r="N79" s="93"/>
      <c r="O79" s="93"/>
      <c r="P79" s="93" t="str">
        <f>IF(((P77="")*AND(P78="")),"",(P77-P78)*2)</f>
        <v/>
      </c>
      <c r="Q79" s="78"/>
      <c r="R79" s="78"/>
      <c r="S79" s="78"/>
      <c r="T79" s="78"/>
      <c r="U79" s="78"/>
      <c r="V79" s="232"/>
      <c r="W79" s="78"/>
      <c r="X79" s="211"/>
      <c r="Y79" s="203"/>
      <c r="Z79" s="204"/>
      <c r="AA79" s="204"/>
      <c r="AB79" s="204"/>
      <c r="AC79" s="204"/>
      <c r="AD79" s="205"/>
      <c r="AE79" s="205"/>
    </row>
    <row r="80" spans="1:31" ht="12.75" customHeight="1" x14ac:dyDescent="0.25">
      <c r="A80" s="234">
        <v>42630</v>
      </c>
      <c r="B80" s="46" t="s">
        <v>202</v>
      </c>
      <c r="C80" s="78" t="s">
        <v>201</v>
      </c>
      <c r="D80" s="35">
        <v>7095.18</v>
      </c>
      <c r="E80" s="35">
        <v>7281.35</v>
      </c>
      <c r="F80" s="35">
        <v>7075.28</v>
      </c>
      <c r="G80" s="35">
        <v>7091.42</v>
      </c>
      <c r="H80" s="35">
        <v>7219.11</v>
      </c>
      <c r="I80" s="35">
        <v>7146.12</v>
      </c>
      <c r="J80" s="35">
        <v>7140.22</v>
      </c>
      <c r="K80" s="35">
        <v>7100.8</v>
      </c>
      <c r="L80" s="35">
        <v>7159.11</v>
      </c>
      <c r="M80" s="35">
        <v>7194.6</v>
      </c>
      <c r="N80" s="35">
        <v>7325.88</v>
      </c>
      <c r="O80" s="35">
        <v>7191.84</v>
      </c>
      <c r="P80" s="35">
        <v>7234.27</v>
      </c>
      <c r="Q80" s="46">
        <f>IF((L81=""),"",MAX(D82:P82))</f>
        <v>5388.05</v>
      </c>
      <c r="R80" s="202">
        <f>IF(P81="","",MIN(D82:P82))</f>
        <v>5320.2199999999993</v>
      </c>
      <c r="S80" s="105">
        <f>IF((P82=""),"",AVERAGE(D82:P82))</f>
        <v>5357.123846153846</v>
      </c>
      <c r="T80" s="105">
        <f>IF((P81=""),"",(Q80-R80)/(Q80+R80)*100)</f>
        <v>0.6334356530046481</v>
      </c>
      <c r="U80" s="105">
        <f>STDEV(D82:P82)</f>
        <v>23.585432841219887</v>
      </c>
      <c r="V80" s="229" t="str">
        <f>IF(P81="","",IF(T80&lt;2.7,IF(S80&gt;5150,IF(S80&lt;5600,"Pass","Fail"),"Fail"),"Fail"))</f>
        <v>Pass</v>
      </c>
      <c r="W80" s="46">
        <v>1400</v>
      </c>
      <c r="X80" s="210" t="s">
        <v>267</v>
      </c>
      <c r="Y80" s="110" t="s">
        <v>261</v>
      </c>
      <c r="Z80" s="251">
        <v>4470</v>
      </c>
      <c r="AA80" s="251">
        <v>6020</v>
      </c>
      <c r="AB80" s="251">
        <v>5150</v>
      </c>
      <c r="AC80" s="251">
        <v>5600</v>
      </c>
      <c r="AD80" s="67">
        <v>10</v>
      </c>
      <c r="AE80" s="252">
        <v>2.7</v>
      </c>
    </row>
    <row r="81" spans="1:31" ht="12.75" customHeight="1" x14ac:dyDescent="0.35">
      <c r="A81" s="294"/>
      <c r="B81" s="46"/>
      <c r="C81" s="54" t="s">
        <v>200</v>
      </c>
      <c r="D81" s="35">
        <v>1765.73</v>
      </c>
      <c r="E81" s="35">
        <v>1933.7</v>
      </c>
      <c r="F81" s="35">
        <v>1755.06</v>
      </c>
      <c r="G81" s="35">
        <v>1757.45</v>
      </c>
      <c r="H81" s="35">
        <v>1861.01</v>
      </c>
      <c r="I81" s="35">
        <v>1758.59</v>
      </c>
      <c r="J81" s="35">
        <v>1786.33</v>
      </c>
      <c r="K81" s="35">
        <v>1732.5</v>
      </c>
      <c r="L81" s="35">
        <v>1828.63</v>
      </c>
      <c r="M81" s="35">
        <v>1806.55</v>
      </c>
      <c r="N81" s="35">
        <v>1949.48</v>
      </c>
      <c r="O81" s="35">
        <v>1828.37</v>
      </c>
      <c r="P81" s="35">
        <v>1849.17</v>
      </c>
      <c r="Q81" s="46"/>
      <c r="R81" s="46"/>
      <c r="S81" s="46"/>
      <c r="T81" s="46"/>
      <c r="U81" s="46"/>
      <c r="V81" s="229"/>
      <c r="W81" s="46"/>
      <c r="X81" s="210"/>
      <c r="Y81" s="118"/>
      <c r="AD81" s="67"/>
      <c r="AE81" s="67"/>
    </row>
    <row r="82" spans="1:31" ht="24.8" customHeight="1" thickBot="1" x14ac:dyDescent="0.4">
      <c r="A82" s="294"/>
      <c r="B82" s="78"/>
      <c r="C82" s="54" t="s">
        <v>199</v>
      </c>
      <c r="D82" s="93">
        <f t="shared" ref="D82:P82" si="23">IF(((D80="")*AND(D81="")),"",(D80-D81))</f>
        <v>5329.4500000000007</v>
      </c>
      <c r="E82" s="93">
        <f t="shared" si="23"/>
        <v>5347.6500000000005</v>
      </c>
      <c r="F82" s="93">
        <f t="shared" si="23"/>
        <v>5320.2199999999993</v>
      </c>
      <c r="G82" s="93">
        <f t="shared" si="23"/>
        <v>5333.97</v>
      </c>
      <c r="H82" s="93">
        <f t="shared" si="23"/>
        <v>5358.0999999999995</v>
      </c>
      <c r="I82" s="93">
        <f t="shared" si="23"/>
        <v>5387.53</v>
      </c>
      <c r="J82" s="93">
        <f t="shared" si="23"/>
        <v>5353.89</v>
      </c>
      <c r="K82" s="93">
        <f t="shared" si="23"/>
        <v>5368.3</v>
      </c>
      <c r="L82" s="93">
        <f t="shared" si="23"/>
        <v>5330.48</v>
      </c>
      <c r="M82" s="93">
        <f t="shared" si="23"/>
        <v>5388.05</v>
      </c>
      <c r="N82" s="93">
        <f t="shared" si="23"/>
        <v>5376.4</v>
      </c>
      <c r="O82" s="93">
        <f t="shared" si="23"/>
        <v>5363.47</v>
      </c>
      <c r="P82" s="93">
        <f t="shared" si="23"/>
        <v>5385.1</v>
      </c>
      <c r="Q82" s="78"/>
      <c r="R82" s="78"/>
      <c r="S82" s="78"/>
      <c r="T82" s="78"/>
      <c r="U82" s="78"/>
      <c r="V82" s="232"/>
      <c r="W82" s="78"/>
      <c r="X82" s="210"/>
      <c r="Y82" s="118"/>
      <c r="AD82" s="67"/>
      <c r="AE82" s="67"/>
    </row>
    <row r="83" spans="1:31" ht="12.75" customHeight="1" x14ac:dyDescent="0.25">
      <c r="A83" s="233">
        <v>42630</v>
      </c>
      <c r="B83" s="48" t="s">
        <v>204</v>
      </c>
      <c r="C83" s="54" t="s">
        <v>201</v>
      </c>
      <c r="D83" s="35">
        <v>5934.87</v>
      </c>
      <c r="E83" s="35">
        <v>6110.92</v>
      </c>
      <c r="F83" s="35">
        <v>6122.45</v>
      </c>
      <c r="G83" s="35">
        <v>6115.58</v>
      </c>
      <c r="H83" s="35">
        <v>5938.15</v>
      </c>
      <c r="I83" s="35">
        <v>6218.22</v>
      </c>
      <c r="J83" s="35">
        <v>6104.48</v>
      </c>
      <c r="K83" s="35">
        <v>6114.33</v>
      </c>
      <c r="L83" s="35">
        <v>6025.17</v>
      </c>
      <c r="M83" s="53"/>
      <c r="N83" s="53"/>
      <c r="O83" s="53"/>
      <c r="P83" s="53"/>
      <c r="Q83" s="48">
        <f>IF((L84=""),"",MAX(D85:L85))</f>
        <v>7023.6600000000008</v>
      </c>
      <c r="R83" s="48">
        <f>IF(L84="","",MIN(D85:L85))</f>
        <v>6460.58</v>
      </c>
      <c r="S83" s="75">
        <f>IF((L85=""),"",AVERAGE(D85:L85))</f>
        <v>6633.2355555555559</v>
      </c>
      <c r="T83" s="51">
        <f>IF((L84=""),"",(Q83-R83)/(Q83+R83)*100)</f>
        <v>4.1758378670210616</v>
      </c>
      <c r="U83" s="48">
        <f>STDEV(D85:P85)</f>
        <v>184.01349781409476</v>
      </c>
      <c r="V83" s="228" t="str">
        <f>IF(L84="","",IF(T83&lt;7.3,IF(S83&gt;5700,IF(S83&lt;7200,"Pass","Fail"),"Fail"),"Fail"))</f>
        <v>Pass</v>
      </c>
      <c r="W83" s="55">
        <v>1400</v>
      </c>
      <c r="X83" s="210" t="s">
        <v>267</v>
      </c>
      <c r="Y83" s="119" t="s">
        <v>261</v>
      </c>
      <c r="Z83" s="37">
        <v>4955</v>
      </c>
      <c r="AA83" s="37">
        <v>9645</v>
      </c>
      <c r="AB83" s="37">
        <v>5100</v>
      </c>
      <c r="AC83" s="37">
        <v>8300</v>
      </c>
      <c r="AD83" s="67">
        <v>10</v>
      </c>
      <c r="AE83" s="67">
        <v>9.8000000000000007</v>
      </c>
    </row>
    <row r="84" spans="1:31" ht="12.75" customHeight="1" x14ac:dyDescent="0.35">
      <c r="A84" s="294"/>
      <c r="B84" s="46"/>
      <c r="C84" s="54" t="s">
        <v>200</v>
      </c>
      <c r="D84" s="35">
        <v>2643.68</v>
      </c>
      <c r="E84" s="35">
        <v>2880.63</v>
      </c>
      <c r="F84" s="35">
        <v>2885.7</v>
      </c>
      <c r="G84" s="35">
        <v>2819.16</v>
      </c>
      <c r="H84" s="35">
        <v>2546.31</v>
      </c>
      <c r="I84" s="35">
        <v>2706.39</v>
      </c>
      <c r="J84" s="35">
        <v>2850.62</v>
      </c>
      <c r="K84" s="35">
        <v>2846.25</v>
      </c>
      <c r="L84" s="35">
        <v>2655.87</v>
      </c>
      <c r="M84" s="53"/>
      <c r="N84" s="53"/>
      <c r="O84" s="53"/>
      <c r="P84" s="53"/>
      <c r="Q84" s="46"/>
      <c r="R84" s="46"/>
      <c r="S84" s="46"/>
      <c r="T84" s="46"/>
      <c r="U84" s="46"/>
      <c r="V84" s="229"/>
      <c r="W84" s="46"/>
      <c r="X84" s="210"/>
      <c r="Y84" s="118"/>
      <c r="AD84" s="67"/>
      <c r="AE84" s="67"/>
    </row>
    <row r="85" spans="1:31" ht="24.8" customHeight="1" thickBot="1" x14ac:dyDescent="0.4">
      <c r="A85" s="294"/>
      <c r="B85" s="42"/>
      <c r="C85" s="74" t="s">
        <v>199</v>
      </c>
      <c r="D85" s="81">
        <f t="shared" ref="D85:L85" si="24">IF(((D83="")*AND(D84="")),"",(D83-D84)*2)</f>
        <v>6582.38</v>
      </c>
      <c r="E85" s="81">
        <f t="shared" si="24"/>
        <v>6460.58</v>
      </c>
      <c r="F85" s="81">
        <f t="shared" si="24"/>
        <v>6473.5</v>
      </c>
      <c r="G85" s="81">
        <f t="shared" si="24"/>
        <v>6592.84</v>
      </c>
      <c r="H85" s="81">
        <f t="shared" si="24"/>
        <v>6783.6799999999994</v>
      </c>
      <c r="I85" s="81">
        <f t="shared" si="24"/>
        <v>7023.6600000000008</v>
      </c>
      <c r="J85" s="81">
        <f t="shared" si="24"/>
        <v>6507.7199999999993</v>
      </c>
      <c r="K85" s="81">
        <f t="shared" si="24"/>
        <v>6536.16</v>
      </c>
      <c r="L85" s="81">
        <f t="shared" si="24"/>
        <v>6738.6</v>
      </c>
      <c r="M85" s="81"/>
      <c r="N85" s="81"/>
      <c r="O85" s="81"/>
      <c r="P85" s="81" t="str">
        <f>IF(((P83="")*AND(P84="")),"",(P83-P84)*2)</f>
        <v/>
      </c>
      <c r="Q85" s="42"/>
      <c r="R85" s="42"/>
      <c r="S85" s="42"/>
      <c r="T85" s="42"/>
      <c r="U85" s="78"/>
      <c r="V85" s="230"/>
      <c r="W85" s="42"/>
      <c r="X85" s="210"/>
      <c r="Y85" s="117"/>
      <c r="AD85" s="67"/>
      <c r="AE85" s="67"/>
    </row>
    <row r="86" spans="1:31" ht="12.75" customHeight="1" x14ac:dyDescent="0.25">
      <c r="A86" s="233">
        <v>42634</v>
      </c>
      <c r="B86" s="55" t="s">
        <v>202</v>
      </c>
      <c r="C86" s="59" t="s">
        <v>201</v>
      </c>
      <c r="D86" s="35">
        <v>6981.26</v>
      </c>
      <c r="E86" s="35">
        <v>7170.72</v>
      </c>
      <c r="F86" s="35">
        <v>6963.79</v>
      </c>
      <c r="G86" s="35">
        <v>6964.26</v>
      </c>
      <c r="H86" s="35">
        <v>7113.83</v>
      </c>
      <c r="I86" s="35">
        <v>7031.29</v>
      </c>
      <c r="J86" s="35">
        <v>7006.81</v>
      </c>
      <c r="K86" s="35">
        <v>6966.44</v>
      </c>
      <c r="L86" s="35">
        <v>7042.31</v>
      </c>
      <c r="M86" s="35">
        <v>7060.59</v>
      </c>
      <c r="N86" s="35">
        <v>7209.23</v>
      </c>
      <c r="O86" s="35">
        <v>7067.11</v>
      </c>
      <c r="P86" s="35">
        <v>7111.67</v>
      </c>
      <c r="Q86" s="48">
        <f>IF((L87=""),"",MAX(D88:P88))</f>
        <v>5387.75</v>
      </c>
      <c r="R86" s="120">
        <f>IF(P87="","",MIN(D88:P88))</f>
        <v>5281.1</v>
      </c>
      <c r="S86" s="51">
        <f>IF((P88=""),"",AVERAGE(D88:P88))</f>
        <v>5338.9792307692305</v>
      </c>
      <c r="T86" s="51">
        <f>IF((P87=""),"",(Q86-R86)/(Q86+R86)*100)</f>
        <v>0.99963913636427204</v>
      </c>
      <c r="U86" s="50">
        <f>STDEV(D88:P88)</f>
        <v>36.53112222510606</v>
      </c>
      <c r="V86" s="231" t="str">
        <f>IF(P87="","",IF(T86&lt;2.7,IF(S86&gt;5150,IF(S86&lt;5600,"Pass","Fail"),"Fail"),"Fail"))</f>
        <v>Pass</v>
      </c>
      <c r="W86" s="55">
        <v>1335</v>
      </c>
      <c r="X86" s="210"/>
      <c r="Y86" s="119" t="s">
        <v>261</v>
      </c>
      <c r="Z86" s="251">
        <v>4470</v>
      </c>
      <c r="AA86" s="251">
        <v>6020</v>
      </c>
      <c r="AB86" s="251">
        <v>5150</v>
      </c>
      <c r="AC86" s="251">
        <v>5600</v>
      </c>
      <c r="AD86" s="67">
        <v>10</v>
      </c>
      <c r="AE86" s="252">
        <v>2.7</v>
      </c>
    </row>
    <row r="87" spans="1:31" ht="12.75" customHeight="1" x14ac:dyDescent="0.35">
      <c r="A87" s="294"/>
      <c r="B87" s="46"/>
      <c r="C87" s="54" t="s">
        <v>200</v>
      </c>
      <c r="D87" s="35">
        <v>1672.06</v>
      </c>
      <c r="E87" s="35">
        <v>1822.55</v>
      </c>
      <c r="F87" s="35">
        <v>1682.69</v>
      </c>
      <c r="G87" s="35">
        <v>1655.1</v>
      </c>
      <c r="H87" s="35">
        <v>1738.54</v>
      </c>
      <c r="I87" s="35">
        <v>1650.3</v>
      </c>
      <c r="J87" s="35">
        <v>1681.8</v>
      </c>
      <c r="K87" s="35">
        <v>1636.28</v>
      </c>
      <c r="L87" s="35">
        <v>1756.68</v>
      </c>
      <c r="M87" s="35">
        <v>1695.36</v>
      </c>
      <c r="N87" s="35">
        <v>1821.48</v>
      </c>
      <c r="O87" s="35">
        <v>1735.51</v>
      </c>
      <c r="P87" s="35">
        <v>1734.23</v>
      </c>
      <c r="Q87" s="46"/>
      <c r="R87" s="46"/>
      <c r="S87" s="46"/>
      <c r="T87" s="46"/>
      <c r="U87" s="46"/>
      <c r="V87" s="229"/>
      <c r="W87" s="46"/>
      <c r="X87" s="210"/>
      <c r="Y87" s="118"/>
      <c r="AD87" s="67"/>
      <c r="AE87" s="67"/>
    </row>
    <row r="88" spans="1:31" ht="24.8" customHeight="1" thickBot="1" x14ac:dyDescent="0.4">
      <c r="A88" s="294"/>
      <c r="B88" s="78"/>
      <c r="C88" s="54" t="s">
        <v>199</v>
      </c>
      <c r="D88" s="93">
        <f t="shared" ref="D88:P88" si="25">IF(((D86="")*AND(D87="")),"",(D86-D87))</f>
        <v>5309.2000000000007</v>
      </c>
      <c r="E88" s="93">
        <f t="shared" si="25"/>
        <v>5348.17</v>
      </c>
      <c r="F88" s="93">
        <f t="shared" si="25"/>
        <v>5281.1</v>
      </c>
      <c r="G88" s="93">
        <f t="shared" si="25"/>
        <v>5309.16</v>
      </c>
      <c r="H88" s="93">
        <f t="shared" si="25"/>
        <v>5375.29</v>
      </c>
      <c r="I88" s="93">
        <f t="shared" si="25"/>
        <v>5380.99</v>
      </c>
      <c r="J88" s="93">
        <f t="shared" si="25"/>
        <v>5325.01</v>
      </c>
      <c r="K88" s="93">
        <f t="shared" si="25"/>
        <v>5330.16</v>
      </c>
      <c r="L88" s="93">
        <f t="shared" si="25"/>
        <v>5285.63</v>
      </c>
      <c r="M88" s="93">
        <f t="shared" si="25"/>
        <v>5365.2300000000005</v>
      </c>
      <c r="N88" s="93">
        <f t="shared" si="25"/>
        <v>5387.75</v>
      </c>
      <c r="O88" s="93">
        <f t="shared" si="25"/>
        <v>5331.5999999999995</v>
      </c>
      <c r="P88" s="93">
        <f t="shared" si="25"/>
        <v>5377.4400000000005</v>
      </c>
      <c r="Q88" s="78"/>
      <c r="R88" s="78"/>
      <c r="S88" s="78"/>
      <c r="T88" s="78"/>
      <c r="U88" s="78"/>
      <c r="V88" s="232"/>
      <c r="W88" s="78"/>
      <c r="X88" s="210"/>
      <c r="Y88" s="118"/>
      <c r="AD88" s="67"/>
      <c r="AE88" s="67"/>
    </row>
    <row r="89" spans="1:31" ht="12.75" customHeight="1" x14ac:dyDescent="0.25">
      <c r="A89" s="233">
        <v>42634</v>
      </c>
      <c r="B89" s="48" t="s">
        <v>204</v>
      </c>
      <c r="C89" s="54" t="s">
        <v>201</v>
      </c>
      <c r="D89" s="35">
        <v>6133.71</v>
      </c>
      <c r="E89" s="35">
        <v>6281.17</v>
      </c>
      <c r="F89" s="35">
        <v>6292.24</v>
      </c>
      <c r="G89" s="35">
        <v>6258.83</v>
      </c>
      <c r="H89" s="35">
        <v>6094.24</v>
      </c>
      <c r="I89" s="35">
        <v>6221.97</v>
      </c>
      <c r="J89" s="35">
        <v>6281.74</v>
      </c>
      <c r="K89" s="35">
        <v>6213.07</v>
      </c>
      <c r="L89" s="35">
        <v>6112.86</v>
      </c>
      <c r="M89" s="53"/>
      <c r="N89" s="53"/>
      <c r="O89" s="53"/>
      <c r="P89" s="53"/>
      <c r="Q89" s="48">
        <f>IF((L90=""),"",MAX(D91:L91))</f>
        <v>6998.7400000000007</v>
      </c>
      <c r="R89" s="48">
        <f>IF(L90="","",MIN(D91:L91))</f>
        <v>6818.0399999999991</v>
      </c>
      <c r="S89" s="75">
        <f>IF((L91=""),"",AVERAGE(D91:L91))</f>
        <v>6931.188888888888</v>
      </c>
      <c r="T89" s="51">
        <f>IF((L90=""),"",(Q89-R89)/(Q89+R89)*100)</f>
        <v>1.3078300443374047</v>
      </c>
      <c r="U89" s="48">
        <f>STDEV(D91:P91)</f>
        <v>59.19117257759919</v>
      </c>
      <c r="V89" s="228" t="str">
        <f>IF(L90="","",IF(T89&lt;7.3,IF(S89&gt;5700,IF(S89&lt;7200,"Pass","Fail"),"Fail"),"Fail"))</f>
        <v>Pass</v>
      </c>
      <c r="W89" s="55">
        <v>1335</v>
      </c>
      <c r="X89" s="210"/>
      <c r="Y89" s="119" t="s">
        <v>261</v>
      </c>
      <c r="Z89" s="37">
        <v>4955</v>
      </c>
      <c r="AA89" s="37">
        <v>9645</v>
      </c>
      <c r="AB89" s="37">
        <v>5100</v>
      </c>
      <c r="AC89" s="37">
        <v>8300</v>
      </c>
      <c r="AD89" s="67">
        <v>10</v>
      </c>
      <c r="AE89" s="67">
        <v>9.8000000000000007</v>
      </c>
    </row>
    <row r="90" spans="1:31" ht="12.75" customHeight="1" x14ac:dyDescent="0.35">
      <c r="A90" s="294"/>
      <c r="B90" s="46"/>
      <c r="C90" s="54" t="s">
        <v>200</v>
      </c>
      <c r="D90" s="35">
        <v>2698.68</v>
      </c>
      <c r="E90" s="35">
        <v>2815.7</v>
      </c>
      <c r="F90" s="35">
        <v>2819.86</v>
      </c>
      <c r="G90" s="35">
        <v>2770.07</v>
      </c>
      <c r="H90" s="35">
        <v>2599</v>
      </c>
      <c r="I90" s="35">
        <v>2722.6</v>
      </c>
      <c r="J90" s="35">
        <v>2807.99</v>
      </c>
      <c r="K90" s="35">
        <v>2761.74</v>
      </c>
      <c r="L90" s="35">
        <v>2703.84</v>
      </c>
      <c r="M90" s="53"/>
      <c r="N90" s="53"/>
      <c r="O90" s="53"/>
      <c r="P90" s="53"/>
      <c r="Q90" s="46"/>
      <c r="R90" s="46"/>
      <c r="S90" s="46"/>
      <c r="T90" s="46"/>
      <c r="U90" s="46"/>
      <c r="V90" s="229"/>
      <c r="W90" s="46"/>
      <c r="X90" s="210"/>
      <c r="Y90" s="118"/>
      <c r="AD90" s="67"/>
      <c r="AE90" s="67"/>
    </row>
    <row r="91" spans="1:31" ht="24.8" customHeight="1" thickBot="1" x14ac:dyDescent="0.4">
      <c r="A91" s="294"/>
      <c r="B91" s="42"/>
      <c r="C91" s="74" t="s">
        <v>199</v>
      </c>
      <c r="D91" s="81">
        <f t="shared" ref="D91:L91" si="26">IF(((D89="")*AND(D90="")),"",(D89-D90)*2)</f>
        <v>6870.06</v>
      </c>
      <c r="E91" s="81">
        <f t="shared" si="26"/>
        <v>6930.9400000000005</v>
      </c>
      <c r="F91" s="81">
        <f t="shared" si="26"/>
        <v>6944.7599999999993</v>
      </c>
      <c r="G91" s="81">
        <f t="shared" si="26"/>
        <v>6977.5199999999995</v>
      </c>
      <c r="H91" s="81">
        <f t="shared" si="26"/>
        <v>6990.48</v>
      </c>
      <c r="I91" s="81">
        <f t="shared" si="26"/>
        <v>6998.7400000000007</v>
      </c>
      <c r="J91" s="81">
        <f t="shared" si="26"/>
        <v>6947.5</v>
      </c>
      <c r="K91" s="81">
        <f t="shared" si="26"/>
        <v>6902.66</v>
      </c>
      <c r="L91" s="81">
        <f t="shared" si="26"/>
        <v>6818.0399999999991</v>
      </c>
      <c r="M91" s="81"/>
      <c r="N91" s="81"/>
      <c r="O91" s="81"/>
      <c r="P91" s="81" t="str">
        <f>IF(((P89="")*AND(P90="")),"",(P89-P90)*2)</f>
        <v/>
      </c>
      <c r="Q91" s="42"/>
      <c r="R91" s="42"/>
      <c r="S91" s="42"/>
      <c r="T91" s="42"/>
      <c r="U91" s="78"/>
      <c r="V91" s="230"/>
      <c r="W91" s="42"/>
      <c r="X91" s="210"/>
      <c r="Y91" s="117"/>
      <c r="AD91" s="67"/>
      <c r="AE91" s="67"/>
    </row>
    <row r="92" spans="1:31" ht="12.75" customHeight="1" x14ac:dyDescent="0.25">
      <c r="A92" s="233">
        <v>42641</v>
      </c>
      <c r="B92" s="55" t="s">
        <v>202</v>
      </c>
      <c r="C92" s="59" t="s">
        <v>201</v>
      </c>
      <c r="D92" s="35">
        <v>6922.4</v>
      </c>
      <c r="E92" s="35">
        <v>7110.18</v>
      </c>
      <c r="F92" s="35">
        <v>6946.62</v>
      </c>
      <c r="G92" s="35">
        <v>6946.29</v>
      </c>
      <c r="H92" s="35">
        <v>7043.42</v>
      </c>
      <c r="I92" s="35">
        <v>6983.91</v>
      </c>
      <c r="J92" s="35">
        <v>6988.19</v>
      </c>
      <c r="K92" s="35">
        <v>6972.42</v>
      </c>
      <c r="L92" s="35">
        <v>7028.07</v>
      </c>
      <c r="M92" s="35">
        <v>7039.89</v>
      </c>
      <c r="N92" s="35">
        <v>7151.75</v>
      </c>
      <c r="O92" s="35">
        <v>7059</v>
      </c>
      <c r="P92" s="35">
        <v>7070.33</v>
      </c>
      <c r="Q92" s="48">
        <f>IF((L93=""),"",MAX(D94:P94))</f>
        <v>5331.21</v>
      </c>
      <c r="R92" s="120">
        <f>IF(P93="","",MIN(D94:P94))</f>
        <v>5248.01</v>
      </c>
      <c r="S92" s="51">
        <f>IF((P94=""),"",AVERAGE(D94:P94))</f>
        <v>5296.5523076923073</v>
      </c>
      <c r="T92" s="51">
        <f>IF((P93=""),"",(Q92-R92)/(Q92+R92)*100)</f>
        <v>0.78644739404228114</v>
      </c>
      <c r="U92" s="50">
        <f>STDEV(D94:P94)</f>
        <v>28.876065681300396</v>
      </c>
      <c r="V92" s="231" t="str">
        <f>IF(P93="","",IF(T92&lt;2.7,IF(S92&gt;5150,IF(S92&lt;5600,"Pass","Fail"),"Fail"),"Fail"))</f>
        <v>Pass</v>
      </c>
      <c r="W92" s="55">
        <v>1400</v>
      </c>
      <c r="X92" s="210" t="s">
        <v>266</v>
      </c>
      <c r="Y92" s="119" t="s">
        <v>261</v>
      </c>
      <c r="Z92" s="251">
        <v>4470</v>
      </c>
      <c r="AA92" s="251">
        <v>6020</v>
      </c>
      <c r="AB92" s="251">
        <v>5150</v>
      </c>
      <c r="AC92" s="251">
        <v>5600</v>
      </c>
      <c r="AD92" s="67">
        <v>10</v>
      </c>
      <c r="AE92" s="252">
        <v>2.7</v>
      </c>
    </row>
    <row r="93" spans="1:31" ht="12.75" customHeight="1" x14ac:dyDescent="0.35">
      <c r="A93" s="294"/>
      <c r="B93" s="46"/>
      <c r="C93" s="54" t="s">
        <v>200</v>
      </c>
      <c r="D93" s="35">
        <v>1643.48</v>
      </c>
      <c r="E93" s="35">
        <v>1810.24</v>
      </c>
      <c r="F93" s="35">
        <v>1684.43</v>
      </c>
      <c r="G93" s="35">
        <v>1698.28</v>
      </c>
      <c r="H93" s="35">
        <v>1723.63</v>
      </c>
      <c r="I93" s="35">
        <v>1657.07</v>
      </c>
      <c r="J93" s="35">
        <v>1725.98</v>
      </c>
      <c r="K93" s="35">
        <v>1673.14</v>
      </c>
      <c r="L93" s="35">
        <v>1756.15</v>
      </c>
      <c r="M93" s="35">
        <v>1714.54</v>
      </c>
      <c r="N93" s="35">
        <v>1826.94</v>
      </c>
      <c r="O93" s="35">
        <v>1754.29</v>
      </c>
      <c r="P93" s="35">
        <v>1739.12</v>
      </c>
      <c r="Q93" s="46"/>
      <c r="R93" s="46"/>
      <c r="S93" s="46"/>
      <c r="T93" s="46"/>
      <c r="U93" s="46"/>
      <c r="V93" s="229"/>
      <c r="W93" s="46"/>
      <c r="X93" s="210"/>
      <c r="Y93" s="118"/>
      <c r="AD93" s="67"/>
      <c r="AE93" s="67"/>
    </row>
    <row r="94" spans="1:31" ht="24.8" customHeight="1" thickBot="1" x14ac:dyDescent="0.4">
      <c r="A94" s="294"/>
      <c r="B94" s="78"/>
      <c r="C94" s="54" t="s">
        <v>199</v>
      </c>
      <c r="D94" s="93">
        <f t="shared" ref="D94:P94" si="27">IF(((D92="")*AND(D93="")),"",(D92-D93))</f>
        <v>5278.92</v>
      </c>
      <c r="E94" s="93">
        <f t="shared" si="27"/>
        <v>5299.9400000000005</v>
      </c>
      <c r="F94" s="93">
        <f t="shared" si="27"/>
        <v>5262.19</v>
      </c>
      <c r="G94" s="93">
        <f t="shared" si="27"/>
        <v>5248.01</v>
      </c>
      <c r="H94" s="93">
        <f t="shared" si="27"/>
        <v>5319.79</v>
      </c>
      <c r="I94" s="93">
        <f t="shared" si="27"/>
        <v>5326.84</v>
      </c>
      <c r="J94" s="93">
        <f t="shared" si="27"/>
        <v>5262.2099999999991</v>
      </c>
      <c r="K94" s="93">
        <f t="shared" si="27"/>
        <v>5299.28</v>
      </c>
      <c r="L94" s="93">
        <f t="shared" si="27"/>
        <v>5271.92</v>
      </c>
      <c r="M94" s="93">
        <f t="shared" si="27"/>
        <v>5325.35</v>
      </c>
      <c r="N94" s="93">
        <f t="shared" si="27"/>
        <v>5324.8099999999995</v>
      </c>
      <c r="O94" s="93">
        <f t="shared" si="27"/>
        <v>5304.71</v>
      </c>
      <c r="P94" s="93">
        <f t="shared" si="27"/>
        <v>5331.21</v>
      </c>
      <c r="Q94" s="78"/>
      <c r="R94" s="78"/>
      <c r="S94" s="78"/>
      <c r="T94" s="78"/>
      <c r="U94" s="78"/>
      <c r="V94" s="232"/>
      <c r="W94" s="78"/>
      <c r="X94" s="210"/>
      <c r="Y94" s="118"/>
      <c r="AD94" s="67"/>
      <c r="AE94" s="67"/>
    </row>
    <row r="95" spans="1:31" ht="12.75" customHeight="1" x14ac:dyDescent="0.25">
      <c r="A95" s="233">
        <v>42641</v>
      </c>
      <c r="B95" s="48" t="s">
        <v>204</v>
      </c>
      <c r="C95" s="54" t="s">
        <v>201</v>
      </c>
      <c r="D95" s="35">
        <v>5936.04</v>
      </c>
      <c r="E95" s="35">
        <v>6108.35</v>
      </c>
      <c r="F95" s="35">
        <v>6124.89</v>
      </c>
      <c r="G95" s="35">
        <v>6121.35</v>
      </c>
      <c r="H95" s="35">
        <v>5949.18</v>
      </c>
      <c r="I95" s="35">
        <v>6210.74</v>
      </c>
      <c r="J95" s="35">
        <v>6107.23</v>
      </c>
      <c r="K95" s="35">
        <v>6115.97</v>
      </c>
      <c r="L95" s="35">
        <v>6029.79</v>
      </c>
      <c r="M95" s="53"/>
      <c r="N95" s="53"/>
      <c r="O95" s="53"/>
      <c r="P95" s="53"/>
      <c r="Q95" s="48">
        <f>IF((L96=""),"",MAX(D97:L97))</f>
        <v>7122.98</v>
      </c>
      <c r="R95" s="48">
        <f>IF(L96="","",MIN(D97:L97))</f>
        <v>6647.8400000000011</v>
      </c>
      <c r="S95" s="75">
        <f>IF((L97=""),"",AVERAGE(D97:L97))</f>
        <v>6794.7466666666678</v>
      </c>
      <c r="T95" s="51">
        <f>IF((L96=""),"",(Q95-R95)/(Q95+R95)*100)</f>
        <v>3.4503391954872584</v>
      </c>
      <c r="U95" s="48">
        <f>STDEV(D97:P97)</f>
        <v>155.12419089232972</v>
      </c>
      <c r="V95" s="228" t="str">
        <f>IF(L96="","",IF(T95&lt;7.3,IF(S95&gt;5700,IF(S95&lt;7200,"Pass","Fail"),"Fail"),"Fail"))</f>
        <v>Pass</v>
      </c>
      <c r="W95" s="55">
        <v>1400</v>
      </c>
      <c r="X95" s="210" t="s">
        <v>266</v>
      </c>
      <c r="Y95" s="119" t="s">
        <v>261</v>
      </c>
      <c r="Z95" s="37">
        <v>4955</v>
      </c>
      <c r="AA95" s="37">
        <v>9645</v>
      </c>
      <c r="AB95" s="37">
        <v>5100</v>
      </c>
      <c r="AC95" s="37">
        <v>8300</v>
      </c>
      <c r="AD95" s="67">
        <v>10</v>
      </c>
      <c r="AE95" s="67">
        <v>9.8000000000000007</v>
      </c>
    </row>
    <row r="96" spans="1:31" ht="12.75" customHeight="1" x14ac:dyDescent="0.35">
      <c r="A96" s="294"/>
      <c r="B96" s="46"/>
      <c r="C96" s="54" t="s">
        <v>200</v>
      </c>
      <c r="D96" s="35">
        <v>2550.41</v>
      </c>
      <c r="E96" s="35">
        <v>2784.43</v>
      </c>
      <c r="F96" s="35">
        <v>2800.59</v>
      </c>
      <c r="G96" s="35">
        <v>2729.55</v>
      </c>
      <c r="H96" s="35">
        <v>2525.7399999999998</v>
      </c>
      <c r="I96" s="35">
        <v>2649.25</v>
      </c>
      <c r="J96" s="35">
        <v>2765.84</v>
      </c>
      <c r="K96" s="35">
        <v>2758.71</v>
      </c>
      <c r="L96" s="35">
        <v>2562.66</v>
      </c>
      <c r="M96" s="53"/>
      <c r="N96" s="53"/>
      <c r="O96" s="53"/>
      <c r="P96" s="53"/>
      <c r="Q96" s="46"/>
      <c r="R96" s="46"/>
      <c r="S96" s="46"/>
      <c r="T96" s="46"/>
      <c r="U96" s="46"/>
      <c r="V96" s="229"/>
      <c r="W96" s="46"/>
      <c r="X96" s="210"/>
      <c r="Y96" s="118"/>
      <c r="AD96" s="67"/>
      <c r="AE96" s="67"/>
    </row>
    <row r="97" spans="1:31" ht="24.8" customHeight="1" thickBot="1" x14ac:dyDescent="0.4">
      <c r="A97" s="294"/>
      <c r="B97" s="42"/>
      <c r="C97" s="74" t="s">
        <v>199</v>
      </c>
      <c r="D97" s="81">
        <f t="shared" ref="D97:L97" si="28">IF(((D95="")*AND(D96="")),"",(D95-D96)*2)</f>
        <v>6771.26</v>
      </c>
      <c r="E97" s="81">
        <f t="shared" si="28"/>
        <v>6647.8400000000011</v>
      </c>
      <c r="F97" s="81">
        <f t="shared" si="28"/>
        <v>6648.6</v>
      </c>
      <c r="G97" s="81">
        <f t="shared" si="28"/>
        <v>6783.6</v>
      </c>
      <c r="H97" s="81">
        <f t="shared" si="28"/>
        <v>6846.880000000001</v>
      </c>
      <c r="I97" s="81">
        <f t="shared" si="28"/>
        <v>7122.98</v>
      </c>
      <c r="J97" s="81">
        <f t="shared" si="28"/>
        <v>6682.7799999999988</v>
      </c>
      <c r="K97" s="81">
        <f t="shared" si="28"/>
        <v>6714.52</v>
      </c>
      <c r="L97" s="81">
        <f t="shared" si="28"/>
        <v>6934.26</v>
      </c>
      <c r="M97" s="81"/>
      <c r="N97" s="81"/>
      <c r="O97" s="81"/>
      <c r="P97" s="81" t="str">
        <f>IF(((P95="")*AND(P96="")),"",(P95-P96)*2)</f>
        <v/>
      </c>
      <c r="Q97" s="42"/>
      <c r="R97" s="42"/>
      <c r="S97" s="42"/>
      <c r="T97" s="42"/>
      <c r="U97" s="78"/>
      <c r="V97" s="230"/>
      <c r="W97" s="42"/>
      <c r="X97" s="210"/>
      <c r="Y97" s="117"/>
      <c r="AD97" s="67"/>
      <c r="AE97" s="67"/>
    </row>
    <row r="98" spans="1:31" ht="12.75" customHeight="1" x14ac:dyDescent="0.25">
      <c r="A98" s="233">
        <v>42470</v>
      </c>
      <c r="B98" s="55" t="s">
        <v>202</v>
      </c>
      <c r="C98" s="59" t="s">
        <v>201</v>
      </c>
      <c r="D98" s="35">
        <v>6809.45</v>
      </c>
      <c r="E98" s="35">
        <v>6980.2</v>
      </c>
      <c r="F98" s="35">
        <v>6823.46</v>
      </c>
      <c r="G98" s="35">
        <v>6841.32</v>
      </c>
      <c r="H98" s="35">
        <v>6908.14</v>
      </c>
      <c r="I98" s="35">
        <v>6881.76</v>
      </c>
      <c r="J98" s="35">
        <v>6888.67</v>
      </c>
      <c r="K98" s="35">
        <v>6842</v>
      </c>
      <c r="L98" s="35">
        <v>6914.69</v>
      </c>
      <c r="M98" s="35">
        <v>6943.13</v>
      </c>
      <c r="N98" s="35">
        <v>7031.9</v>
      </c>
      <c r="O98" s="35">
        <v>6946.92</v>
      </c>
      <c r="P98" s="35">
        <v>6953.47</v>
      </c>
      <c r="Q98" s="48">
        <f>IF((L99=""),"",MAX(D100:P100))</f>
        <v>5375.44</v>
      </c>
      <c r="R98" s="120">
        <f>IF(P99="","",MIN(D100:P100))</f>
        <v>5280.98</v>
      </c>
      <c r="S98" s="51">
        <f>IF((P100=""),"",AVERAGE(D100:P100))</f>
        <v>5333.9746153846163</v>
      </c>
      <c r="T98" s="51">
        <f>IF((P99=""),"",(Q98-R98)/(Q98+R98)*100)</f>
        <v>0.88641401145975895</v>
      </c>
      <c r="U98" s="50">
        <f>STDEV(D100:P100)</f>
        <v>33.068795113466386</v>
      </c>
      <c r="V98" s="231" t="str">
        <f>IF(P99="","",IF(T98&lt;2.7,IF(S98&gt;5150,IF(S98&lt;5600,"Pass","Fail"),"Fail"),"Fail"))</f>
        <v>Pass</v>
      </c>
      <c r="W98" s="55">
        <v>1400</v>
      </c>
      <c r="X98" s="210" t="s">
        <v>306</v>
      </c>
      <c r="Y98" s="119" t="s">
        <v>261</v>
      </c>
      <c r="Z98" s="251">
        <v>4470</v>
      </c>
      <c r="AA98" s="251">
        <v>6020</v>
      </c>
      <c r="AB98" s="251">
        <v>5150</v>
      </c>
      <c r="AC98" s="251">
        <v>5600</v>
      </c>
      <c r="AD98" s="67">
        <v>10</v>
      </c>
      <c r="AE98" s="252">
        <v>2.7</v>
      </c>
    </row>
    <row r="99" spans="1:31" ht="12.75" customHeight="1" x14ac:dyDescent="0.35">
      <c r="A99" s="294"/>
      <c r="B99" s="46"/>
      <c r="C99" s="54" t="s">
        <v>200</v>
      </c>
      <c r="D99" s="35">
        <v>1502.94</v>
      </c>
      <c r="E99" s="35">
        <v>1648.32</v>
      </c>
      <c r="F99" s="35">
        <v>1542.48</v>
      </c>
      <c r="G99" s="35">
        <v>1530</v>
      </c>
      <c r="H99" s="35">
        <v>1552.91</v>
      </c>
      <c r="I99" s="35">
        <v>1506.87</v>
      </c>
      <c r="J99" s="35">
        <v>1562.73</v>
      </c>
      <c r="K99" s="35">
        <v>1509.43</v>
      </c>
      <c r="L99" s="35">
        <v>1632.87</v>
      </c>
      <c r="M99" s="35">
        <v>1578.58</v>
      </c>
      <c r="N99" s="35">
        <v>1656.46</v>
      </c>
      <c r="O99" s="35">
        <v>1618.38</v>
      </c>
      <c r="P99" s="35">
        <v>1581.47</v>
      </c>
      <c r="Q99" s="46"/>
      <c r="R99" s="46"/>
      <c r="S99" s="46"/>
      <c r="T99" s="46"/>
      <c r="U99" s="46"/>
      <c r="V99" s="229"/>
      <c r="W99" s="46"/>
      <c r="X99" s="210"/>
      <c r="Y99" s="118"/>
      <c r="AD99" s="67"/>
      <c r="AE99" s="67"/>
    </row>
    <row r="100" spans="1:31" ht="24.8" customHeight="1" thickBot="1" x14ac:dyDescent="0.4">
      <c r="A100" s="294"/>
      <c r="B100" s="78"/>
      <c r="C100" s="54" t="s">
        <v>199</v>
      </c>
      <c r="D100" s="93">
        <f t="shared" ref="D100:P100" si="29">IF(((D98="")*AND(D99="")),"",(D98-D99))</f>
        <v>5306.51</v>
      </c>
      <c r="E100" s="93">
        <f t="shared" si="29"/>
        <v>5331.88</v>
      </c>
      <c r="F100" s="93">
        <f t="shared" si="29"/>
        <v>5280.98</v>
      </c>
      <c r="G100" s="93">
        <f t="shared" si="29"/>
        <v>5311.32</v>
      </c>
      <c r="H100" s="93">
        <f t="shared" si="29"/>
        <v>5355.2300000000005</v>
      </c>
      <c r="I100" s="93">
        <f t="shared" si="29"/>
        <v>5374.89</v>
      </c>
      <c r="J100" s="93">
        <f t="shared" si="29"/>
        <v>5325.9400000000005</v>
      </c>
      <c r="K100" s="93">
        <f t="shared" si="29"/>
        <v>5332.57</v>
      </c>
      <c r="L100" s="93">
        <f t="shared" si="29"/>
        <v>5281.82</v>
      </c>
      <c r="M100" s="93">
        <f t="shared" si="29"/>
        <v>5364.55</v>
      </c>
      <c r="N100" s="93">
        <f t="shared" si="29"/>
        <v>5375.44</v>
      </c>
      <c r="O100" s="93">
        <f t="shared" si="29"/>
        <v>5328.54</v>
      </c>
      <c r="P100" s="93">
        <f t="shared" si="29"/>
        <v>5372</v>
      </c>
      <c r="Q100" s="78"/>
      <c r="R100" s="78"/>
      <c r="S100" s="78"/>
      <c r="T100" s="78"/>
      <c r="U100" s="78"/>
      <c r="V100" s="232"/>
      <c r="W100" s="78"/>
      <c r="X100" s="210"/>
      <c r="Y100" s="118"/>
      <c r="AD100" s="67"/>
      <c r="AE100" s="67"/>
    </row>
    <row r="101" spans="1:31" ht="12.75" customHeight="1" x14ac:dyDescent="0.25">
      <c r="A101" s="233">
        <v>42470</v>
      </c>
      <c r="B101" s="48" t="s">
        <v>204</v>
      </c>
      <c r="C101" s="54" t="s">
        <v>201</v>
      </c>
      <c r="D101" s="35">
        <v>6135.5</v>
      </c>
      <c r="E101" s="35">
        <v>6281.44</v>
      </c>
      <c r="F101" s="35">
        <v>6291.73</v>
      </c>
      <c r="G101" s="35">
        <v>6259.73</v>
      </c>
      <c r="H101" s="35">
        <v>6099.6</v>
      </c>
      <c r="I101" s="35">
        <v>6222.3</v>
      </c>
      <c r="J101" s="35">
        <v>6281.77</v>
      </c>
      <c r="K101" s="35">
        <v>6211.11</v>
      </c>
      <c r="L101" s="35">
        <v>6121.44</v>
      </c>
      <c r="M101" s="53"/>
      <c r="N101" s="53"/>
      <c r="O101" s="53"/>
      <c r="P101" s="53"/>
      <c r="Q101" s="48">
        <f>IF((L102=""),"",MAX(D103:L103))</f>
        <v>6655.88</v>
      </c>
      <c r="R101" s="48">
        <f>IF(L102="","",MIN(D103:L103))</f>
        <v>6438.2999999999993</v>
      </c>
      <c r="S101" s="75">
        <f>IF((L103=""),"",AVERAGE(D103:L103))</f>
        <v>6587.8244444444445</v>
      </c>
      <c r="T101" s="51">
        <f>IF((L102=""),"",(Q101-R101)/(Q101+R101)*100)</f>
        <v>1.6616542616643488</v>
      </c>
      <c r="U101" s="48">
        <f>STDEV(D103:P103)</f>
        <v>68.66894551234779</v>
      </c>
      <c r="V101" s="228" t="str">
        <f>IF(L102="","",IF(T101&lt;7.3,IF(S101&gt;5700,IF(S101&lt;7200,"Pass","Fail"),"Fail"),"Fail"))</f>
        <v>Pass</v>
      </c>
      <c r="W101" s="55">
        <v>1400</v>
      </c>
      <c r="X101" s="210" t="s">
        <v>306</v>
      </c>
      <c r="Y101" s="119" t="s">
        <v>261</v>
      </c>
      <c r="Z101" s="37">
        <v>4955</v>
      </c>
      <c r="AA101" s="37">
        <v>9645</v>
      </c>
      <c r="AB101" s="37">
        <v>5100</v>
      </c>
      <c r="AC101" s="37">
        <v>8300</v>
      </c>
      <c r="AD101" s="67">
        <v>10</v>
      </c>
      <c r="AE101" s="67">
        <v>9.8000000000000007</v>
      </c>
    </row>
    <row r="102" spans="1:31" ht="12.75" customHeight="1" x14ac:dyDescent="0.35">
      <c r="A102" s="294"/>
      <c r="B102" s="46"/>
      <c r="C102" s="54" t="s">
        <v>200</v>
      </c>
      <c r="D102" s="35">
        <v>2867.25</v>
      </c>
      <c r="E102" s="35">
        <v>2976.61</v>
      </c>
      <c r="F102" s="35">
        <v>2979.25</v>
      </c>
      <c r="G102" s="35">
        <v>2932.39</v>
      </c>
      <c r="H102" s="35">
        <v>2811.9</v>
      </c>
      <c r="I102" s="35">
        <v>2894.36</v>
      </c>
      <c r="J102" s="35">
        <v>2969.63</v>
      </c>
      <c r="K102" s="35">
        <v>2925.73</v>
      </c>
      <c r="L102" s="35">
        <v>2902.29</v>
      </c>
      <c r="M102" s="53"/>
      <c r="N102" s="53"/>
      <c r="O102" s="53"/>
      <c r="P102" s="53"/>
      <c r="Q102" s="46"/>
      <c r="R102" s="46"/>
      <c r="S102" s="46"/>
      <c r="T102" s="46"/>
      <c r="U102" s="46"/>
      <c r="V102" s="229"/>
      <c r="W102" s="46"/>
      <c r="X102" s="210"/>
      <c r="Y102" s="118"/>
      <c r="AD102" s="67"/>
      <c r="AE102" s="67"/>
    </row>
    <row r="103" spans="1:31" ht="24.8" customHeight="1" thickBot="1" x14ac:dyDescent="0.4">
      <c r="A103" s="294"/>
      <c r="B103" s="42"/>
      <c r="C103" s="74" t="s">
        <v>199</v>
      </c>
      <c r="D103" s="81">
        <f t="shared" ref="D103:L103" si="30">IF(((D101="")*AND(D102="")),"",(D101-D102)*2)</f>
        <v>6536.5</v>
      </c>
      <c r="E103" s="81">
        <f t="shared" si="30"/>
        <v>6609.6599999999989</v>
      </c>
      <c r="F103" s="81">
        <f t="shared" si="30"/>
        <v>6624.9599999999991</v>
      </c>
      <c r="G103" s="81">
        <f t="shared" si="30"/>
        <v>6654.6799999999994</v>
      </c>
      <c r="H103" s="81">
        <f t="shared" si="30"/>
        <v>6575.4000000000005</v>
      </c>
      <c r="I103" s="81">
        <f t="shared" si="30"/>
        <v>6655.88</v>
      </c>
      <c r="J103" s="81">
        <f t="shared" si="30"/>
        <v>6624.2800000000007</v>
      </c>
      <c r="K103" s="81">
        <f t="shared" si="30"/>
        <v>6570.7599999999993</v>
      </c>
      <c r="L103" s="81">
        <f t="shared" si="30"/>
        <v>6438.2999999999993</v>
      </c>
      <c r="M103" s="81"/>
      <c r="N103" s="81"/>
      <c r="O103" s="81"/>
      <c r="P103" s="81" t="str">
        <f>IF(((P101="")*AND(P102="")),"",(P101-P102)*2)</f>
        <v/>
      </c>
      <c r="Q103" s="42"/>
      <c r="R103" s="42"/>
      <c r="S103" s="42"/>
      <c r="T103" s="42"/>
      <c r="U103" s="78"/>
      <c r="V103" s="230"/>
      <c r="W103" s="42"/>
      <c r="X103" s="210"/>
      <c r="Y103" s="117"/>
      <c r="AD103" s="67"/>
      <c r="AE103" s="67"/>
    </row>
    <row r="104" spans="1:31" ht="12.75" customHeight="1" x14ac:dyDescent="0.25">
      <c r="A104" s="233">
        <v>42656</v>
      </c>
      <c r="B104" s="55" t="s">
        <v>202</v>
      </c>
      <c r="C104" s="59" t="s">
        <v>201</v>
      </c>
      <c r="D104" s="35">
        <v>33640.589999999997</v>
      </c>
      <c r="E104" s="35">
        <v>34209.339999999997</v>
      </c>
      <c r="F104" s="35">
        <v>33590.47</v>
      </c>
      <c r="G104" s="35">
        <v>33859.26</v>
      </c>
      <c r="H104" s="35">
        <v>33584.39</v>
      </c>
      <c r="I104" s="35">
        <v>33736.99</v>
      </c>
      <c r="J104" s="35">
        <v>33850.76</v>
      </c>
      <c r="K104" s="35">
        <v>33671.83</v>
      </c>
      <c r="L104" s="35">
        <v>33757.69</v>
      </c>
      <c r="M104" s="35">
        <v>33852.050000000003</v>
      </c>
      <c r="N104" s="35">
        <v>34009.589999999997</v>
      </c>
      <c r="O104" s="35">
        <v>33879.040000000001</v>
      </c>
      <c r="P104" s="35">
        <v>33789.410000000003</v>
      </c>
      <c r="Q104" s="48">
        <f>IF((L105=""),"",MAX(D106:P106))</f>
        <v>5384.6500000000015</v>
      </c>
      <c r="R104" s="120">
        <f>IF(P105="","",MIN(D106:P106))</f>
        <v>5220.1900000000023</v>
      </c>
      <c r="S104" s="51">
        <f>IF((P106=""),"",AVERAGE(D106:P106))</f>
        <v>5282.0115384615392</v>
      </c>
      <c r="T104" s="51">
        <f>IF((P105=""),"",(Q104-R104)/(Q104+R104)*100)</f>
        <v>1.5508013322218823</v>
      </c>
      <c r="U104" s="50">
        <f>STDEV(D106:P106)</f>
        <v>50.021187651860316</v>
      </c>
      <c r="V104" s="231" t="str">
        <f>IF(P105="","",IF(T104&lt;2.7,IF(S104&gt;5150,IF(S104&lt;5600,"Pass","Fail"),"Fail"),"Fail"))</f>
        <v>Pass</v>
      </c>
      <c r="W104" s="55">
        <v>1400</v>
      </c>
      <c r="X104" s="210" t="s">
        <v>307</v>
      </c>
      <c r="Y104" s="119" t="s">
        <v>261</v>
      </c>
      <c r="Z104" s="251">
        <v>4470</v>
      </c>
      <c r="AA104" s="251">
        <v>6020</v>
      </c>
      <c r="AB104" s="251">
        <v>5150</v>
      </c>
      <c r="AC104" s="251">
        <v>5600</v>
      </c>
      <c r="AD104" s="67">
        <v>10</v>
      </c>
      <c r="AE104" s="252">
        <v>2.7</v>
      </c>
    </row>
    <row r="105" spans="1:31" ht="12.75" customHeight="1" x14ac:dyDescent="0.35">
      <c r="A105" s="294"/>
      <c r="B105" s="46"/>
      <c r="C105" s="54" t="s">
        <v>200</v>
      </c>
      <c r="D105" s="35">
        <v>28405.439999999999</v>
      </c>
      <c r="E105" s="35">
        <v>28950.16</v>
      </c>
      <c r="F105" s="35">
        <v>28370.28</v>
      </c>
      <c r="G105" s="35">
        <v>28484.12</v>
      </c>
      <c r="H105" s="35">
        <v>28313.040000000001</v>
      </c>
      <c r="I105" s="35">
        <v>28436.400000000001</v>
      </c>
      <c r="J105" s="35">
        <v>28466.11</v>
      </c>
      <c r="K105" s="35">
        <v>28379.1</v>
      </c>
      <c r="L105" s="35">
        <v>28528.07</v>
      </c>
      <c r="M105" s="35">
        <v>28560.37</v>
      </c>
      <c r="N105" s="35">
        <v>28731.64</v>
      </c>
      <c r="O105" s="35">
        <v>28625.040000000001</v>
      </c>
      <c r="P105" s="35">
        <v>28515.49</v>
      </c>
      <c r="Q105" s="46"/>
      <c r="R105" s="46"/>
      <c r="S105" s="46"/>
      <c r="T105" s="46"/>
      <c r="U105" s="46"/>
      <c r="V105" s="229"/>
      <c r="W105" s="46"/>
      <c r="X105" s="210"/>
      <c r="Y105" s="118"/>
      <c r="AD105" s="67"/>
      <c r="AE105" s="67"/>
    </row>
    <row r="106" spans="1:31" ht="24.8" customHeight="1" thickBot="1" x14ac:dyDescent="0.4">
      <c r="A106" s="294"/>
      <c r="B106" s="78"/>
      <c r="C106" s="54" t="s">
        <v>199</v>
      </c>
      <c r="D106" s="93">
        <f t="shared" ref="D106:P106" si="31">IF(((D104="")*AND(D105="")),"",(D104-D105))</f>
        <v>5235.1499999999978</v>
      </c>
      <c r="E106" s="93">
        <f t="shared" si="31"/>
        <v>5259.1799999999967</v>
      </c>
      <c r="F106" s="93">
        <f t="shared" si="31"/>
        <v>5220.1900000000023</v>
      </c>
      <c r="G106" s="93">
        <f t="shared" si="31"/>
        <v>5375.1400000000031</v>
      </c>
      <c r="H106" s="93">
        <f t="shared" si="31"/>
        <v>5271.3499999999985</v>
      </c>
      <c r="I106" s="93">
        <f t="shared" si="31"/>
        <v>5300.5899999999965</v>
      </c>
      <c r="J106" s="93">
        <f t="shared" si="31"/>
        <v>5384.6500000000015</v>
      </c>
      <c r="K106" s="93">
        <f t="shared" si="31"/>
        <v>5292.7300000000032</v>
      </c>
      <c r="L106" s="93">
        <f t="shared" si="31"/>
        <v>5229.6200000000026</v>
      </c>
      <c r="M106" s="93">
        <f t="shared" si="31"/>
        <v>5291.6800000000039</v>
      </c>
      <c r="N106" s="93">
        <f t="shared" si="31"/>
        <v>5277.9499999999971</v>
      </c>
      <c r="O106" s="93">
        <f t="shared" si="31"/>
        <v>5254</v>
      </c>
      <c r="P106" s="93">
        <f t="shared" si="31"/>
        <v>5273.9200000000019</v>
      </c>
      <c r="Q106" s="78"/>
      <c r="R106" s="78"/>
      <c r="S106" s="78"/>
      <c r="T106" s="78"/>
      <c r="U106" s="78"/>
      <c r="V106" s="232"/>
      <c r="W106" s="78"/>
      <c r="X106" s="210"/>
      <c r="Y106" s="118"/>
      <c r="AD106" s="67"/>
      <c r="AE106" s="67"/>
    </row>
    <row r="107" spans="1:31" ht="12.75" customHeight="1" x14ac:dyDescent="0.25">
      <c r="A107" s="233">
        <v>42656</v>
      </c>
      <c r="B107" s="48" t="s">
        <v>204</v>
      </c>
      <c r="C107" s="54" t="s">
        <v>201</v>
      </c>
      <c r="D107" s="35">
        <v>5947.42</v>
      </c>
      <c r="E107" s="35">
        <v>6113.24</v>
      </c>
      <c r="F107" s="35">
        <v>6136.01</v>
      </c>
      <c r="G107" s="35">
        <v>6127.72</v>
      </c>
      <c r="H107" s="35">
        <v>5953.72</v>
      </c>
      <c r="I107" s="35">
        <v>6058.05</v>
      </c>
      <c r="J107" s="35">
        <v>6108.66</v>
      </c>
      <c r="K107" s="35">
        <v>6120.18</v>
      </c>
      <c r="L107" s="35">
        <v>6033.4</v>
      </c>
      <c r="M107" s="53"/>
      <c r="N107" s="53"/>
      <c r="O107" s="53"/>
      <c r="P107" s="53"/>
      <c r="Q107" s="48">
        <f>IF((L108=""),"",MAX(D109:L109))</f>
        <v>6339.68</v>
      </c>
      <c r="R107" s="48">
        <f>IF(L108="","",MIN(D109:L109))</f>
        <v>6069.08</v>
      </c>
      <c r="S107" s="75">
        <f>IF((L109=""),"",AVERAGE(D109:L109))</f>
        <v>6184.5800000000008</v>
      </c>
      <c r="T107" s="51">
        <f>IF((L108=""),"",(Q107-R107)/(Q107+R107)*100)</f>
        <v>2.1807174931258269</v>
      </c>
      <c r="U107" s="48">
        <f>STDEV(D109:P109)</f>
        <v>95.157711721121146</v>
      </c>
      <c r="V107" s="228" t="str">
        <f>IF(L108="","",IF(T107&lt;7.3,IF(S107&gt;5700,IF(S107&lt;7200,"Pass","Fail"),"Fail"),"Fail"))</f>
        <v>Pass</v>
      </c>
      <c r="W107" s="55">
        <v>1400</v>
      </c>
      <c r="X107" s="210" t="s">
        <v>265</v>
      </c>
      <c r="Y107" s="119" t="s">
        <v>261</v>
      </c>
      <c r="Z107" s="37">
        <v>4955</v>
      </c>
      <c r="AA107" s="37">
        <v>9645</v>
      </c>
      <c r="AB107" s="37">
        <v>5100</v>
      </c>
      <c r="AC107" s="37">
        <v>8300</v>
      </c>
      <c r="AD107" s="67">
        <v>10</v>
      </c>
      <c r="AE107" s="67">
        <v>9.8000000000000007</v>
      </c>
    </row>
    <row r="108" spans="1:31" ht="12.75" customHeight="1" x14ac:dyDescent="0.35">
      <c r="A108" s="294"/>
      <c r="B108" s="46"/>
      <c r="C108" s="54" t="s">
        <v>200</v>
      </c>
      <c r="D108" s="35">
        <v>2872.78</v>
      </c>
      <c r="E108" s="35">
        <v>3078.7</v>
      </c>
      <c r="F108" s="35">
        <v>3075.76</v>
      </c>
      <c r="G108" s="35">
        <v>3010.27</v>
      </c>
      <c r="H108" s="35">
        <v>2783.88</v>
      </c>
      <c r="I108" s="35">
        <v>2990.73</v>
      </c>
      <c r="J108" s="35">
        <v>3048.76</v>
      </c>
      <c r="K108" s="35">
        <v>3036.78</v>
      </c>
      <c r="L108" s="35">
        <v>2870.13</v>
      </c>
      <c r="M108" s="53"/>
      <c r="N108" s="53"/>
      <c r="O108" s="53"/>
      <c r="P108" s="53"/>
      <c r="Q108" s="46"/>
      <c r="R108" s="46"/>
      <c r="S108" s="46"/>
      <c r="T108" s="46"/>
      <c r="U108" s="46"/>
      <c r="V108" s="229"/>
      <c r="W108" s="46"/>
      <c r="X108" s="210"/>
      <c r="Y108" s="118"/>
      <c r="AD108" s="67"/>
      <c r="AE108" s="67"/>
    </row>
    <row r="109" spans="1:31" ht="24.8" customHeight="1" thickBot="1" x14ac:dyDescent="0.4">
      <c r="A109" s="294"/>
      <c r="B109" s="42"/>
      <c r="C109" s="74" t="s">
        <v>199</v>
      </c>
      <c r="D109" s="81">
        <f t="shared" ref="D109:L109" si="32">IF(((D107="")*AND(D108="")),"",(D107-D108)*2)</f>
        <v>6149.28</v>
      </c>
      <c r="E109" s="81">
        <f t="shared" si="32"/>
        <v>6069.08</v>
      </c>
      <c r="F109" s="81">
        <f t="shared" si="32"/>
        <v>6120.5</v>
      </c>
      <c r="G109" s="81">
        <f t="shared" si="32"/>
        <v>6234.9000000000005</v>
      </c>
      <c r="H109" s="81">
        <f t="shared" si="32"/>
        <v>6339.68</v>
      </c>
      <c r="I109" s="81">
        <f t="shared" si="32"/>
        <v>6134.64</v>
      </c>
      <c r="J109" s="81">
        <f t="shared" si="32"/>
        <v>6119.7999999999993</v>
      </c>
      <c r="K109" s="81">
        <f t="shared" si="32"/>
        <v>6166.8</v>
      </c>
      <c r="L109" s="81">
        <f t="shared" si="32"/>
        <v>6326.5399999999991</v>
      </c>
      <c r="M109" s="81"/>
      <c r="N109" s="81"/>
      <c r="O109" s="81"/>
      <c r="P109" s="81" t="str">
        <f>IF(((P107="")*AND(P108="")),"",(P107-P108)*2)</f>
        <v/>
      </c>
      <c r="Q109" s="42"/>
      <c r="R109" s="42"/>
      <c r="S109" s="42"/>
      <c r="T109" s="42"/>
      <c r="U109" s="78"/>
      <c r="V109" s="230"/>
      <c r="W109" s="42"/>
      <c r="X109" s="210"/>
      <c r="Y109" s="117"/>
      <c r="AD109" s="67"/>
      <c r="AE109" s="67"/>
    </row>
    <row r="110" spans="1:31" ht="12.75" customHeight="1" x14ac:dyDescent="0.25">
      <c r="A110" s="233">
        <v>42668</v>
      </c>
      <c r="B110" s="55" t="s">
        <v>202</v>
      </c>
      <c r="C110" s="59" t="s">
        <v>201</v>
      </c>
      <c r="D110" s="35">
        <v>6870.29</v>
      </c>
      <c r="E110" s="35">
        <v>6995.97</v>
      </c>
      <c r="F110" s="35">
        <v>6846.55</v>
      </c>
      <c r="G110" s="35">
        <v>6903.84</v>
      </c>
      <c r="H110" s="35">
        <v>6872.89</v>
      </c>
      <c r="I110" s="35">
        <v>6887.49</v>
      </c>
      <c r="J110" s="35">
        <v>6907.88</v>
      </c>
      <c r="K110" s="35">
        <v>6875.76</v>
      </c>
      <c r="L110" s="35">
        <v>6883.71</v>
      </c>
      <c r="M110" s="35">
        <v>6910.29</v>
      </c>
      <c r="N110" s="35">
        <v>6955.34</v>
      </c>
      <c r="O110" s="35">
        <v>6914.83</v>
      </c>
      <c r="P110" s="35">
        <v>6918.03</v>
      </c>
      <c r="Q110" s="48">
        <f>IF((L111=""),"",MAX(D112:P112))</f>
        <v>5309.8</v>
      </c>
      <c r="R110" s="120">
        <f>IF(P111="","",MIN(D112:P112))</f>
        <v>5199.18</v>
      </c>
      <c r="S110" s="51">
        <f>IF((P112=""),"",AVERAGE(D112:P112))</f>
        <v>5262.9892307692317</v>
      </c>
      <c r="T110" s="51">
        <f>IF((P111=""),"",(Q110-R110)/(Q110+R110)*100)</f>
        <v>1.0526235657504335</v>
      </c>
      <c r="U110" s="50">
        <f>STDEV(D112:P112)</f>
        <v>38.090489508873958</v>
      </c>
      <c r="V110" s="231" t="str">
        <f>IF(P111="","",IF(T110&lt;2.7,IF(S110&gt;5150,IF(S110&lt;5600,"Pass","Fail"),"Fail"),"Fail"))</f>
        <v>Pass</v>
      </c>
      <c r="W110" s="55">
        <v>1400</v>
      </c>
      <c r="X110" s="210" t="s">
        <v>264</v>
      </c>
      <c r="Y110" s="119" t="s">
        <v>261</v>
      </c>
      <c r="Z110" s="251">
        <v>4470</v>
      </c>
      <c r="AA110" s="251">
        <v>6020</v>
      </c>
      <c r="AB110" s="251">
        <v>5150</v>
      </c>
      <c r="AC110" s="251">
        <v>5600</v>
      </c>
      <c r="AD110" s="67">
        <v>10</v>
      </c>
      <c r="AE110" s="252">
        <v>2.7</v>
      </c>
    </row>
    <row r="111" spans="1:31" ht="12.75" customHeight="1" x14ac:dyDescent="0.35">
      <c r="A111" s="294"/>
      <c r="B111" s="46"/>
      <c r="C111" s="54" t="s">
        <v>200</v>
      </c>
      <c r="D111" s="35">
        <v>1658.96</v>
      </c>
      <c r="E111" s="35">
        <v>1743.11</v>
      </c>
      <c r="F111" s="35">
        <v>1647.37</v>
      </c>
      <c r="G111" s="35">
        <v>1632.14</v>
      </c>
      <c r="H111" s="35">
        <v>1588.55</v>
      </c>
      <c r="I111" s="35">
        <v>1579.77</v>
      </c>
      <c r="J111" s="35">
        <v>1616.19</v>
      </c>
      <c r="K111" s="35">
        <v>1581.17</v>
      </c>
      <c r="L111" s="35">
        <v>1677.92</v>
      </c>
      <c r="M111" s="35">
        <v>1600.49</v>
      </c>
      <c r="N111" s="35">
        <v>1674.39</v>
      </c>
      <c r="O111" s="35">
        <v>1672.24</v>
      </c>
      <c r="P111" s="35">
        <v>1651.71</v>
      </c>
      <c r="Q111" s="46"/>
      <c r="R111" s="46"/>
      <c r="S111" s="46"/>
      <c r="T111" s="46"/>
      <c r="U111" s="46"/>
      <c r="V111" s="229"/>
      <c r="W111" s="46"/>
      <c r="X111" s="210"/>
      <c r="Y111" s="118"/>
      <c r="AD111" s="67"/>
      <c r="AE111" s="67"/>
    </row>
    <row r="112" spans="1:31" ht="24.8" customHeight="1" thickBot="1" x14ac:dyDescent="0.4">
      <c r="A112" s="294"/>
      <c r="B112" s="78"/>
      <c r="C112" s="54" t="s">
        <v>199</v>
      </c>
      <c r="D112" s="93">
        <f t="shared" ref="D112:P112" si="33">IF(((D110="")*AND(D111="")),"",(D110-D111))</f>
        <v>5211.33</v>
      </c>
      <c r="E112" s="93">
        <f t="shared" si="33"/>
        <v>5252.8600000000006</v>
      </c>
      <c r="F112" s="93">
        <f t="shared" si="33"/>
        <v>5199.18</v>
      </c>
      <c r="G112" s="93">
        <f t="shared" si="33"/>
        <v>5271.7</v>
      </c>
      <c r="H112" s="93">
        <f t="shared" si="33"/>
        <v>5284.34</v>
      </c>
      <c r="I112" s="93">
        <f t="shared" si="33"/>
        <v>5307.7199999999993</v>
      </c>
      <c r="J112" s="93">
        <f t="shared" si="33"/>
        <v>5291.6900000000005</v>
      </c>
      <c r="K112" s="93">
        <f t="shared" si="33"/>
        <v>5294.59</v>
      </c>
      <c r="L112" s="93">
        <f t="shared" si="33"/>
        <v>5205.79</v>
      </c>
      <c r="M112" s="93">
        <f t="shared" si="33"/>
        <v>5309.8</v>
      </c>
      <c r="N112" s="93">
        <f t="shared" si="33"/>
        <v>5280.95</v>
      </c>
      <c r="O112" s="93">
        <f t="shared" si="33"/>
        <v>5242.59</v>
      </c>
      <c r="P112" s="93">
        <f t="shared" si="33"/>
        <v>5266.32</v>
      </c>
      <c r="Q112" s="78"/>
      <c r="R112" s="78"/>
      <c r="S112" s="78"/>
      <c r="T112" s="78"/>
      <c r="U112" s="78"/>
      <c r="V112" s="232"/>
      <c r="W112" s="78"/>
      <c r="X112" s="210"/>
      <c r="Y112" s="118"/>
      <c r="AD112" s="67"/>
      <c r="AE112" s="67"/>
    </row>
    <row r="113" spans="1:31" ht="12.75" customHeight="1" x14ac:dyDescent="0.25">
      <c r="A113" s="233">
        <v>42668</v>
      </c>
      <c r="B113" s="48" t="s">
        <v>204</v>
      </c>
      <c r="C113" s="54" t="s">
        <v>201</v>
      </c>
      <c r="D113" s="35">
        <v>5938.94</v>
      </c>
      <c r="E113" s="35">
        <v>6118.94</v>
      </c>
      <c r="F113" s="35">
        <v>6130.19</v>
      </c>
      <c r="G113" s="35">
        <v>6122.13</v>
      </c>
      <c r="H113" s="35">
        <v>5950.52</v>
      </c>
      <c r="I113" s="35">
        <v>6144.06</v>
      </c>
      <c r="J113" s="35">
        <v>6102.53</v>
      </c>
      <c r="K113" s="35">
        <v>6115.45</v>
      </c>
      <c r="L113" s="35">
        <v>6028.7</v>
      </c>
      <c r="M113" s="53"/>
      <c r="N113" s="53"/>
      <c r="O113" s="53"/>
      <c r="P113" s="53"/>
      <c r="Q113" s="48">
        <f>IF((L114=""),"",MAX(D115:L115))</f>
        <v>7028.6600000000008</v>
      </c>
      <c r="R113" s="48">
        <f>IF(L114="","",MIN(D115:L115))</f>
        <v>6508.7199999999993</v>
      </c>
      <c r="S113" s="75">
        <f>IF((L115=""),"",AVERAGE(D115:L115))</f>
        <v>6635.286666666666</v>
      </c>
      <c r="T113" s="51">
        <f>IF((L114=""),"",(Q113-R113)/(Q113+R113)*100)</f>
        <v>3.8407727344582288</v>
      </c>
      <c r="U113" s="48">
        <f>STDEV(D115:P115)</f>
        <v>173.04910748108531</v>
      </c>
      <c r="V113" s="228" t="str">
        <f>IF(L114="","",IF(T113&lt;7.3,IF(S113&gt;5700,IF(S113&lt;7200,"Pass","Fail"),"Fail"),"Fail"))</f>
        <v>Pass</v>
      </c>
      <c r="W113" s="55">
        <v>1400</v>
      </c>
      <c r="X113" s="210" t="s">
        <v>264</v>
      </c>
      <c r="Y113" s="119" t="s">
        <v>261</v>
      </c>
      <c r="Z113" s="37">
        <v>4955</v>
      </c>
      <c r="AA113" s="37">
        <v>9645</v>
      </c>
      <c r="AB113" s="37">
        <v>5100</v>
      </c>
      <c r="AC113" s="37">
        <v>8300</v>
      </c>
      <c r="AD113" s="67">
        <v>10</v>
      </c>
      <c r="AE113" s="67">
        <v>9.8000000000000007</v>
      </c>
    </row>
    <row r="114" spans="1:31" ht="12.75" customHeight="1" x14ac:dyDescent="0.35">
      <c r="A114" s="294"/>
      <c r="B114" s="46"/>
      <c r="C114" s="54" t="s">
        <v>200</v>
      </c>
      <c r="D114" s="35">
        <v>2669.6</v>
      </c>
      <c r="E114" s="35">
        <v>2864.58</v>
      </c>
      <c r="F114" s="35">
        <v>2862.61</v>
      </c>
      <c r="G114" s="35">
        <v>2794.64</v>
      </c>
      <c r="H114" s="35">
        <v>2550.91</v>
      </c>
      <c r="I114" s="35">
        <v>2629.73</v>
      </c>
      <c r="J114" s="35">
        <v>2816.68</v>
      </c>
      <c r="K114" s="35">
        <v>2848.32</v>
      </c>
      <c r="L114" s="35">
        <v>2755.6</v>
      </c>
      <c r="M114" s="53"/>
      <c r="N114" s="53"/>
      <c r="O114" s="53"/>
      <c r="P114" s="53"/>
      <c r="Q114" s="46"/>
      <c r="R114" s="46"/>
      <c r="S114" s="46"/>
      <c r="T114" s="46"/>
      <c r="U114" s="46"/>
      <c r="V114" s="229"/>
      <c r="W114" s="46"/>
      <c r="X114" s="210"/>
      <c r="Y114" s="118"/>
      <c r="AD114" s="67"/>
      <c r="AE114" s="67"/>
    </row>
    <row r="115" spans="1:31" ht="24.8" customHeight="1" thickBot="1" x14ac:dyDescent="0.4">
      <c r="A115" s="294"/>
      <c r="B115" s="42"/>
      <c r="C115" s="74" t="s">
        <v>199</v>
      </c>
      <c r="D115" s="81">
        <f t="shared" ref="D115:L115" si="34">IF(((D113="")*AND(D114="")),"",(D113-D114)*2)</f>
        <v>6538.6799999999994</v>
      </c>
      <c r="E115" s="81">
        <f t="shared" si="34"/>
        <v>6508.7199999999993</v>
      </c>
      <c r="F115" s="81">
        <f t="shared" si="34"/>
        <v>6535.1599999999989</v>
      </c>
      <c r="G115" s="81">
        <f t="shared" si="34"/>
        <v>6654.9800000000005</v>
      </c>
      <c r="H115" s="81">
        <f t="shared" si="34"/>
        <v>6799.2200000000012</v>
      </c>
      <c r="I115" s="81">
        <f t="shared" si="34"/>
        <v>7028.6600000000008</v>
      </c>
      <c r="J115" s="81">
        <f t="shared" si="34"/>
        <v>6571.7</v>
      </c>
      <c r="K115" s="81">
        <f t="shared" si="34"/>
        <v>6534.2599999999993</v>
      </c>
      <c r="L115" s="81">
        <f t="shared" si="34"/>
        <v>6546.2</v>
      </c>
      <c r="M115" s="81"/>
      <c r="N115" s="81"/>
      <c r="O115" s="81"/>
      <c r="P115" s="81" t="str">
        <f>IF(((P113="")*AND(P114="")),"",(P113-P114)*2)</f>
        <v/>
      </c>
      <c r="Q115" s="42"/>
      <c r="R115" s="42"/>
      <c r="S115" s="42"/>
      <c r="T115" s="42"/>
      <c r="U115" s="78"/>
      <c r="V115" s="230"/>
      <c r="W115" s="42"/>
      <c r="X115" s="210"/>
      <c r="Y115" s="117"/>
      <c r="AD115" s="67"/>
      <c r="AE115" s="67"/>
    </row>
    <row r="116" spans="1:31" ht="12.75" customHeight="1" x14ac:dyDescent="0.25">
      <c r="A116" s="233">
        <v>42674</v>
      </c>
      <c r="B116" s="55" t="s">
        <v>202</v>
      </c>
      <c r="C116" s="59" t="s">
        <v>201</v>
      </c>
      <c r="D116" s="35">
        <v>6782.02</v>
      </c>
      <c r="E116" s="35">
        <v>6915.45</v>
      </c>
      <c r="F116" s="35">
        <v>6751.75</v>
      </c>
      <c r="G116" s="35">
        <v>6804.12</v>
      </c>
      <c r="H116" s="35">
        <v>6795.09</v>
      </c>
      <c r="I116" s="35">
        <v>6798.07</v>
      </c>
      <c r="J116" s="35">
        <v>6804.41</v>
      </c>
      <c r="K116" s="35">
        <v>6771.34</v>
      </c>
      <c r="L116" s="35">
        <v>6787.41</v>
      </c>
      <c r="M116" s="35">
        <v>6804.85</v>
      </c>
      <c r="N116" s="35">
        <v>6870.02</v>
      </c>
      <c r="O116" s="35">
        <v>6816.48</v>
      </c>
      <c r="P116" s="35">
        <v>6828.97</v>
      </c>
      <c r="Q116" s="48">
        <f>IF((L117=""),"",MAX(D118:P118))</f>
        <v>5288.5599999999995</v>
      </c>
      <c r="R116" s="120">
        <f>IF(P117="","",MIN(D118:P118))</f>
        <v>5184.7700000000004</v>
      </c>
      <c r="S116" s="51">
        <f>IF((P118=""),"",AVERAGE(D118:P118))</f>
        <v>5234.7384615384617</v>
      </c>
      <c r="T116" s="51">
        <f>IF((P117=""),"",(Q116-R116)/(Q116+R116)*100)</f>
        <v>0.99099331349245223</v>
      </c>
      <c r="U116" s="50">
        <f>STDEV(D118:P118)</f>
        <v>36.054214466123419</v>
      </c>
      <c r="V116" s="231" t="str">
        <f>IF(P117="","",IF(T116&lt;2.7,IF(S116&gt;5150,IF(S116&lt;5600,"Pass","Fail"),"Fail"),"Fail"))</f>
        <v>Pass</v>
      </c>
      <c r="W116" s="55">
        <v>1400</v>
      </c>
      <c r="X116" s="210" t="s">
        <v>263</v>
      </c>
      <c r="Y116" s="119" t="s">
        <v>261</v>
      </c>
      <c r="Z116" s="251">
        <v>4470</v>
      </c>
      <c r="AA116" s="251">
        <v>6020</v>
      </c>
      <c r="AB116" s="251">
        <v>5150</v>
      </c>
      <c r="AC116" s="251">
        <v>5600</v>
      </c>
      <c r="AD116" s="67">
        <v>10</v>
      </c>
      <c r="AE116" s="252">
        <v>2.7</v>
      </c>
    </row>
    <row r="117" spans="1:31" ht="12.75" customHeight="1" x14ac:dyDescent="0.35">
      <c r="A117" s="294"/>
      <c r="B117" s="46"/>
      <c r="C117" s="54" t="s">
        <v>200</v>
      </c>
      <c r="D117" s="35">
        <v>1595.9</v>
      </c>
      <c r="E117" s="35">
        <v>1706.81</v>
      </c>
      <c r="F117" s="35">
        <v>1566.98</v>
      </c>
      <c r="G117" s="35">
        <v>1531.72</v>
      </c>
      <c r="H117" s="35">
        <v>1568.55</v>
      </c>
      <c r="I117" s="35">
        <v>1536.98</v>
      </c>
      <c r="J117" s="35">
        <v>1515.85</v>
      </c>
      <c r="K117" s="35">
        <v>1497.95</v>
      </c>
      <c r="L117" s="35">
        <v>1592.66</v>
      </c>
      <c r="M117" s="35">
        <v>1529.45</v>
      </c>
      <c r="N117" s="35">
        <v>1642.31</v>
      </c>
      <c r="O117" s="35">
        <v>1594.6</v>
      </c>
      <c r="P117" s="35">
        <v>1598.62</v>
      </c>
      <c r="Q117" s="46"/>
      <c r="R117" s="46"/>
      <c r="S117" s="46"/>
      <c r="T117" s="46"/>
      <c r="U117" s="46"/>
      <c r="V117" s="229"/>
      <c r="W117" s="46"/>
      <c r="X117" s="210"/>
      <c r="Y117" s="118"/>
      <c r="AD117" s="67"/>
      <c r="AE117" s="67"/>
    </row>
    <row r="118" spans="1:31" ht="24.8" customHeight="1" thickBot="1" x14ac:dyDescent="0.4">
      <c r="A118" s="294"/>
      <c r="B118" s="78"/>
      <c r="C118" s="54" t="s">
        <v>199</v>
      </c>
      <c r="D118" s="93">
        <f t="shared" ref="D118:P118" si="35">IF(((D116="")*AND(D117="")),"",(D116-D117))</f>
        <v>5186.1200000000008</v>
      </c>
      <c r="E118" s="93">
        <f t="shared" si="35"/>
        <v>5208.6399999999994</v>
      </c>
      <c r="F118" s="93">
        <f t="shared" si="35"/>
        <v>5184.7700000000004</v>
      </c>
      <c r="G118" s="93">
        <f t="shared" si="35"/>
        <v>5272.4</v>
      </c>
      <c r="H118" s="93">
        <f t="shared" si="35"/>
        <v>5226.54</v>
      </c>
      <c r="I118" s="93">
        <f t="shared" si="35"/>
        <v>5261.09</v>
      </c>
      <c r="J118" s="93">
        <f t="shared" si="35"/>
        <v>5288.5599999999995</v>
      </c>
      <c r="K118" s="93">
        <f t="shared" si="35"/>
        <v>5273.39</v>
      </c>
      <c r="L118" s="93">
        <f t="shared" si="35"/>
        <v>5194.75</v>
      </c>
      <c r="M118" s="93">
        <f t="shared" si="35"/>
        <v>5275.4000000000005</v>
      </c>
      <c r="N118" s="93">
        <f t="shared" si="35"/>
        <v>5227.7100000000009</v>
      </c>
      <c r="O118" s="93">
        <f t="shared" si="35"/>
        <v>5221.8799999999992</v>
      </c>
      <c r="P118" s="93">
        <f t="shared" si="35"/>
        <v>5230.3500000000004</v>
      </c>
      <c r="Q118" s="78"/>
      <c r="R118" s="78"/>
      <c r="S118" s="78"/>
      <c r="T118" s="78"/>
      <c r="U118" s="78"/>
      <c r="V118" s="232"/>
      <c r="W118" s="78"/>
      <c r="X118" s="210"/>
      <c r="Y118" s="118"/>
      <c r="AD118" s="67"/>
      <c r="AE118" s="67"/>
    </row>
    <row r="119" spans="1:31" ht="12.75" customHeight="1" x14ac:dyDescent="0.25">
      <c r="A119" s="233">
        <v>42674</v>
      </c>
      <c r="B119" s="48" t="s">
        <v>204</v>
      </c>
      <c r="C119" s="54" t="s">
        <v>201</v>
      </c>
      <c r="D119" s="35">
        <v>5941.5</v>
      </c>
      <c r="E119" s="35">
        <v>6121.16</v>
      </c>
      <c r="F119" s="35">
        <v>6133.32</v>
      </c>
      <c r="G119" s="35">
        <v>6124.54</v>
      </c>
      <c r="H119" s="35">
        <v>5959.55</v>
      </c>
      <c r="I119" s="35">
        <v>6256.47</v>
      </c>
      <c r="J119" s="35">
        <v>6106.11</v>
      </c>
      <c r="K119" s="35">
        <v>6115.59</v>
      </c>
      <c r="L119" s="35">
        <v>6029.64</v>
      </c>
      <c r="M119" s="53"/>
      <c r="N119" s="53"/>
      <c r="O119" s="53"/>
      <c r="P119" s="53"/>
      <c r="Q119" s="48">
        <f>IF((L120=""),"",MAX(D121:L121))</f>
        <v>7505.4600000000009</v>
      </c>
      <c r="R119" s="48">
        <f>IF(L120="","",MIN(D121:L121))</f>
        <v>6987.96</v>
      </c>
      <c r="S119" s="75">
        <f>IF((L121=""),"",AVERAGE(D121:L121))</f>
        <v>7162.6533333333327</v>
      </c>
      <c r="T119" s="51">
        <f>IF((L120=""),"",(Q119-R119)/(Q119+R119)*100)</f>
        <v>3.5705858244637971</v>
      </c>
      <c r="U119" s="48">
        <f>STDEV(D121:P121)</f>
        <v>140.95651457098421</v>
      </c>
      <c r="V119" s="228" t="str">
        <f>IF(L120="","",IF(T119&lt;7.3,IF(S119&gt;5700,IF(S119&lt;7200,"Pass","Fail"),"Fail"),"Fail"))</f>
        <v>Pass</v>
      </c>
      <c r="W119" s="55">
        <v>1400</v>
      </c>
      <c r="X119" s="210" t="s">
        <v>263</v>
      </c>
      <c r="Y119" s="119" t="s">
        <v>261</v>
      </c>
      <c r="Z119" s="37">
        <v>4955</v>
      </c>
      <c r="AA119" s="37">
        <v>9645</v>
      </c>
      <c r="AB119" s="37">
        <v>5100</v>
      </c>
      <c r="AC119" s="37">
        <v>8300</v>
      </c>
      <c r="AD119" s="67">
        <v>10</v>
      </c>
      <c r="AE119" s="67">
        <v>9.8000000000000007</v>
      </c>
    </row>
    <row r="120" spans="1:31" ht="12.75" customHeight="1" x14ac:dyDescent="0.35">
      <c r="A120" s="294"/>
      <c r="B120" s="46"/>
      <c r="C120" s="54" t="s">
        <v>200</v>
      </c>
      <c r="D120" s="35">
        <v>2447.52</v>
      </c>
      <c r="E120" s="35">
        <v>2549.35</v>
      </c>
      <c r="F120" s="35">
        <v>2569.3000000000002</v>
      </c>
      <c r="G120" s="35">
        <v>2526.62</v>
      </c>
      <c r="H120" s="35">
        <v>2418.84</v>
      </c>
      <c r="I120" s="35">
        <v>2503.7399999999998</v>
      </c>
      <c r="J120" s="35">
        <v>2541.37</v>
      </c>
      <c r="K120" s="35">
        <v>2543.08</v>
      </c>
      <c r="L120" s="35">
        <v>2456.12</v>
      </c>
      <c r="M120" s="53"/>
      <c r="N120" s="53"/>
      <c r="O120" s="53"/>
      <c r="P120" s="53"/>
      <c r="Q120" s="46"/>
      <c r="R120" s="46"/>
      <c r="S120" s="46"/>
      <c r="T120" s="46"/>
      <c r="U120" s="46"/>
      <c r="V120" s="229"/>
      <c r="W120" s="46"/>
      <c r="X120" s="210"/>
      <c r="Y120" s="118"/>
      <c r="AD120" s="67"/>
      <c r="AE120" s="67"/>
    </row>
    <row r="121" spans="1:31" ht="24.8" customHeight="1" thickBot="1" x14ac:dyDescent="0.4">
      <c r="A121" s="294"/>
      <c r="B121" s="42"/>
      <c r="C121" s="74" t="s">
        <v>199</v>
      </c>
      <c r="D121" s="81">
        <f t="shared" ref="D121:L121" si="36">IF(((D119="")*AND(D120="")),"",(D119-D120)*2)</f>
        <v>6987.96</v>
      </c>
      <c r="E121" s="81">
        <f t="shared" si="36"/>
        <v>7143.62</v>
      </c>
      <c r="F121" s="81">
        <f t="shared" si="36"/>
        <v>7128.0399999999991</v>
      </c>
      <c r="G121" s="81">
        <f t="shared" si="36"/>
        <v>7195.84</v>
      </c>
      <c r="H121" s="81">
        <f t="shared" si="36"/>
        <v>7081.42</v>
      </c>
      <c r="I121" s="81">
        <f t="shared" si="36"/>
        <v>7505.4600000000009</v>
      </c>
      <c r="J121" s="81">
        <f t="shared" si="36"/>
        <v>7129.48</v>
      </c>
      <c r="K121" s="81">
        <f t="shared" si="36"/>
        <v>7145.02</v>
      </c>
      <c r="L121" s="81">
        <f t="shared" si="36"/>
        <v>7147.0400000000009</v>
      </c>
      <c r="M121" s="81"/>
      <c r="N121" s="81"/>
      <c r="O121" s="81"/>
      <c r="P121" s="81" t="str">
        <f>IF(((P119="")*AND(P120="")),"",(P119-P120)*2)</f>
        <v/>
      </c>
      <c r="Q121" s="42"/>
      <c r="R121" s="42"/>
      <c r="S121" s="42"/>
      <c r="T121" s="42"/>
      <c r="U121" s="78"/>
      <c r="V121" s="230"/>
      <c r="W121" s="42"/>
      <c r="X121" s="210"/>
      <c r="Y121" s="117"/>
      <c r="AD121" s="67"/>
      <c r="AE121" s="67"/>
    </row>
    <row r="122" spans="1:31" ht="12.75" customHeight="1" x14ac:dyDescent="0.25">
      <c r="A122" s="233">
        <v>42678</v>
      </c>
      <c r="B122" s="55" t="s">
        <v>202</v>
      </c>
      <c r="C122" s="59" t="s">
        <v>201</v>
      </c>
      <c r="D122" s="35">
        <v>6785.13</v>
      </c>
      <c r="E122" s="35">
        <v>6914.14</v>
      </c>
      <c r="F122" s="35">
        <v>6757.38</v>
      </c>
      <c r="G122" s="35">
        <v>6824.67</v>
      </c>
      <c r="H122" s="35">
        <v>6778.28</v>
      </c>
      <c r="I122" s="35">
        <v>6800.52</v>
      </c>
      <c r="J122" s="35">
        <v>6828.38</v>
      </c>
      <c r="K122" s="35">
        <v>6795.48</v>
      </c>
      <c r="L122" s="35">
        <v>6795.9</v>
      </c>
      <c r="M122" s="35">
        <v>6824.14</v>
      </c>
      <c r="N122" s="35">
        <v>6864.62</v>
      </c>
      <c r="O122" s="35">
        <v>6824.94</v>
      </c>
      <c r="P122" s="35">
        <v>6823.33</v>
      </c>
      <c r="Q122" s="48">
        <f>IF((L123=""),"",MAX(D124:P124))</f>
        <v>5348.31</v>
      </c>
      <c r="R122" s="120">
        <f>IF(P123="","",MIN(D124:P124))</f>
        <v>5229.6000000000004</v>
      </c>
      <c r="S122" s="51">
        <f>IF((P124=""),"",AVERAGE(D124:P124))</f>
        <v>5297.3384615384621</v>
      </c>
      <c r="T122" s="51">
        <f>IF((P123=""),"",(Q122-R122)/(Q122+R122)*100)</f>
        <v>1.1222443753066536</v>
      </c>
      <c r="U122" s="50">
        <f>STDEV(D124:P124)</f>
        <v>42.46577638643344</v>
      </c>
      <c r="V122" s="231" t="str">
        <f>IF(P123="","",IF(T122&lt;2.7,IF(S122&gt;5150,IF(S122&lt;5600,"Pass","Fail"),"Fail"),"Fail"))</f>
        <v>Pass</v>
      </c>
      <c r="W122" s="55">
        <v>1400</v>
      </c>
      <c r="X122" s="210" t="s">
        <v>262</v>
      </c>
      <c r="Y122" s="119" t="s">
        <v>261</v>
      </c>
      <c r="Z122" s="251">
        <v>4470</v>
      </c>
      <c r="AA122" s="251">
        <v>6020</v>
      </c>
      <c r="AB122" s="251">
        <v>5150</v>
      </c>
      <c r="AC122" s="251">
        <v>5600</v>
      </c>
      <c r="AD122" s="67">
        <v>10</v>
      </c>
      <c r="AE122" s="252">
        <v>2.7</v>
      </c>
    </row>
    <row r="123" spans="1:31" ht="12.75" customHeight="1" x14ac:dyDescent="0.35">
      <c r="A123" s="294"/>
      <c r="B123" s="46"/>
      <c r="C123" s="54" t="s">
        <v>200</v>
      </c>
      <c r="D123" s="35">
        <v>1547.87</v>
      </c>
      <c r="E123" s="35">
        <v>1638.27</v>
      </c>
      <c r="F123" s="35">
        <v>1527.78</v>
      </c>
      <c r="G123" s="35">
        <v>1496.15</v>
      </c>
      <c r="H123" s="35">
        <v>1470.83</v>
      </c>
      <c r="I123" s="35">
        <v>1461.17</v>
      </c>
      <c r="J123" s="35">
        <v>1480.07</v>
      </c>
      <c r="K123" s="35">
        <v>1465.13</v>
      </c>
      <c r="L123" s="35">
        <v>1559.39</v>
      </c>
      <c r="M123" s="35">
        <v>1481.56</v>
      </c>
      <c r="N123" s="35">
        <v>1552.23</v>
      </c>
      <c r="O123" s="35">
        <v>1549.14</v>
      </c>
      <c r="P123" s="35">
        <v>1521.92</v>
      </c>
      <c r="Q123" s="46"/>
      <c r="R123" s="46"/>
      <c r="S123" s="46"/>
      <c r="T123" s="46"/>
      <c r="U123" s="46"/>
      <c r="V123" s="229"/>
      <c r="W123" s="46"/>
      <c r="X123" s="210"/>
      <c r="Y123" s="118"/>
      <c r="AD123" s="67"/>
      <c r="AE123" s="67"/>
    </row>
    <row r="124" spans="1:31" ht="24.8" customHeight="1" thickBot="1" x14ac:dyDescent="0.4">
      <c r="A124" s="294"/>
      <c r="B124" s="78"/>
      <c r="C124" s="54" t="s">
        <v>199</v>
      </c>
      <c r="D124" s="93">
        <f t="shared" ref="D124:P124" si="37">IF(((D122="")*AND(D123="")),"",(D122-D123))</f>
        <v>5237.26</v>
      </c>
      <c r="E124" s="93">
        <f t="shared" si="37"/>
        <v>5275.8700000000008</v>
      </c>
      <c r="F124" s="93">
        <f t="shared" si="37"/>
        <v>5229.6000000000004</v>
      </c>
      <c r="G124" s="93">
        <f t="shared" si="37"/>
        <v>5328.52</v>
      </c>
      <c r="H124" s="93">
        <f t="shared" si="37"/>
        <v>5307.45</v>
      </c>
      <c r="I124" s="93">
        <f t="shared" si="37"/>
        <v>5339.35</v>
      </c>
      <c r="J124" s="93">
        <f t="shared" si="37"/>
        <v>5348.31</v>
      </c>
      <c r="K124" s="93">
        <f t="shared" si="37"/>
        <v>5330.3499999999995</v>
      </c>
      <c r="L124" s="93">
        <f t="shared" si="37"/>
        <v>5236.5099999999993</v>
      </c>
      <c r="M124" s="93">
        <f t="shared" si="37"/>
        <v>5342.58</v>
      </c>
      <c r="N124" s="93">
        <f t="shared" si="37"/>
        <v>5312.3899999999994</v>
      </c>
      <c r="O124" s="93">
        <f t="shared" si="37"/>
        <v>5275.7999999999993</v>
      </c>
      <c r="P124" s="93">
        <f t="shared" si="37"/>
        <v>5301.41</v>
      </c>
      <c r="Q124" s="78"/>
      <c r="R124" s="78"/>
      <c r="S124" s="78"/>
      <c r="T124" s="78"/>
      <c r="U124" s="78"/>
      <c r="V124" s="232"/>
      <c r="W124" s="78"/>
      <c r="X124" s="210"/>
      <c r="Y124" s="118"/>
      <c r="AD124" s="67"/>
      <c r="AE124" s="67"/>
    </row>
    <row r="125" spans="1:31" ht="12.75" customHeight="1" x14ac:dyDescent="0.25">
      <c r="A125" s="233">
        <v>42678</v>
      </c>
      <c r="B125" s="48" t="s">
        <v>204</v>
      </c>
      <c r="C125" s="54" t="s">
        <v>201</v>
      </c>
      <c r="D125" s="35">
        <v>5953.81</v>
      </c>
      <c r="E125" s="35">
        <v>6111.48</v>
      </c>
      <c r="F125" s="35">
        <v>6128.32</v>
      </c>
      <c r="G125" s="35">
        <v>6122.81</v>
      </c>
      <c r="H125" s="35">
        <v>5960.13</v>
      </c>
      <c r="I125" s="35">
        <v>6250.75</v>
      </c>
      <c r="J125" s="35">
        <v>6105.17</v>
      </c>
      <c r="K125" s="35">
        <v>6120.38</v>
      </c>
      <c r="L125" s="35">
        <v>6032.2</v>
      </c>
      <c r="M125" s="53"/>
      <c r="N125" s="53"/>
      <c r="O125" s="53"/>
      <c r="P125" s="53"/>
      <c r="Q125" s="48">
        <f>IF((L126=""),"",MAX(D127:L127))</f>
        <v>6482.2</v>
      </c>
      <c r="R125" s="48">
        <f>IF(L126="","",MIN(D127:L127))</f>
        <v>6111.5199999999995</v>
      </c>
      <c r="S125" s="75">
        <f>IF((L127=""),"",AVERAGE(D127:L127))</f>
        <v>6228.1977777777765</v>
      </c>
      <c r="T125" s="51">
        <f>IF((L126=""),"",(Q125-R125)/(Q125+R125)*100)</f>
        <v>2.9433717757739597</v>
      </c>
      <c r="U125" s="48">
        <f>STDEV(D127:P127)</f>
        <v>113.62603198406806</v>
      </c>
      <c r="V125" s="228" t="str">
        <f>IF(L126="","",IF(T125&lt;7.3,IF(S125&gt;5700,IF(S125&lt;7200,"Pass","Fail"),"Fail"),"Fail"))</f>
        <v>Pass</v>
      </c>
      <c r="W125" s="55">
        <v>1400</v>
      </c>
      <c r="X125" s="210" t="s">
        <v>262</v>
      </c>
      <c r="Y125" s="119" t="s">
        <v>261</v>
      </c>
      <c r="Z125" s="37">
        <v>4955</v>
      </c>
      <c r="AA125" s="37">
        <v>9645</v>
      </c>
      <c r="AB125" s="37">
        <v>5100</v>
      </c>
      <c r="AC125" s="37">
        <v>8300</v>
      </c>
      <c r="AD125" s="67">
        <v>10</v>
      </c>
      <c r="AE125" s="67">
        <v>9.8000000000000007</v>
      </c>
    </row>
    <row r="126" spans="1:31" ht="12.75" customHeight="1" x14ac:dyDescent="0.35">
      <c r="A126" s="294"/>
      <c r="B126" s="46"/>
      <c r="C126" s="54" t="s">
        <v>200</v>
      </c>
      <c r="D126" s="35">
        <v>2854.91</v>
      </c>
      <c r="E126" s="35">
        <v>3055.72</v>
      </c>
      <c r="F126" s="35">
        <v>3066.59</v>
      </c>
      <c r="G126" s="35">
        <v>3008.01</v>
      </c>
      <c r="H126" s="35">
        <v>2819.56</v>
      </c>
      <c r="I126" s="35">
        <v>3009.65</v>
      </c>
      <c r="J126" s="35">
        <v>3031.47</v>
      </c>
      <c r="K126" s="35">
        <v>3021.53</v>
      </c>
      <c r="L126" s="35">
        <v>2890.72</v>
      </c>
      <c r="M126" s="53"/>
      <c r="N126" s="53"/>
      <c r="O126" s="53"/>
      <c r="P126" s="53"/>
      <c r="Q126" s="46"/>
      <c r="R126" s="46"/>
      <c r="S126" s="46"/>
      <c r="T126" s="46"/>
      <c r="U126" s="46"/>
      <c r="V126" s="229"/>
      <c r="W126" s="46"/>
      <c r="X126" s="210"/>
      <c r="Y126" s="118"/>
      <c r="AD126" s="67"/>
      <c r="AE126" s="67"/>
    </row>
    <row r="127" spans="1:31" ht="24.8" customHeight="1" thickBot="1" x14ac:dyDescent="0.4">
      <c r="A127" s="294"/>
      <c r="B127" s="42"/>
      <c r="C127" s="74" t="s">
        <v>199</v>
      </c>
      <c r="D127" s="81">
        <f t="shared" ref="D127:L127" si="38">IF(((D125="")*AND(D126="")),"",(D125-D126)*2)</f>
        <v>6197.8000000000011</v>
      </c>
      <c r="E127" s="81">
        <f t="shared" si="38"/>
        <v>6111.5199999999995</v>
      </c>
      <c r="F127" s="81">
        <f t="shared" si="38"/>
        <v>6123.4599999999991</v>
      </c>
      <c r="G127" s="81">
        <f t="shared" si="38"/>
        <v>6229.6</v>
      </c>
      <c r="H127" s="81">
        <f t="shared" si="38"/>
        <v>6281.14</v>
      </c>
      <c r="I127" s="81">
        <f t="shared" si="38"/>
        <v>6482.2</v>
      </c>
      <c r="J127" s="81">
        <f t="shared" si="38"/>
        <v>6147.4000000000005</v>
      </c>
      <c r="K127" s="81">
        <f t="shared" si="38"/>
        <v>6197.7</v>
      </c>
      <c r="L127" s="81">
        <f t="shared" si="38"/>
        <v>6282.96</v>
      </c>
      <c r="M127" s="81"/>
      <c r="N127" s="81"/>
      <c r="O127" s="81"/>
      <c r="P127" s="81" t="str">
        <f>IF(((P125="")*AND(P126="")),"",(P125-P126)*2)</f>
        <v/>
      </c>
      <c r="Q127" s="42"/>
      <c r="R127" s="42"/>
      <c r="S127" s="42"/>
      <c r="T127" s="42"/>
      <c r="U127" s="78"/>
      <c r="V127" s="230"/>
      <c r="W127" s="42"/>
      <c r="X127" s="210"/>
      <c r="Y127" s="117"/>
      <c r="AD127" s="67"/>
      <c r="AE127" s="67"/>
    </row>
    <row r="128" spans="1:31" ht="12.75" customHeight="1" x14ac:dyDescent="0.25">
      <c r="A128" s="233">
        <v>42682</v>
      </c>
      <c r="B128" s="55" t="s">
        <v>202</v>
      </c>
      <c r="C128" s="59" t="s">
        <v>201</v>
      </c>
      <c r="D128" s="35">
        <v>6629.16</v>
      </c>
      <c r="E128" s="35">
        <v>6748.12</v>
      </c>
      <c r="F128" s="35">
        <v>6624.64</v>
      </c>
      <c r="G128" s="35">
        <v>6686.51</v>
      </c>
      <c r="H128" s="35">
        <v>6605.86</v>
      </c>
      <c r="I128" s="35">
        <v>6659.52</v>
      </c>
      <c r="J128" s="35">
        <v>6692.83</v>
      </c>
      <c r="K128" s="35">
        <v>6650.85</v>
      </c>
      <c r="L128" s="35">
        <v>6667.25</v>
      </c>
      <c r="M128" s="35">
        <v>6693.8</v>
      </c>
      <c r="N128" s="35">
        <v>6708.17</v>
      </c>
      <c r="O128" s="35">
        <v>6692.38</v>
      </c>
      <c r="P128" s="35">
        <v>6667.07</v>
      </c>
      <c r="Q128" s="48">
        <f>IF((L129=""),"",MAX(D130:P130))</f>
        <v>5346.0599999999995</v>
      </c>
      <c r="R128" s="120">
        <f>IF(P129="","",MIN(D130:P130))</f>
        <v>5185.01</v>
      </c>
      <c r="S128" s="51">
        <f>IF((P130=""),"",AVERAGE(D130:P130))</f>
        <v>5239.3438461538462</v>
      </c>
      <c r="T128" s="51">
        <f>IF((P129=""),"",(Q128-R128)/(Q128+R128)*100)</f>
        <v>1.5292842987464643</v>
      </c>
      <c r="U128" s="50">
        <f>STDEV(D130:P130)</f>
        <v>52.972158652519468</v>
      </c>
      <c r="V128" s="231" t="str">
        <f>IF(P129="","",IF(T128&lt;2.7,IF(S128&gt;5150,IF(S128&lt;5600,"Pass","Fail"),"Fail"),"Fail"))</f>
        <v>Pass</v>
      </c>
      <c r="W128" s="55">
        <v>1428</v>
      </c>
      <c r="X128" s="210" t="s">
        <v>260</v>
      </c>
      <c r="Y128" s="119" t="s">
        <v>261</v>
      </c>
      <c r="Z128" s="251">
        <v>4470</v>
      </c>
      <c r="AA128" s="251">
        <v>6020</v>
      </c>
      <c r="AB128" s="251">
        <v>5150</v>
      </c>
      <c r="AC128" s="251">
        <v>5600</v>
      </c>
      <c r="AD128" s="67">
        <v>10</v>
      </c>
      <c r="AE128" s="252">
        <v>2.7</v>
      </c>
    </row>
    <row r="129" spans="1:31" ht="12.75" customHeight="1" x14ac:dyDescent="0.35">
      <c r="A129" s="294"/>
      <c r="B129" s="46"/>
      <c r="C129" s="54" t="s">
        <v>200</v>
      </c>
      <c r="D129" s="35">
        <v>1442.5</v>
      </c>
      <c r="E129" s="35">
        <v>1544.14</v>
      </c>
      <c r="F129" s="35">
        <v>1439.63</v>
      </c>
      <c r="G129" s="35">
        <v>1355.52</v>
      </c>
      <c r="H129" s="35">
        <v>1381.15</v>
      </c>
      <c r="I129" s="35">
        <v>1400.71</v>
      </c>
      <c r="J129" s="35">
        <v>1346.77</v>
      </c>
      <c r="K129" s="35">
        <v>1376.65</v>
      </c>
      <c r="L129" s="35">
        <v>1478.39</v>
      </c>
      <c r="M129" s="35">
        <v>1426.72</v>
      </c>
      <c r="N129" s="35">
        <v>1493.24</v>
      </c>
      <c r="O129" s="35">
        <v>1479.34</v>
      </c>
      <c r="P129" s="35">
        <v>1449.93</v>
      </c>
      <c r="Q129" s="46"/>
      <c r="R129" s="46"/>
      <c r="S129" s="46"/>
      <c r="T129" s="46"/>
      <c r="U129" s="46"/>
      <c r="V129" s="229"/>
      <c r="W129" s="46"/>
      <c r="X129" s="210"/>
      <c r="Y129" s="118"/>
    </row>
    <row r="130" spans="1:31" ht="24.8" customHeight="1" thickBot="1" x14ac:dyDescent="0.4">
      <c r="A130" s="294"/>
      <c r="B130" s="78"/>
      <c r="C130" s="54" t="s">
        <v>199</v>
      </c>
      <c r="D130" s="93">
        <f t="shared" ref="D130:P130" si="39">IF(((D128="")*AND(D129="")),"",(D128-D129))</f>
        <v>5186.66</v>
      </c>
      <c r="E130" s="93">
        <f t="shared" si="39"/>
        <v>5203.9799999999996</v>
      </c>
      <c r="F130" s="93">
        <f t="shared" si="39"/>
        <v>5185.01</v>
      </c>
      <c r="G130" s="93">
        <f t="shared" si="39"/>
        <v>5330.99</v>
      </c>
      <c r="H130" s="93">
        <f t="shared" si="39"/>
        <v>5224.7099999999991</v>
      </c>
      <c r="I130" s="93">
        <f t="shared" si="39"/>
        <v>5258.81</v>
      </c>
      <c r="J130" s="93">
        <f t="shared" si="39"/>
        <v>5346.0599999999995</v>
      </c>
      <c r="K130" s="93">
        <f t="shared" si="39"/>
        <v>5274.2000000000007</v>
      </c>
      <c r="L130" s="93">
        <f t="shared" si="39"/>
        <v>5188.8599999999997</v>
      </c>
      <c r="M130" s="93">
        <f t="shared" si="39"/>
        <v>5267.08</v>
      </c>
      <c r="N130" s="93">
        <f t="shared" si="39"/>
        <v>5214.93</v>
      </c>
      <c r="O130" s="93">
        <f t="shared" si="39"/>
        <v>5213.04</v>
      </c>
      <c r="P130" s="93">
        <f t="shared" si="39"/>
        <v>5217.1399999999994</v>
      </c>
      <c r="Q130" s="78"/>
      <c r="R130" s="78"/>
      <c r="S130" s="78"/>
      <c r="T130" s="78"/>
      <c r="U130" s="78"/>
      <c r="V130" s="232"/>
      <c r="W130" s="78"/>
      <c r="X130" s="210"/>
      <c r="Y130" s="118"/>
    </row>
    <row r="131" spans="1:31" ht="12.75" customHeight="1" x14ac:dyDescent="0.25">
      <c r="A131" s="233">
        <v>42682</v>
      </c>
      <c r="B131" s="48" t="s">
        <v>204</v>
      </c>
      <c r="C131" s="54" t="s">
        <v>201</v>
      </c>
      <c r="D131" s="35">
        <v>5961.81</v>
      </c>
      <c r="E131" s="35">
        <v>6105.32</v>
      </c>
      <c r="F131" s="35">
        <v>6128.07</v>
      </c>
      <c r="G131" s="35">
        <v>6116.6</v>
      </c>
      <c r="H131" s="35">
        <v>5964.44</v>
      </c>
      <c r="I131" s="35">
        <v>6106.37</v>
      </c>
      <c r="J131" s="35">
        <v>6096.88</v>
      </c>
      <c r="K131" s="35">
        <v>6106.03</v>
      </c>
      <c r="L131" s="35">
        <v>6031.98</v>
      </c>
      <c r="M131" s="53"/>
      <c r="N131" s="53"/>
      <c r="O131" s="53"/>
      <c r="P131" s="53"/>
      <c r="Q131" s="48">
        <f>IF((L132=""),"",MAX(D133:L133))</f>
        <v>6850.3</v>
      </c>
      <c r="R131" s="48">
        <f>IF(L132="","",MIN(D133:L133))</f>
        <v>6565.66</v>
      </c>
      <c r="S131" s="75">
        <f>IF((L133=""),"",AVERAGE(D133:L133))</f>
        <v>6676.76</v>
      </c>
      <c r="T131" s="51">
        <f>IF((L132=""),"",(Q131-R131)/(Q131+R131)*100)</f>
        <v>2.1216521218012008</v>
      </c>
      <c r="U131" s="48">
        <f>STDEV(D133:P133)</f>
        <v>93.820460455062857</v>
      </c>
      <c r="V131" s="228" t="str">
        <f>IF(L132="","",IF(T131&lt;7.3,IF(S131&gt;5700,IF(S131&lt;7200,"Pass","Fail"),"Fail"),"Fail"))</f>
        <v>Pass</v>
      </c>
      <c r="W131" s="55">
        <v>1428</v>
      </c>
      <c r="X131" s="210" t="s">
        <v>260</v>
      </c>
      <c r="Y131" s="119" t="s">
        <v>261</v>
      </c>
      <c r="Z131" s="37">
        <v>4955</v>
      </c>
      <c r="AA131" s="37">
        <v>9645</v>
      </c>
      <c r="AB131" s="37">
        <v>5100</v>
      </c>
      <c r="AC131" s="37">
        <v>8300</v>
      </c>
      <c r="AD131" s="67">
        <v>10</v>
      </c>
      <c r="AE131" s="67">
        <v>9.8000000000000007</v>
      </c>
    </row>
    <row r="132" spans="1:31" ht="12.75" customHeight="1" x14ac:dyDescent="0.35">
      <c r="A132" s="294"/>
      <c r="B132" s="46"/>
      <c r="C132" s="54" t="s">
        <v>200</v>
      </c>
      <c r="D132" s="35">
        <v>2622.6</v>
      </c>
      <c r="E132" s="35">
        <v>2822.49</v>
      </c>
      <c r="F132" s="35">
        <v>2836.51</v>
      </c>
      <c r="G132" s="35">
        <v>2773.66</v>
      </c>
      <c r="H132" s="35">
        <v>2601.9699999999998</v>
      </c>
      <c r="I132" s="35">
        <v>2681.22</v>
      </c>
      <c r="J132" s="35">
        <v>2794.74</v>
      </c>
      <c r="K132" s="35">
        <v>2792.75</v>
      </c>
      <c r="L132" s="35">
        <v>2646.14</v>
      </c>
      <c r="M132" s="53"/>
      <c r="N132" s="53"/>
      <c r="O132" s="53"/>
      <c r="P132" s="53"/>
      <c r="Q132" s="46"/>
      <c r="R132" s="46"/>
      <c r="S132" s="46"/>
      <c r="T132" s="46"/>
      <c r="U132" s="46"/>
      <c r="V132" s="229"/>
      <c r="W132" s="46"/>
      <c r="X132" s="210"/>
      <c r="Y132" s="118"/>
    </row>
    <row r="133" spans="1:31" ht="24.8" customHeight="1" thickBot="1" x14ac:dyDescent="0.4">
      <c r="A133" s="294"/>
      <c r="B133" s="42"/>
      <c r="C133" s="74" t="s">
        <v>199</v>
      </c>
      <c r="D133" s="81">
        <f t="shared" ref="D133:L133" si="40">IF(((D131="")*AND(D132="")),"",(D131-D132)*2)</f>
        <v>6678.420000000001</v>
      </c>
      <c r="E133" s="81">
        <f t="shared" si="40"/>
        <v>6565.66</v>
      </c>
      <c r="F133" s="81">
        <f t="shared" si="40"/>
        <v>6583.119999999999</v>
      </c>
      <c r="G133" s="81">
        <f t="shared" si="40"/>
        <v>6685.880000000001</v>
      </c>
      <c r="H133" s="81">
        <f t="shared" si="40"/>
        <v>6724.94</v>
      </c>
      <c r="I133" s="81">
        <f t="shared" si="40"/>
        <v>6850.3</v>
      </c>
      <c r="J133" s="81">
        <f t="shared" si="40"/>
        <v>6604.2800000000007</v>
      </c>
      <c r="K133" s="81">
        <f t="shared" si="40"/>
        <v>6626.5599999999995</v>
      </c>
      <c r="L133" s="81">
        <f t="shared" si="40"/>
        <v>6771.6799999999994</v>
      </c>
      <c r="M133" s="81"/>
      <c r="N133" s="81"/>
      <c r="O133" s="81"/>
      <c r="P133" s="81" t="str">
        <f>IF(((P131="")*AND(P132="")),"",(P131-P132)*2)</f>
        <v/>
      </c>
      <c r="Q133" s="42"/>
      <c r="R133" s="42"/>
      <c r="S133" s="42"/>
      <c r="T133" s="42"/>
      <c r="U133" s="78"/>
      <c r="V133" s="230"/>
      <c r="W133" s="42"/>
      <c r="X133" s="210"/>
      <c r="Y133" s="117"/>
    </row>
    <row r="134" spans="1:31" ht="12.75" customHeight="1" x14ac:dyDescent="0.25">
      <c r="A134" s="233">
        <v>42689</v>
      </c>
      <c r="B134" s="55" t="s">
        <v>202</v>
      </c>
      <c r="C134" s="59" t="s">
        <v>201</v>
      </c>
      <c r="D134" s="35">
        <v>6924.24</v>
      </c>
      <c r="E134" s="35">
        <v>7044</v>
      </c>
      <c r="F134" s="35">
        <v>6897.32</v>
      </c>
      <c r="G134" s="35">
        <v>6955.04</v>
      </c>
      <c r="H134" s="35">
        <v>6914.75</v>
      </c>
      <c r="I134" s="35">
        <v>6936.4</v>
      </c>
      <c r="J134" s="35">
        <v>6956.58</v>
      </c>
      <c r="K134" s="35">
        <v>6921.11</v>
      </c>
      <c r="L134" s="35">
        <v>6936.13</v>
      </c>
      <c r="M134" s="35">
        <v>6955.95</v>
      </c>
      <c r="N134" s="35">
        <v>6997.25</v>
      </c>
      <c r="O134" s="35">
        <v>6962.05</v>
      </c>
      <c r="P134" s="35">
        <v>6960.67</v>
      </c>
      <c r="Q134" s="48">
        <f>IF((L135=""),"",MAX(D136:P136))</f>
        <v>5322.9699999999993</v>
      </c>
      <c r="R134" s="48">
        <f>IF(L135="","",MIN(D136:L136))</f>
        <v>5211.2999999999993</v>
      </c>
      <c r="S134" s="51">
        <f>IF((P136=""),"",AVERAGE(D136:P136))</f>
        <v>5275.38</v>
      </c>
      <c r="T134" s="51">
        <f>IF((L135=""),"",(Q134-R134)/(Q134+R134)*100)</f>
        <v>1.060063962666612</v>
      </c>
      <c r="U134" s="48">
        <f>STDEV(D136:P136)</f>
        <v>38.057565607905097</v>
      </c>
      <c r="V134" s="231" t="str">
        <f>IF(P135="","",IF(T134&lt;2.7,IF(S134&gt;5150,IF(S134&lt;5600,"Pass","Fail"),"Fail"),"Fail"))</f>
        <v>Pass</v>
      </c>
      <c r="W134" s="55">
        <v>1159</v>
      </c>
      <c r="X134" s="94" t="s">
        <v>259</v>
      </c>
      <c r="Z134" s="251">
        <v>4470</v>
      </c>
      <c r="AA134" s="251">
        <v>6020</v>
      </c>
      <c r="AB134" s="251">
        <v>5150</v>
      </c>
      <c r="AC134" s="251">
        <v>5600</v>
      </c>
      <c r="AD134" s="67">
        <v>10</v>
      </c>
      <c r="AE134" s="252">
        <v>2.7</v>
      </c>
    </row>
    <row r="135" spans="1:31" ht="12.75" customHeight="1" x14ac:dyDescent="0.35">
      <c r="A135" s="294"/>
      <c r="B135" s="46"/>
      <c r="C135" s="54" t="s">
        <v>200</v>
      </c>
      <c r="D135" s="35">
        <v>1702.6</v>
      </c>
      <c r="E135" s="35">
        <v>1780.23</v>
      </c>
      <c r="F135" s="35">
        <v>1686.02</v>
      </c>
      <c r="G135" s="35">
        <v>1671.97</v>
      </c>
      <c r="H135" s="35">
        <v>1619.48</v>
      </c>
      <c r="I135" s="35">
        <v>1616.38</v>
      </c>
      <c r="J135" s="35">
        <v>1654.65</v>
      </c>
      <c r="K135" s="35">
        <v>1616.72</v>
      </c>
      <c r="L135" s="35">
        <v>1717.16</v>
      </c>
      <c r="M135" s="35">
        <v>1632.98</v>
      </c>
      <c r="N135" s="35">
        <v>1700.59</v>
      </c>
      <c r="O135" s="35">
        <v>1704.31</v>
      </c>
      <c r="P135" s="35">
        <v>1678.46</v>
      </c>
      <c r="Q135" s="46"/>
      <c r="R135" s="46"/>
      <c r="S135" s="46"/>
      <c r="T135" s="46"/>
      <c r="U135" s="46"/>
      <c r="V135" s="229"/>
      <c r="W135" s="46"/>
      <c r="X135" s="212"/>
      <c r="Y135" s="98"/>
    </row>
    <row r="136" spans="1:31" ht="24.8" customHeight="1" thickBot="1" x14ac:dyDescent="0.4">
      <c r="A136" s="294"/>
      <c r="B136" s="78"/>
      <c r="C136" s="54" t="s">
        <v>199</v>
      </c>
      <c r="D136" s="93">
        <f t="shared" ref="D136:P136" si="41">IF(((D134="")*AND(D135="")),"",(D134-D135))</f>
        <v>5221.6399999999994</v>
      </c>
      <c r="E136" s="93">
        <f t="shared" si="41"/>
        <v>5263.77</v>
      </c>
      <c r="F136" s="93">
        <f t="shared" si="41"/>
        <v>5211.2999999999993</v>
      </c>
      <c r="G136" s="93">
        <f t="shared" si="41"/>
        <v>5283.07</v>
      </c>
      <c r="H136" s="93">
        <f t="shared" si="41"/>
        <v>5295.27</v>
      </c>
      <c r="I136" s="93">
        <f t="shared" si="41"/>
        <v>5320.0199999999995</v>
      </c>
      <c r="J136" s="93">
        <f t="shared" si="41"/>
        <v>5301.93</v>
      </c>
      <c r="K136" s="93">
        <f t="shared" si="41"/>
        <v>5304.3899999999994</v>
      </c>
      <c r="L136" s="93">
        <f t="shared" si="41"/>
        <v>5218.97</v>
      </c>
      <c r="M136" s="93">
        <f t="shared" si="41"/>
        <v>5322.9699999999993</v>
      </c>
      <c r="N136" s="93">
        <f t="shared" si="41"/>
        <v>5296.66</v>
      </c>
      <c r="O136" s="93">
        <f t="shared" si="41"/>
        <v>5257.74</v>
      </c>
      <c r="P136" s="93">
        <f t="shared" si="41"/>
        <v>5282.21</v>
      </c>
      <c r="Q136" s="78"/>
      <c r="R136" s="78"/>
      <c r="S136" s="78"/>
      <c r="T136" s="78"/>
      <c r="U136" s="78"/>
      <c r="V136" s="232"/>
      <c r="W136" s="78"/>
      <c r="X136" s="212"/>
      <c r="Y136" s="98"/>
    </row>
    <row r="137" spans="1:31" ht="12.75" customHeight="1" x14ac:dyDescent="0.25">
      <c r="A137" s="233">
        <v>42689</v>
      </c>
      <c r="B137" s="48" t="s">
        <v>204</v>
      </c>
      <c r="C137" s="54" t="s">
        <v>201</v>
      </c>
      <c r="D137" s="35">
        <v>5946.34</v>
      </c>
      <c r="E137" s="35">
        <v>6117.44</v>
      </c>
      <c r="F137" s="35">
        <v>6128.64</v>
      </c>
      <c r="G137" s="35">
        <v>6123.9</v>
      </c>
      <c r="H137" s="35">
        <v>5972.3</v>
      </c>
      <c r="I137" s="35">
        <v>6283.14</v>
      </c>
      <c r="J137" s="35">
        <v>6109.91</v>
      </c>
      <c r="K137" s="35">
        <v>6116.88</v>
      </c>
      <c r="L137" s="35">
        <v>6035.61</v>
      </c>
      <c r="M137" s="53"/>
      <c r="N137" s="53"/>
      <c r="O137" s="53"/>
      <c r="P137" s="53"/>
      <c r="Q137" s="48">
        <f>IF((L138=""),"",MAX(D139:L139))</f>
        <v>7235.68</v>
      </c>
      <c r="R137" s="48">
        <f>IF(L138="","",MIN(D139:L139))</f>
        <v>6401.8600000000006</v>
      </c>
      <c r="S137" s="75">
        <f>IF((L139=""),"",AVERAGE(D139:L139))</f>
        <v>6559.4</v>
      </c>
      <c r="T137" s="51">
        <f>IF((L138=""),"",(Q137-R137)/(Q137+R137)*100)</f>
        <v>6.1141525524398066</v>
      </c>
      <c r="U137" s="48">
        <f>STDEV(D139:P139)</f>
        <v>270.67516287978856</v>
      </c>
      <c r="V137" s="228" t="str">
        <f>IF(L138="","",IF(T137&lt;7.3,IF(S137&gt;5700,IF(S137&lt;7200,"Pass","Fail"),"Fail"),"Fail"))</f>
        <v>Pass</v>
      </c>
      <c r="W137" s="55">
        <v>1159</v>
      </c>
      <c r="X137" s="94" t="s">
        <v>259</v>
      </c>
      <c r="Y137" s="94"/>
      <c r="Z137" s="37">
        <v>4955</v>
      </c>
      <c r="AA137" s="37">
        <v>9645</v>
      </c>
      <c r="AB137" s="37">
        <v>5100</v>
      </c>
      <c r="AC137" s="37">
        <v>8300</v>
      </c>
      <c r="AD137" s="67">
        <v>10</v>
      </c>
      <c r="AE137" s="67">
        <v>9.8000000000000007</v>
      </c>
    </row>
    <row r="138" spans="1:31" ht="12.75" customHeight="1" x14ac:dyDescent="0.35">
      <c r="A138" s="294"/>
      <c r="B138" s="46"/>
      <c r="C138" s="54" t="s">
        <v>200</v>
      </c>
      <c r="D138" s="35">
        <v>2736.96</v>
      </c>
      <c r="E138" s="35">
        <v>2910.52</v>
      </c>
      <c r="F138" s="35">
        <v>2927.71</v>
      </c>
      <c r="G138" s="35">
        <v>2850.13</v>
      </c>
      <c r="H138" s="35">
        <v>2624.87</v>
      </c>
      <c r="I138" s="35">
        <v>2665.3</v>
      </c>
      <c r="J138" s="35">
        <v>2871.39</v>
      </c>
      <c r="K138" s="35">
        <v>2900.28</v>
      </c>
      <c r="L138" s="35">
        <v>2829.7</v>
      </c>
      <c r="M138" s="53"/>
      <c r="N138" s="53"/>
      <c r="O138" s="53"/>
      <c r="P138" s="53"/>
      <c r="Q138" s="46"/>
      <c r="R138" s="46"/>
      <c r="S138" s="46"/>
      <c r="T138" s="46"/>
      <c r="U138" s="46"/>
      <c r="V138" s="229"/>
      <c r="W138" s="46"/>
      <c r="X138" s="98"/>
      <c r="Y138" s="98"/>
    </row>
    <row r="139" spans="1:31" ht="24.8" customHeight="1" thickBot="1" x14ac:dyDescent="0.4">
      <c r="A139" s="294"/>
      <c r="B139" s="42"/>
      <c r="C139" s="74" t="s">
        <v>199</v>
      </c>
      <c r="D139" s="81">
        <f t="shared" ref="D139:L139" si="42">IF(((D137="")*AND(D138="")),"",(D137-D138)*2)</f>
        <v>6418.76</v>
      </c>
      <c r="E139" s="81">
        <f t="shared" si="42"/>
        <v>6413.8399999999992</v>
      </c>
      <c r="F139" s="81">
        <f t="shared" si="42"/>
        <v>6401.8600000000006</v>
      </c>
      <c r="G139" s="81">
        <f t="shared" si="42"/>
        <v>6547.5399999999991</v>
      </c>
      <c r="H139" s="81">
        <f t="shared" si="42"/>
        <v>6694.8600000000006</v>
      </c>
      <c r="I139" s="81">
        <f t="shared" si="42"/>
        <v>7235.68</v>
      </c>
      <c r="J139" s="81">
        <f t="shared" si="42"/>
        <v>6477.04</v>
      </c>
      <c r="K139" s="81">
        <f t="shared" si="42"/>
        <v>6433.2</v>
      </c>
      <c r="L139" s="81">
        <f t="shared" si="42"/>
        <v>6411.82</v>
      </c>
      <c r="M139" s="81"/>
      <c r="N139" s="81"/>
      <c r="O139" s="81"/>
      <c r="P139" s="81" t="str">
        <f>IF(((P137="")*AND(P138="")),"",(P137-P138)*2)</f>
        <v/>
      </c>
      <c r="Q139" s="42"/>
      <c r="R139" s="42"/>
      <c r="S139" s="42"/>
      <c r="T139" s="42"/>
      <c r="U139" s="78"/>
      <c r="V139" s="230"/>
      <c r="W139" s="42"/>
      <c r="X139" s="97"/>
      <c r="Y139" s="97"/>
    </row>
    <row r="140" spans="1:31" ht="12.75" customHeight="1" x14ac:dyDescent="0.25">
      <c r="A140" s="40">
        <v>42692</v>
      </c>
      <c r="B140" s="48" t="s">
        <v>204</v>
      </c>
      <c r="C140" s="54" t="s">
        <v>201</v>
      </c>
      <c r="D140" s="35">
        <v>5948.39</v>
      </c>
      <c r="E140" s="35">
        <v>6116.29</v>
      </c>
      <c r="F140" s="35">
        <v>6135.46</v>
      </c>
      <c r="G140" s="35">
        <v>6124.16</v>
      </c>
      <c r="H140" s="35">
        <v>5972.46</v>
      </c>
      <c r="I140" s="35">
        <v>5932.1</v>
      </c>
      <c r="J140" s="35">
        <v>6106.77</v>
      </c>
      <c r="K140" s="35">
        <v>6116.83</v>
      </c>
      <c r="L140" s="35">
        <v>6034.3</v>
      </c>
      <c r="M140" s="53"/>
      <c r="N140" s="53"/>
      <c r="O140" s="53"/>
      <c r="P140" s="53"/>
      <c r="Q140" s="48">
        <f>IF((L141=""),"",MAX(D142:L142))</f>
        <v>7000.1</v>
      </c>
      <c r="R140" s="48">
        <f>IF(L141="","",MIN(D142:L142))</f>
        <v>6696.4800000000005</v>
      </c>
      <c r="S140" s="75">
        <f>IF((L142=""),"",AVERAGE(D142:L142))</f>
        <v>6885.66</v>
      </c>
      <c r="T140" s="51">
        <f>IF((L141=""),"",(Q140-R140)/(Q140+R140)*100)</f>
        <v>2.2167577599663555</v>
      </c>
      <c r="U140" s="48">
        <f>STDEV(D142:P142)</f>
        <v>86.78271717340948</v>
      </c>
      <c r="V140" s="228" t="str">
        <f>IF(L141="","",IF(T140&lt;7.3,IF(S140&gt;5700,IF(S140&lt;7200,"Pass","Fail"),"Fail"),"Fail"))</f>
        <v>Pass</v>
      </c>
      <c r="W140" s="55">
        <v>1335</v>
      </c>
      <c r="X140" s="94" t="s">
        <v>258</v>
      </c>
      <c r="Y140" s="94"/>
      <c r="Z140" s="37">
        <v>4955</v>
      </c>
      <c r="AA140" s="37">
        <v>9645</v>
      </c>
      <c r="AB140" s="37">
        <v>5100</v>
      </c>
      <c r="AC140" s="37">
        <v>8300</v>
      </c>
      <c r="AD140" s="67">
        <v>10</v>
      </c>
      <c r="AE140" s="67">
        <v>9.8000000000000007</v>
      </c>
    </row>
    <row r="141" spans="1:31" ht="12.75" customHeight="1" x14ac:dyDescent="0.35">
      <c r="A141" s="294"/>
      <c r="B141" s="46"/>
      <c r="C141" s="54" t="s">
        <v>200</v>
      </c>
      <c r="D141" s="35">
        <v>2518.0300000000002</v>
      </c>
      <c r="E141" s="35">
        <v>2686.57</v>
      </c>
      <c r="F141" s="35">
        <v>2708.35</v>
      </c>
      <c r="G141" s="35">
        <v>2641.57</v>
      </c>
      <c r="H141" s="35">
        <v>2505.79</v>
      </c>
      <c r="I141" s="35">
        <v>2583.86</v>
      </c>
      <c r="J141" s="35">
        <v>2657.79</v>
      </c>
      <c r="K141" s="35">
        <v>2665.08</v>
      </c>
      <c r="L141" s="35">
        <v>2534.25</v>
      </c>
      <c r="M141" s="53"/>
      <c r="N141" s="53"/>
      <c r="O141" s="53"/>
      <c r="P141" s="53"/>
      <c r="Q141" s="46"/>
      <c r="R141" s="46"/>
      <c r="S141" s="46"/>
      <c r="T141" s="46"/>
      <c r="U141" s="46"/>
      <c r="V141" s="229"/>
      <c r="W141" s="46"/>
      <c r="X141" s="98"/>
      <c r="Y141" s="98"/>
    </row>
    <row r="142" spans="1:31" ht="24.8" customHeight="1" thickBot="1" x14ac:dyDescent="0.4">
      <c r="A142" s="294"/>
      <c r="B142" s="42"/>
      <c r="C142" s="74" t="s">
        <v>199</v>
      </c>
      <c r="D142" s="81">
        <f t="shared" ref="D142:L142" si="43">IF(((D140="")*AND(D141="")),"",(D140-D141)*2)</f>
        <v>6860.72</v>
      </c>
      <c r="E142" s="81">
        <f t="shared" si="43"/>
        <v>6859.44</v>
      </c>
      <c r="F142" s="81">
        <f t="shared" si="43"/>
        <v>6854.22</v>
      </c>
      <c r="G142" s="81">
        <f t="shared" si="43"/>
        <v>6965.1799999999994</v>
      </c>
      <c r="H142" s="81">
        <f t="shared" si="43"/>
        <v>6933.34</v>
      </c>
      <c r="I142" s="81">
        <f t="shared" si="43"/>
        <v>6696.4800000000005</v>
      </c>
      <c r="J142" s="81">
        <f t="shared" si="43"/>
        <v>6897.9600000000009</v>
      </c>
      <c r="K142" s="81">
        <f t="shared" si="43"/>
        <v>6903.5</v>
      </c>
      <c r="L142" s="81">
        <f t="shared" si="43"/>
        <v>7000.1</v>
      </c>
      <c r="M142" s="81"/>
      <c r="N142" s="81"/>
      <c r="O142" s="81"/>
      <c r="P142" s="81" t="str">
        <f>IF(((P140="")*AND(P141="")),"",(P140-P141)*2)</f>
        <v/>
      </c>
      <c r="Q142" s="42"/>
      <c r="R142" s="42"/>
      <c r="S142" s="42"/>
      <c r="T142" s="42"/>
      <c r="U142" s="78"/>
      <c r="V142" s="230"/>
      <c r="W142" s="42"/>
      <c r="X142" s="98"/>
      <c r="Y142" s="98"/>
    </row>
    <row r="143" spans="1:31" ht="12.75" customHeight="1" x14ac:dyDescent="0.25">
      <c r="A143" s="40">
        <v>42692</v>
      </c>
      <c r="B143" s="55" t="s">
        <v>202</v>
      </c>
      <c r="C143" s="59" t="s">
        <v>201</v>
      </c>
      <c r="D143" s="35">
        <v>6799.18</v>
      </c>
      <c r="E143" s="35">
        <v>6926.18</v>
      </c>
      <c r="F143" s="35">
        <v>6775.03</v>
      </c>
      <c r="G143" s="35">
        <v>6823.98</v>
      </c>
      <c r="H143" s="35">
        <v>6799.51</v>
      </c>
      <c r="I143" s="35">
        <v>6815.13</v>
      </c>
      <c r="J143" s="35">
        <v>6824.35</v>
      </c>
      <c r="K143" s="35">
        <v>6788.29</v>
      </c>
      <c r="L143" s="35">
        <v>6814.39</v>
      </c>
      <c r="M143" s="35">
        <v>6825.24</v>
      </c>
      <c r="N143" s="35">
        <v>6883.1</v>
      </c>
      <c r="O143" s="35">
        <v>6839.65</v>
      </c>
      <c r="P143" s="35">
        <v>6840.26</v>
      </c>
      <c r="Q143" s="48">
        <f>IF((L144=""),"",MAX(D145:P145))</f>
        <v>5304.18</v>
      </c>
      <c r="R143" s="48">
        <f>IF(L144="","",MIN(D145:L145))</f>
        <v>5203.1299999999992</v>
      </c>
      <c r="S143" s="51">
        <f>IF((P145=""),"",AVERAGE(D145:P145))</f>
        <v>5250.4346153846145</v>
      </c>
      <c r="T143" s="51">
        <f>IF((L144=""),"",(Q143-R143)/(Q143+R143)*100)</f>
        <v>0.96171141805087224</v>
      </c>
      <c r="U143" s="48">
        <f>STDEV(D145:P145)</f>
        <v>35.065967503023053</v>
      </c>
      <c r="V143" s="231" t="str">
        <f>IF(P144="","",IF(T143&lt;2.7,IF(S143&gt;5150,IF(S143&lt;5600,"Pass","Fail"),"Fail"),"Fail"))</f>
        <v>Pass</v>
      </c>
      <c r="W143" s="55">
        <v>1335</v>
      </c>
      <c r="X143" s="94" t="s">
        <v>258</v>
      </c>
      <c r="Y143" s="94"/>
      <c r="Z143" s="251">
        <v>4470</v>
      </c>
      <c r="AA143" s="251">
        <v>6020</v>
      </c>
      <c r="AB143" s="251">
        <v>5150</v>
      </c>
      <c r="AC143" s="251">
        <v>5600</v>
      </c>
      <c r="AD143" s="67">
        <v>10</v>
      </c>
      <c r="AE143" s="252">
        <v>2.7</v>
      </c>
    </row>
    <row r="144" spans="1:31" ht="12.75" customHeight="1" x14ac:dyDescent="0.35">
      <c r="A144" s="294"/>
      <c r="B144" s="46"/>
      <c r="C144" s="54" t="s">
        <v>200</v>
      </c>
      <c r="D144" s="35">
        <v>1593.3</v>
      </c>
      <c r="E144" s="35">
        <v>1702.53</v>
      </c>
      <c r="F144" s="35">
        <v>1571.9</v>
      </c>
      <c r="G144" s="35">
        <v>1537.64</v>
      </c>
      <c r="H144" s="35">
        <v>1558.81</v>
      </c>
      <c r="I144" s="35">
        <v>1537.22</v>
      </c>
      <c r="J144" s="35">
        <v>1520.17</v>
      </c>
      <c r="K144" s="35">
        <v>1500.8</v>
      </c>
      <c r="L144" s="35">
        <v>1602.69</v>
      </c>
      <c r="M144" s="35">
        <v>1534.3</v>
      </c>
      <c r="N144" s="35">
        <v>1640.6</v>
      </c>
      <c r="O144" s="35">
        <v>1602.02</v>
      </c>
      <c r="P144" s="35">
        <v>1596.66</v>
      </c>
      <c r="Q144" s="46"/>
      <c r="R144" s="46"/>
      <c r="S144" s="46"/>
      <c r="T144" s="46"/>
      <c r="U144" s="46"/>
      <c r="V144" s="229"/>
      <c r="W144" s="46"/>
      <c r="X144" s="98"/>
      <c r="Y144" s="98"/>
    </row>
    <row r="145" spans="1:31" ht="24.8" customHeight="1" thickBot="1" x14ac:dyDescent="0.4">
      <c r="A145" s="294"/>
      <c r="B145" s="46"/>
      <c r="C145" s="48" t="s">
        <v>199</v>
      </c>
      <c r="D145" s="52">
        <f t="shared" ref="D145:P145" si="44">IF(((D143="")*AND(D144="")),"",(D143-D144))</f>
        <v>5205.88</v>
      </c>
      <c r="E145" s="52">
        <f t="shared" si="44"/>
        <v>5223.6500000000005</v>
      </c>
      <c r="F145" s="52">
        <f t="shared" si="44"/>
        <v>5203.1299999999992</v>
      </c>
      <c r="G145" s="52">
        <f t="shared" si="44"/>
        <v>5286.3399999999992</v>
      </c>
      <c r="H145" s="52">
        <f t="shared" si="44"/>
        <v>5240.7000000000007</v>
      </c>
      <c r="I145" s="52">
        <f t="shared" si="44"/>
        <v>5277.91</v>
      </c>
      <c r="J145" s="52">
        <f t="shared" si="44"/>
        <v>5304.18</v>
      </c>
      <c r="K145" s="52">
        <f t="shared" si="44"/>
        <v>5287.49</v>
      </c>
      <c r="L145" s="52">
        <f t="shared" si="44"/>
        <v>5211.7000000000007</v>
      </c>
      <c r="M145" s="52">
        <f t="shared" si="44"/>
        <v>5290.94</v>
      </c>
      <c r="N145" s="52">
        <f t="shared" si="44"/>
        <v>5242.5</v>
      </c>
      <c r="O145" s="52">
        <f t="shared" si="44"/>
        <v>5237.6299999999992</v>
      </c>
      <c r="P145" s="52">
        <f t="shared" si="44"/>
        <v>5243.6</v>
      </c>
      <c r="Q145" s="46"/>
      <c r="R145" s="46"/>
      <c r="S145" s="46"/>
      <c r="T145" s="46"/>
      <c r="U145" s="46"/>
      <c r="V145" s="229"/>
      <c r="W145" s="46"/>
      <c r="X145" s="97"/>
      <c r="Y145" s="97"/>
    </row>
    <row r="146" spans="1:31" ht="12.75" customHeight="1" x14ac:dyDescent="0.25">
      <c r="A146" s="113">
        <v>42697</v>
      </c>
      <c r="B146" s="55" t="s">
        <v>204</v>
      </c>
      <c r="C146" s="59" t="s">
        <v>201</v>
      </c>
      <c r="D146" s="85">
        <v>5949.94</v>
      </c>
      <c r="E146" s="85">
        <v>6110.17</v>
      </c>
      <c r="F146" s="85">
        <v>6128.35</v>
      </c>
      <c r="G146" s="85">
        <v>6125.39</v>
      </c>
      <c r="H146" s="85">
        <v>5967.46</v>
      </c>
      <c r="I146" s="85">
        <v>6212.1</v>
      </c>
      <c r="J146" s="85">
        <v>6099.32</v>
      </c>
      <c r="K146" s="85">
        <v>6116.3</v>
      </c>
      <c r="L146" s="85">
        <v>6033.9</v>
      </c>
      <c r="M146" s="58"/>
      <c r="N146" s="58"/>
      <c r="O146" s="58"/>
      <c r="P146" s="58"/>
      <c r="Q146" s="55">
        <f>IF((L147=""),"",MAX(D148:L148))</f>
        <v>7032.2400000000007</v>
      </c>
      <c r="R146" s="55">
        <f>IF(L147="","",MIN(D148:L148))</f>
        <v>6433.28</v>
      </c>
      <c r="S146" s="57">
        <f>IF((L148=""),"",AVERAGE(D148:L148))</f>
        <v>6562.8355555555554</v>
      </c>
      <c r="T146" s="51">
        <f>IF((L147=""),"",(Q146-R146)/(Q146+R146)*100)</f>
        <v>4.4481015215157003</v>
      </c>
      <c r="U146" s="55">
        <f>STDEV(D148:P148)</f>
        <v>193.22264302554677</v>
      </c>
      <c r="V146" s="228" t="str">
        <f>IF(L147="","",IF(T146&lt;7.3,IF(S146&gt;5700,IF(S146&lt;7200,"Pass","Fail"),"Fail"),"Fail"))</f>
        <v>Pass</v>
      </c>
      <c r="W146" s="55">
        <v>1335</v>
      </c>
      <c r="X146" s="94" t="s">
        <v>257</v>
      </c>
      <c r="Y146" s="94"/>
      <c r="Z146" s="37">
        <v>4955</v>
      </c>
      <c r="AA146" s="37">
        <v>9645</v>
      </c>
      <c r="AB146" s="37">
        <v>5100</v>
      </c>
      <c r="AC146" s="37">
        <v>8300</v>
      </c>
      <c r="AD146" s="67">
        <v>10</v>
      </c>
      <c r="AE146" s="67">
        <v>9.8000000000000007</v>
      </c>
    </row>
    <row r="147" spans="1:31" ht="12.75" customHeight="1" x14ac:dyDescent="0.35">
      <c r="A147" s="294"/>
      <c r="B147" s="46"/>
      <c r="C147" s="54" t="s">
        <v>200</v>
      </c>
      <c r="D147" s="84">
        <v>2703.3</v>
      </c>
      <c r="E147" s="84">
        <v>2893.53</v>
      </c>
      <c r="F147" s="84">
        <v>2911.43</v>
      </c>
      <c r="G147" s="84">
        <v>2842.37</v>
      </c>
      <c r="H147" s="84">
        <v>2623.43</v>
      </c>
      <c r="I147" s="84">
        <v>2695.98</v>
      </c>
      <c r="J147" s="84">
        <v>2859.31</v>
      </c>
      <c r="K147" s="84">
        <v>2884.33</v>
      </c>
      <c r="L147" s="84">
        <v>2796.49</v>
      </c>
      <c r="M147" s="53"/>
      <c r="N147" s="53"/>
      <c r="O147" s="53"/>
      <c r="P147" s="53"/>
      <c r="Q147" s="46"/>
      <c r="R147" s="46"/>
      <c r="S147" s="46"/>
      <c r="T147" s="46"/>
      <c r="U147" s="46"/>
      <c r="V147" s="229"/>
      <c r="W147" s="46"/>
      <c r="X147" s="98"/>
      <c r="Y147" s="98"/>
    </row>
    <row r="148" spans="1:31" ht="23.95" customHeight="1" thickBot="1" x14ac:dyDescent="0.4">
      <c r="A148" s="294"/>
      <c r="B148" s="78"/>
      <c r="C148" s="54" t="s">
        <v>199</v>
      </c>
      <c r="D148" s="93">
        <f t="shared" ref="D148:L148" si="45">IF(((D146="")*AND(D147="")),"",(D146-D147)*2)</f>
        <v>6493.2799999999988</v>
      </c>
      <c r="E148" s="93">
        <f t="shared" si="45"/>
        <v>6433.28</v>
      </c>
      <c r="F148" s="93">
        <f t="shared" si="45"/>
        <v>6433.8400000000011</v>
      </c>
      <c r="G148" s="93">
        <f t="shared" si="45"/>
        <v>6566.0400000000009</v>
      </c>
      <c r="H148" s="93">
        <f t="shared" si="45"/>
        <v>6688.06</v>
      </c>
      <c r="I148" s="93">
        <f t="shared" si="45"/>
        <v>7032.2400000000007</v>
      </c>
      <c r="J148" s="93">
        <f t="shared" si="45"/>
        <v>6480.0199999999995</v>
      </c>
      <c r="K148" s="93">
        <f t="shared" si="45"/>
        <v>6463.9400000000005</v>
      </c>
      <c r="L148" s="93">
        <f t="shared" si="45"/>
        <v>6474.82</v>
      </c>
      <c r="M148" s="93"/>
      <c r="N148" s="93"/>
      <c r="O148" s="93"/>
      <c r="P148" s="93" t="str">
        <f>IF(((P146="")*AND(P147="")),"",(P146-P147)*2)</f>
        <v/>
      </c>
      <c r="Q148" s="78"/>
      <c r="R148" s="78"/>
      <c r="S148" s="78"/>
      <c r="T148" s="78"/>
      <c r="U148" s="78"/>
      <c r="V148" s="232"/>
      <c r="W148" s="78"/>
      <c r="X148" s="98"/>
      <c r="Y148" s="98"/>
    </row>
    <row r="149" spans="1:31" ht="12.75" customHeight="1" x14ac:dyDescent="0.25">
      <c r="A149" s="111">
        <v>42697</v>
      </c>
      <c r="B149" s="46" t="s">
        <v>202</v>
      </c>
      <c r="C149" s="78" t="s">
        <v>201</v>
      </c>
      <c r="D149" s="84">
        <v>6792.13</v>
      </c>
      <c r="E149" s="84">
        <v>6913.49</v>
      </c>
      <c r="F149" s="84">
        <v>6777.22</v>
      </c>
      <c r="G149" s="84">
        <v>6831.16</v>
      </c>
      <c r="H149" s="84">
        <v>6781</v>
      </c>
      <c r="I149" s="84">
        <v>6811.73</v>
      </c>
      <c r="J149" s="84">
        <v>6833.57</v>
      </c>
      <c r="K149" s="84">
        <v>6795.22</v>
      </c>
      <c r="L149" s="84">
        <v>6819.67</v>
      </c>
      <c r="M149" s="84">
        <v>6834.77</v>
      </c>
      <c r="N149" s="84">
        <v>6872.6</v>
      </c>
      <c r="O149" s="84">
        <v>6842.46</v>
      </c>
      <c r="P149" s="84">
        <v>6831.59</v>
      </c>
      <c r="Q149" s="48">
        <f>IF((L150=""),"",MAX(D151:P151))</f>
        <v>5315.0199999999995</v>
      </c>
      <c r="R149" s="46">
        <f>IF(L150="","",MIN(D151:L151))</f>
        <v>5196.43</v>
      </c>
      <c r="S149" s="51">
        <f>IF((P151=""),"",AVERAGE(D151:P151))</f>
        <v>5265.8538461538465</v>
      </c>
      <c r="T149" s="105">
        <f>IF((L150=""),"",(Q149-R149)/(Q149+R149)*100)</f>
        <v>1.1281982980464087</v>
      </c>
      <c r="U149" s="46">
        <f>STDEV(D151:P151)</f>
        <v>42.62525455221369</v>
      </c>
      <c r="V149" s="231" t="str">
        <f>IF(P150="","",IF(T149&lt;2.7,IF(S149&gt;5150,IF(S149&lt;5600,"Pass","Fail"),"Fail"),"Fail"))</f>
        <v>Pass</v>
      </c>
      <c r="W149" s="46">
        <v>1335</v>
      </c>
      <c r="X149" s="98" t="s">
        <v>257</v>
      </c>
      <c r="Y149" s="98"/>
      <c r="Z149" s="251">
        <v>4470</v>
      </c>
      <c r="AA149" s="251">
        <v>6020</v>
      </c>
      <c r="AB149" s="251">
        <v>5150</v>
      </c>
      <c r="AC149" s="251">
        <v>5600</v>
      </c>
      <c r="AD149" s="67">
        <v>10</v>
      </c>
      <c r="AE149" s="252">
        <v>2.7</v>
      </c>
    </row>
    <row r="150" spans="1:31" ht="12.75" customHeight="1" x14ac:dyDescent="0.35">
      <c r="A150" s="294"/>
      <c r="B150" s="46"/>
      <c r="C150" s="54" t="s">
        <v>200</v>
      </c>
      <c r="D150" s="84">
        <v>1582.03</v>
      </c>
      <c r="E150" s="84">
        <v>1665.12</v>
      </c>
      <c r="F150" s="84">
        <v>1580.79</v>
      </c>
      <c r="G150" s="84">
        <v>1516.14</v>
      </c>
      <c r="H150" s="84">
        <v>1500.19</v>
      </c>
      <c r="I150" s="84">
        <v>1507.84</v>
      </c>
      <c r="J150" s="84">
        <v>1518.93</v>
      </c>
      <c r="K150" s="84">
        <v>1499.21</v>
      </c>
      <c r="L150" s="84">
        <v>1616.69</v>
      </c>
      <c r="M150" s="84">
        <v>1531.14</v>
      </c>
      <c r="N150" s="84">
        <v>1594.63</v>
      </c>
      <c r="O150" s="84">
        <v>1602.39</v>
      </c>
      <c r="P150" s="84">
        <v>1565.41</v>
      </c>
      <c r="Q150" s="46"/>
      <c r="R150" s="46"/>
      <c r="S150" s="46"/>
      <c r="T150" s="46"/>
      <c r="U150" s="46"/>
      <c r="V150" s="229"/>
      <c r="W150" s="46"/>
      <c r="X150" s="98"/>
      <c r="Y150" s="98"/>
    </row>
    <row r="151" spans="1:31" ht="24.8" customHeight="1" thickBot="1" x14ac:dyDescent="0.4">
      <c r="A151" s="294"/>
      <c r="B151" s="42"/>
      <c r="C151" s="74" t="s">
        <v>199</v>
      </c>
      <c r="D151" s="81">
        <f t="shared" ref="D151:P151" si="46">IF(((D149="")*AND(D150="")),"",(D149-D150))</f>
        <v>5210.1000000000004</v>
      </c>
      <c r="E151" s="81">
        <f t="shared" si="46"/>
        <v>5248.37</v>
      </c>
      <c r="F151" s="81">
        <f t="shared" si="46"/>
        <v>5196.43</v>
      </c>
      <c r="G151" s="81">
        <f t="shared" si="46"/>
        <v>5315.0199999999995</v>
      </c>
      <c r="H151" s="81">
        <f t="shared" si="46"/>
        <v>5280.8099999999995</v>
      </c>
      <c r="I151" s="81">
        <f t="shared" si="46"/>
        <v>5303.8899999999994</v>
      </c>
      <c r="J151" s="81">
        <f t="shared" si="46"/>
        <v>5314.6399999999994</v>
      </c>
      <c r="K151" s="81">
        <f t="shared" si="46"/>
        <v>5296.01</v>
      </c>
      <c r="L151" s="81">
        <f t="shared" si="46"/>
        <v>5202.9799999999996</v>
      </c>
      <c r="M151" s="81">
        <f t="shared" si="46"/>
        <v>5303.63</v>
      </c>
      <c r="N151" s="81">
        <f t="shared" si="46"/>
        <v>5277.97</v>
      </c>
      <c r="O151" s="81">
        <f t="shared" si="46"/>
        <v>5240.07</v>
      </c>
      <c r="P151" s="81">
        <f t="shared" si="46"/>
        <v>5266.18</v>
      </c>
      <c r="Q151" s="42"/>
      <c r="R151" s="42"/>
      <c r="S151" s="42"/>
      <c r="T151" s="42"/>
      <c r="U151" s="42"/>
      <c r="V151" s="230"/>
      <c r="W151" s="42"/>
      <c r="X151" s="97"/>
      <c r="Y151" s="97"/>
    </row>
    <row r="152" spans="1:31" ht="12.75" customHeight="1" x14ac:dyDescent="0.25">
      <c r="A152" s="112">
        <v>42706</v>
      </c>
      <c r="B152" s="55" t="s">
        <v>202</v>
      </c>
      <c r="C152" s="59" t="s">
        <v>201</v>
      </c>
      <c r="D152" s="85">
        <v>10980.13</v>
      </c>
      <c r="E152" s="85">
        <v>11183.76</v>
      </c>
      <c r="F152" s="85">
        <v>10992.63</v>
      </c>
      <c r="G152" s="85">
        <v>11106.25</v>
      </c>
      <c r="H152" s="85">
        <v>10935.86</v>
      </c>
      <c r="I152" s="85">
        <v>11026.83</v>
      </c>
      <c r="J152" s="85">
        <v>11106.17</v>
      </c>
      <c r="K152" s="85">
        <v>11042.63</v>
      </c>
      <c r="L152" s="85">
        <v>11062.19</v>
      </c>
      <c r="M152" s="85">
        <v>11109.86</v>
      </c>
      <c r="N152" s="85">
        <v>11105.04</v>
      </c>
      <c r="O152" s="85">
        <v>11105</v>
      </c>
      <c r="P152" s="85">
        <v>11036.92</v>
      </c>
      <c r="Q152" s="48">
        <f>IF((L153=""),"",MAX(D154:P154))</f>
        <v>5306.72</v>
      </c>
      <c r="R152" s="55">
        <f>IF(L153="","",MIN(D154:L154))</f>
        <v>5248.06</v>
      </c>
      <c r="S152" s="51">
        <f>IF((P154=""),"",AVERAGE(D154:P154))</f>
        <v>5282.6192307692309</v>
      </c>
      <c r="T152" s="51">
        <f>IF((L153=""),"",(Q152-R152)/(Q152+R152)*100)</f>
        <v>0.55576715004954957</v>
      </c>
      <c r="U152" s="55">
        <f>STDEV(D154:P154)</f>
        <v>19.121113749613144</v>
      </c>
      <c r="V152" s="231" t="str">
        <f>IF(P153="","",IF(T152&lt;2.7,IF(S152&gt;5150,IF(S152&lt;5600,"Pass","Fail"),"Fail"),"Fail"))</f>
        <v>Pass</v>
      </c>
      <c r="W152" s="55">
        <v>1400</v>
      </c>
      <c r="X152" s="94" t="s">
        <v>256</v>
      </c>
      <c r="Y152" s="94"/>
      <c r="Z152" s="251">
        <v>4470</v>
      </c>
      <c r="AA152" s="251">
        <v>6020</v>
      </c>
      <c r="AB152" s="251">
        <v>5150</v>
      </c>
      <c r="AC152" s="251">
        <v>5600</v>
      </c>
      <c r="AD152" s="67">
        <v>10</v>
      </c>
      <c r="AE152" s="252">
        <v>2.7</v>
      </c>
    </row>
    <row r="153" spans="1:31" ht="12.75" customHeight="1" x14ac:dyDescent="0.35">
      <c r="A153" s="294"/>
      <c r="B153" s="46"/>
      <c r="C153" s="54" t="s">
        <v>200</v>
      </c>
      <c r="D153" s="84">
        <v>5710.82</v>
      </c>
      <c r="E153" s="84">
        <v>5907.26</v>
      </c>
      <c r="F153" s="84">
        <v>5742.97</v>
      </c>
      <c r="G153" s="84">
        <v>5826.53</v>
      </c>
      <c r="H153" s="84">
        <v>5642.91</v>
      </c>
      <c r="I153" s="84">
        <v>5720.31</v>
      </c>
      <c r="J153" s="84">
        <v>5811.45</v>
      </c>
      <c r="K153" s="84">
        <v>5744.27</v>
      </c>
      <c r="L153" s="84">
        <v>5814.13</v>
      </c>
      <c r="M153" s="84">
        <v>5803.14</v>
      </c>
      <c r="N153" s="84">
        <v>5813.34</v>
      </c>
      <c r="O153" s="84">
        <v>5833.26</v>
      </c>
      <c r="P153" s="84">
        <v>5748.83</v>
      </c>
      <c r="Q153" s="46"/>
      <c r="R153" s="46"/>
      <c r="S153" s="46"/>
      <c r="T153" s="46"/>
      <c r="U153" s="46"/>
      <c r="V153" s="229"/>
      <c r="W153" s="46"/>
      <c r="X153" s="98"/>
      <c r="Y153" s="98"/>
    </row>
    <row r="154" spans="1:31" ht="24.8" customHeight="1" thickBot="1" x14ac:dyDescent="0.4">
      <c r="A154" s="294"/>
      <c r="B154" s="78"/>
      <c r="C154" s="54" t="s">
        <v>199</v>
      </c>
      <c r="D154" s="93">
        <f t="shared" ref="D154:P154" si="47">IF(((D152="")*AND(D153="")),"",(D152-D153))</f>
        <v>5269.3099999999995</v>
      </c>
      <c r="E154" s="93">
        <f t="shared" si="47"/>
        <v>5276.5</v>
      </c>
      <c r="F154" s="93">
        <f t="shared" si="47"/>
        <v>5249.6599999999989</v>
      </c>
      <c r="G154" s="93">
        <f t="shared" si="47"/>
        <v>5279.72</v>
      </c>
      <c r="H154" s="93">
        <f t="shared" si="47"/>
        <v>5292.9500000000007</v>
      </c>
      <c r="I154" s="93">
        <f t="shared" si="47"/>
        <v>5306.5199999999995</v>
      </c>
      <c r="J154" s="93">
        <f t="shared" si="47"/>
        <v>5294.72</v>
      </c>
      <c r="K154" s="93">
        <f t="shared" si="47"/>
        <v>5298.3599999999988</v>
      </c>
      <c r="L154" s="93">
        <f t="shared" si="47"/>
        <v>5248.06</v>
      </c>
      <c r="M154" s="93">
        <f t="shared" si="47"/>
        <v>5306.72</v>
      </c>
      <c r="N154" s="93">
        <f t="shared" si="47"/>
        <v>5291.7000000000007</v>
      </c>
      <c r="O154" s="93">
        <f t="shared" si="47"/>
        <v>5271.74</v>
      </c>
      <c r="P154" s="93">
        <f t="shared" si="47"/>
        <v>5288.09</v>
      </c>
      <c r="Q154" s="78"/>
      <c r="R154" s="78"/>
      <c r="S154" s="78"/>
      <c r="T154" s="78"/>
      <c r="U154" s="78"/>
      <c r="V154" s="232"/>
      <c r="W154" s="78"/>
      <c r="X154" s="98"/>
      <c r="Y154" s="98"/>
    </row>
    <row r="155" spans="1:31" ht="12.75" customHeight="1" x14ac:dyDescent="0.25">
      <c r="A155" s="111">
        <v>42706</v>
      </c>
      <c r="B155" s="48" t="s">
        <v>204</v>
      </c>
      <c r="C155" s="54" t="s">
        <v>201</v>
      </c>
      <c r="D155" s="84">
        <v>5970.79</v>
      </c>
      <c r="E155" s="84">
        <v>6116.27</v>
      </c>
      <c r="F155" s="84">
        <v>6126.37</v>
      </c>
      <c r="G155" s="84">
        <v>6117.37</v>
      </c>
      <c r="H155" s="84">
        <v>5976.2</v>
      </c>
      <c r="I155" s="84">
        <v>6041.94</v>
      </c>
      <c r="J155" s="84">
        <v>6102.21</v>
      </c>
      <c r="K155" s="84">
        <v>6106.61</v>
      </c>
      <c r="L155" s="84">
        <v>6025.81</v>
      </c>
      <c r="M155" s="53"/>
      <c r="N155" s="53"/>
      <c r="O155" s="53"/>
      <c r="P155" s="53"/>
      <c r="Q155" s="48">
        <f>IF((L156=""),"",MAX(D157:L157))</f>
        <v>6739.7999999999993</v>
      </c>
      <c r="R155" s="48">
        <f>IF(L156="","",MIN(D157:L157))</f>
        <v>6534.0199999999995</v>
      </c>
      <c r="S155" s="75">
        <f>IF((L157=""),"",AVERAGE(D157:L157))</f>
        <v>6623.0311111111105</v>
      </c>
      <c r="T155" s="51">
        <f>IF((L156=""),"",(Q155-R155)/(Q155+R155)*100)</f>
        <v>1.5502696284867488</v>
      </c>
      <c r="U155" s="48">
        <f>STDEV(D157:P157)</f>
        <v>71.611780533031649</v>
      </c>
      <c r="V155" s="228" t="str">
        <f>IF(L156="","",IF(T155&lt;7.3,IF(S155&gt;5700,IF(S155&lt;7200,"Pass","Fail"),"Fail"),"Fail"))</f>
        <v>Pass</v>
      </c>
      <c r="W155" s="55">
        <v>1400</v>
      </c>
      <c r="X155" s="98" t="s">
        <v>256</v>
      </c>
      <c r="Y155" s="98"/>
      <c r="Z155" s="37">
        <v>4955</v>
      </c>
      <c r="AA155" s="37">
        <v>9645</v>
      </c>
      <c r="AB155" s="37">
        <v>5100</v>
      </c>
      <c r="AC155" s="37">
        <v>8300</v>
      </c>
      <c r="AD155" s="67">
        <v>10</v>
      </c>
      <c r="AE155" s="67">
        <v>9.8000000000000007</v>
      </c>
    </row>
    <row r="156" spans="1:31" ht="12.75" customHeight="1" x14ac:dyDescent="0.35">
      <c r="A156" s="294"/>
      <c r="B156" s="46"/>
      <c r="C156" s="54" t="s">
        <v>200</v>
      </c>
      <c r="D156" s="84">
        <v>2648.83</v>
      </c>
      <c r="E156" s="84">
        <v>2845.41</v>
      </c>
      <c r="F156" s="84">
        <v>2859.36</v>
      </c>
      <c r="G156" s="84">
        <v>2794.68</v>
      </c>
      <c r="H156" s="84">
        <v>2606.3000000000002</v>
      </c>
      <c r="I156" s="84">
        <v>2732.46</v>
      </c>
      <c r="J156" s="84">
        <v>2819.02</v>
      </c>
      <c r="K156" s="84">
        <v>2805.11</v>
      </c>
      <c r="L156" s="84">
        <v>2668.76</v>
      </c>
      <c r="M156" s="53"/>
      <c r="N156" s="53"/>
      <c r="O156" s="53"/>
      <c r="P156" s="53"/>
      <c r="Q156" s="46"/>
      <c r="R156" s="46"/>
      <c r="S156" s="46"/>
      <c r="T156" s="46"/>
      <c r="U156" s="46"/>
      <c r="V156" s="229"/>
      <c r="W156" s="46"/>
      <c r="X156" s="98"/>
      <c r="Y156" s="98"/>
    </row>
    <row r="157" spans="1:31" ht="24.8" customHeight="1" thickBot="1" x14ac:dyDescent="0.4">
      <c r="A157" s="294"/>
      <c r="B157" s="42"/>
      <c r="C157" s="74" t="s">
        <v>199</v>
      </c>
      <c r="D157" s="81">
        <f t="shared" ref="D157:L157" si="48">IF(((D155="")*AND(D156="")),"",(D155-D156)*2)</f>
        <v>6643.92</v>
      </c>
      <c r="E157" s="81">
        <f t="shared" si="48"/>
        <v>6541.7200000000012</v>
      </c>
      <c r="F157" s="81">
        <f t="shared" si="48"/>
        <v>6534.0199999999995</v>
      </c>
      <c r="G157" s="81">
        <f t="shared" si="48"/>
        <v>6645.38</v>
      </c>
      <c r="H157" s="81">
        <f t="shared" si="48"/>
        <v>6739.7999999999993</v>
      </c>
      <c r="I157" s="81">
        <f t="shared" si="48"/>
        <v>6618.9599999999991</v>
      </c>
      <c r="J157" s="81">
        <f t="shared" si="48"/>
        <v>6566.38</v>
      </c>
      <c r="K157" s="81">
        <f t="shared" si="48"/>
        <v>6602.9999999999991</v>
      </c>
      <c r="L157" s="81">
        <f t="shared" si="48"/>
        <v>6714.1</v>
      </c>
      <c r="M157" s="81"/>
      <c r="N157" s="81"/>
      <c r="O157" s="81"/>
      <c r="P157" s="81" t="str">
        <f>IF(((P155="")*AND(P156="")),"",(P155-P156)*2)</f>
        <v/>
      </c>
      <c r="Q157" s="42"/>
      <c r="R157" s="42"/>
      <c r="S157" s="42"/>
      <c r="T157" s="42"/>
      <c r="U157" s="42"/>
      <c r="V157" s="230"/>
      <c r="W157" s="42"/>
      <c r="X157" s="97"/>
      <c r="Y157" s="97"/>
    </row>
    <row r="158" spans="1:31" ht="12.75" customHeight="1" x14ac:dyDescent="0.25">
      <c r="A158" s="86">
        <v>42709</v>
      </c>
      <c r="B158" s="46" t="s">
        <v>202</v>
      </c>
      <c r="C158" s="78" t="s">
        <v>201</v>
      </c>
      <c r="D158" s="35">
        <v>6824</v>
      </c>
      <c r="E158" s="35">
        <v>6947.41</v>
      </c>
      <c r="F158" s="35">
        <v>6803.48</v>
      </c>
      <c r="G158" s="35">
        <v>6868.46</v>
      </c>
      <c r="H158" s="35">
        <v>6807.71</v>
      </c>
      <c r="I158" s="35">
        <v>6836.81</v>
      </c>
      <c r="J158" s="35">
        <v>6872.5</v>
      </c>
      <c r="K158" s="35">
        <v>6840.2</v>
      </c>
      <c r="L158" s="35">
        <v>6842.22</v>
      </c>
      <c r="M158" s="35">
        <v>6869.8</v>
      </c>
      <c r="N158" s="35">
        <v>6896.33</v>
      </c>
      <c r="O158" s="35">
        <v>6868.33</v>
      </c>
      <c r="P158" s="35">
        <v>6857.72</v>
      </c>
      <c r="Q158" s="48">
        <f>IF((L159=""),"",MAX(D160:P160))</f>
        <v>5332.6900000000005</v>
      </c>
      <c r="R158" s="46">
        <f>IF(L159="","",MIN(D160:L160))</f>
        <v>5216.3099999999995</v>
      </c>
      <c r="S158" s="51">
        <f>IF((P160=""),"",AVERAGE(D160:P160))</f>
        <v>5283.8423076923082</v>
      </c>
      <c r="T158" s="105">
        <f>IF((L159=""),"",(Q158-R158)/(Q158+R158)*100)</f>
        <v>1.103232533889478</v>
      </c>
      <c r="U158" s="46">
        <f>STDEV(D160:P160)</f>
        <v>40.269896977321821</v>
      </c>
      <c r="V158" s="231" t="str">
        <f>IF(P159="","",IF(T158&lt;2.7,IF(S158&gt;5150,IF(S158&lt;5600,"Pass","Fail"),"Fail"),"Fail"))</f>
        <v>Pass</v>
      </c>
      <c r="W158" s="46">
        <v>102</v>
      </c>
      <c r="X158" s="94" t="s">
        <v>255</v>
      </c>
      <c r="Y158" s="94"/>
      <c r="Z158" s="251">
        <v>4470</v>
      </c>
      <c r="AA158" s="251">
        <v>6020</v>
      </c>
      <c r="AB158" s="251">
        <v>5150</v>
      </c>
      <c r="AC158" s="251">
        <v>5600</v>
      </c>
      <c r="AD158" s="67">
        <v>10</v>
      </c>
      <c r="AE158" s="252">
        <v>2.7</v>
      </c>
    </row>
    <row r="159" spans="1:31" ht="12.75" customHeight="1" x14ac:dyDescent="0.35">
      <c r="A159" s="294"/>
      <c r="B159" s="46"/>
      <c r="C159" s="54" t="s">
        <v>200</v>
      </c>
      <c r="D159" s="35">
        <v>1596.68</v>
      </c>
      <c r="E159" s="35">
        <v>1678.93</v>
      </c>
      <c r="F159" s="35">
        <v>1587.17</v>
      </c>
      <c r="G159" s="35">
        <v>1568.42</v>
      </c>
      <c r="H159" s="35">
        <v>1505.57</v>
      </c>
      <c r="I159" s="35">
        <v>1509.47</v>
      </c>
      <c r="J159" s="35">
        <v>1553.27</v>
      </c>
      <c r="K159" s="35">
        <v>1524.91</v>
      </c>
      <c r="L159" s="35">
        <v>1617.88</v>
      </c>
      <c r="M159" s="35">
        <v>1537.11</v>
      </c>
      <c r="N159" s="35">
        <v>1593.21</v>
      </c>
      <c r="O159" s="35">
        <v>1604.57</v>
      </c>
      <c r="P159" s="35">
        <v>1567.83</v>
      </c>
      <c r="Q159" s="46"/>
      <c r="R159" s="46"/>
      <c r="S159" s="46"/>
      <c r="T159" s="46"/>
      <c r="U159" s="46"/>
      <c r="V159" s="229"/>
      <c r="W159" s="46"/>
      <c r="X159" s="98"/>
      <c r="Y159" s="98"/>
    </row>
    <row r="160" spans="1:31" ht="24.8" customHeight="1" thickBot="1" x14ac:dyDescent="0.4">
      <c r="A160" s="294"/>
      <c r="B160" s="78"/>
      <c r="C160" s="54" t="s">
        <v>199</v>
      </c>
      <c r="D160" s="93">
        <f t="shared" ref="D160:P160" si="49">IF(((D158="")*AND(D159="")),"",(D158-D159))</f>
        <v>5227.32</v>
      </c>
      <c r="E160" s="93">
        <f t="shared" si="49"/>
        <v>5268.48</v>
      </c>
      <c r="F160" s="93">
        <f t="shared" si="49"/>
        <v>5216.3099999999995</v>
      </c>
      <c r="G160" s="93">
        <f t="shared" si="49"/>
        <v>5300.04</v>
      </c>
      <c r="H160" s="93">
        <f t="shared" si="49"/>
        <v>5302.14</v>
      </c>
      <c r="I160" s="93">
        <f t="shared" si="49"/>
        <v>5327.34</v>
      </c>
      <c r="J160" s="93">
        <f t="shared" si="49"/>
        <v>5319.23</v>
      </c>
      <c r="K160" s="93">
        <f t="shared" si="49"/>
        <v>5315.29</v>
      </c>
      <c r="L160" s="93">
        <f t="shared" si="49"/>
        <v>5224.34</v>
      </c>
      <c r="M160" s="93">
        <f t="shared" si="49"/>
        <v>5332.6900000000005</v>
      </c>
      <c r="N160" s="93">
        <f t="shared" si="49"/>
        <v>5303.12</v>
      </c>
      <c r="O160" s="93">
        <f t="shared" si="49"/>
        <v>5263.76</v>
      </c>
      <c r="P160" s="93">
        <f t="shared" si="49"/>
        <v>5289.89</v>
      </c>
      <c r="Q160" s="78"/>
      <c r="R160" s="78"/>
      <c r="S160" s="78"/>
      <c r="T160" s="78"/>
      <c r="U160" s="78"/>
      <c r="V160" s="232"/>
      <c r="W160" s="78"/>
      <c r="X160" s="98"/>
      <c r="Y160" s="98"/>
    </row>
    <row r="161" spans="1:31" ht="12.75" customHeight="1" x14ac:dyDescent="0.25">
      <c r="A161" s="92">
        <v>42709</v>
      </c>
      <c r="B161" s="48" t="s">
        <v>204</v>
      </c>
      <c r="C161" s="54" t="s">
        <v>201</v>
      </c>
      <c r="D161" s="35">
        <v>5956.92</v>
      </c>
      <c r="E161" s="35">
        <v>6115.95</v>
      </c>
      <c r="F161" s="35">
        <v>6128.6</v>
      </c>
      <c r="G161" s="35">
        <v>6124.46</v>
      </c>
      <c r="H161" s="35">
        <v>5972.44</v>
      </c>
      <c r="I161" s="35">
        <v>6153.74</v>
      </c>
      <c r="J161" s="35">
        <v>6101.44</v>
      </c>
      <c r="K161" s="35">
        <v>6124.15</v>
      </c>
      <c r="L161" s="35">
        <v>6039.63</v>
      </c>
      <c r="M161" s="53"/>
      <c r="N161" s="53"/>
      <c r="O161" s="53"/>
      <c r="P161" s="53"/>
      <c r="Q161" s="48">
        <f>IF((L162=""),"",MAX(D163:L163))</f>
        <v>7243.92</v>
      </c>
      <c r="R161" s="48">
        <f>IF(L162="","",MIN(D163:L163))</f>
        <v>7081.68</v>
      </c>
      <c r="S161" s="75">
        <f>IF((L163=""),"",AVERAGE(D163:L163))</f>
        <v>7174.5422222222223</v>
      </c>
      <c r="T161" s="51">
        <f>IF((L162=""),"",(Q161-R161)/(Q161+R161)*100)</f>
        <v>1.1325180097168688</v>
      </c>
      <c r="U161" s="48">
        <f>STDEV(D163:P163)</f>
        <v>47.380622035220632</v>
      </c>
      <c r="V161" s="228" t="str">
        <f>IF(L162="","",IF(T161&lt;7.3,IF(S161&gt;5700,IF(S161&lt;7200,"Pass","Fail"),"Fail"),"Fail"))</f>
        <v>Pass</v>
      </c>
      <c r="W161" s="55">
        <v>102</v>
      </c>
      <c r="X161" s="98" t="s">
        <v>255</v>
      </c>
      <c r="Y161" s="98"/>
      <c r="Z161" s="37">
        <v>4955</v>
      </c>
      <c r="AA161" s="37">
        <v>9645</v>
      </c>
      <c r="AB161" s="37">
        <v>5100</v>
      </c>
      <c r="AC161" s="37">
        <v>8300</v>
      </c>
      <c r="AD161" s="67">
        <v>10</v>
      </c>
      <c r="AE161" s="67">
        <v>9.8000000000000007</v>
      </c>
    </row>
    <row r="162" spans="1:31" ht="12.75" customHeight="1" x14ac:dyDescent="0.35">
      <c r="A162" s="294"/>
      <c r="B162" s="46"/>
      <c r="C162" s="54" t="s">
        <v>200</v>
      </c>
      <c r="D162" s="35">
        <v>2416.08</v>
      </c>
      <c r="E162" s="35">
        <v>2533.0500000000002</v>
      </c>
      <c r="F162" s="35">
        <v>2545.9499999999998</v>
      </c>
      <c r="G162" s="35">
        <v>2511.34</v>
      </c>
      <c r="H162" s="35">
        <v>2393.1999999999998</v>
      </c>
      <c r="I162" s="35">
        <v>2575.84</v>
      </c>
      <c r="J162" s="35">
        <v>2517.88</v>
      </c>
      <c r="K162" s="35">
        <v>2520.88</v>
      </c>
      <c r="L162" s="35">
        <v>2417.67</v>
      </c>
      <c r="M162" s="53"/>
      <c r="N162" s="53"/>
      <c r="O162" s="53"/>
      <c r="P162" s="53"/>
      <c r="Q162" s="46"/>
      <c r="R162" s="46"/>
      <c r="S162" s="46"/>
      <c r="T162" s="46"/>
      <c r="U162" s="46"/>
      <c r="V162" s="229"/>
      <c r="W162" s="46"/>
      <c r="X162" s="98"/>
      <c r="Y162" s="98"/>
    </row>
    <row r="163" spans="1:31" ht="24.8" customHeight="1" thickBot="1" x14ac:dyDescent="0.4">
      <c r="A163" s="294"/>
      <c r="B163" s="42"/>
      <c r="C163" s="74" t="s">
        <v>199</v>
      </c>
      <c r="D163" s="81">
        <f t="shared" ref="D163:L163" si="50">IF(((D161="")*AND(D162="")),"",(D161-D162)*2)</f>
        <v>7081.68</v>
      </c>
      <c r="E163" s="81">
        <f t="shared" si="50"/>
        <v>7165.7999999999993</v>
      </c>
      <c r="F163" s="81">
        <f t="shared" si="50"/>
        <v>7165.3000000000011</v>
      </c>
      <c r="G163" s="81">
        <f t="shared" si="50"/>
        <v>7226.24</v>
      </c>
      <c r="H163" s="81">
        <f t="shared" si="50"/>
        <v>7158.48</v>
      </c>
      <c r="I163" s="81">
        <f t="shared" si="50"/>
        <v>7155.7999999999993</v>
      </c>
      <c r="J163" s="81">
        <f t="shared" si="50"/>
        <v>7167.119999999999</v>
      </c>
      <c r="K163" s="81">
        <f t="shared" si="50"/>
        <v>7206.5399999999991</v>
      </c>
      <c r="L163" s="81">
        <f t="shared" si="50"/>
        <v>7243.92</v>
      </c>
      <c r="M163" s="81"/>
      <c r="N163" s="81"/>
      <c r="O163" s="81"/>
      <c r="P163" s="81" t="str">
        <f>IF(((P161="")*AND(P162="")),"",(P161-P162)*2)</f>
        <v/>
      </c>
      <c r="Q163" s="42"/>
      <c r="R163" s="42"/>
      <c r="S163" s="42"/>
      <c r="T163" s="42"/>
      <c r="U163" s="78"/>
      <c r="V163" s="230"/>
      <c r="W163" s="42"/>
      <c r="X163" s="97"/>
      <c r="Y163" s="97"/>
    </row>
    <row r="164" spans="1:31" ht="12.75" customHeight="1" x14ac:dyDescent="0.25">
      <c r="A164" s="86">
        <v>42714</v>
      </c>
      <c r="B164" s="46" t="s">
        <v>202</v>
      </c>
      <c r="C164" s="78" t="s">
        <v>201</v>
      </c>
      <c r="D164" s="35">
        <v>6656.19</v>
      </c>
      <c r="E164" s="35">
        <v>6774.83</v>
      </c>
      <c r="F164" s="35">
        <v>6646.4</v>
      </c>
      <c r="G164" s="35">
        <v>6707.52</v>
      </c>
      <c r="H164" s="35">
        <v>6630.75</v>
      </c>
      <c r="I164" s="35">
        <v>6680.1</v>
      </c>
      <c r="J164" s="35">
        <v>6711.53</v>
      </c>
      <c r="K164" s="35">
        <v>6668.84</v>
      </c>
      <c r="L164" s="35">
        <v>6688.23</v>
      </c>
      <c r="M164" s="35">
        <v>6712.86</v>
      </c>
      <c r="N164" s="35">
        <v>6729.43</v>
      </c>
      <c r="O164" s="35">
        <v>6713.99</v>
      </c>
      <c r="P164" s="35">
        <v>6687.81</v>
      </c>
      <c r="Q164" s="48">
        <f>IF((L165=""),"",MAX(D166:P166))</f>
        <v>5403.7</v>
      </c>
      <c r="R164" s="46">
        <f>IF(L165="","",MIN(D166:L166))</f>
        <v>5223.07</v>
      </c>
      <c r="S164" s="51">
        <f>IF((P166=""),"",AVERAGE(D166:P166))</f>
        <v>5299.5515384615392</v>
      </c>
      <c r="T164" s="105">
        <f>IF((L165=""),"",(Q164-R164)/(Q164+R164)*100)</f>
        <v>1.6997638981553198</v>
      </c>
      <c r="U164" s="46">
        <f>STDEV(D166:P166)</f>
        <v>57.524997007989803</v>
      </c>
      <c r="V164" s="231" t="str">
        <f>IF(P165="","",IF(T164&lt;2.7,IF(S164&gt;5150,IF(S164&lt;5600,"Pass","Fail"),"Fail"),"Fail"))</f>
        <v>Pass</v>
      </c>
      <c r="W164" s="46">
        <v>64</v>
      </c>
      <c r="X164" s="94" t="s">
        <v>254</v>
      </c>
      <c r="Y164" s="94"/>
      <c r="Z164" s="251">
        <v>4470</v>
      </c>
      <c r="AA164" s="251">
        <v>6020</v>
      </c>
      <c r="AB164" s="251">
        <v>5150</v>
      </c>
      <c r="AC164" s="251">
        <v>5600</v>
      </c>
      <c r="AD164" s="67">
        <v>10</v>
      </c>
      <c r="AE164" s="252">
        <v>2.7</v>
      </c>
    </row>
    <row r="165" spans="1:31" ht="12.75" customHeight="1" x14ac:dyDescent="0.35">
      <c r="A165" s="294"/>
      <c r="B165" s="46"/>
      <c r="C165" s="54" t="s">
        <v>200</v>
      </c>
      <c r="D165" s="35">
        <v>1425.53</v>
      </c>
      <c r="E165" s="35">
        <v>1506.56</v>
      </c>
      <c r="F165" s="35">
        <v>1423.33</v>
      </c>
      <c r="G165" s="35">
        <v>1319.22</v>
      </c>
      <c r="H165" s="35">
        <v>1327.64</v>
      </c>
      <c r="I165" s="35">
        <v>1346.29</v>
      </c>
      <c r="J165" s="35">
        <v>1307.83</v>
      </c>
      <c r="K165" s="35">
        <v>1342.86</v>
      </c>
      <c r="L165" s="35">
        <v>1461.11</v>
      </c>
      <c r="M165" s="35">
        <v>1382.03</v>
      </c>
      <c r="N165" s="35">
        <v>1426.94</v>
      </c>
      <c r="O165" s="35">
        <v>1449.73</v>
      </c>
      <c r="P165" s="35">
        <v>1395.24</v>
      </c>
      <c r="Q165" s="46"/>
      <c r="R165" s="46"/>
      <c r="S165" s="46"/>
      <c r="T165" s="46"/>
      <c r="U165" s="46"/>
      <c r="V165" s="229"/>
      <c r="W165" s="46"/>
      <c r="X165" s="98"/>
      <c r="Y165" s="98"/>
    </row>
    <row r="166" spans="1:31" ht="24.8" customHeight="1" thickBot="1" x14ac:dyDescent="0.4">
      <c r="A166" s="294"/>
      <c r="B166" s="78"/>
      <c r="C166" s="54" t="s">
        <v>199</v>
      </c>
      <c r="D166" s="93">
        <f t="shared" ref="D166:P166" si="51">IF(((D164="")*AND(D165="")),"",(D164-D165))</f>
        <v>5230.66</v>
      </c>
      <c r="E166" s="93">
        <f t="shared" si="51"/>
        <v>5268.27</v>
      </c>
      <c r="F166" s="93">
        <f t="shared" si="51"/>
        <v>5223.07</v>
      </c>
      <c r="G166" s="93">
        <f t="shared" si="51"/>
        <v>5388.3</v>
      </c>
      <c r="H166" s="93">
        <f t="shared" si="51"/>
        <v>5303.11</v>
      </c>
      <c r="I166" s="93">
        <f t="shared" si="51"/>
        <v>5333.81</v>
      </c>
      <c r="J166" s="93">
        <f t="shared" si="51"/>
        <v>5403.7</v>
      </c>
      <c r="K166" s="93">
        <f t="shared" si="51"/>
        <v>5325.9800000000005</v>
      </c>
      <c r="L166" s="93">
        <f t="shared" si="51"/>
        <v>5227.12</v>
      </c>
      <c r="M166" s="93">
        <f t="shared" si="51"/>
        <v>5330.83</v>
      </c>
      <c r="N166" s="93">
        <f t="shared" si="51"/>
        <v>5302.49</v>
      </c>
      <c r="O166" s="93">
        <f t="shared" si="51"/>
        <v>5264.26</v>
      </c>
      <c r="P166" s="93">
        <f t="shared" si="51"/>
        <v>5292.5700000000006</v>
      </c>
      <c r="Q166" s="78"/>
      <c r="R166" s="78"/>
      <c r="S166" s="78"/>
      <c r="T166" s="78"/>
      <c r="U166" s="78"/>
      <c r="V166" s="232"/>
      <c r="W166" s="78"/>
      <c r="X166" s="98"/>
      <c r="Y166" s="98"/>
    </row>
    <row r="167" spans="1:31" ht="12.75" customHeight="1" x14ac:dyDescent="0.25">
      <c r="A167" s="92">
        <v>42714</v>
      </c>
      <c r="B167" s="48" t="s">
        <v>204</v>
      </c>
      <c r="C167" s="54" t="s">
        <v>201</v>
      </c>
      <c r="D167" s="35">
        <v>5948.67</v>
      </c>
      <c r="E167" s="35">
        <v>6029.42</v>
      </c>
      <c r="F167" s="35">
        <v>6037.17</v>
      </c>
      <c r="G167" s="35">
        <v>5982.24</v>
      </c>
      <c r="H167" s="35">
        <v>5877.05</v>
      </c>
      <c r="I167" s="35">
        <v>5697.34</v>
      </c>
      <c r="J167" s="35">
        <v>6034.74</v>
      </c>
      <c r="K167" s="35">
        <v>6050.6</v>
      </c>
      <c r="L167" s="35">
        <v>5894.4</v>
      </c>
      <c r="M167" s="53"/>
      <c r="N167" s="53"/>
      <c r="O167" s="53"/>
      <c r="P167" s="53"/>
      <c r="Q167" s="48">
        <f>IF((L168=""),"",MAX(D169:L169))</f>
        <v>6363.66</v>
      </c>
      <c r="R167" s="48">
        <f>IF(L168="","",MIN(D169:L169))</f>
        <v>5938.82</v>
      </c>
      <c r="S167" s="75">
        <f>IF((L169=""),"",AVERAGE(D169:L169))</f>
        <v>6166.6177777777775</v>
      </c>
      <c r="T167" s="51">
        <f>IF((L168=""),"",(Q167-R167)/(Q167+R167)*100)</f>
        <v>3.4532874672423781</v>
      </c>
      <c r="U167" s="48">
        <f>STDEV(D169:P169)</f>
        <v>140.97715894585372</v>
      </c>
      <c r="V167" s="228" t="str">
        <f>IF(L168="","",IF(T167&lt;7.3,IF(S167&gt;5700,IF(S167&lt;7200,"Pass","Fail"),"Fail"),"Fail"))</f>
        <v>Pass</v>
      </c>
      <c r="W167" s="55">
        <v>64</v>
      </c>
      <c r="X167" s="98" t="s">
        <v>254</v>
      </c>
      <c r="Y167" s="98"/>
      <c r="Z167" s="37">
        <v>4955</v>
      </c>
      <c r="AA167" s="37">
        <v>9645</v>
      </c>
      <c r="AB167" s="37">
        <v>5100</v>
      </c>
      <c r="AC167" s="37">
        <v>8300</v>
      </c>
      <c r="AD167" s="67">
        <v>10</v>
      </c>
      <c r="AE167" s="67">
        <v>9.8000000000000007</v>
      </c>
    </row>
    <row r="168" spans="1:31" ht="12.75" customHeight="1" x14ac:dyDescent="0.35">
      <c r="A168" s="294"/>
      <c r="B168" s="46"/>
      <c r="C168" s="54" t="s">
        <v>200</v>
      </c>
      <c r="D168" s="35">
        <v>2979.26</v>
      </c>
      <c r="E168" s="35">
        <v>2931.06</v>
      </c>
      <c r="F168" s="35">
        <v>2924.85</v>
      </c>
      <c r="G168" s="35">
        <v>2800.41</v>
      </c>
      <c r="H168" s="35">
        <v>2748.29</v>
      </c>
      <c r="I168" s="35">
        <v>2647.99</v>
      </c>
      <c r="J168" s="35">
        <v>2893.49</v>
      </c>
      <c r="K168" s="35">
        <v>2968.33</v>
      </c>
      <c r="L168" s="35">
        <v>2908.17</v>
      </c>
      <c r="M168" s="53"/>
      <c r="N168" s="53"/>
      <c r="O168" s="53"/>
      <c r="P168" s="53"/>
      <c r="Q168" s="46"/>
      <c r="R168" s="46"/>
      <c r="S168" s="46"/>
      <c r="T168" s="46"/>
      <c r="U168" s="46"/>
      <c r="V168" s="229"/>
      <c r="W168" s="46"/>
      <c r="X168" s="98"/>
      <c r="Y168" s="98"/>
    </row>
    <row r="169" spans="1:31" ht="24.8" customHeight="1" thickBot="1" x14ac:dyDescent="0.4">
      <c r="A169" s="294"/>
      <c r="B169" s="42"/>
      <c r="C169" s="74" t="s">
        <v>199</v>
      </c>
      <c r="D169" s="81">
        <f t="shared" ref="D169:L169" si="52">IF(((D167="")*AND(D168="")),"",(D167-D168)*2)</f>
        <v>5938.82</v>
      </c>
      <c r="E169" s="81">
        <f t="shared" si="52"/>
        <v>6196.72</v>
      </c>
      <c r="F169" s="81">
        <f t="shared" si="52"/>
        <v>6224.64</v>
      </c>
      <c r="G169" s="81">
        <f t="shared" si="52"/>
        <v>6363.66</v>
      </c>
      <c r="H169" s="81">
        <f t="shared" si="52"/>
        <v>6257.52</v>
      </c>
      <c r="I169" s="81">
        <f t="shared" si="52"/>
        <v>6098.7000000000007</v>
      </c>
      <c r="J169" s="81">
        <f t="shared" si="52"/>
        <v>6282.5</v>
      </c>
      <c r="K169" s="81">
        <f t="shared" si="52"/>
        <v>6164.5400000000009</v>
      </c>
      <c r="L169" s="81">
        <f t="shared" si="52"/>
        <v>5972.4599999999991</v>
      </c>
      <c r="M169" s="81"/>
      <c r="N169" s="81"/>
      <c r="O169" s="81"/>
      <c r="P169" s="81" t="str">
        <f>IF(((P167="")*AND(P168="")),"",(P167-P168)*2)</f>
        <v/>
      </c>
      <c r="Q169" s="42"/>
      <c r="R169" s="42"/>
      <c r="S169" s="42"/>
      <c r="T169" s="42"/>
      <c r="U169" s="78"/>
      <c r="V169" s="230"/>
      <c r="W169" s="42"/>
      <c r="X169" s="97"/>
      <c r="Y169" s="97"/>
    </row>
    <row r="170" spans="1:31" ht="12.75" customHeight="1" x14ac:dyDescent="0.25">
      <c r="A170" s="86">
        <v>42723</v>
      </c>
      <c r="B170" s="46" t="s">
        <v>202</v>
      </c>
      <c r="C170" s="78" t="s">
        <v>201</v>
      </c>
      <c r="D170" s="35">
        <v>6793.83</v>
      </c>
      <c r="E170" s="35">
        <v>6920.62</v>
      </c>
      <c r="F170" s="35">
        <v>6769.33</v>
      </c>
      <c r="G170" s="35">
        <v>6814.75</v>
      </c>
      <c r="H170" s="35">
        <v>6795.58</v>
      </c>
      <c r="I170" s="35">
        <v>6807.1</v>
      </c>
      <c r="J170" s="35">
        <v>6815.09</v>
      </c>
      <c r="K170" s="35">
        <v>6780.38</v>
      </c>
      <c r="L170" s="35">
        <v>6810.02</v>
      </c>
      <c r="M170" s="35">
        <v>6818.21</v>
      </c>
      <c r="N170" s="35">
        <v>6877.72</v>
      </c>
      <c r="O170" s="35">
        <v>6833.94</v>
      </c>
      <c r="P170" s="35">
        <v>6835.35</v>
      </c>
      <c r="Q170" s="48">
        <f>IF((L171=""),"",MAX(D172:P172))</f>
        <v>5355.51</v>
      </c>
      <c r="R170" s="46">
        <f>IF(L171="","",MIN(D172:L172))</f>
        <v>5232.41</v>
      </c>
      <c r="S170" s="51">
        <f>IF((P172=""),"",AVERAGE(D172:P172))</f>
        <v>5303.6353846153852</v>
      </c>
      <c r="T170" s="105">
        <f>IF((L171=""),"",(Q170-R170)/(Q170+R170)*100)</f>
        <v>1.1626457321173598</v>
      </c>
      <c r="U170" s="46">
        <f>STDEV(D172:P172)</f>
        <v>44.222408274423017</v>
      </c>
      <c r="V170" s="231" t="str">
        <f>IF(P171="","",IF(T170&lt;2.7,IF(S170&gt;5150,IF(S170&lt;5600,"Pass","Fail"),"Fail"),"Fail"))</f>
        <v>Pass</v>
      </c>
      <c r="W170" s="46">
        <v>1428</v>
      </c>
      <c r="X170" s="94" t="s">
        <v>253</v>
      </c>
      <c r="Y170" s="94"/>
      <c r="Z170" s="251">
        <v>4470</v>
      </c>
      <c r="AA170" s="251">
        <v>6020</v>
      </c>
      <c r="AB170" s="251">
        <v>5150</v>
      </c>
      <c r="AC170" s="251">
        <v>5600</v>
      </c>
      <c r="AD170" s="67">
        <v>10</v>
      </c>
      <c r="AE170" s="252">
        <v>2.7</v>
      </c>
    </row>
    <row r="171" spans="1:31" ht="12.75" customHeight="1" x14ac:dyDescent="0.35">
      <c r="A171" s="294"/>
      <c r="B171" s="46"/>
      <c r="C171" s="54" t="s">
        <v>200</v>
      </c>
      <c r="D171" s="35">
        <v>1550.33</v>
      </c>
      <c r="E171" s="35">
        <v>1637.4</v>
      </c>
      <c r="F171" s="35">
        <v>1536.92</v>
      </c>
      <c r="G171" s="35">
        <v>1468.46</v>
      </c>
      <c r="H171" s="35">
        <v>1478.42</v>
      </c>
      <c r="I171" s="35">
        <v>1462.55</v>
      </c>
      <c r="J171" s="35">
        <v>1459.58</v>
      </c>
      <c r="K171" s="35">
        <v>1446.94</v>
      </c>
      <c r="L171" s="35">
        <v>1571.94</v>
      </c>
      <c r="M171" s="35">
        <v>1472.16</v>
      </c>
      <c r="N171" s="35">
        <v>1556.46</v>
      </c>
      <c r="O171" s="35">
        <v>1556.34</v>
      </c>
      <c r="P171" s="35">
        <v>1527.16</v>
      </c>
      <c r="Q171" s="46"/>
      <c r="R171" s="46"/>
      <c r="S171" s="46"/>
      <c r="T171" s="46"/>
      <c r="U171" s="46"/>
      <c r="V171" s="229"/>
      <c r="W171" s="46"/>
      <c r="X171" s="98"/>
      <c r="Y171" s="98"/>
    </row>
    <row r="172" spans="1:31" ht="24.8" customHeight="1" thickBot="1" x14ac:dyDescent="0.4">
      <c r="A172" s="294"/>
      <c r="B172" s="78"/>
      <c r="C172" s="54" t="s">
        <v>199</v>
      </c>
      <c r="D172" s="93">
        <f t="shared" ref="D172:P172" si="53">IF(((D170="")*AND(D171="")),"",(D170-D171))</f>
        <v>5243.5</v>
      </c>
      <c r="E172" s="93">
        <f t="shared" si="53"/>
        <v>5283.2199999999993</v>
      </c>
      <c r="F172" s="93">
        <f t="shared" si="53"/>
        <v>5232.41</v>
      </c>
      <c r="G172" s="93">
        <f t="shared" si="53"/>
        <v>5346.29</v>
      </c>
      <c r="H172" s="93">
        <f t="shared" si="53"/>
        <v>5317.16</v>
      </c>
      <c r="I172" s="93">
        <f t="shared" si="53"/>
        <v>5344.55</v>
      </c>
      <c r="J172" s="93">
        <f t="shared" si="53"/>
        <v>5355.51</v>
      </c>
      <c r="K172" s="93">
        <f t="shared" si="53"/>
        <v>5333.4400000000005</v>
      </c>
      <c r="L172" s="93">
        <f t="shared" si="53"/>
        <v>5238.08</v>
      </c>
      <c r="M172" s="93">
        <f t="shared" si="53"/>
        <v>5346.05</v>
      </c>
      <c r="N172" s="93">
        <f t="shared" si="53"/>
        <v>5321.26</v>
      </c>
      <c r="O172" s="93">
        <f t="shared" si="53"/>
        <v>5277.5999999999995</v>
      </c>
      <c r="P172" s="93">
        <f t="shared" si="53"/>
        <v>5308.1900000000005</v>
      </c>
      <c r="Q172" s="78"/>
      <c r="R172" s="78"/>
      <c r="S172" s="78"/>
      <c r="T172" s="78"/>
      <c r="U172" s="78"/>
      <c r="V172" s="232"/>
      <c r="W172" s="78"/>
      <c r="X172" s="98"/>
      <c r="Y172" s="98"/>
    </row>
    <row r="173" spans="1:31" ht="12.75" customHeight="1" x14ac:dyDescent="0.25">
      <c r="A173" s="92">
        <v>42723</v>
      </c>
      <c r="B173" s="48" t="s">
        <v>204</v>
      </c>
      <c r="C173" s="54" t="s">
        <v>201</v>
      </c>
      <c r="D173" s="35">
        <v>5952.28</v>
      </c>
      <c r="E173" s="35">
        <v>6015.73</v>
      </c>
      <c r="F173" s="35">
        <v>6042.44</v>
      </c>
      <c r="G173" s="35">
        <v>5982.35</v>
      </c>
      <c r="H173" s="35">
        <v>5924.23</v>
      </c>
      <c r="I173" s="35">
        <v>5735.54</v>
      </c>
      <c r="J173" s="35">
        <v>6002.33</v>
      </c>
      <c r="K173" s="35">
        <v>6037.94</v>
      </c>
      <c r="L173" s="35">
        <v>5876.69</v>
      </c>
      <c r="M173" s="53"/>
      <c r="N173" s="53"/>
      <c r="O173" s="53"/>
      <c r="P173" s="53"/>
      <c r="Q173" s="48">
        <f>IF((L174=""),"",MAX(D175:L175))</f>
        <v>6515.420000000001</v>
      </c>
      <c r="R173" s="48">
        <f>IF(L174="","",MIN(D175:L175))</f>
        <v>6118.0199999999995</v>
      </c>
      <c r="S173" s="75">
        <f>IF((L175=""),"",AVERAGE(D175:L175))</f>
        <v>6360.7844444444445</v>
      </c>
      <c r="T173" s="51">
        <f>IF((L174=""),"",(Q173-R173)/(Q173+R173)*100)</f>
        <v>3.1456198786712206</v>
      </c>
      <c r="U173" s="48">
        <f>STDEV(D175:P175)</f>
        <v>140.48932620586473</v>
      </c>
      <c r="V173" s="228" t="str">
        <f>IF(L174="","",IF(T173&lt;7.3,IF(S173&gt;5700,IF(S173&lt;7200,"Pass","Fail"),"Fail"),"Fail"))</f>
        <v>Pass</v>
      </c>
      <c r="W173" s="55">
        <v>1428</v>
      </c>
      <c r="X173" s="98" t="s">
        <v>253</v>
      </c>
      <c r="Y173" s="98"/>
      <c r="Z173" s="37">
        <v>4955</v>
      </c>
      <c r="AA173" s="37">
        <v>9645</v>
      </c>
      <c r="AB173" s="37">
        <v>5100</v>
      </c>
      <c r="AC173" s="37">
        <v>8300</v>
      </c>
      <c r="AD173" s="67">
        <v>10</v>
      </c>
      <c r="AE173" s="67">
        <v>9.8000000000000007</v>
      </c>
    </row>
    <row r="174" spans="1:31" ht="12.75" customHeight="1" x14ac:dyDescent="0.35">
      <c r="A174" s="294"/>
      <c r="B174" s="46"/>
      <c r="C174" s="54" t="s">
        <v>200</v>
      </c>
      <c r="D174" s="35">
        <v>2893.27</v>
      </c>
      <c r="E174" s="35">
        <v>2836.16</v>
      </c>
      <c r="F174" s="35">
        <v>2833.54</v>
      </c>
      <c r="G174" s="35">
        <v>2724.64</v>
      </c>
      <c r="H174" s="35">
        <v>2675.43</v>
      </c>
      <c r="I174" s="35">
        <v>2558.9299999999998</v>
      </c>
      <c r="J174" s="35">
        <v>2775.83</v>
      </c>
      <c r="K174" s="35">
        <v>2846.94</v>
      </c>
      <c r="L174" s="35">
        <v>2801.26</v>
      </c>
      <c r="M174" s="53"/>
      <c r="N174" s="53"/>
      <c r="O174" s="53"/>
      <c r="P174" s="53"/>
      <c r="Q174" s="46"/>
      <c r="R174" s="46"/>
      <c r="S174" s="46"/>
      <c r="T174" s="46"/>
      <c r="U174" s="46"/>
      <c r="V174" s="229"/>
      <c r="W174" s="46"/>
      <c r="X174" s="98"/>
      <c r="Y174" s="98"/>
    </row>
    <row r="175" spans="1:31" ht="24.8" customHeight="1" thickBot="1" x14ac:dyDescent="0.4">
      <c r="A175" s="294"/>
      <c r="B175" s="42"/>
      <c r="C175" s="74" t="s">
        <v>199</v>
      </c>
      <c r="D175" s="81">
        <f t="shared" ref="D175:L175" si="54">IF(((D173="")*AND(D174="")),"",(D173-D174)*2)</f>
        <v>6118.0199999999995</v>
      </c>
      <c r="E175" s="81">
        <f t="shared" si="54"/>
        <v>6359.1399999999994</v>
      </c>
      <c r="F175" s="81">
        <f t="shared" si="54"/>
        <v>6417.7999999999993</v>
      </c>
      <c r="G175" s="81">
        <f t="shared" si="54"/>
        <v>6515.420000000001</v>
      </c>
      <c r="H175" s="81">
        <f t="shared" si="54"/>
        <v>6497.5999999999995</v>
      </c>
      <c r="I175" s="81">
        <f t="shared" si="54"/>
        <v>6353.22</v>
      </c>
      <c r="J175" s="81">
        <f t="shared" si="54"/>
        <v>6453</v>
      </c>
      <c r="K175" s="81">
        <f t="shared" si="54"/>
        <v>6381.9999999999991</v>
      </c>
      <c r="L175" s="81">
        <f t="shared" si="54"/>
        <v>6150.8599999999988</v>
      </c>
      <c r="M175" s="81"/>
      <c r="N175" s="81"/>
      <c r="O175" s="81"/>
      <c r="P175" s="81" t="str">
        <f>IF(((P173="")*AND(P174="")),"",(P173-P174)*2)</f>
        <v/>
      </c>
      <c r="Q175" s="42"/>
      <c r="R175" s="42"/>
      <c r="S175" s="42"/>
      <c r="T175" s="42"/>
      <c r="U175" s="78"/>
      <c r="V175" s="230"/>
      <c r="W175" s="42"/>
      <c r="X175" s="97"/>
      <c r="Y175" s="97"/>
    </row>
    <row r="176" spans="1:31" ht="12.75" customHeight="1" x14ac:dyDescent="0.25">
      <c r="A176" s="86">
        <v>42727</v>
      </c>
      <c r="B176" s="46" t="s">
        <v>202</v>
      </c>
      <c r="C176" s="78" t="s">
        <v>201</v>
      </c>
      <c r="D176" s="35">
        <v>6810.38</v>
      </c>
      <c r="E176" s="35">
        <v>6890.76</v>
      </c>
      <c r="F176" s="35">
        <v>6797.28</v>
      </c>
      <c r="G176" s="35">
        <v>6877.16</v>
      </c>
      <c r="H176" s="35">
        <v>6762.03</v>
      </c>
      <c r="I176" s="35">
        <v>6831</v>
      </c>
      <c r="J176" s="35">
        <v>6888.76</v>
      </c>
      <c r="K176" s="35">
        <v>6844.18</v>
      </c>
      <c r="L176" s="35">
        <v>6837.08</v>
      </c>
      <c r="M176" s="35">
        <v>6884.79</v>
      </c>
      <c r="N176" s="35">
        <v>6866.52</v>
      </c>
      <c r="O176" s="35">
        <v>6862.43</v>
      </c>
      <c r="P176" s="35">
        <v>6829.48</v>
      </c>
      <c r="Q176" s="48">
        <f>IF((L177=""),"",MAX(D178:P178))</f>
        <v>5304.2</v>
      </c>
      <c r="R176" s="46">
        <f>IF(L177="","",MIN(D178:L178))</f>
        <v>5249.48</v>
      </c>
      <c r="S176" s="51">
        <f>IF((P178=""),"",AVERAGE(D178:P178))</f>
        <v>5280.8238461538467</v>
      </c>
      <c r="T176" s="105">
        <f>IF((L177=""),"",(Q176-R176)/(Q176+R176)*100)</f>
        <v>0.51849212786440613</v>
      </c>
      <c r="U176" s="46">
        <f>STDEV(D178:P178)</f>
        <v>18.635509803625595</v>
      </c>
      <c r="V176" s="231" t="str">
        <f>IF(P177="","",IF(T176&lt;2.7,IF(S176&gt;5150,IF(S176&lt;5600,"Pass","Fail"),"Fail"),"Fail"))</f>
        <v>Pass</v>
      </c>
      <c r="W176" s="46">
        <v>1428</v>
      </c>
      <c r="X176" s="119"/>
      <c r="Y176" s="119"/>
      <c r="Z176" s="251">
        <v>4470</v>
      </c>
      <c r="AA176" s="251">
        <v>6020</v>
      </c>
      <c r="AB176" s="251">
        <v>5150</v>
      </c>
      <c r="AC176" s="251">
        <v>5600</v>
      </c>
      <c r="AD176" s="67">
        <v>10</v>
      </c>
      <c r="AE176" s="252">
        <v>2.7</v>
      </c>
    </row>
    <row r="177" spans="1:31" ht="12.75" customHeight="1" x14ac:dyDescent="0.35">
      <c r="A177" s="294"/>
      <c r="B177" s="46"/>
      <c r="C177" s="54" t="s">
        <v>200</v>
      </c>
      <c r="D177" s="35">
        <v>1539.91</v>
      </c>
      <c r="E177" s="35">
        <v>1619.38</v>
      </c>
      <c r="F177" s="35">
        <v>1547.8</v>
      </c>
      <c r="G177" s="35">
        <v>1608.22</v>
      </c>
      <c r="H177" s="35">
        <v>1477.28</v>
      </c>
      <c r="I177" s="35">
        <v>1530.87</v>
      </c>
      <c r="J177" s="35">
        <v>1610.26</v>
      </c>
      <c r="K177" s="35">
        <v>1550.76</v>
      </c>
      <c r="L177" s="35">
        <v>1586.82</v>
      </c>
      <c r="M177" s="35">
        <v>1580.59</v>
      </c>
      <c r="N177" s="35">
        <v>1569.55</v>
      </c>
      <c r="O177" s="35">
        <v>1584.41</v>
      </c>
      <c r="P177" s="35">
        <v>1525.29</v>
      </c>
      <c r="Q177" s="46"/>
      <c r="R177" s="46"/>
      <c r="S177" s="46"/>
      <c r="T177" s="46"/>
      <c r="U177" s="46"/>
      <c r="V177" s="229"/>
      <c r="W177" s="46"/>
      <c r="X177" s="110"/>
      <c r="Y177" s="110"/>
    </row>
    <row r="178" spans="1:31" ht="24.8" customHeight="1" thickBot="1" x14ac:dyDescent="0.4">
      <c r="A178" s="294"/>
      <c r="B178" s="78"/>
      <c r="C178" s="54" t="s">
        <v>199</v>
      </c>
      <c r="D178" s="93">
        <f t="shared" ref="D178:P178" si="55">IF(((D176="")*AND(D177="")),"",(D176-D177))</f>
        <v>5270.47</v>
      </c>
      <c r="E178" s="93">
        <f t="shared" si="55"/>
        <v>5271.38</v>
      </c>
      <c r="F178" s="93">
        <f t="shared" si="55"/>
        <v>5249.48</v>
      </c>
      <c r="G178" s="93">
        <f t="shared" si="55"/>
        <v>5268.94</v>
      </c>
      <c r="H178" s="93">
        <f t="shared" si="55"/>
        <v>5284.75</v>
      </c>
      <c r="I178" s="93">
        <f t="shared" si="55"/>
        <v>5300.13</v>
      </c>
      <c r="J178" s="93">
        <f t="shared" si="55"/>
        <v>5278.5</v>
      </c>
      <c r="K178" s="93">
        <f t="shared" si="55"/>
        <v>5293.42</v>
      </c>
      <c r="L178" s="93">
        <f t="shared" si="55"/>
        <v>5250.26</v>
      </c>
      <c r="M178" s="93">
        <f t="shared" si="55"/>
        <v>5304.2</v>
      </c>
      <c r="N178" s="93">
        <f t="shared" si="55"/>
        <v>5296.97</v>
      </c>
      <c r="O178" s="93">
        <f t="shared" si="55"/>
        <v>5278.02</v>
      </c>
      <c r="P178" s="93">
        <f t="shared" si="55"/>
        <v>5304.19</v>
      </c>
      <c r="Q178" s="78"/>
      <c r="R178" s="78"/>
      <c r="S178" s="78"/>
      <c r="T178" s="78"/>
      <c r="U178" s="78"/>
      <c r="V178" s="232"/>
      <c r="W178" s="78"/>
      <c r="X178" s="110"/>
      <c r="Y178" s="110"/>
    </row>
    <row r="179" spans="1:31" ht="12.75" customHeight="1" x14ac:dyDescent="0.25">
      <c r="A179" s="92">
        <v>42727</v>
      </c>
      <c r="B179" s="48" t="s">
        <v>204</v>
      </c>
      <c r="C179" s="54" t="s">
        <v>201</v>
      </c>
      <c r="D179" s="35">
        <v>5950.76</v>
      </c>
      <c r="E179" s="35">
        <v>6020.68</v>
      </c>
      <c r="F179" s="35">
        <v>6046.15</v>
      </c>
      <c r="G179" s="35">
        <v>5984.69</v>
      </c>
      <c r="H179" s="35">
        <v>5908.21</v>
      </c>
      <c r="I179" s="35">
        <v>5818.7</v>
      </c>
      <c r="J179" s="35">
        <v>6008.97</v>
      </c>
      <c r="K179" s="35">
        <v>6042.73</v>
      </c>
      <c r="L179" s="35">
        <v>5878.12</v>
      </c>
      <c r="M179" s="53"/>
      <c r="N179" s="53"/>
      <c r="O179" s="53"/>
      <c r="P179" s="53"/>
      <c r="Q179" s="48">
        <f>IF((L180=""),"",MAX(D181:L181))</f>
        <v>6436.4199999999992</v>
      </c>
      <c r="R179" s="48">
        <f>IF(L180="","",MIN(D181:L181))</f>
        <v>5929.8200000000006</v>
      </c>
      <c r="S179" s="75">
        <f>IF((L181=""),"",AVERAGE(D181:L181))</f>
        <v>6250.0088888888895</v>
      </c>
      <c r="T179" s="51">
        <f>IF((L180=""),"",(Q179-R179)/(Q179+R179)*100)</f>
        <v>4.0966372963811031</v>
      </c>
      <c r="U179" s="48">
        <f>STDEV(D181:P181)</f>
        <v>168.82334498259132</v>
      </c>
      <c r="V179" s="228" t="str">
        <f>IF(L180="","",IF(T179&lt;7.3,IF(S179&gt;5700,IF(S179&lt;7200,"Pass","Fail"),"Fail"),"Fail"))</f>
        <v>Pass</v>
      </c>
      <c r="W179" s="55">
        <v>1428</v>
      </c>
      <c r="X179" s="110"/>
      <c r="Y179" s="110"/>
      <c r="Z179" s="37">
        <v>4955</v>
      </c>
      <c r="AA179" s="37">
        <v>9645</v>
      </c>
      <c r="AB179" s="37">
        <v>5100</v>
      </c>
      <c r="AC179" s="37">
        <v>8300</v>
      </c>
      <c r="AD179" s="67">
        <v>10</v>
      </c>
      <c r="AE179" s="67">
        <v>9.8000000000000007</v>
      </c>
    </row>
    <row r="180" spans="1:31" ht="12.75" customHeight="1" x14ac:dyDescent="0.35">
      <c r="A180" s="294"/>
      <c r="B180" s="46"/>
      <c r="C180" s="54" t="s">
        <v>200</v>
      </c>
      <c r="D180" s="35">
        <v>2985.85</v>
      </c>
      <c r="E180" s="35">
        <v>2885.75</v>
      </c>
      <c r="F180" s="35">
        <v>2876.8</v>
      </c>
      <c r="G180" s="35">
        <v>2766.48</v>
      </c>
      <c r="H180" s="35">
        <v>2753.76</v>
      </c>
      <c r="I180" s="35">
        <v>2651.18</v>
      </c>
      <c r="J180" s="35">
        <v>2836.93</v>
      </c>
      <c r="K180" s="35">
        <v>2899.94</v>
      </c>
      <c r="L180" s="35">
        <v>2877.28</v>
      </c>
      <c r="M180" s="53"/>
      <c r="N180" s="53"/>
      <c r="O180" s="53"/>
      <c r="P180" s="53"/>
      <c r="Q180" s="46"/>
      <c r="R180" s="46"/>
      <c r="S180" s="46"/>
      <c r="T180" s="46"/>
      <c r="U180" s="46"/>
      <c r="V180" s="229"/>
      <c r="W180" s="46"/>
      <c r="X180" s="110"/>
      <c r="Y180" s="110"/>
    </row>
    <row r="181" spans="1:31" ht="24.8" customHeight="1" thickBot="1" x14ac:dyDescent="0.4">
      <c r="A181" s="294"/>
      <c r="B181" s="42"/>
      <c r="C181" s="74" t="s">
        <v>199</v>
      </c>
      <c r="D181" s="81">
        <f t="shared" ref="D181:L181" si="56">IF(((D179="")*AND(D180="")),"",(D179-D180)*2)</f>
        <v>5929.8200000000006</v>
      </c>
      <c r="E181" s="81">
        <f t="shared" si="56"/>
        <v>6269.8600000000006</v>
      </c>
      <c r="F181" s="81">
        <f t="shared" si="56"/>
        <v>6338.6999999999989</v>
      </c>
      <c r="G181" s="81">
        <f t="shared" si="56"/>
        <v>6436.4199999999992</v>
      </c>
      <c r="H181" s="81">
        <f t="shared" si="56"/>
        <v>6308.9</v>
      </c>
      <c r="I181" s="81">
        <f t="shared" si="56"/>
        <v>6335.04</v>
      </c>
      <c r="J181" s="81">
        <f t="shared" si="56"/>
        <v>6344.0800000000008</v>
      </c>
      <c r="K181" s="81">
        <f t="shared" si="56"/>
        <v>6285.579999999999</v>
      </c>
      <c r="L181" s="81">
        <f t="shared" si="56"/>
        <v>6001.6799999999994</v>
      </c>
      <c r="M181" s="81"/>
      <c r="N181" s="81"/>
      <c r="O181" s="81"/>
      <c r="P181" s="81" t="str">
        <f>IF(((P179="")*AND(P180="")),"",(P179-P180)*2)</f>
        <v/>
      </c>
      <c r="Q181" s="42"/>
      <c r="R181" s="42"/>
      <c r="S181" s="42"/>
      <c r="T181" s="42"/>
      <c r="U181" s="78"/>
      <c r="V181" s="230"/>
      <c r="W181" s="42"/>
      <c r="X181" s="109"/>
      <c r="Y181" s="109"/>
    </row>
    <row r="182" spans="1:31" ht="12.75" customHeight="1" x14ac:dyDescent="0.25">
      <c r="A182" s="92">
        <v>42732</v>
      </c>
      <c r="B182" s="46" t="s">
        <v>202</v>
      </c>
      <c r="C182" s="78" t="s">
        <v>201</v>
      </c>
      <c r="D182" s="35">
        <v>6818.17</v>
      </c>
      <c r="E182" s="35">
        <v>6906.93</v>
      </c>
      <c r="F182" s="35">
        <v>6798.01</v>
      </c>
      <c r="G182" s="35">
        <v>6863.63</v>
      </c>
      <c r="H182" s="35">
        <v>6792.81</v>
      </c>
      <c r="I182" s="35">
        <v>6830.9</v>
      </c>
      <c r="J182" s="35">
        <v>6870.78</v>
      </c>
      <c r="K182" s="35">
        <v>6829.9</v>
      </c>
      <c r="L182" s="35">
        <v>6835.96</v>
      </c>
      <c r="M182" s="35">
        <v>6867.96</v>
      </c>
      <c r="N182" s="35">
        <v>6884.12</v>
      </c>
      <c r="O182" s="35">
        <v>6856.82</v>
      </c>
      <c r="P182" s="35">
        <v>6844.9</v>
      </c>
      <c r="Q182" s="48">
        <f>IF((L183=""),"",MAX(D184:P184))</f>
        <v>5240.3499999999995</v>
      </c>
      <c r="R182" s="46">
        <f>IF(L183="","",MIN(D184:L184))</f>
        <v>5199.8900000000003</v>
      </c>
      <c r="S182" s="51">
        <f>IF((P184=""),"",AVERAGE(D184:P184))</f>
        <v>5220.6669230769239</v>
      </c>
      <c r="T182" s="105">
        <f>IF((L183=""),"",(Q182-R182)/(Q182+R182)*100)</f>
        <v>0.38753898377814233</v>
      </c>
      <c r="U182" s="46">
        <f>STDEV(D184:P184)</f>
        <v>12.643366102832431</v>
      </c>
      <c r="V182" s="231" t="str">
        <f>IF(P183="","",IF(T182&lt;2.7,IF(S182&gt;5150,IF(S182&lt;5600,"Pass","Fail"),"Fail"),"Fail"))</f>
        <v>Pass</v>
      </c>
      <c r="W182" s="46">
        <v>1335</v>
      </c>
      <c r="X182" s="94"/>
      <c r="Y182" s="94"/>
      <c r="Z182" s="251">
        <v>4470</v>
      </c>
      <c r="AA182" s="251">
        <v>6020</v>
      </c>
      <c r="AB182" s="251">
        <v>5150</v>
      </c>
      <c r="AC182" s="251">
        <v>5600</v>
      </c>
      <c r="AD182" s="67">
        <v>10</v>
      </c>
      <c r="AE182" s="252">
        <v>2.7</v>
      </c>
    </row>
    <row r="183" spans="1:31" ht="12.75" customHeight="1" x14ac:dyDescent="0.35">
      <c r="A183" s="294"/>
      <c r="B183" s="46"/>
      <c r="C183" s="54" t="s">
        <v>200</v>
      </c>
      <c r="D183" s="35">
        <v>1600.76</v>
      </c>
      <c r="E183" s="35">
        <v>1695.74</v>
      </c>
      <c r="F183" s="35">
        <v>1598.12</v>
      </c>
      <c r="G183" s="35">
        <v>1655.16</v>
      </c>
      <c r="H183" s="35">
        <v>1566.5</v>
      </c>
      <c r="I183" s="35">
        <v>1598.28</v>
      </c>
      <c r="J183" s="35">
        <v>1655.47</v>
      </c>
      <c r="K183" s="35">
        <v>1598.08</v>
      </c>
      <c r="L183" s="35">
        <v>1632.75</v>
      </c>
      <c r="M183" s="35">
        <v>1635.63</v>
      </c>
      <c r="N183" s="35">
        <v>1654.45</v>
      </c>
      <c r="O183" s="35">
        <v>1636.73</v>
      </c>
      <c r="P183" s="35">
        <v>1604.55</v>
      </c>
      <c r="Q183" s="46"/>
      <c r="R183" s="46"/>
      <c r="S183" s="46"/>
      <c r="T183" s="46"/>
      <c r="U183" s="46"/>
      <c r="V183" s="229"/>
      <c r="W183" s="46"/>
      <c r="X183" s="98"/>
      <c r="Y183" s="98"/>
    </row>
    <row r="184" spans="1:31" ht="24.8" customHeight="1" thickBot="1" x14ac:dyDescent="0.4">
      <c r="A184" s="294"/>
      <c r="B184" s="78"/>
      <c r="C184" s="54" t="s">
        <v>199</v>
      </c>
      <c r="D184" s="93">
        <f t="shared" ref="D184:P184" si="57">IF(((D182="")*AND(D183="")),"",(D182-D183))</f>
        <v>5217.41</v>
      </c>
      <c r="E184" s="93">
        <f t="shared" si="57"/>
        <v>5211.1900000000005</v>
      </c>
      <c r="F184" s="93">
        <f t="shared" si="57"/>
        <v>5199.8900000000003</v>
      </c>
      <c r="G184" s="93">
        <f t="shared" si="57"/>
        <v>5208.47</v>
      </c>
      <c r="H184" s="93">
        <f t="shared" si="57"/>
        <v>5226.3100000000004</v>
      </c>
      <c r="I184" s="93">
        <f t="shared" si="57"/>
        <v>5232.62</v>
      </c>
      <c r="J184" s="93">
        <f t="shared" si="57"/>
        <v>5215.3099999999995</v>
      </c>
      <c r="K184" s="93">
        <f t="shared" si="57"/>
        <v>5231.82</v>
      </c>
      <c r="L184" s="93">
        <f t="shared" si="57"/>
        <v>5203.21</v>
      </c>
      <c r="M184" s="93">
        <f t="shared" si="57"/>
        <v>5232.33</v>
      </c>
      <c r="N184" s="93">
        <f t="shared" si="57"/>
        <v>5229.67</v>
      </c>
      <c r="O184" s="93">
        <f t="shared" si="57"/>
        <v>5220.09</v>
      </c>
      <c r="P184" s="93">
        <f t="shared" si="57"/>
        <v>5240.3499999999995</v>
      </c>
      <c r="Q184" s="78"/>
      <c r="R184" s="78"/>
      <c r="S184" s="78"/>
      <c r="T184" s="78"/>
      <c r="U184" s="78"/>
      <c r="V184" s="232"/>
      <c r="W184" s="78"/>
      <c r="X184" s="98"/>
      <c r="Y184" s="98"/>
    </row>
    <row r="185" spans="1:31" ht="12.75" customHeight="1" x14ac:dyDescent="0.25">
      <c r="A185" s="92">
        <v>42732</v>
      </c>
      <c r="B185" s="48" t="s">
        <v>204</v>
      </c>
      <c r="C185" s="54" t="s">
        <v>201</v>
      </c>
      <c r="D185" s="35">
        <v>5970.37</v>
      </c>
      <c r="E185" s="35">
        <v>6022.18</v>
      </c>
      <c r="F185" s="35">
        <v>6046.69</v>
      </c>
      <c r="G185" s="35">
        <v>6004.41</v>
      </c>
      <c r="H185" s="35">
        <v>5930.27</v>
      </c>
      <c r="I185" s="35">
        <v>5871.56</v>
      </c>
      <c r="J185" s="35">
        <v>6013.17</v>
      </c>
      <c r="K185" s="35">
        <v>6042.82</v>
      </c>
      <c r="L185" s="35">
        <v>5891.58</v>
      </c>
      <c r="M185" s="53"/>
      <c r="N185" s="53"/>
      <c r="O185" s="53"/>
      <c r="P185" s="53"/>
      <c r="Q185" s="48">
        <f>IF((L186=""),"",MAX(D187:L187))</f>
        <v>7065.1399999999994</v>
      </c>
      <c r="R185" s="48">
        <f>IF(L186="","",MIN(D187:L187))</f>
        <v>6810.6</v>
      </c>
      <c r="S185" s="75">
        <f>IF((L187=""),"",AVERAGE(D187:L187))</f>
        <v>6945.3155555555559</v>
      </c>
      <c r="T185" s="51">
        <f>IF((L186=""),"",(Q185-R185)/(Q185+R185)*100)</f>
        <v>1.8344246865392335</v>
      </c>
      <c r="U185" s="48">
        <f>STDEV(D187:P187)</f>
        <v>100.17554480898878</v>
      </c>
      <c r="V185" s="228" t="str">
        <f>IF(L186="","",IF(T185&lt;7.3,IF(S185&gt;5700,IF(S185&lt;7200,"Pass","Fail"),"Fail"),"Fail"))</f>
        <v>Pass</v>
      </c>
      <c r="W185" s="55">
        <v>1335</v>
      </c>
      <c r="X185" s="98"/>
      <c r="Y185" s="98"/>
      <c r="Z185" s="37">
        <v>4955</v>
      </c>
      <c r="AA185" s="37">
        <v>9645</v>
      </c>
      <c r="AB185" s="37">
        <v>5100</v>
      </c>
      <c r="AC185" s="37">
        <v>8300</v>
      </c>
      <c r="AD185" s="67">
        <v>10</v>
      </c>
      <c r="AE185" s="67">
        <v>9.8000000000000007</v>
      </c>
    </row>
    <row r="186" spans="1:31" ht="12.75" customHeight="1" x14ac:dyDescent="0.35">
      <c r="A186" s="294"/>
      <c r="B186" s="46"/>
      <c r="C186" s="54" t="s">
        <v>200</v>
      </c>
      <c r="D186" s="35">
        <v>2554.27</v>
      </c>
      <c r="E186" s="35">
        <v>2534.4899999999998</v>
      </c>
      <c r="F186" s="35">
        <v>2531.77</v>
      </c>
      <c r="G186" s="35">
        <v>2471.84</v>
      </c>
      <c r="H186" s="35">
        <v>2492.58</v>
      </c>
      <c r="I186" s="35">
        <v>2466.2600000000002</v>
      </c>
      <c r="J186" s="35">
        <v>2501.9299999999998</v>
      </c>
      <c r="K186" s="35">
        <v>2523.8000000000002</v>
      </c>
      <c r="L186" s="35">
        <v>2462.19</v>
      </c>
      <c r="M186" s="53"/>
      <c r="N186" s="53"/>
      <c r="O186" s="53"/>
      <c r="P186" s="53"/>
      <c r="Q186" s="46"/>
      <c r="R186" s="46"/>
      <c r="S186" s="46"/>
      <c r="T186" s="46"/>
      <c r="U186" s="46"/>
      <c r="V186" s="229"/>
      <c r="W186" s="46"/>
      <c r="X186" s="98"/>
      <c r="Y186" s="98"/>
    </row>
    <row r="187" spans="1:31" ht="24.8" customHeight="1" thickBot="1" x14ac:dyDescent="0.4">
      <c r="A187" s="294"/>
      <c r="B187" s="42"/>
      <c r="C187" s="74" t="s">
        <v>199</v>
      </c>
      <c r="D187" s="81">
        <f t="shared" ref="D187:L187" si="58">IF(((D185="")*AND(D186="")),"",(D185-D186)*2)</f>
        <v>6832.2</v>
      </c>
      <c r="E187" s="81">
        <f t="shared" si="58"/>
        <v>6975.380000000001</v>
      </c>
      <c r="F187" s="81">
        <f t="shared" si="58"/>
        <v>7029.8399999999992</v>
      </c>
      <c r="G187" s="81">
        <f t="shared" si="58"/>
        <v>7065.1399999999994</v>
      </c>
      <c r="H187" s="81">
        <f t="shared" si="58"/>
        <v>6875.380000000001</v>
      </c>
      <c r="I187" s="81">
        <f t="shared" si="58"/>
        <v>6810.6</v>
      </c>
      <c r="J187" s="81">
        <f t="shared" si="58"/>
        <v>7022.4800000000005</v>
      </c>
      <c r="K187" s="81">
        <f t="shared" si="58"/>
        <v>7038.0399999999991</v>
      </c>
      <c r="L187" s="81">
        <f t="shared" si="58"/>
        <v>6858.78</v>
      </c>
      <c r="M187" s="81"/>
      <c r="N187" s="81"/>
      <c r="O187" s="81"/>
      <c r="P187" s="81" t="str">
        <f>IF(((P185="")*AND(P186="")),"",(P185-P186)*2)</f>
        <v/>
      </c>
      <c r="Q187" s="42"/>
      <c r="R187" s="42"/>
      <c r="S187" s="42"/>
      <c r="T187" s="42"/>
      <c r="U187" s="78"/>
      <c r="V187" s="230"/>
      <c r="W187" s="42"/>
      <c r="X187" s="97"/>
      <c r="Y187" s="97"/>
    </row>
    <row r="188" spans="1:31" ht="12.75" customHeight="1" x14ac:dyDescent="0.25">
      <c r="A188" s="86">
        <v>42739</v>
      </c>
      <c r="B188" s="46" t="s">
        <v>202</v>
      </c>
      <c r="C188" s="78" t="s">
        <v>201</v>
      </c>
      <c r="D188" s="35">
        <v>6840.16</v>
      </c>
      <c r="E188" s="35">
        <v>6938.9</v>
      </c>
      <c r="F188" s="35">
        <v>6811.5</v>
      </c>
      <c r="G188" s="35">
        <v>6865.54</v>
      </c>
      <c r="H188" s="35">
        <v>6839.36</v>
      </c>
      <c r="I188" s="35">
        <v>6854.98</v>
      </c>
      <c r="J188" s="35">
        <v>6871.92</v>
      </c>
      <c r="K188" s="35">
        <v>6833.31</v>
      </c>
      <c r="L188" s="35">
        <v>6849.64</v>
      </c>
      <c r="M188" s="35">
        <v>6872.84</v>
      </c>
      <c r="N188" s="35">
        <v>6922.55</v>
      </c>
      <c r="O188" s="35">
        <v>6877.15</v>
      </c>
      <c r="P188" s="35">
        <v>6884.27</v>
      </c>
      <c r="Q188" s="48">
        <f>IF((L189=""),"",MAX(D190:P190))</f>
        <v>5274.08</v>
      </c>
      <c r="R188" s="46">
        <f>IF(L189="","",MIN(D190:L190))</f>
        <v>5228.66</v>
      </c>
      <c r="S188" s="51">
        <f>IF((P190=""),"",AVERAGE(D190:P190))</f>
        <v>5252.1346153846152</v>
      </c>
      <c r="T188" s="105">
        <f>IF((L189=""),"",(Q188-R188)/(Q188+R188)*100)</f>
        <v>0.4324585774759736</v>
      </c>
      <c r="U188" s="46">
        <f>STDEV(D190:P190)</f>
        <v>14.191213018029071</v>
      </c>
      <c r="V188" s="231" t="str">
        <f>IF(P189="","",IF(T188&lt;2.7,IF(S188&gt;5150,IF(S188&lt;5600,"Pass","Fail"),"Fail"),"Fail"))</f>
        <v>Pass</v>
      </c>
      <c r="W188" s="46">
        <v>1335</v>
      </c>
      <c r="X188" s="94"/>
      <c r="Y188" s="94"/>
      <c r="Z188" s="251">
        <v>4470</v>
      </c>
      <c r="AA188" s="251">
        <v>6020</v>
      </c>
      <c r="AB188" s="251">
        <v>5150</v>
      </c>
      <c r="AC188" s="251">
        <v>5600</v>
      </c>
      <c r="AD188" s="67">
        <v>10</v>
      </c>
      <c r="AE188" s="252">
        <v>2.7</v>
      </c>
    </row>
    <row r="189" spans="1:31" ht="12.75" customHeight="1" x14ac:dyDescent="0.35">
      <c r="A189" s="294"/>
      <c r="B189" s="46"/>
      <c r="C189" s="54" t="s">
        <v>200</v>
      </c>
      <c r="D189" s="35">
        <v>1594.12</v>
      </c>
      <c r="E189" s="35">
        <v>1696.98</v>
      </c>
      <c r="F189" s="35">
        <v>1582.84</v>
      </c>
      <c r="G189" s="35">
        <v>1626.01</v>
      </c>
      <c r="H189" s="35">
        <v>1584.6</v>
      </c>
      <c r="I189" s="35">
        <v>1589.48</v>
      </c>
      <c r="J189" s="35">
        <v>1627.94</v>
      </c>
      <c r="K189" s="35">
        <v>1568.93</v>
      </c>
      <c r="L189" s="35">
        <v>1615.29</v>
      </c>
      <c r="M189" s="35">
        <v>1606.05</v>
      </c>
      <c r="N189" s="35">
        <v>1658.21</v>
      </c>
      <c r="O189" s="35">
        <v>1623.73</v>
      </c>
      <c r="P189" s="35">
        <v>1610.19</v>
      </c>
      <c r="Q189" s="46"/>
      <c r="R189" s="46"/>
      <c r="S189" s="46"/>
      <c r="T189" s="46"/>
      <c r="U189" s="46"/>
      <c r="V189" s="229"/>
      <c r="W189" s="46"/>
      <c r="X189" s="98"/>
      <c r="Y189" s="98"/>
    </row>
    <row r="190" spans="1:31" ht="24.8" customHeight="1" thickBot="1" x14ac:dyDescent="0.4">
      <c r="A190" s="294"/>
      <c r="B190" s="78"/>
      <c r="C190" s="54" t="s">
        <v>199</v>
      </c>
      <c r="D190" s="93">
        <f t="shared" ref="D190:P190" si="59">IF(((D188="")*AND(D189="")),"",(D188-D189))</f>
        <v>5246.04</v>
      </c>
      <c r="E190" s="93">
        <f t="shared" si="59"/>
        <v>5241.92</v>
      </c>
      <c r="F190" s="93">
        <f t="shared" si="59"/>
        <v>5228.66</v>
      </c>
      <c r="G190" s="93">
        <f t="shared" si="59"/>
        <v>5239.53</v>
      </c>
      <c r="H190" s="93">
        <f t="shared" si="59"/>
        <v>5254.76</v>
      </c>
      <c r="I190" s="93">
        <f t="shared" si="59"/>
        <v>5265.5</v>
      </c>
      <c r="J190" s="93">
        <f t="shared" si="59"/>
        <v>5243.98</v>
      </c>
      <c r="K190" s="93">
        <f t="shared" si="59"/>
        <v>5264.38</v>
      </c>
      <c r="L190" s="93">
        <f t="shared" si="59"/>
        <v>5234.3500000000004</v>
      </c>
      <c r="M190" s="93">
        <f t="shared" si="59"/>
        <v>5266.79</v>
      </c>
      <c r="N190" s="93">
        <f t="shared" si="59"/>
        <v>5264.34</v>
      </c>
      <c r="O190" s="93">
        <f t="shared" si="59"/>
        <v>5253.42</v>
      </c>
      <c r="P190" s="93">
        <f t="shared" si="59"/>
        <v>5274.08</v>
      </c>
      <c r="Q190" s="78"/>
      <c r="R190" s="78"/>
      <c r="S190" s="78"/>
      <c r="T190" s="78"/>
      <c r="U190" s="78"/>
      <c r="V190" s="232"/>
      <c r="W190" s="78"/>
      <c r="X190" s="98"/>
      <c r="Y190" s="98"/>
    </row>
    <row r="191" spans="1:31" ht="12.75" customHeight="1" x14ac:dyDescent="0.25">
      <c r="A191" s="92">
        <v>42739</v>
      </c>
      <c r="B191" s="48" t="s">
        <v>204</v>
      </c>
      <c r="C191" s="54" t="s">
        <v>201</v>
      </c>
      <c r="D191" s="35">
        <v>5973.36</v>
      </c>
      <c r="E191" s="35">
        <v>6012.52</v>
      </c>
      <c r="F191" s="35">
        <v>6044.71</v>
      </c>
      <c r="G191" s="35">
        <v>6020.76</v>
      </c>
      <c r="H191" s="35">
        <v>5933.73</v>
      </c>
      <c r="I191" s="35">
        <v>5859.67</v>
      </c>
      <c r="J191" s="35">
        <v>6005.86</v>
      </c>
      <c r="K191" s="35">
        <v>6029.12</v>
      </c>
      <c r="L191" s="35">
        <v>5899.12</v>
      </c>
      <c r="M191" s="53"/>
      <c r="N191" s="53"/>
      <c r="O191" s="53"/>
      <c r="P191" s="53"/>
      <c r="Q191" s="48">
        <f>IF((L192=""),"",MAX(D193:L193))</f>
        <v>6745.38</v>
      </c>
      <c r="R191" s="48">
        <f>IF(L192="","",MIN(D193:L193))</f>
        <v>6404.88</v>
      </c>
      <c r="S191" s="75">
        <f>IF((L193=""),"",AVERAGE(D193:L193))</f>
        <v>6598.137777777777</v>
      </c>
      <c r="T191" s="51">
        <f>IF((L192=""),"",(Q191-R191)/(Q191+R191)*100)</f>
        <v>2.5893024168343439</v>
      </c>
      <c r="U191" s="48">
        <f>STDEV(D193:P193)</f>
        <v>117.0103681066105</v>
      </c>
      <c r="V191" s="228" t="str">
        <f>IF(L192="","",IF(T191&lt;7.3,IF(S191&gt;5700,IF(S191&lt;7200,"Pass","Fail"),"Fail"),"Fail"))</f>
        <v>Pass</v>
      </c>
      <c r="W191" s="55">
        <v>1335</v>
      </c>
      <c r="X191" s="98"/>
      <c r="Y191" s="98"/>
      <c r="Z191" s="37">
        <v>4955</v>
      </c>
      <c r="AA191" s="37">
        <v>9645</v>
      </c>
      <c r="AB191" s="37">
        <v>5100</v>
      </c>
      <c r="AC191" s="37">
        <v>8300</v>
      </c>
      <c r="AD191" s="67">
        <v>10</v>
      </c>
      <c r="AE191" s="67">
        <v>9.8000000000000007</v>
      </c>
    </row>
    <row r="192" spans="1:31" ht="12.75" customHeight="1" x14ac:dyDescent="0.35">
      <c r="A192" s="294"/>
      <c r="B192" s="46"/>
      <c r="C192" s="54" t="s">
        <v>200</v>
      </c>
      <c r="D192" s="35">
        <v>2724.04</v>
      </c>
      <c r="E192" s="35">
        <v>2697.49</v>
      </c>
      <c r="F192" s="35">
        <v>2694.89</v>
      </c>
      <c r="G192" s="35">
        <v>2648.07</v>
      </c>
      <c r="H192" s="35">
        <v>2666.03</v>
      </c>
      <c r="I192" s="35">
        <v>2657.23</v>
      </c>
      <c r="J192" s="35">
        <v>2662.37</v>
      </c>
      <c r="K192" s="35">
        <v>2686.98</v>
      </c>
      <c r="L192" s="35">
        <v>2650.13</v>
      </c>
      <c r="M192" s="53"/>
      <c r="N192" s="53"/>
      <c r="O192" s="53"/>
      <c r="P192" s="53"/>
      <c r="Q192" s="46"/>
      <c r="R192" s="46"/>
      <c r="S192" s="46"/>
      <c r="T192" s="46"/>
      <c r="U192" s="46"/>
      <c r="V192" s="229"/>
      <c r="W192" s="46"/>
      <c r="X192" s="98"/>
      <c r="Y192" s="98"/>
    </row>
    <row r="193" spans="1:31" ht="24.8" customHeight="1" thickBot="1" x14ac:dyDescent="0.4">
      <c r="A193" s="294"/>
      <c r="B193" s="42"/>
      <c r="C193" s="74" t="s">
        <v>199</v>
      </c>
      <c r="D193" s="81">
        <f t="shared" ref="D193:L193" si="60">IF(((D191="")*AND(D192="")),"",(D191-D192)*2)</f>
        <v>6498.6399999999994</v>
      </c>
      <c r="E193" s="81">
        <f t="shared" si="60"/>
        <v>6630.0600000000013</v>
      </c>
      <c r="F193" s="81">
        <f t="shared" si="60"/>
        <v>6699.64</v>
      </c>
      <c r="G193" s="81">
        <f t="shared" si="60"/>
        <v>6745.38</v>
      </c>
      <c r="H193" s="81">
        <f t="shared" si="60"/>
        <v>6535.3999999999987</v>
      </c>
      <c r="I193" s="81">
        <f t="shared" si="60"/>
        <v>6404.88</v>
      </c>
      <c r="J193" s="81">
        <f t="shared" si="60"/>
        <v>6686.98</v>
      </c>
      <c r="K193" s="81">
        <f t="shared" si="60"/>
        <v>6684.28</v>
      </c>
      <c r="L193" s="81">
        <f t="shared" si="60"/>
        <v>6497.98</v>
      </c>
      <c r="M193" s="81"/>
      <c r="N193" s="81"/>
      <c r="O193" s="81"/>
      <c r="P193" s="81" t="str">
        <f>IF(((P191="")*AND(P192="")),"",(P191-P192)*2)</f>
        <v/>
      </c>
      <c r="Q193" s="42"/>
      <c r="R193" s="42"/>
      <c r="S193" s="42"/>
      <c r="T193" s="42"/>
      <c r="U193" s="78"/>
      <c r="V193" s="230"/>
      <c r="W193" s="42"/>
      <c r="X193" s="97"/>
      <c r="Y193" s="97"/>
    </row>
    <row r="194" spans="1:31" ht="12.75" customHeight="1" x14ac:dyDescent="0.25">
      <c r="A194" s="92">
        <v>42746</v>
      </c>
      <c r="B194" s="46" t="s">
        <v>202</v>
      </c>
      <c r="C194" s="78" t="s">
        <v>201</v>
      </c>
      <c r="D194" s="35">
        <v>6828.76</v>
      </c>
      <c r="E194" s="35">
        <v>6923.89</v>
      </c>
      <c r="F194" s="35">
        <v>6791.22</v>
      </c>
      <c r="G194" s="35">
        <v>6864.5</v>
      </c>
      <c r="H194" s="35">
        <v>6814.64</v>
      </c>
      <c r="I194" s="35">
        <v>6839.09</v>
      </c>
      <c r="J194" s="35">
        <v>6873.95</v>
      </c>
      <c r="K194" s="35">
        <v>6836.72</v>
      </c>
      <c r="L194" s="35">
        <v>6828.19</v>
      </c>
      <c r="M194" s="35">
        <v>6869.47</v>
      </c>
      <c r="N194" s="35">
        <v>6904.25</v>
      </c>
      <c r="O194" s="35">
        <v>6858.14</v>
      </c>
      <c r="P194" s="35">
        <v>6866.14</v>
      </c>
      <c r="Q194" s="48">
        <f>IF((L195=""),"",MAX(D196:P196))</f>
        <v>5274.76</v>
      </c>
      <c r="R194" s="46">
        <f>IF(L195="","",MIN(D196:L196))</f>
        <v>5226.66</v>
      </c>
      <c r="S194" s="51">
        <f>IF((P196=""),"",AVERAGE(D196:P196))</f>
        <v>5250.6530769230776</v>
      </c>
      <c r="T194" s="105">
        <f>IF((L195=""),"",(Q194-R194)/(Q194+R194)*100)</f>
        <v>0.45803329454493164</v>
      </c>
      <c r="U194" s="46">
        <f>STDEV(D196:P196)</f>
        <v>14.390337837484083</v>
      </c>
      <c r="V194" s="231" t="str">
        <f>IF(P195="","",IF(T194&lt;2.7,IF(S194&gt;5150,IF(S194&lt;5600,"Pass","Fail"),"Fail"),"Fail"))</f>
        <v>Pass</v>
      </c>
      <c r="W194" s="46">
        <v>1159</v>
      </c>
      <c r="X194" s="94" t="s">
        <v>252</v>
      </c>
      <c r="Y194" s="94"/>
      <c r="Z194" s="251">
        <v>4470</v>
      </c>
      <c r="AA194" s="251">
        <v>6020</v>
      </c>
      <c r="AB194" s="251">
        <v>5150</v>
      </c>
      <c r="AC194" s="251">
        <v>5600</v>
      </c>
      <c r="AD194" s="67">
        <v>10</v>
      </c>
      <c r="AE194" s="252">
        <v>2.7</v>
      </c>
    </row>
    <row r="195" spans="1:31" ht="12.75" customHeight="1" x14ac:dyDescent="0.35">
      <c r="A195" s="294"/>
      <c r="B195" s="46"/>
      <c r="C195" s="54" t="s">
        <v>200</v>
      </c>
      <c r="D195" s="35">
        <v>1584.86</v>
      </c>
      <c r="E195" s="35">
        <v>1681.07</v>
      </c>
      <c r="F195" s="35">
        <v>1564.56</v>
      </c>
      <c r="G195" s="35">
        <v>1627.16</v>
      </c>
      <c r="H195" s="35">
        <v>1562.4</v>
      </c>
      <c r="I195" s="35">
        <v>1578.08</v>
      </c>
      <c r="J195" s="35">
        <v>1629.86</v>
      </c>
      <c r="K195" s="35">
        <v>1573.67</v>
      </c>
      <c r="L195" s="35">
        <v>1596.54</v>
      </c>
      <c r="M195" s="35">
        <v>1604.29</v>
      </c>
      <c r="N195" s="35">
        <v>1640.86</v>
      </c>
      <c r="O195" s="35">
        <v>1605.74</v>
      </c>
      <c r="P195" s="35">
        <v>1591.38</v>
      </c>
      <c r="Q195" s="46"/>
      <c r="R195" s="46"/>
      <c r="S195" s="46"/>
      <c r="T195" s="46"/>
      <c r="U195" s="46"/>
      <c r="V195" s="229"/>
      <c r="W195" s="46"/>
      <c r="X195" s="98"/>
      <c r="Y195" s="98"/>
    </row>
    <row r="196" spans="1:31" ht="24.8" customHeight="1" thickBot="1" x14ac:dyDescent="0.4">
      <c r="A196" s="294"/>
      <c r="B196" s="78"/>
      <c r="C196" s="54" t="s">
        <v>199</v>
      </c>
      <c r="D196" s="93">
        <f t="shared" ref="D196:P196" si="61">IF(((D194="")*AND(D195="")),"",(D194-D195))</f>
        <v>5243.9000000000005</v>
      </c>
      <c r="E196" s="93">
        <f t="shared" si="61"/>
        <v>5242.8200000000006</v>
      </c>
      <c r="F196" s="93">
        <f t="shared" si="61"/>
        <v>5226.66</v>
      </c>
      <c r="G196" s="93">
        <f t="shared" si="61"/>
        <v>5237.34</v>
      </c>
      <c r="H196" s="93">
        <f t="shared" si="61"/>
        <v>5252.24</v>
      </c>
      <c r="I196" s="93">
        <f t="shared" si="61"/>
        <v>5261.01</v>
      </c>
      <c r="J196" s="93">
        <f t="shared" si="61"/>
        <v>5244.09</v>
      </c>
      <c r="K196" s="93">
        <f t="shared" si="61"/>
        <v>5263.05</v>
      </c>
      <c r="L196" s="93">
        <f t="shared" si="61"/>
        <v>5231.6499999999996</v>
      </c>
      <c r="M196" s="93">
        <f t="shared" si="61"/>
        <v>5265.18</v>
      </c>
      <c r="N196" s="93">
        <f t="shared" si="61"/>
        <v>5263.39</v>
      </c>
      <c r="O196" s="93">
        <f t="shared" si="61"/>
        <v>5252.4000000000005</v>
      </c>
      <c r="P196" s="93">
        <f t="shared" si="61"/>
        <v>5274.76</v>
      </c>
      <c r="Q196" s="78"/>
      <c r="R196" s="78"/>
      <c r="S196" s="78"/>
      <c r="T196" s="78"/>
      <c r="U196" s="78"/>
      <c r="V196" s="232"/>
      <c r="W196" s="78"/>
      <c r="X196" s="98"/>
      <c r="Y196" s="98"/>
    </row>
    <row r="197" spans="1:31" ht="12.75" customHeight="1" x14ac:dyDescent="0.25">
      <c r="A197" s="92">
        <v>42746</v>
      </c>
      <c r="B197" s="48" t="s">
        <v>204</v>
      </c>
      <c r="C197" s="54" t="s">
        <v>201</v>
      </c>
      <c r="D197" s="35">
        <v>5987.18</v>
      </c>
      <c r="E197" s="35">
        <v>6027.14</v>
      </c>
      <c r="F197" s="35">
        <v>6052.41</v>
      </c>
      <c r="G197" s="35">
        <v>6015.15</v>
      </c>
      <c r="H197" s="35">
        <v>5949</v>
      </c>
      <c r="I197" s="35">
        <v>5893.38</v>
      </c>
      <c r="J197" s="35">
        <v>6018.59</v>
      </c>
      <c r="K197" s="35">
        <v>6042.19</v>
      </c>
      <c r="L197" s="35">
        <v>5924.28</v>
      </c>
      <c r="M197" s="53"/>
      <c r="N197" s="53"/>
      <c r="O197" s="53"/>
      <c r="P197" s="53"/>
      <c r="Q197" s="48">
        <f>IF((L198=""),"",MAX(D199:L199))</f>
        <v>6742.5599999999995</v>
      </c>
      <c r="R197" s="48">
        <f>IF(L198="","",MIN(D199:L199))</f>
        <v>6387.880000000001</v>
      </c>
      <c r="S197" s="75">
        <f>IF((L199=""),"",AVERAGE(D199:L199))</f>
        <v>6576.3488888888887</v>
      </c>
      <c r="T197" s="51">
        <f>IF((L198=""),"",(Q197-R197)/(Q197+R197)*100)</f>
        <v>2.7012042246870513</v>
      </c>
      <c r="U197" s="48">
        <f>STDEV(D199:P199)</f>
        <v>96.598786799374665</v>
      </c>
      <c r="V197" s="228" t="str">
        <f>IF(L198="","",IF(T197&lt;7.3,IF(S197&gt;5700,IF(S197&lt;7200,"Pass","Fail"),"Fail"),"Fail"))</f>
        <v>Pass</v>
      </c>
      <c r="W197" s="55">
        <v>1159</v>
      </c>
      <c r="X197" s="98" t="s">
        <v>252</v>
      </c>
      <c r="Y197" s="98"/>
      <c r="Z197" s="37">
        <v>4955</v>
      </c>
      <c r="AA197" s="37">
        <v>9645</v>
      </c>
      <c r="AB197" s="37">
        <v>5100</v>
      </c>
      <c r="AC197" s="37">
        <v>8300</v>
      </c>
      <c r="AD197" s="67">
        <v>10</v>
      </c>
      <c r="AE197" s="67">
        <v>9.8000000000000007</v>
      </c>
    </row>
    <row r="198" spans="1:31" ht="12.75" customHeight="1" x14ac:dyDescent="0.35">
      <c r="A198" s="294"/>
      <c r="B198" s="46"/>
      <c r="C198" s="54" t="s">
        <v>200</v>
      </c>
      <c r="D198" s="35">
        <v>2793.24</v>
      </c>
      <c r="E198" s="35">
        <v>2754.14</v>
      </c>
      <c r="F198" s="35">
        <v>2753.08</v>
      </c>
      <c r="G198" s="35">
        <v>2643.87</v>
      </c>
      <c r="H198" s="35">
        <v>2688.54</v>
      </c>
      <c r="I198" s="35">
        <v>2612.4</v>
      </c>
      <c r="J198" s="35">
        <v>2690.16</v>
      </c>
      <c r="K198" s="35">
        <v>2745.06</v>
      </c>
      <c r="L198" s="35">
        <v>2635.26</v>
      </c>
      <c r="M198" s="53"/>
      <c r="N198" s="53"/>
      <c r="O198" s="53"/>
      <c r="P198" s="53"/>
      <c r="Q198" s="46"/>
      <c r="R198" s="46"/>
      <c r="S198" s="46"/>
      <c r="T198" s="46"/>
      <c r="U198" s="46"/>
      <c r="V198" s="229"/>
      <c r="W198" s="46"/>
      <c r="X198" s="98"/>
      <c r="Y198" s="98"/>
    </row>
    <row r="199" spans="1:31" ht="24.8" customHeight="1" thickBot="1" x14ac:dyDescent="0.4">
      <c r="A199" s="294"/>
      <c r="B199" s="42"/>
      <c r="C199" s="74" t="s">
        <v>199</v>
      </c>
      <c r="D199" s="81">
        <f t="shared" ref="D199:L199" si="62">IF(((D197="")*AND(D198="")),"",(D197-D198)*2)</f>
        <v>6387.880000000001</v>
      </c>
      <c r="E199" s="81">
        <f t="shared" si="62"/>
        <v>6546.0000000000009</v>
      </c>
      <c r="F199" s="81">
        <f t="shared" si="62"/>
        <v>6598.66</v>
      </c>
      <c r="G199" s="81">
        <f t="shared" si="62"/>
        <v>6742.5599999999995</v>
      </c>
      <c r="H199" s="81">
        <f t="shared" si="62"/>
        <v>6520.92</v>
      </c>
      <c r="I199" s="81">
        <f t="shared" si="62"/>
        <v>6561.96</v>
      </c>
      <c r="J199" s="81">
        <f t="shared" si="62"/>
        <v>6656.8600000000006</v>
      </c>
      <c r="K199" s="81">
        <f t="shared" si="62"/>
        <v>6594.2599999999993</v>
      </c>
      <c r="L199" s="81">
        <f t="shared" si="62"/>
        <v>6578.0399999999991</v>
      </c>
      <c r="M199" s="81"/>
      <c r="N199" s="81"/>
      <c r="O199" s="81"/>
      <c r="P199" s="81" t="str">
        <f>IF(((P197="")*AND(P198="")),"",(P197-P198)*2)</f>
        <v/>
      </c>
      <c r="Q199" s="42"/>
      <c r="R199" s="42"/>
      <c r="S199" s="42"/>
      <c r="T199" s="42"/>
      <c r="U199" s="78"/>
      <c r="V199" s="230"/>
      <c r="W199" s="42"/>
      <c r="X199" s="97"/>
      <c r="Y199" s="97"/>
    </row>
    <row r="200" spans="1:31" ht="12.75" customHeight="1" x14ac:dyDescent="0.25">
      <c r="A200" s="92">
        <v>42750</v>
      </c>
      <c r="B200" s="46" t="s">
        <v>202</v>
      </c>
      <c r="C200" s="78" t="s">
        <v>201</v>
      </c>
      <c r="D200" s="35">
        <v>6968.64</v>
      </c>
      <c r="E200" s="35">
        <v>7059.04</v>
      </c>
      <c r="F200" s="35">
        <v>6933.8</v>
      </c>
      <c r="G200" s="35">
        <v>6990.14</v>
      </c>
      <c r="H200" s="35">
        <v>6963.46</v>
      </c>
      <c r="I200" s="35">
        <v>6978.02</v>
      </c>
      <c r="J200" s="35">
        <v>6997.66</v>
      </c>
      <c r="K200" s="35">
        <v>6959.02</v>
      </c>
      <c r="L200" s="35">
        <v>6971.36</v>
      </c>
      <c r="M200" s="35">
        <v>6999.2</v>
      </c>
      <c r="N200" s="35">
        <v>7046.05</v>
      </c>
      <c r="O200" s="35">
        <v>6998.42</v>
      </c>
      <c r="P200" s="35">
        <v>7011.89</v>
      </c>
      <c r="Q200" s="48">
        <f>IF((L201=""),"",MAX(D202:P202))</f>
        <v>5310.0700000000006</v>
      </c>
      <c r="R200" s="46">
        <f>IF(L201="","",MIN(D202:L202))</f>
        <v>5264.74</v>
      </c>
      <c r="S200" s="51">
        <f>IF((P202=""),"",AVERAGE(D202:P202))</f>
        <v>5286.2338461538466</v>
      </c>
      <c r="T200" s="105">
        <f>IF((L201=""),"",(Q200-R200)/(Q200+R200)*100)</f>
        <v>0.42866018396548805</v>
      </c>
      <c r="U200" s="46">
        <f>STDEV(D202:P202)</f>
        <v>14.29925379082295</v>
      </c>
      <c r="V200" s="231" t="str">
        <f>IF(P201="","",IF(T200&lt;2.7,IF(S200&gt;5150,IF(S200&lt;5600,"Pass","Fail"),"Fail"),"Fail"))</f>
        <v>Pass</v>
      </c>
      <c r="W200" s="46">
        <v>1159</v>
      </c>
      <c r="X200" s="108" t="s">
        <v>314</v>
      </c>
      <c r="Y200" s="108" t="s">
        <v>313</v>
      </c>
      <c r="Z200" s="251">
        <v>4470</v>
      </c>
      <c r="AA200" s="251">
        <v>6020</v>
      </c>
      <c r="AB200" s="251">
        <v>5150</v>
      </c>
      <c r="AC200" s="251">
        <v>5600</v>
      </c>
      <c r="AD200" s="67">
        <v>10</v>
      </c>
      <c r="AE200" s="252">
        <v>2.7</v>
      </c>
    </row>
    <row r="201" spans="1:31" ht="12.75" customHeight="1" x14ac:dyDescent="0.35">
      <c r="A201" s="294"/>
      <c r="B201" s="46"/>
      <c r="C201" s="54" t="s">
        <v>200</v>
      </c>
      <c r="D201" s="35">
        <v>1689.87</v>
      </c>
      <c r="E201" s="35">
        <v>1783.48</v>
      </c>
      <c r="F201" s="35">
        <v>1669.06</v>
      </c>
      <c r="G201" s="35">
        <v>1717.3</v>
      </c>
      <c r="H201" s="35">
        <v>1685.09</v>
      </c>
      <c r="I201" s="35">
        <v>1683.3</v>
      </c>
      <c r="J201" s="35">
        <v>1718.7</v>
      </c>
      <c r="K201" s="35">
        <v>1659.95</v>
      </c>
      <c r="L201" s="35">
        <v>1698.92</v>
      </c>
      <c r="M201" s="35">
        <v>1693.42</v>
      </c>
      <c r="N201" s="35">
        <v>1750.25</v>
      </c>
      <c r="O201" s="35">
        <v>1704.5</v>
      </c>
      <c r="P201" s="35">
        <v>1701.82</v>
      </c>
      <c r="Q201" s="46"/>
      <c r="R201" s="46"/>
      <c r="S201" s="46"/>
      <c r="T201" s="46"/>
      <c r="U201" s="46"/>
      <c r="V201" s="229"/>
      <c r="W201" s="46"/>
      <c r="X201" s="107"/>
      <c r="Y201" s="107"/>
      <c r="Z201" s="251"/>
      <c r="AA201" s="251"/>
      <c r="AB201" s="251"/>
      <c r="AC201" s="251"/>
      <c r="AD201" s="67"/>
      <c r="AE201" s="252"/>
    </row>
    <row r="202" spans="1:31" ht="24.8" customHeight="1" thickBot="1" x14ac:dyDescent="0.4">
      <c r="A202" s="294"/>
      <c r="B202" s="78"/>
      <c r="C202" s="54" t="s">
        <v>199</v>
      </c>
      <c r="D202" s="93">
        <f t="shared" ref="D202:P202" si="63">IF(((D200="")*AND(D201="")),"",(D200-D201))</f>
        <v>5278.77</v>
      </c>
      <c r="E202" s="93">
        <f t="shared" si="63"/>
        <v>5275.5599999999995</v>
      </c>
      <c r="F202" s="93">
        <f t="shared" si="63"/>
        <v>5264.74</v>
      </c>
      <c r="G202" s="93">
        <f t="shared" si="63"/>
        <v>5272.84</v>
      </c>
      <c r="H202" s="93">
        <f t="shared" si="63"/>
        <v>5278.37</v>
      </c>
      <c r="I202" s="93">
        <f t="shared" si="63"/>
        <v>5294.72</v>
      </c>
      <c r="J202" s="93">
        <f t="shared" si="63"/>
        <v>5278.96</v>
      </c>
      <c r="K202" s="93">
        <f t="shared" si="63"/>
        <v>5299.0700000000006</v>
      </c>
      <c r="L202" s="93">
        <f t="shared" si="63"/>
        <v>5272.44</v>
      </c>
      <c r="M202" s="93">
        <f t="shared" si="63"/>
        <v>5305.78</v>
      </c>
      <c r="N202" s="93">
        <f t="shared" si="63"/>
        <v>5295.8</v>
      </c>
      <c r="O202" s="93">
        <f t="shared" si="63"/>
        <v>5293.92</v>
      </c>
      <c r="P202" s="93">
        <f t="shared" si="63"/>
        <v>5310.0700000000006</v>
      </c>
      <c r="Q202" s="78"/>
      <c r="R202" s="78"/>
      <c r="S202" s="78"/>
      <c r="T202" s="78"/>
      <c r="U202" s="78"/>
      <c r="V202" s="232"/>
      <c r="W202" s="78"/>
      <c r="X202" s="107"/>
      <c r="Y202" s="107"/>
    </row>
    <row r="203" spans="1:31" ht="12.75" customHeight="1" x14ac:dyDescent="0.25">
      <c r="A203" s="92">
        <v>42750</v>
      </c>
      <c r="B203" s="48" t="s">
        <v>204</v>
      </c>
      <c r="C203" s="54" t="s">
        <v>201</v>
      </c>
      <c r="D203" s="35">
        <v>5973.35</v>
      </c>
      <c r="E203" s="35">
        <v>6015.21</v>
      </c>
      <c r="F203" s="35">
        <v>6041.59</v>
      </c>
      <c r="G203" s="35">
        <v>5992.92</v>
      </c>
      <c r="H203" s="35">
        <v>5915.05</v>
      </c>
      <c r="I203" s="35">
        <v>5930</v>
      </c>
      <c r="J203" s="35">
        <v>6018.88</v>
      </c>
      <c r="K203" s="35">
        <v>6035</v>
      </c>
      <c r="L203" s="35">
        <v>5902.08</v>
      </c>
      <c r="M203" s="53"/>
      <c r="N203" s="53"/>
      <c r="O203" s="53"/>
      <c r="P203" s="53"/>
      <c r="Q203" s="48">
        <f>IF((L204=""),"",MAX(D205:L205))</f>
        <v>6423.06</v>
      </c>
      <c r="R203" s="48">
        <f>IF(L204="","",MIN(D205:L205))</f>
        <v>6015.7200000000012</v>
      </c>
      <c r="S203" s="75">
        <f>IF((L205=""),"",AVERAGE(D205:L205))</f>
        <v>6227.7022222222222</v>
      </c>
      <c r="T203" s="51">
        <f>IF((L204=""),"",(Q203-R203)/(Q203+R203)*100)</f>
        <v>3.27475845701909</v>
      </c>
      <c r="U203" s="48">
        <f>STDEV(D205:P205)</f>
        <v>127.6306391288722</v>
      </c>
      <c r="V203" s="228" t="str">
        <f>IF(L204="","",IF(T203&lt;7.3,IF(S203&gt;5700,IF(S203&lt;7200,"Pass","Fail"),"Fail"),"Fail"))</f>
        <v>Pass</v>
      </c>
      <c r="W203" s="55">
        <v>1159</v>
      </c>
      <c r="X203" s="107" t="s">
        <v>314</v>
      </c>
      <c r="Y203" s="107" t="s">
        <v>313</v>
      </c>
      <c r="Z203" s="37">
        <v>4955</v>
      </c>
      <c r="AA203" s="37">
        <v>9645</v>
      </c>
      <c r="AB203" s="37">
        <v>5100</v>
      </c>
      <c r="AC203" s="37">
        <v>8300</v>
      </c>
      <c r="AD203" s="67">
        <v>10</v>
      </c>
      <c r="AE203" s="67">
        <v>9.8000000000000007</v>
      </c>
    </row>
    <row r="204" spans="1:31" ht="12.75" customHeight="1" x14ac:dyDescent="0.35">
      <c r="A204" s="294"/>
      <c r="B204" s="46"/>
      <c r="C204" s="54" t="s">
        <v>200</v>
      </c>
      <c r="D204" s="35">
        <v>2965.49</v>
      </c>
      <c r="E204" s="35">
        <v>2924.07</v>
      </c>
      <c r="F204" s="35">
        <v>2919.3</v>
      </c>
      <c r="G204" s="35">
        <v>2808.94</v>
      </c>
      <c r="H204" s="35">
        <v>2870.42</v>
      </c>
      <c r="I204" s="35">
        <v>2718.47</v>
      </c>
      <c r="J204" s="35">
        <v>2870.62</v>
      </c>
      <c r="K204" s="35">
        <v>2916.51</v>
      </c>
      <c r="L204" s="35">
        <v>2805.6</v>
      </c>
      <c r="M204" s="53"/>
      <c r="N204" s="53"/>
      <c r="O204" s="53"/>
      <c r="P204" s="53"/>
      <c r="Q204" s="46"/>
      <c r="R204" s="46"/>
      <c r="S204" s="46"/>
      <c r="T204" s="46"/>
      <c r="U204" s="46"/>
      <c r="V204" s="229"/>
      <c r="W204" s="46"/>
      <c r="X204" s="107"/>
      <c r="Y204" s="107"/>
      <c r="AD204" s="67"/>
      <c r="AE204" s="67"/>
    </row>
    <row r="205" spans="1:31" ht="24.8" customHeight="1" thickBot="1" x14ac:dyDescent="0.4">
      <c r="A205" s="294"/>
      <c r="B205" s="42"/>
      <c r="C205" s="74" t="s">
        <v>199</v>
      </c>
      <c r="D205" s="81">
        <f t="shared" ref="D205:L205" si="64">IF(((D203="")*AND(D204="")),"",(D203-D204)*2)</f>
        <v>6015.7200000000012</v>
      </c>
      <c r="E205" s="81">
        <f t="shared" si="64"/>
        <v>6182.28</v>
      </c>
      <c r="F205" s="81">
        <f t="shared" si="64"/>
        <v>6244.58</v>
      </c>
      <c r="G205" s="81">
        <f t="shared" si="64"/>
        <v>6367.96</v>
      </c>
      <c r="H205" s="81">
        <f t="shared" si="64"/>
        <v>6089.26</v>
      </c>
      <c r="I205" s="81">
        <f t="shared" si="64"/>
        <v>6423.06</v>
      </c>
      <c r="J205" s="81">
        <f t="shared" si="64"/>
        <v>6296.52</v>
      </c>
      <c r="K205" s="81">
        <f t="shared" si="64"/>
        <v>6236.98</v>
      </c>
      <c r="L205" s="81">
        <f t="shared" si="64"/>
        <v>6192.96</v>
      </c>
      <c r="M205" s="81"/>
      <c r="N205" s="81"/>
      <c r="O205" s="81"/>
      <c r="P205" s="81" t="str">
        <f>IF(((P203="")*AND(P204="")),"",(P203-P204)*2)</f>
        <v/>
      </c>
      <c r="Q205" s="42"/>
      <c r="R205" s="42"/>
      <c r="S205" s="42"/>
      <c r="T205" s="42"/>
      <c r="U205" s="78"/>
      <c r="V205" s="230"/>
      <c r="W205" s="42"/>
      <c r="X205" s="106"/>
      <c r="Y205" s="106"/>
      <c r="AD205" s="67"/>
      <c r="AE205" s="67"/>
    </row>
    <row r="206" spans="1:31" ht="12.75" customHeight="1" x14ac:dyDescent="0.25">
      <c r="A206" s="92">
        <v>42773</v>
      </c>
      <c r="B206" s="46" t="s">
        <v>202</v>
      </c>
      <c r="C206" s="78" t="s">
        <v>201</v>
      </c>
      <c r="D206" s="35">
        <v>6840.14</v>
      </c>
      <c r="E206" s="35">
        <v>6931.58</v>
      </c>
      <c r="F206" s="35">
        <v>6808.1</v>
      </c>
      <c r="G206" s="35">
        <v>6882.56</v>
      </c>
      <c r="H206" s="35">
        <v>6813.66</v>
      </c>
      <c r="I206" s="35">
        <v>6846.11</v>
      </c>
      <c r="J206" s="35">
        <v>6888.15</v>
      </c>
      <c r="K206" s="35">
        <v>6850.47</v>
      </c>
      <c r="L206" s="35">
        <v>6843.25</v>
      </c>
      <c r="M206" s="35">
        <v>6878.75</v>
      </c>
      <c r="N206" s="35">
        <v>6901.51</v>
      </c>
      <c r="O206" s="35">
        <v>6864.87</v>
      </c>
      <c r="P206" s="35">
        <v>6860.17</v>
      </c>
      <c r="Q206" s="48">
        <f>IF((L207=""),"",MAX(D208:P208))</f>
        <v>5279.89</v>
      </c>
      <c r="R206" s="46">
        <f>IF(L207="","",MIN(D208:L208))</f>
        <v>5209.7300000000005</v>
      </c>
      <c r="S206" s="51">
        <f>IF((P208=""),"",AVERAGE(D208:P208))</f>
        <v>5248.4061538461547</v>
      </c>
      <c r="T206" s="105">
        <f>IF((L207=""),"",(Q206-R206)/(Q206+R206)*100)</f>
        <v>0.66885168385508575</v>
      </c>
      <c r="U206" s="46">
        <f>STDEV(D208:P208)</f>
        <v>22.549124720064508</v>
      </c>
      <c r="V206" s="231" t="str">
        <f>IF(P207="","",IF(T206&lt;2.7,IF(S206&gt;5150,IF(S206&lt;5600,"Pass","Fail"),"Fail"),"Fail"))</f>
        <v>Pass</v>
      </c>
      <c r="W206" s="46">
        <v>1400</v>
      </c>
      <c r="X206" s="94" t="s">
        <v>251</v>
      </c>
      <c r="Y206" s="94"/>
      <c r="Z206" s="251">
        <v>4470</v>
      </c>
      <c r="AA206" s="251">
        <v>6020</v>
      </c>
      <c r="AB206" s="251">
        <v>5150</v>
      </c>
      <c r="AC206" s="251">
        <v>5600</v>
      </c>
      <c r="AD206" s="67">
        <v>10</v>
      </c>
      <c r="AE206" s="252">
        <v>2.7</v>
      </c>
    </row>
    <row r="207" spans="1:31" ht="12.75" customHeight="1" x14ac:dyDescent="0.35">
      <c r="A207" s="294"/>
      <c r="B207" s="46"/>
      <c r="C207" s="54" t="s">
        <v>200</v>
      </c>
      <c r="D207" s="35">
        <v>1611.2</v>
      </c>
      <c r="E207" s="35">
        <v>1690.33</v>
      </c>
      <c r="F207" s="35">
        <v>1598.37</v>
      </c>
      <c r="G207" s="35">
        <v>1650.07</v>
      </c>
      <c r="H207" s="35">
        <v>1546.59</v>
      </c>
      <c r="I207" s="35">
        <v>1577.21</v>
      </c>
      <c r="J207" s="35">
        <v>1648.87</v>
      </c>
      <c r="K207" s="35">
        <v>1596.04</v>
      </c>
      <c r="L207" s="35">
        <v>1624.52</v>
      </c>
      <c r="M207" s="35">
        <v>1615.41</v>
      </c>
      <c r="N207" s="35">
        <v>1622.53</v>
      </c>
      <c r="O207" s="35">
        <v>1618.62</v>
      </c>
      <c r="P207" s="35">
        <v>1580.28</v>
      </c>
      <c r="Q207" s="46"/>
      <c r="R207" s="46"/>
      <c r="S207" s="46"/>
      <c r="T207" s="46"/>
      <c r="U207" s="46"/>
      <c r="V207" s="229"/>
      <c r="W207" s="46"/>
      <c r="X207" s="98"/>
      <c r="Y207" s="98"/>
      <c r="AD207" s="67"/>
      <c r="AE207" s="67"/>
    </row>
    <row r="208" spans="1:31" ht="24.8" customHeight="1" thickBot="1" x14ac:dyDescent="0.4">
      <c r="A208" s="294"/>
      <c r="B208" s="78"/>
      <c r="C208" s="54" t="s">
        <v>199</v>
      </c>
      <c r="D208" s="93">
        <f t="shared" ref="D208:P208" si="65">IF(((D206="")*AND(D207="")),"",(D206-D207))</f>
        <v>5228.9400000000005</v>
      </c>
      <c r="E208" s="93">
        <f t="shared" si="65"/>
        <v>5241.25</v>
      </c>
      <c r="F208" s="93">
        <f t="shared" si="65"/>
        <v>5209.7300000000005</v>
      </c>
      <c r="G208" s="93">
        <f t="shared" si="65"/>
        <v>5232.4900000000007</v>
      </c>
      <c r="H208" s="93">
        <f t="shared" si="65"/>
        <v>5267.07</v>
      </c>
      <c r="I208" s="93">
        <f t="shared" si="65"/>
        <v>5268.9</v>
      </c>
      <c r="J208" s="93">
        <f t="shared" si="65"/>
        <v>5239.28</v>
      </c>
      <c r="K208" s="93">
        <f t="shared" si="65"/>
        <v>5254.43</v>
      </c>
      <c r="L208" s="93">
        <f t="shared" si="65"/>
        <v>5218.7299999999996</v>
      </c>
      <c r="M208" s="93">
        <f t="shared" si="65"/>
        <v>5263.34</v>
      </c>
      <c r="N208" s="93">
        <f t="shared" si="65"/>
        <v>5278.9800000000005</v>
      </c>
      <c r="O208" s="93">
        <f t="shared" si="65"/>
        <v>5246.25</v>
      </c>
      <c r="P208" s="93">
        <f t="shared" si="65"/>
        <v>5279.89</v>
      </c>
      <c r="Q208" s="78"/>
      <c r="R208" s="78"/>
      <c r="S208" s="78"/>
      <c r="T208" s="78"/>
      <c r="U208" s="78"/>
      <c r="V208" s="232"/>
      <c r="W208" s="78"/>
      <c r="X208" s="98"/>
      <c r="Y208" s="98"/>
      <c r="AD208" s="67"/>
      <c r="AE208" s="67"/>
    </row>
    <row r="209" spans="1:31" ht="12.75" customHeight="1" x14ac:dyDescent="0.25">
      <c r="A209" s="92">
        <v>42773</v>
      </c>
      <c r="B209" s="48" t="s">
        <v>204</v>
      </c>
      <c r="C209" s="54" t="s">
        <v>201</v>
      </c>
      <c r="D209" s="35">
        <v>5980.93</v>
      </c>
      <c r="E209" s="35">
        <v>6018.15</v>
      </c>
      <c r="F209" s="35">
        <v>6047.58</v>
      </c>
      <c r="G209" s="35">
        <v>6020.02</v>
      </c>
      <c r="H209" s="35">
        <v>5947.86</v>
      </c>
      <c r="I209" s="35">
        <v>5877.47</v>
      </c>
      <c r="J209" s="35">
        <v>6008.51</v>
      </c>
      <c r="K209" s="35">
        <v>6031.38</v>
      </c>
      <c r="L209" s="35">
        <v>5918.34</v>
      </c>
      <c r="M209" s="53"/>
      <c r="N209" s="53"/>
      <c r="O209" s="53"/>
      <c r="P209" s="53"/>
      <c r="Q209" s="48">
        <f>IF((L210=""),"",MAX(D211:L211))</f>
        <v>6884.8600000000006</v>
      </c>
      <c r="R209" s="48">
        <f>IF(L210="","",MIN(D211:L211))</f>
        <v>6455.14</v>
      </c>
      <c r="S209" s="75">
        <f>IF((L211=""),"",AVERAGE(D211:L211))</f>
        <v>6675.0355555555543</v>
      </c>
      <c r="T209" s="51">
        <f>IF((L210=""),"",(Q209-R209)/(Q209+R209)*100)</f>
        <v>3.2212893553223405</v>
      </c>
      <c r="U209" s="48">
        <f>STDEV(D211:P211)</f>
        <v>126.36825304552494</v>
      </c>
      <c r="V209" s="228" t="str">
        <f>IF(L210="","",IF(T209&lt;7.3,IF(S209&gt;5700,IF(S209&lt;7200,"Pass","Fail"),"Fail"),"Fail"))</f>
        <v>Pass</v>
      </c>
      <c r="W209" s="55">
        <v>1400</v>
      </c>
      <c r="X209" s="98" t="s">
        <v>251</v>
      </c>
      <c r="Y209" s="98"/>
      <c r="Z209" s="37">
        <v>4955</v>
      </c>
      <c r="AA209" s="37">
        <v>9645</v>
      </c>
      <c r="AB209" s="37">
        <v>5100</v>
      </c>
      <c r="AC209" s="37">
        <v>8300</v>
      </c>
      <c r="AD209" s="67">
        <v>10</v>
      </c>
      <c r="AE209" s="67">
        <v>9.8000000000000007</v>
      </c>
    </row>
    <row r="210" spans="1:31" ht="12.75" customHeight="1" x14ac:dyDescent="0.35">
      <c r="A210" s="294"/>
      <c r="B210" s="46"/>
      <c r="C210" s="54" t="s">
        <v>200</v>
      </c>
      <c r="D210" s="35">
        <v>2753.36</v>
      </c>
      <c r="E210" s="35">
        <v>2700.33</v>
      </c>
      <c r="F210" s="35">
        <v>2697.96</v>
      </c>
      <c r="G210" s="35">
        <v>2577.59</v>
      </c>
      <c r="H210" s="35">
        <v>2643.69</v>
      </c>
      <c r="I210" s="35">
        <v>2490.19</v>
      </c>
      <c r="J210" s="35">
        <v>2623.75</v>
      </c>
      <c r="K210" s="35">
        <v>2695.02</v>
      </c>
      <c r="L210" s="35">
        <v>2630.69</v>
      </c>
      <c r="M210" s="53"/>
      <c r="N210" s="53"/>
      <c r="O210" s="53"/>
      <c r="P210" s="53"/>
      <c r="Q210" s="46"/>
      <c r="R210" s="46"/>
      <c r="S210" s="46"/>
      <c r="T210" s="46"/>
      <c r="U210" s="46"/>
      <c r="V210" s="229"/>
      <c r="W210" s="46"/>
      <c r="X210" s="98"/>
      <c r="Y210" s="98"/>
      <c r="AD210" s="67"/>
      <c r="AE210" s="67"/>
    </row>
    <row r="211" spans="1:31" ht="24.8" customHeight="1" thickBot="1" x14ac:dyDescent="0.4">
      <c r="A211" s="294"/>
      <c r="B211" s="42"/>
      <c r="C211" s="74" t="s">
        <v>199</v>
      </c>
      <c r="D211" s="81">
        <f t="shared" ref="D211:L211" si="66">IF(((D209="")*AND(D210="")),"",(D209-D210)*2)</f>
        <v>6455.14</v>
      </c>
      <c r="E211" s="81">
        <f t="shared" si="66"/>
        <v>6635.6399999999994</v>
      </c>
      <c r="F211" s="81">
        <f t="shared" si="66"/>
        <v>6699.24</v>
      </c>
      <c r="G211" s="81">
        <f t="shared" si="66"/>
        <v>6884.8600000000006</v>
      </c>
      <c r="H211" s="81">
        <f t="shared" si="66"/>
        <v>6608.3399999999992</v>
      </c>
      <c r="I211" s="81">
        <f t="shared" si="66"/>
        <v>6774.56</v>
      </c>
      <c r="J211" s="81">
        <f t="shared" si="66"/>
        <v>6769.52</v>
      </c>
      <c r="K211" s="81">
        <f t="shared" si="66"/>
        <v>6672.72</v>
      </c>
      <c r="L211" s="81">
        <f t="shared" si="66"/>
        <v>6575.3</v>
      </c>
      <c r="M211" s="81"/>
      <c r="N211" s="81"/>
      <c r="O211" s="81"/>
      <c r="P211" s="81" t="str">
        <f>IF(((P209="")*AND(P210="")),"",(P209-P210)*2)</f>
        <v/>
      </c>
      <c r="Q211" s="42"/>
      <c r="R211" s="42"/>
      <c r="S211" s="42"/>
      <c r="T211" s="42"/>
      <c r="U211" s="78"/>
      <c r="V211" s="230"/>
      <c r="W211" s="42"/>
      <c r="X211" s="97"/>
      <c r="Y211" s="97"/>
      <c r="AD211" s="67"/>
      <c r="AE211" s="67"/>
    </row>
    <row r="212" spans="1:31" ht="12.75" customHeight="1" x14ac:dyDescent="0.25">
      <c r="A212" s="92">
        <v>42792</v>
      </c>
      <c r="B212" s="46" t="s">
        <v>202</v>
      </c>
      <c r="C212" s="78" t="s">
        <v>201</v>
      </c>
      <c r="D212" s="35">
        <v>7154.94</v>
      </c>
      <c r="E212" s="35">
        <v>6934.79</v>
      </c>
      <c r="F212" s="35">
        <v>6879.33</v>
      </c>
      <c r="G212" s="35">
        <v>6963.48</v>
      </c>
      <c r="H212" s="35">
        <v>7229.32</v>
      </c>
      <c r="I212" s="35">
        <v>7222.51</v>
      </c>
      <c r="J212" s="35">
        <v>6956.77</v>
      </c>
      <c r="K212" s="35">
        <v>6960.28</v>
      </c>
      <c r="L212" s="35">
        <v>7236.29</v>
      </c>
      <c r="M212" s="35">
        <v>7154.94</v>
      </c>
      <c r="N212" s="35">
        <v>6934.79</v>
      </c>
      <c r="O212" s="35">
        <v>6879.33</v>
      </c>
      <c r="P212" s="35">
        <v>6963.48</v>
      </c>
      <c r="Q212" s="48">
        <f>IF((L213=""),"",MAX(D214:P214))</f>
        <v>5503.59</v>
      </c>
      <c r="R212" s="46">
        <f>IF(L213="","",MIN(D214:L214))</f>
        <v>5104.92</v>
      </c>
      <c r="S212" s="51">
        <f>IF((P214=""),"",AVERAGE(D214:P214))</f>
        <v>5287.0115384615383</v>
      </c>
      <c r="T212" s="105">
        <f>IF((L213=""),"",(Q212-R212)/(Q212+R212)*100)</f>
        <v>3.7580206833947472</v>
      </c>
      <c r="U212" s="46">
        <f>STDEV(D214:P214)</f>
        <v>153.99339460109715</v>
      </c>
      <c r="V212" s="231" t="str">
        <f>IF(P213="","",IF(T212&lt;2.7,IF(S212&gt;5150,IF(S212&lt;5600,"Pass","Fail"),"Fail"),"Fail"))</f>
        <v>Fail</v>
      </c>
      <c r="W212" s="46" t="s">
        <v>249</v>
      </c>
      <c r="X212" s="94" t="s">
        <v>250</v>
      </c>
      <c r="Y212" s="94"/>
      <c r="Z212" s="251">
        <v>4470</v>
      </c>
      <c r="AA212" s="251">
        <v>6020</v>
      </c>
      <c r="AB212" s="251">
        <v>5150</v>
      </c>
      <c r="AC212" s="251">
        <v>5600</v>
      </c>
      <c r="AD212" s="67">
        <v>10</v>
      </c>
      <c r="AE212" s="252">
        <v>2.7</v>
      </c>
    </row>
    <row r="213" spans="1:31" ht="12.75" customHeight="1" x14ac:dyDescent="0.35">
      <c r="A213" s="294"/>
      <c r="B213" s="46"/>
      <c r="C213" s="54" t="s">
        <v>200</v>
      </c>
      <c r="D213" s="35">
        <v>1734.8</v>
      </c>
      <c r="E213" s="35">
        <v>1829.87</v>
      </c>
      <c r="F213" s="35">
        <v>1710.29</v>
      </c>
      <c r="G213" s="35">
        <v>1765.7</v>
      </c>
      <c r="H213" s="35">
        <v>1725.73</v>
      </c>
      <c r="I213" s="35">
        <v>1725.92</v>
      </c>
      <c r="J213" s="35">
        <v>1767.56</v>
      </c>
      <c r="K213" s="35">
        <v>1705.56</v>
      </c>
      <c r="L213" s="35">
        <v>1741.13</v>
      </c>
      <c r="M213" s="35">
        <v>1741.11</v>
      </c>
      <c r="N213" s="35">
        <v>1794.5</v>
      </c>
      <c r="O213" s="35">
        <v>1747.68</v>
      </c>
      <c r="P213" s="35">
        <v>1749.25</v>
      </c>
      <c r="Q213" s="46"/>
      <c r="R213" s="46"/>
      <c r="S213" s="46"/>
      <c r="T213" s="46"/>
      <c r="U213" s="46"/>
      <c r="V213" s="229"/>
      <c r="W213" s="46"/>
      <c r="X213" s="98"/>
      <c r="Y213" s="98"/>
      <c r="AD213" s="67"/>
      <c r="AE213" s="67"/>
    </row>
    <row r="214" spans="1:31" ht="24.8" customHeight="1" thickBot="1" x14ac:dyDescent="0.4">
      <c r="A214" s="294"/>
      <c r="B214" s="78"/>
      <c r="C214" s="54" t="s">
        <v>199</v>
      </c>
      <c r="D214" s="93">
        <f t="shared" ref="D214:P214" si="67">IF(((D212="")*AND(D213="")),"",(D212-D213))</f>
        <v>5420.1399999999994</v>
      </c>
      <c r="E214" s="93">
        <f t="shared" si="67"/>
        <v>5104.92</v>
      </c>
      <c r="F214" s="93">
        <f t="shared" si="67"/>
        <v>5169.04</v>
      </c>
      <c r="G214" s="93">
        <f t="shared" si="67"/>
        <v>5197.78</v>
      </c>
      <c r="H214" s="93">
        <f t="shared" si="67"/>
        <v>5503.59</v>
      </c>
      <c r="I214" s="93">
        <f t="shared" si="67"/>
        <v>5496.59</v>
      </c>
      <c r="J214" s="93">
        <f t="shared" si="67"/>
        <v>5189.2100000000009</v>
      </c>
      <c r="K214" s="93">
        <f t="shared" si="67"/>
        <v>5254.7199999999993</v>
      </c>
      <c r="L214" s="93">
        <f t="shared" si="67"/>
        <v>5495.16</v>
      </c>
      <c r="M214" s="93">
        <f t="shared" si="67"/>
        <v>5413.83</v>
      </c>
      <c r="N214" s="93">
        <f t="shared" si="67"/>
        <v>5140.29</v>
      </c>
      <c r="O214" s="93">
        <f t="shared" si="67"/>
        <v>5131.6499999999996</v>
      </c>
      <c r="P214" s="93">
        <f t="shared" si="67"/>
        <v>5214.2299999999996</v>
      </c>
      <c r="Q214" s="78"/>
      <c r="R214" s="78"/>
      <c r="S214" s="78"/>
      <c r="T214" s="78"/>
      <c r="U214" s="78"/>
      <c r="V214" s="232"/>
      <c r="W214" s="78"/>
      <c r="X214" s="98"/>
      <c r="Y214" s="98"/>
      <c r="AD214" s="67"/>
      <c r="AE214" s="67"/>
    </row>
    <row r="215" spans="1:31" ht="12.75" customHeight="1" x14ac:dyDescent="0.25">
      <c r="A215" s="92">
        <v>42792</v>
      </c>
      <c r="B215" s="48" t="s">
        <v>204</v>
      </c>
      <c r="C215" s="54" t="s">
        <v>201</v>
      </c>
      <c r="D215" s="35">
        <v>5948.39</v>
      </c>
      <c r="E215" s="35">
        <v>6116.29</v>
      </c>
      <c r="F215" s="35">
        <v>6135.46</v>
      </c>
      <c r="G215" s="35">
        <v>6124.16</v>
      </c>
      <c r="H215" s="35">
        <v>5972.46</v>
      </c>
      <c r="I215" s="35">
        <v>5932.1</v>
      </c>
      <c r="J215" s="35">
        <v>6106.77</v>
      </c>
      <c r="K215" s="35">
        <v>6116.83</v>
      </c>
      <c r="L215" s="35">
        <v>6034.3</v>
      </c>
      <c r="M215" s="53"/>
      <c r="N215" s="53"/>
      <c r="O215" s="53"/>
      <c r="P215" s="53"/>
      <c r="Q215" s="48">
        <f>IF((L216=""),"",MAX(D217:L217))</f>
        <v>7205.0199999999995</v>
      </c>
      <c r="R215" s="48">
        <f>IF(L216="","",MIN(D217:L217))</f>
        <v>6723.5800000000008</v>
      </c>
      <c r="S215" s="75">
        <f>IF((L217=""),"",AVERAGE(D217:L217))</f>
        <v>7040.3688888888901</v>
      </c>
      <c r="T215" s="51">
        <f>IF((L216=""),"",(Q215-R215)/(Q215+R215)*100)</f>
        <v>3.4564852174662111</v>
      </c>
      <c r="U215" s="48">
        <f>STDEV(D217:P217)</f>
        <v>142.45097195565575</v>
      </c>
      <c r="V215" s="228" t="str">
        <f>IF(L216="","",IF(T215&lt;7.3,IF(S215&gt;5700,IF(S215&lt;7200,"Pass","Fail"),"Fail"),"Fail"))</f>
        <v>Pass</v>
      </c>
      <c r="W215" s="55" t="s">
        <v>249</v>
      </c>
      <c r="X215" s="98" t="s">
        <v>250</v>
      </c>
      <c r="Y215" s="98"/>
      <c r="Z215" s="37">
        <v>4955</v>
      </c>
      <c r="AA215" s="37">
        <v>9645</v>
      </c>
      <c r="AB215" s="37">
        <v>5100</v>
      </c>
      <c r="AC215" s="37">
        <v>8300</v>
      </c>
      <c r="AD215" s="67">
        <v>10</v>
      </c>
      <c r="AE215" s="67">
        <v>9.8000000000000007</v>
      </c>
    </row>
    <row r="216" spans="1:31" ht="12.75" customHeight="1" x14ac:dyDescent="0.35">
      <c r="A216" s="294"/>
      <c r="B216" s="46"/>
      <c r="C216" s="54" t="s">
        <v>200</v>
      </c>
      <c r="D216" s="35">
        <v>2586.6</v>
      </c>
      <c r="E216" s="35">
        <v>2582.19</v>
      </c>
      <c r="F216" s="35">
        <v>2579.71</v>
      </c>
      <c r="G216" s="35">
        <v>2521.65</v>
      </c>
      <c r="H216" s="35">
        <v>2452.41</v>
      </c>
      <c r="I216" s="35">
        <v>2470.4499999999998</v>
      </c>
      <c r="J216" s="35">
        <v>2532.39</v>
      </c>
      <c r="K216" s="35">
        <v>2566.73</v>
      </c>
      <c r="L216" s="35">
        <v>2512.9699999999998</v>
      </c>
      <c r="M216" s="53"/>
      <c r="N216" s="53"/>
      <c r="O216" s="53"/>
      <c r="P216" s="53"/>
      <c r="Q216" s="46"/>
      <c r="R216" s="46"/>
      <c r="S216" s="46"/>
      <c r="T216" s="46"/>
      <c r="U216" s="46"/>
      <c r="V216" s="229"/>
      <c r="W216" s="46"/>
      <c r="X216" s="98"/>
      <c r="Y216" s="98"/>
      <c r="AD216" s="67"/>
      <c r="AE216" s="67"/>
    </row>
    <row r="217" spans="1:31" ht="24.8" customHeight="1" thickBot="1" x14ac:dyDescent="0.4">
      <c r="A217" s="294"/>
      <c r="B217" s="42"/>
      <c r="C217" s="74" t="s">
        <v>199</v>
      </c>
      <c r="D217" s="81">
        <f t="shared" ref="D217:L217" si="68">IF(((D215="")*AND(D216="")),"",(D215-D216)*2)</f>
        <v>6723.5800000000008</v>
      </c>
      <c r="E217" s="81">
        <f t="shared" si="68"/>
        <v>7068.2</v>
      </c>
      <c r="F217" s="81">
        <f t="shared" si="68"/>
        <v>7111.5</v>
      </c>
      <c r="G217" s="81">
        <f t="shared" si="68"/>
        <v>7205.0199999999995</v>
      </c>
      <c r="H217" s="81">
        <f t="shared" si="68"/>
        <v>7040.1</v>
      </c>
      <c r="I217" s="81">
        <f t="shared" si="68"/>
        <v>6923.3000000000011</v>
      </c>
      <c r="J217" s="81">
        <f t="shared" si="68"/>
        <v>7148.7600000000011</v>
      </c>
      <c r="K217" s="81">
        <f t="shared" si="68"/>
        <v>7100.2</v>
      </c>
      <c r="L217" s="81">
        <f t="shared" si="68"/>
        <v>7042.6600000000008</v>
      </c>
      <c r="M217" s="81"/>
      <c r="N217" s="81"/>
      <c r="O217" s="81"/>
      <c r="P217" s="81" t="str">
        <f>IF(((P215="")*AND(P216="")),"",(P215-P216)*2)</f>
        <v/>
      </c>
      <c r="Q217" s="42"/>
      <c r="R217" s="42"/>
      <c r="S217" s="42"/>
      <c r="T217" s="42"/>
      <c r="U217" s="78"/>
      <c r="V217" s="230"/>
      <c r="W217" s="42"/>
      <c r="X217" s="97"/>
      <c r="Y217" s="97"/>
      <c r="AD217" s="67"/>
      <c r="AE217" s="67"/>
    </row>
    <row r="218" spans="1:31" ht="12.75" customHeight="1" x14ac:dyDescent="0.25">
      <c r="A218" s="92">
        <v>42836</v>
      </c>
      <c r="B218" s="46" t="s">
        <v>202</v>
      </c>
      <c r="C218" s="78" t="s">
        <v>201</v>
      </c>
      <c r="D218" s="35">
        <v>6864.79</v>
      </c>
      <c r="E218" s="35">
        <v>6946.3</v>
      </c>
      <c r="F218" s="35">
        <v>6817.01</v>
      </c>
      <c r="G218" s="35">
        <v>6889.39</v>
      </c>
      <c r="H218" s="35">
        <v>6823.55</v>
      </c>
      <c r="I218" s="35">
        <v>6875.4</v>
      </c>
      <c r="J218" s="35">
        <v>6912.64</v>
      </c>
      <c r="K218" s="35">
        <v>6837.04</v>
      </c>
      <c r="L218" s="35">
        <v>6853.31</v>
      </c>
      <c r="M218" s="35">
        <v>6896.65</v>
      </c>
      <c r="N218" s="35">
        <v>6932.41</v>
      </c>
      <c r="O218" s="35">
        <v>6874.65</v>
      </c>
      <c r="P218" s="35">
        <v>6890.61</v>
      </c>
      <c r="Q218" s="48">
        <f>IF((L219=""),"",MAX(D220:P220))</f>
        <v>5242.2</v>
      </c>
      <c r="R218" s="46">
        <f>IF(L219="","",MIN(D220:L220))</f>
        <v>5202.6900000000005</v>
      </c>
      <c r="S218" s="51">
        <f>IF((P220=""),"",AVERAGE(D220:P220))</f>
        <v>5225.584615384616</v>
      </c>
      <c r="T218" s="105">
        <f>IF((L219=""),"",(Q218-R218)/(Q218+R218)*100)</f>
        <v>0.37827109715850821</v>
      </c>
      <c r="U218" s="46">
        <f>STDEV(D220:P220)</f>
        <v>13.843817883435808</v>
      </c>
      <c r="V218" s="231" t="str">
        <f>IF(P219="","",IF(T218&lt;2.7,IF(S218&gt;5150,IF(S218&lt;5600,"Pass","Fail"),"Fail"),"Fail"))</f>
        <v>Pass</v>
      </c>
      <c r="W218" s="46">
        <v>1400</v>
      </c>
      <c r="X218" s="94" t="s">
        <v>248</v>
      </c>
      <c r="Y218" s="94"/>
      <c r="Z218" s="251">
        <v>4470</v>
      </c>
      <c r="AA218" s="251">
        <v>6020</v>
      </c>
      <c r="AB218" s="251">
        <v>5150</v>
      </c>
      <c r="AC218" s="251">
        <v>5600</v>
      </c>
      <c r="AD218" s="67">
        <v>10</v>
      </c>
      <c r="AE218" s="252">
        <v>2.7</v>
      </c>
    </row>
    <row r="219" spans="1:31" ht="12.75" customHeight="1" x14ac:dyDescent="0.35">
      <c r="A219" s="294"/>
      <c r="B219" s="46"/>
      <c r="C219" s="54" t="s">
        <v>200</v>
      </c>
      <c r="D219" s="35">
        <v>1646.7</v>
      </c>
      <c r="E219" s="35">
        <v>1730.83</v>
      </c>
      <c r="F219" s="35">
        <v>1614.32</v>
      </c>
      <c r="G219" s="35">
        <v>1655.9</v>
      </c>
      <c r="H219" s="35">
        <v>1615.78</v>
      </c>
      <c r="I219" s="35">
        <v>1638.17</v>
      </c>
      <c r="J219" s="35">
        <v>1672.53</v>
      </c>
      <c r="K219" s="35">
        <v>1594.84</v>
      </c>
      <c r="L219" s="35">
        <v>1646.04</v>
      </c>
      <c r="M219" s="35">
        <v>1661.26</v>
      </c>
      <c r="N219" s="35">
        <v>1702.61</v>
      </c>
      <c r="O219" s="35">
        <v>1649.97</v>
      </c>
      <c r="P219" s="35">
        <v>1652.2</v>
      </c>
      <c r="Q219" s="46"/>
      <c r="R219" s="46"/>
      <c r="S219" s="46"/>
      <c r="T219" s="46"/>
      <c r="U219" s="46"/>
      <c r="V219" s="229"/>
      <c r="W219" s="46"/>
      <c r="X219" s="98"/>
      <c r="Y219" s="98"/>
      <c r="AD219" s="67"/>
      <c r="AE219" s="67"/>
    </row>
    <row r="220" spans="1:31" ht="24.8" customHeight="1" thickBot="1" x14ac:dyDescent="0.4">
      <c r="A220" s="294"/>
      <c r="B220" s="78"/>
      <c r="C220" s="54" t="s">
        <v>199</v>
      </c>
      <c r="D220" s="93">
        <f t="shared" ref="D220:P220" si="69">IF(((D218="")*AND(D219="")),"",(D218-D219))</f>
        <v>5218.09</v>
      </c>
      <c r="E220" s="93">
        <f t="shared" si="69"/>
        <v>5215.47</v>
      </c>
      <c r="F220" s="93">
        <f t="shared" si="69"/>
        <v>5202.6900000000005</v>
      </c>
      <c r="G220" s="93">
        <f t="shared" si="69"/>
        <v>5233.49</v>
      </c>
      <c r="H220" s="93">
        <f t="shared" si="69"/>
        <v>5207.7700000000004</v>
      </c>
      <c r="I220" s="93">
        <f t="shared" si="69"/>
        <v>5237.2299999999996</v>
      </c>
      <c r="J220" s="93">
        <f t="shared" si="69"/>
        <v>5240.1100000000006</v>
      </c>
      <c r="K220" s="93">
        <f t="shared" si="69"/>
        <v>5242.2</v>
      </c>
      <c r="L220" s="93">
        <f t="shared" si="69"/>
        <v>5207.2700000000004</v>
      </c>
      <c r="M220" s="93">
        <f t="shared" si="69"/>
        <v>5235.3899999999994</v>
      </c>
      <c r="N220" s="93">
        <f t="shared" si="69"/>
        <v>5229.8</v>
      </c>
      <c r="O220" s="93">
        <f t="shared" si="69"/>
        <v>5224.6799999999994</v>
      </c>
      <c r="P220" s="93">
        <f t="shared" si="69"/>
        <v>5238.41</v>
      </c>
      <c r="Q220" s="78"/>
      <c r="R220" s="78"/>
      <c r="S220" s="78"/>
      <c r="T220" s="78"/>
      <c r="U220" s="78"/>
      <c r="V220" s="232"/>
      <c r="W220" s="78"/>
      <c r="X220" s="98"/>
      <c r="Y220" s="98"/>
      <c r="AD220" s="67"/>
      <c r="AE220" s="67"/>
    </row>
    <row r="221" spans="1:31" ht="12.75" customHeight="1" x14ac:dyDescent="0.25">
      <c r="A221" s="92">
        <v>42836</v>
      </c>
      <c r="B221" s="48" t="s">
        <v>204</v>
      </c>
      <c r="C221" s="54" t="s">
        <v>201</v>
      </c>
      <c r="D221" s="35">
        <v>5953.6</v>
      </c>
      <c r="E221" s="35">
        <v>6019.26</v>
      </c>
      <c r="F221" s="35">
        <v>6041.19</v>
      </c>
      <c r="G221" s="35">
        <v>5973.89</v>
      </c>
      <c r="H221" s="35">
        <v>5915.06</v>
      </c>
      <c r="I221" s="35">
        <v>5855.69</v>
      </c>
      <c r="J221" s="35">
        <v>6009.79</v>
      </c>
      <c r="K221" s="35">
        <v>6039</v>
      </c>
      <c r="L221" s="35">
        <v>5885.68</v>
      </c>
      <c r="M221" s="53"/>
      <c r="N221" s="53"/>
      <c r="O221" s="53"/>
      <c r="P221" s="53"/>
      <c r="Q221" s="48">
        <f>IF((L222=""),"",MAX(D223:L223))</f>
        <v>6914.66</v>
      </c>
      <c r="R221" s="48">
        <f>IF(L222="","",MIN(D223:L223))</f>
        <v>6680.0400000000009</v>
      </c>
      <c r="S221" s="75">
        <f>IF((L223=""),"",AVERAGE(D223:L223))</f>
        <v>6803.8088888888897</v>
      </c>
      <c r="T221" s="51">
        <f>IF((L222=""),"",(Q221-R221)/(Q221+R221)*100)</f>
        <v>1.7258196208816596</v>
      </c>
      <c r="U221" s="48">
        <f>STDEV(D223:P223)</f>
        <v>88.95084884986251</v>
      </c>
      <c r="V221" s="228" t="str">
        <f>IF(L222="","",IF(T221&lt;7.3,IF(S221&gt;5700,IF(S221&lt;7200,"Pass","Fail"),"Fail"),"Fail"))</f>
        <v>Pass</v>
      </c>
      <c r="W221" s="55">
        <v>1400</v>
      </c>
      <c r="X221" s="98" t="s">
        <v>248</v>
      </c>
      <c r="Y221" s="98"/>
      <c r="Z221" s="37">
        <v>4955</v>
      </c>
      <c r="AA221" s="37">
        <v>9645</v>
      </c>
      <c r="AB221" s="37">
        <v>5100</v>
      </c>
      <c r="AC221" s="37">
        <v>8300</v>
      </c>
      <c r="AD221" s="67">
        <v>10</v>
      </c>
      <c r="AE221" s="67">
        <v>9.8000000000000007</v>
      </c>
    </row>
    <row r="222" spans="1:31" ht="12.75" customHeight="1" x14ac:dyDescent="0.35">
      <c r="A222" s="294"/>
      <c r="B222" s="46"/>
      <c r="C222" s="54" t="s">
        <v>200</v>
      </c>
      <c r="D222" s="35">
        <v>2613.58</v>
      </c>
      <c r="E222" s="35">
        <v>2605.67</v>
      </c>
      <c r="F222" s="35">
        <v>2623</v>
      </c>
      <c r="G222" s="35">
        <v>2520.5300000000002</v>
      </c>
      <c r="H222" s="35">
        <v>2520.3000000000002</v>
      </c>
      <c r="I222" s="35">
        <v>2510.83</v>
      </c>
      <c r="J222" s="35">
        <v>2552.46</v>
      </c>
      <c r="K222" s="35">
        <v>2605.92</v>
      </c>
      <c r="L222" s="35">
        <v>2523.73</v>
      </c>
      <c r="M222" s="53"/>
      <c r="N222" s="53"/>
      <c r="O222" s="53"/>
      <c r="P222" s="53"/>
      <c r="Q222" s="46"/>
      <c r="R222" s="46"/>
      <c r="S222" s="46"/>
      <c r="T222" s="46"/>
      <c r="U222" s="46"/>
      <c r="V222" s="229"/>
      <c r="W222" s="46"/>
      <c r="X222" s="98"/>
      <c r="Y222" s="98"/>
      <c r="AD222" s="67"/>
      <c r="AE222" s="67"/>
    </row>
    <row r="223" spans="1:31" ht="24.8" customHeight="1" thickBot="1" x14ac:dyDescent="0.4">
      <c r="A223" s="294"/>
      <c r="B223" s="42"/>
      <c r="C223" s="74" t="s">
        <v>199</v>
      </c>
      <c r="D223" s="81">
        <f t="shared" ref="D223:L223" si="70">IF(((D221="")*AND(D222="")),"",(D221-D222)*2)</f>
        <v>6680.0400000000009</v>
      </c>
      <c r="E223" s="81">
        <f t="shared" si="70"/>
        <v>6827.18</v>
      </c>
      <c r="F223" s="81">
        <f t="shared" si="70"/>
        <v>6836.3799999999992</v>
      </c>
      <c r="G223" s="81">
        <f t="shared" si="70"/>
        <v>6906.72</v>
      </c>
      <c r="H223" s="81">
        <f t="shared" si="70"/>
        <v>6789.52</v>
      </c>
      <c r="I223" s="81">
        <f t="shared" si="70"/>
        <v>6689.7199999999993</v>
      </c>
      <c r="J223" s="81">
        <f t="shared" si="70"/>
        <v>6914.66</v>
      </c>
      <c r="K223" s="81">
        <f t="shared" si="70"/>
        <v>6866.16</v>
      </c>
      <c r="L223" s="81">
        <f t="shared" si="70"/>
        <v>6723.9000000000005</v>
      </c>
      <c r="M223" s="81"/>
      <c r="N223" s="81"/>
      <c r="O223" s="81"/>
      <c r="P223" s="81" t="str">
        <f>IF(((P221="")*AND(P222="")),"",(P221-P222)*2)</f>
        <v/>
      </c>
      <c r="Q223" s="42"/>
      <c r="R223" s="42"/>
      <c r="S223" s="42"/>
      <c r="T223" s="42"/>
      <c r="U223" s="78"/>
      <c r="V223" s="230"/>
      <c r="W223" s="42"/>
      <c r="X223" s="97"/>
      <c r="Y223" s="97"/>
      <c r="AD223" s="67"/>
      <c r="AE223" s="67"/>
    </row>
    <row r="224" spans="1:31" ht="12.75" customHeight="1" x14ac:dyDescent="0.25">
      <c r="A224" s="92">
        <v>42845</v>
      </c>
      <c r="B224" s="46" t="s">
        <v>202</v>
      </c>
      <c r="C224" s="78" t="s">
        <v>201</v>
      </c>
      <c r="D224" s="35">
        <v>6875.89</v>
      </c>
      <c r="E224" s="35">
        <v>6967.89</v>
      </c>
      <c r="F224" s="35">
        <v>6820.66</v>
      </c>
      <c r="G224" s="35">
        <v>6882.37</v>
      </c>
      <c r="H224" s="35">
        <v>6856.94</v>
      </c>
      <c r="I224" s="35">
        <v>6891.99</v>
      </c>
      <c r="J224" s="35">
        <v>6901.58</v>
      </c>
      <c r="K224" s="35">
        <v>6823.69</v>
      </c>
      <c r="L224" s="35">
        <v>6854.47</v>
      </c>
      <c r="M224" s="35">
        <v>6889.08</v>
      </c>
      <c r="N224" s="35">
        <v>6957.81</v>
      </c>
      <c r="O224" s="35">
        <v>6878.56</v>
      </c>
      <c r="P224" s="35">
        <v>6911.42</v>
      </c>
      <c r="Q224" s="48">
        <f>IF((L225=""),"",MAX(D226:P226))</f>
        <v>5253.96</v>
      </c>
      <c r="R224" s="46">
        <f>IF(L225="","",MIN(D226:L226))</f>
        <v>5199.6399999999994</v>
      </c>
      <c r="S224" s="51">
        <f>IF((P226=""),"",AVERAGE(D226:P226))</f>
        <v>5228.0476923076922</v>
      </c>
      <c r="T224" s="105">
        <f>IF((L225=""),"",(Q224-R224)/(Q224+R224)*100)</f>
        <v>0.51962960128568747</v>
      </c>
      <c r="U224" s="46">
        <f>STDEV(D226:P226)</f>
        <v>18.574704642715332</v>
      </c>
      <c r="V224" s="231" t="str">
        <f>IF(P225="","",IF(T224&lt;2.7,IF(S224&gt;5150,IF(S224&lt;5600,"Pass","Fail"),"Fail"),"Fail"))</f>
        <v>Pass</v>
      </c>
      <c r="W224" s="46">
        <v>1335</v>
      </c>
      <c r="X224" s="94" t="s">
        <v>247</v>
      </c>
      <c r="Y224" s="94"/>
      <c r="Z224" s="251">
        <v>4470</v>
      </c>
      <c r="AA224" s="251">
        <v>6020</v>
      </c>
      <c r="AB224" s="251">
        <v>5150</v>
      </c>
      <c r="AC224" s="251">
        <v>5600</v>
      </c>
      <c r="AD224" s="67">
        <v>10</v>
      </c>
      <c r="AE224" s="252">
        <v>2.7</v>
      </c>
    </row>
    <row r="225" spans="1:31" ht="12.75" customHeight="1" x14ac:dyDescent="0.35">
      <c r="A225" s="294"/>
      <c r="B225" s="46"/>
      <c r="C225" s="54" t="s">
        <v>200</v>
      </c>
      <c r="D225" s="35">
        <v>1643.34</v>
      </c>
      <c r="E225" s="35">
        <v>1743.68</v>
      </c>
      <c r="F225" s="35">
        <v>1621.02</v>
      </c>
      <c r="G225" s="35">
        <v>1662.85</v>
      </c>
      <c r="H225" s="35">
        <v>1639.97</v>
      </c>
      <c r="I225" s="35">
        <v>1638.03</v>
      </c>
      <c r="J225" s="35">
        <v>1662.41</v>
      </c>
      <c r="K225" s="35">
        <v>1617.38</v>
      </c>
      <c r="L225" s="35">
        <v>1649.06</v>
      </c>
      <c r="M225" s="35">
        <v>1646.26</v>
      </c>
      <c r="N225" s="35">
        <v>1708.75</v>
      </c>
      <c r="O225" s="35">
        <v>1656.62</v>
      </c>
      <c r="P225" s="35">
        <v>1658.36</v>
      </c>
      <c r="Q225" s="46"/>
      <c r="R225" s="46"/>
      <c r="S225" s="46"/>
      <c r="T225" s="46"/>
      <c r="U225" s="46"/>
      <c r="V225" s="229"/>
      <c r="W225" s="46"/>
      <c r="X225" s="98"/>
      <c r="Y225" s="98"/>
      <c r="AD225" s="67"/>
      <c r="AE225" s="67"/>
    </row>
    <row r="226" spans="1:31" ht="24.8" customHeight="1" thickBot="1" x14ac:dyDescent="0.4">
      <c r="A226" s="294"/>
      <c r="B226" s="78"/>
      <c r="C226" s="54" t="s">
        <v>199</v>
      </c>
      <c r="D226" s="93">
        <f t="shared" ref="D226:P226" si="71">IF(((D224="")*AND(D225="")),"",(D224-D225))</f>
        <v>5232.55</v>
      </c>
      <c r="E226" s="93">
        <f t="shared" si="71"/>
        <v>5224.21</v>
      </c>
      <c r="F226" s="93">
        <f t="shared" si="71"/>
        <v>5199.6399999999994</v>
      </c>
      <c r="G226" s="93">
        <f t="shared" si="71"/>
        <v>5219.5200000000004</v>
      </c>
      <c r="H226" s="93">
        <f t="shared" si="71"/>
        <v>5216.9699999999993</v>
      </c>
      <c r="I226" s="93">
        <f t="shared" si="71"/>
        <v>5253.96</v>
      </c>
      <c r="J226" s="93">
        <f t="shared" si="71"/>
        <v>5239.17</v>
      </c>
      <c r="K226" s="93">
        <f t="shared" si="71"/>
        <v>5206.3099999999995</v>
      </c>
      <c r="L226" s="93">
        <f t="shared" si="71"/>
        <v>5205.41</v>
      </c>
      <c r="M226" s="93">
        <f t="shared" si="71"/>
        <v>5242.82</v>
      </c>
      <c r="N226" s="93">
        <f t="shared" si="71"/>
        <v>5249.06</v>
      </c>
      <c r="O226" s="93">
        <f t="shared" si="71"/>
        <v>5221.9400000000005</v>
      </c>
      <c r="P226" s="93">
        <f t="shared" si="71"/>
        <v>5253.06</v>
      </c>
      <c r="Q226" s="78"/>
      <c r="R226" s="78"/>
      <c r="S226" s="78"/>
      <c r="T226" s="78"/>
      <c r="U226" s="78"/>
      <c r="V226" s="232"/>
      <c r="W226" s="78"/>
      <c r="X226" s="98"/>
      <c r="Y226" s="98"/>
      <c r="AD226" s="67"/>
      <c r="AE226" s="67"/>
    </row>
    <row r="227" spans="1:31" ht="12.75" customHeight="1" x14ac:dyDescent="0.25">
      <c r="A227" s="92">
        <v>42845</v>
      </c>
      <c r="B227" s="48" t="s">
        <v>204</v>
      </c>
      <c r="C227" s="54" t="s">
        <v>201</v>
      </c>
      <c r="D227" s="35">
        <v>5970.56</v>
      </c>
      <c r="E227" s="35">
        <v>6029.37</v>
      </c>
      <c r="F227" s="35">
        <v>6050.12</v>
      </c>
      <c r="G227" s="35">
        <v>5986.22</v>
      </c>
      <c r="H227" s="35">
        <v>5929.5</v>
      </c>
      <c r="I227" s="35">
        <v>5887.58</v>
      </c>
      <c r="J227" s="35">
        <v>6010.48</v>
      </c>
      <c r="K227" s="35">
        <v>6050.27</v>
      </c>
      <c r="L227" s="35">
        <v>5898.18</v>
      </c>
      <c r="M227" s="53"/>
      <c r="N227" s="53"/>
      <c r="O227" s="53"/>
      <c r="P227" s="53"/>
      <c r="Q227" s="48">
        <f>IF((L228=""),"",MAX(D229:L229))</f>
        <v>6892.88</v>
      </c>
      <c r="R227" s="48">
        <f>IF(L228="","",MIN(D229:L229))</f>
        <v>6700.8600000000006</v>
      </c>
      <c r="S227" s="75">
        <f>IF((L229=""),"",AVERAGE(D229:L229))</f>
        <v>6797.4044444444453</v>
      </c>
      <c r="T227" s="51">
        <f>IF((L228=""),"",(Q227-R227)/(Q227+R227)*100)</f>
        <v>1.4125619586662648</v>
      </c>
      <c r="U227" s="48">
        <f>STDEV(D229:P229)</f>
        <v>73.793670309707124</v>
      </c>
      <c r="V227" s="228" t="str">
        <f>IF(L228="","",IF(T227&lt;7.3,IF(S227&gt;5700,IF(S227&lt;7200,"Pass","Fail"),"Fail"),"Fail"))</f>
        <v>Pass</v>
      </c>
      <c r="W227" s="55">
        <v>1335</v>
      </c>
      <c r="X227" s="98" t="s">
        <v>247</v>
      </c>
      <c r="Y227" s="98"/>
      <c r="Z227" s="37">
        <v>4955</v>
      </c>
      <c r="AA227" s="37">
        <v>9645</v>
      </c>
      <c r="AB227" s="37">
        <v>5100</v>
      </c>
      <c r="AC227" s="37">
        <v>8300</v>
      </c>
      <c r="AD227" s="67">
        <v>10</v>
      </c>
      <c r="AE227" s="67">
        <v>9.8000000000000007</v>
      </c>
    </row>
    <row r="228" spans="1:31" ht="12.75" customHeight="1" x14ac:dyDescent="0.35">
      <c r="A228" s="294"/>
      <c r="B228" s="46"/>
      <c r="C228" s="54" t="s">
        <v>200</v>
      </c>
      <c r="D228" s="35">
        <v>2620.13</v>
      </c>
      <c r="E228" s="35">
        <v>2652.58</v>
      </c>
      <c r="F228" s="35">
        <v>2646.64</v>
      </c>
      <c r="G228" s="35">
        <v>2545.1</v>
      </c>
      <c r="H228" s="35">
        <v>2483.06</v>
      </c>
      <c r="I228" s="35">
        <v>2512.9699999999998</v>
      </c>
      <c r="J228" s="35">
        <v>2577.3000000000002</v>
      </c>
      <c r="K228" s="35">
        <v>2640.91</v>
      </c>
      <c r="L228" s="35">
        <v>2545.27</v>
      </c>
      <c r="M228" s="53"/>
      <c r="N228" s="53"/>
      <c r="O228" s="53"/>
      <c r="P228" s="53"/>
      <c r="Q228" s="46"/>
      <c r="R228" s="46"/>
      <c r="S228" s="46"/>
      <c r="T228" s="46"/>
      <c r="U228" s="46"/>
      <c r="V228" s="229"/>
      <c r="W228" s="46"/>
      <c r="X228" s="98"/>
      <c r="Y228" s="98"/>
      <c r="AD228" s="67"/>
      <c r="AE228" s="67"/>
    </row>
    <row r="229" spans="1:31" ht="24.8" customHeight="1" thickBot="1" x14ac:dyDescent="0.4">
      <c r="A229" s="294"/>
      <c r="B229" s="42"/>
      <c r="C229" s="74" t="s">
        <v>199</v>
      </c>
      <c r="D229" s="81">
        <f t="shared" ref="D229:L229" si="72">IF(((D227="")*AND(D228="")),"",(D227-D228)*2)</f>
        <v>6700.8600000000006</v>
      </c>
      <c r="E229" s="81">
        <f t="shared" si="72"/>
        <v>6753.58</v>
      </c>
      <c r="F229" s="81">
        <f t="shared" si="72"/>
        <v>6806.96</v>
      </c>
      <c r="G229" s="81">
        <f t="shared" si="72"/>
        <v>6882.2400000000007</v>
      </c>
      <c r="H229" s="81">
        <f t="shared" si="72"/>
        <v>6892.88</v>
      </c>
      <c r="I229" s="81">
        <f t="shared" si="72"/>
        <v>6749.22</v>
      </c>
      <c r="J229" s="81">
        <f t="shared" si="72"/>
        <v>6866.3599999999988</v>
      </c>
      <c r="K229" s="81">
        <f t="shared" si="72"/>
        <v>6818.7200000000012</v>
      </c>
      <c r="L229" s="81">
        <f t="shared" si="72"/>
        <v>6705.8200000000006</v>
      </c>
      <c r="M229" s="81"/>
      <c r="N229" s="81"/>
      <c r="O229" s="81"/>
      <c r="P229" s="81" t="str">
        <f>IF(((P227="")*AND(P228="")),"",(P227-P228)*2)</f>
        <v/>
      </c>
      <c r="Q229" s="42"/>
      <c r="R229" s="42"/>
      <c r="S229" s="42"/>
      <c r="T229" s="42"/>
      <c r="U229" s="78"/>
      <c r="V229" s="230"/>
      <c r="W229" s="42"/>
      <c r="X229" s="97"/>
      <c r="Y229" s="97"/>
      <c r="AD229" s="67"/>
      <c r="AE229" s="67"/>
    </row>
    <row r="230" spans="1:31" ht="12.75" customHeight="1" x14ac:dyDescent="0.25">
      <c r="A230" s="92">
        <v>42849</v>
      </c>
      <c r="B230" s="46" t="s">
        <v>202</v>
      </c>
      <c r="C230" s="78" t="s">
        <v>201</v>
      </c>
      <c r="D230" s="35">
        <v>6984.52</v>
      </c>
      <c r="E230" s="35">
        <v>7072.31</v>
      </c>
      <c r="F230" s="35">
        <v>6928.46</v>
      </c>
      <c r="G230" s="35">
        <v>6990.35</v>
      </c>
      <c r="H230" s="35">
        <v>6965.34</v>
      </c>
      <c r="I230" s="35">
        <v>6999.78</v>
      </c>
      <c r="J230" s="35">
        <v>7011.53</v>
      </c>
      <c r="K230" s="35">
        <v>6933.9</v>
      </c>
      <c r="L230" s="35">
        <v>6963.37</v>
      </c>
      <c r="M230" s="35">
        <v>7000.81</v>
      </c>
      <c r="N230" s="35">
        <v>7064.39</v>
      </c>
      <c r="O230" s="35">
        <v>6990.45</v>
      </c>
      <c r="P230" s="35">
        <v>7022.9</v>
      </c>
      <c r="Q230" s="48">
        <f>IF((L231=""),"",MAX(D232:P232))</f>
        <v>5245.21</v>
      </c>
      <c r="R230" s="46">
        <f>IF(L231="","",MIN(D232:L232))</f>
        <v>5187.0700000000006</v>
      </c>
      <c r="S230" s="51">
        <f>IF((P232=""),"",AVERAGE(D232:P232))</f>
        <v>5216.7761538461546</v>
      </c>
      <c r="T230" s="105">
        <f>IF((L231=""),"",(Q230-R230)/(Q230+R230)*100)</f>
        <v>0.5573086611939041</v>
      </c>
      <c r="U230" s="46">
        <f>STDEV(D232:P232)</f>
        <v>19.892136025098502</v>
      </c>
      <c r="V230" s="231" t="str">
        <f>IF(P231="","",IF(T230&lt;2.7,IF(S230&gt;5150,IF(S230&lt;5600,"Pass","Fail"),"Fail"),"Fail"))</f>
        <v>Pass</v>
      </c>
      <c r="W230" s="46">
        <v>64</v>
      </c>
      <c r="X230" s="94" t="s">
        <v>246</v>
      </c>
      <c r="Y230" s="94"/>
      <c r="Z230" s="251">
        <v>4470</v>
      </c>
      <c r="AA230" s="251">
        <v>6020</v>
      </c>
      <c r="AB230" s="251">
        <v>5150</v>
      </c>
      <c r="AC230" s="251">
        <v>5600</v>
      </c>
      <c r="AD230" s="67">
        <v>10</v>
      </c>
      <c r="AE230" s="252">
        <v>2.7</v>
      </c>
    </row>
    <row r="231" spans="1:31" ht="12.75" customHeight="1" x14ac:dyDescent="0.35">
      <c r="A231" s="294"/>
      <c r="B231" s="46"/>
      <c r="C231" s="54" t="s">
        <v>200</v>
      </c>
      <c r="D231" s="35">
        <v>1785.57</v>
      </c>
      <c r="E231" s="35">
        <v>1885.24</v>
      </c>
      <c r="F231" s="35">
        <v>1738.54</v>
      </c>
      <c r="G231" s="35">
        <v>1750.74</v>
      </c>
      <c r="H231" s="35">
        <v>1764.91</v>
      </c>
      <c r="I231" s="35">
        <v>1773.55</v>
      </c>
      <c r="J231" s="35">
        <v>1766.32</v>
      </c>
      <c r="K231" s="35">
        <v>1701.03</v>
      </c>
      <c r="L231" s="35">
        <v>1767.41</v>
      </c>
      <c r="M231" s="35">
        <v>1772.92</v>
      </c>
      <c r="N231" s="35">
        <v>1841.86</v>
      </c>
      <c r="O231" s="35">
        <v>1772.86</v>
      </c>
      <c r="P231" s="35">
        <v>1789.07</v>
      </c>
      <c r="Q231" s="46"/>
      <c r="R231" s="46"/>
      <c r="S231" s="46"/>
      <c r="T231" s="46"/>
      <c r="U231" s="46"/>
      <c r="V231" s="229"/>
      <c r="W231" s="46"/>
      <c r="X231" s="98"/>
      <c r="Y231" s="98"/>
      <c r="AD231" s="67"/>
      <c r="AE231" s="67"/>
    </row>
    <row r="232" spans="1:31" ht="24.8" customHeight="1" thickBot="1" x14ac:dyDescent="0.4">
      <c r="A232" s="294"/>
      <c r="B232" s="78"/>
      <c r="C232" s="54" t="s">
        <v>199</v>
      </c>
      <c r="D232" s="93">
        <f t="shared" ref="D232:P232" si="73">IF(((D230="")*AND(D231="")),"",(D230-D231))</f>
        <v>5198.9500000000007</v>
      </c>
      <c r="E232" s="93">
        <f t="shared" si="73"/>
        <v>5187.0700000000006</v>
      </c>
      <c r="F232" s="93">
        <f t="shared" si="73"/>
        <v>5189.92</v>
      </c>
      <c r="G232" s="93">
        <f t="shared" si="73"/>
        <v>5239.6100000000006</v>
      </c>
      <c r="H232" s="93">
        <f t="shared" si="73"/>
        <v>5200.43</v>
      </c>
      <c r="I232" s="93">
        <f t="shared" si="73"/>
        <v>5226.2299999999996</v>
      </c>
      <c r="J232" s="93">
        <f t="shared" si="73"/>
        <v>5245.21</v>
      </c>
      <c r="K232" s="93">
        <f t="shared" si="73"/>
        <v>5232.87</v>
      </c>
      <c r="L232" s="93">
        <f t="shared" si="73"/>
        <v>5195.96</v>
      </c>
      <c r="M232" s="93">
        <f t="shared" si="73"/>
        <v>5227.8900000000003</v>
      </c>
      <c r="N232" s="93">
        <f t="shared" si="73"/>
        <v>5222.5300000000007</v>
      </c>
      <c r="O232" s="93">
        <f t="shared" si="73"/>
        <v>5217.59</v>
      </c>
      <c r="P232" s="93">
        <f t="shared" si="73"/>
        <v>5233.83</v>
      </c>
      <c r="Q232" s="78"/>
      <c r="R232" s="78"/>
      <c r="S232" s="78"/>
      <c r="T232" s="78"/>
      <c r="U232" s="78"/>
      <c r="V232" s="232"/>
      <c r="W232" s="78"/>
      <c r="X232" s="98"/>
      <c r="Y232" s="98"/>
      <c r="AD232" s="67"/>
      <c r="AE232" s="67"/>
    </row>
    <row r="233" spans="1:31" ht="12.75" customHeight="1" x14ac:dyDescent="0.25">
      <c r="A233" s="92">
        <v>42849</v>
      </c>
      <c r="B233" s="48" t="s">
        <v>204</v>
      </c>
      <c r="C233" s="54" t="s">
        <v>201</v>
      </c>
      <c r="D233" s="35">
        <v>5970.08</v>
      </c>
      <c r="E233" s="35">
        <v>6024.62</v>
      </c>
      <c r="F233" s="35">
        <v>6047.51</v>
      </c>
      <c r="G233" s="35">
        <v>5992.53</v>
      </c>
      <c r="H233" s="35">
        <v>5947.41</v>
      </c>
      <c r="I233" s="35">
        <v>5892.97</v>
      </c>
      <c r="J233" s="35">
        <v>6002.61</v>
      </c>
      <c r="K233" s="35">
        <v>6045.7</v>
      </c>
      <c r="L233" s="35">
        <v>5896.98</v>
      </c>
      <c r="M233" s="53"/>
      <c r="N233" s="53"/>
      <c r="O233" s="53"/>
      <c r="P233" s="53"/>
      <c r="Q233" s="48">
        <f>IF((L234=""),"",MAX(D235:L235))</f>
        <v>6697.7599999999993</v>
      </c>
      <c r="R233" s="48">
        <f>IF(L234="","",MIN(D235:L235))</f>
        <v>6222.24</v>
      </c>
      <c r="S233" s="75">
        <f>IF((L235=""),"",AVERAGE(D235:L235))</f>
        <v>6531.5155555555557</v>
      </c>
      <c r="T233" s="51">
        <f>IF((L234=""),"",(Q233-R233)/(Q233+R233)*100)</f>
        <v>3.6804953560371478</v>
      </c>
      <c r="U233" s="48">
        <f>STDEV(D235:P235)</f>
        <v>131.01142956924687</v>
      </c>
      <c r="V233" s="228" t="str">
        <f>IF(L234="","",IF(T233&lt;7.3,IF(S233&gt;5700,IF(S233&lt;7200,"Pass","Fail"),"Fail"),"Fail"))</f>
        <v>Pass</v>
      </c>
      <c r="W233" s="55">
        <v>64</v>
      </c>
      <c r="X233" s="98" t="s">
        <v>246</v>
      </c>
      <c r="Y233" s="98"/>
      <c r="Z233" s="37">
        <v>4955</v>
      </c>
      <c r="AA233" s="37">
        <v>9645</v>
      </c>
      <c r="AB233" s="37">
        <v>5100</v>
      </c>
      <c r="AC233" s="37">
        <v>8300</v>
      </c>
      <c r="AD233" s="67">
        <v>10</v>
      </c>
      <c r="AE233" s="67">
        <v>9.8000000000000007</v>
      </c>
    </row>
    <row r="234" spans="1:31" ht="12.75" customHeight="1" x14ac:dyDescent="0.35">
      <c r="A234" s="294"/>
      <c r="B234" s="46"/>
      <c r="C234" s="54" t="s">
        <v>200</v>
      </c>
      <c r="D234" s="35">
        <v>2858.96</v>
      </c>
      <c r="E234" s="35">
        <v>2759.74</v>
      </c>
      <c r="F234" s="35">
        <v>2759.26</v>
      </c>
      <c r="G234" s="35">
        <v>2643.65</v>
      </c>
      <c r="H234" s="35">
        <v>2690.47</v>
      </c>
      <c r="I234" s="35">
        <v>2646.51</v>
      </c>
      <c r="J234" s="35">
        <v>2692.63</v>
      </c>
      <c r="K234" s="35">
        <v>2759.7</v>
      </c>
      <c r="L234" s="35">
        <v>2617.67</v>
      </c>
      <c r="M234" s="53"/>
      <c r="N234" s="53"/>
      <c r="O234" s="53"/>
      <c r="P234" s="53"/>
      <c r="Q234" s="46"/>
      <c r="R234" s="46"/>
      <c r="S234" s="46"/>
      <c r="T234" s="46"/>
      <c r="U234" s="46"/>
      <c r="V234" s="229"/>
      <c r="W234" s="46"/>
      <c r="X234" s="98"/>
      <c r="Y234" s="98"/>
      <c r="AD234" s="67"/>
      <c r="AE234" s="67"/>
    </row>
    <row r="235" spans="1:31" ht="24.8" customHeight="1" thickBot="1" x14ac:dyDescent="0.4">
      <c r="A235" s="294"/>
      <c r="B235" s="42"/>
      <c r="C235" s="74" t="s">
        <v>199</v>
      </c>
      <c r="D235" s="81">
        <f t="shared" ref="D235:L235" si="74">IF(((D233="")*AND(D234="")),"",(D233-D234)*2)</f>
        <v>6222.24</v>
      </c>
      <c r="E235" s="81">
        <f t="shared" si="74"/>
        <v>6529.76</v>
      </c>
      <c r="F235" s="81">
        <f t="shared" si="74"/>
        <v>6576.5</v>
      </c>
      <c r="G235" s="81">
        <f t="shared" si="74"/>
        <v>6697.7599999999993</v>
      </c>
      <c r="H235" s="81">
        <f t="shared" si="74"/>
        <v>6513.88</v>
      </c>
      <c r="I235" s="81">
        <f t="shared" si="74"/>
        <v>6492.92</v>
      </c>
      <c r="J235" s="81">
        <f t="shared" si="74"/>
        <v>6619.9599999999991</v>
      </c>
      <c r="K235" s="81">
        <f t="shared" si="74"/>
        <v>6572</v>
      </c>
      <c r="L235" s="81">
        <f t="shared" si="74"/>
        <v>6558.619999999999</v>
      </c>
      <c r="M235" s="81"/>
      <c r="N235" s="81"/>
      <c r="O235" s="81"/>
      <c r="P235" s="81" t="str">
        <f>IF(((P233="")*AND(P234="")),"",(P233-P234)*2)</f>
        <v/>
      </c>
      <c r="Q235" s="42"/>
      <c r="R235" s="42"/>
      <c r="S235" s="42"/>
      <c r="T235" s="42"/>
      <c r="U235" s="78"/>
      <c r="V235" s="230"/>
      <c r="W235" s="42"/>
      <c r="X235" s="97"/>
      <c r="Y235" s="97"/>
      <c r="AD235" s="67"/>
      <c r="AE235" s="67"/>
    </row>
    <row r="236" spans="1:31" ht="12.75" customHeight="1" x14ac:dyDescent="0.25">
      <c r="A236" s="92">
        <v>42905</v>
      </c>
      <c r="B236" s="46" t="s">
        <v>202</v>
      </c>
      <c r="C236" s="78" t="s">
        <v>201</v>
      </c>
      <c r="D236" s="35">
        <v>6877</v>
      </c>
      <c r="E236" s="35">
        <v>6971</v>
      </c>
      <c r="F236" s="35">
        <v>6820</v>
      </c>
      <c r="G236" s="35">
        <v>6880</v>
      </c>
      <c r="H236" s="35">
        <v>6859</v>
      </c>
      <c r="I236" s="35">
        <v>6891</v>
      </c>
      <c r="J236" s="64">
        <v>6899</v>
      </c>
      <c r="K236" s="64">
        <v>6822</v>
      </c>
      <c r="L236" s="64">
        <v>6853</v>
      </c>
      <c r="M236" s="64">
        <v>6887</v>
      </c>
      <c r="N236" s="64">
        <v>6956</v>
      </c>
      <c r="O236" s="64">
        <v>6880</v>
      </c>
      <c r="P236" s="64">
        <v>6910</v>
      </c>
      <c r="Q236" s="48">
        <f>IF((L237=""),"",MAX(D238:P238))</f>
        <v>5587</v>
      </c>
      <c r="R236" s="46">
        <f>IF(L237="","",MIN(D238:L238))</f>
        <v>5488</v>
      </c>
      <c r="S236" s="51">
        <f>IF((P238=""),"",AVERAGE(D238:P238))</f>
        <v>5533.4615384615381</v>
      </c>
      <c r="T236" s="105">
        <f>IF((L237=""),"",(Q236-R236)/(Q236+R236)*100)</f>
        <v>0.89390519187358908</v>
      </c>
      <c r="U236" s="46">
        <f>STDEV(D238:P238)</f>
        <v>33.360693899196669</v>
      </c>
      <c r="V236" s="231" t="str">
        <f>IF(P237="","",IF(T236&lt;2.7,IF(S236&gt;5150,IF(S236&lt;5600,"Pass","Fail"),"Fail"),"Fail"))</f>
        <v>Pass</v>
      </c>
      <c r="W236" s="46">
        <v>1159</v>
      </c>
      <c r="X236" s="94" t="s">
        <v>245</v>
      </c>
      <c r="Y236" s="94"/>
      <c r="Z236" s="251">
        <v>4470</v>
      </c>
      <c r="AA236" s="251">
        <v>6020</v>
      </c>
      <c r="AB236" s="251">
        <v>5150</v>
      </c>
      <c r="AC236" s="251">
        <v>5600</v>
      </c>
      <c r="AD236" s="67">
        <v>10</v>
      </c>
      <c r="AE236" s="252">
        <v>2.7</v>
      </c>
    </row>
    <row r="237" spans="1:31" ht="12.75" customHeight="1" x14ac:dyDescent="0.35">
      <c r="A237" s="294"/>
      <c r="B237" s="46"/>
      <c r="C237" s="54" t="s">
        <v>200</v>
      </c>
      <c r="D237" s="35">
        <v>1373</v>
      </c>
      <c r="E237" s="35">
        <v>1474</v>
      </c>
      <c r="F237" s="35">
        <v>1304</v>
      </c>
      <c r="G237" s="35">
        <v>1319</v>
      </c>
      <c r="H237" s="35">
        <v>1371</v>
      </c>
      <c r="I237" s="35">
        <v>1353</v>
      </c>
      <c r="J237" s="64">
        <v>1322</v>
      </c>
      <c r="K237" s="64">
        <v>1235</v>
      </c>
      <c r="L237" s="64">
        <v>1330</v>
      </c>
      <c r="M237" s="64">
        <v>1304</v>
      </c>
      <c r="N237" s="64">
        <v>1444</v>
      </c>
      <c r="O237" s="64">
        <v>1350</v>
      </c>
      <c r="P237" s="64">
        <v>1391</v>
      </c>
      <c r="Q237" s="46"/>
      <c r="R237" s="46"/>
      <c r="S237" s="46"/>
      <c r="T237" s="46"/>
      <c r="U237" s="46"/>
      <c r="V237" s="229"/>
      <c r="W237" s="46"/>
      <c r="X237" s="98"/>
      <c r="Y237" s="98"/>
      <c r="AD237" s="67"/>
      <c r="AE237" s="67"/>
    </row>
    <row r="238" spans="1:31" ht="24.8" customHeight="1" thickBot="1" x14ac:dyDescent="0.4">
      <c r="A238" s="294"/>
      <c r="B238" s="78"/>
      <c r="C238" s="54" t="s">
        <v>199</v>
      </c>
      <c r="D238" s="93">
        <f t="shared" ref="D238:P238" si="75">IF(((D236="")*AND(D237="")),"",(D236-D237))</f>
        <v>5504</v>
      </c>
      <c r="E238" s="93">
        <f t="shared" si="75"/>
        <v>5497</v>
      </c>
      <c r="F238" s="93">
        <f t="shared" si="75"/>
        <v>5516</v>
      </c>
      <c r="G238" s="93">
        <f t="shared" si="75"/>
        <v>5561</v>
      </c>
      <c r="H238" s="93">
        <f t="shared" si="75"/>
        <v>5488</v>
      </c>
      <c r="I238" s="93">
        <f t="shared" si="75"/>
        <v>5538</v>
      </c>
      <c r="J238" s="93">
        <f t="shared" si="75"/>
        <v>5577</v>
      </c>
      <c r="K238" s="93">
        <f t="shared" si="75"/>
        <v>5587</v>
      </c>
      <c r="L238" s="93">
        <f t="shared" si="75"/>
        <v>5523</v>
      </c>
      <c r="M238" s="93">
        <f t="shared" si="75"/>
        <v>5583</v>
      </c>
      <c r="N238" s="93">
        <f t="shared" si="75"/>
        <v>5512</v>
      </c>
      <c r="O238" s="93">
        <f t="shared" si="75"/>
        <v>5530</v>
      </c>
      <c r="P238" s="93">
        <f t="shared" si="75"/>
        <v>5519</v>
      </c>
      <c r="Q238" s="78"/>
      <c r="R238" s="78"/>
      <c r="S238" s="78"/>
      <c r="T238" s="78"/>
      <c r="U238" s="78"/>
      <c r="V238" s="232"/>
      <c r="W238" s="78"/>
      <c r="X238" s="98"/>
      <c r="Y238" s="98"/>
      <c r="AD238" s="67"/>
      <c r="AE238" s="67"/>
    </row>
    <row r="239" spans="1:31" ht="12.75" customHeight="1" x14ac:dyDescent="0.25">
      <c r="A239" s="92">
        <v>42905</v>
      </c>
      <c r="B239" s="48" t="s">
        <v>204</v>
      </c>
      <c r="C239" s="54" t="s">
        <v>201</v>
      </c>
      <c r="D239" s="35">
        <v>5961</v>
      </c>
      <c r="E239" s="35">
        <v>6008</v>
      </c>
      <c r="F239" s="35">
        <v>6032</v>
      </c>
      <c r="G239" s="35">
        <v>5993</v>
      </c>
      <c r="H239" s="35">
        <v>5963</v>
      </c>
      <c r="I239" s="35">
        <v>5954</v>
      </c>
      <c r="J239" s="64">
        <v>5999</v>
      </c>
      <c r="K239" s="64">
        <v>6024</v>
      </c>
      <c r="L239" s="64">
        <v>5900</v>
      </c>
      <c r="M239" s="53"/>
      <c r="N239" s="53"/>
      <c r="O239" s="53"/>
      <c r="P239" s="53"/>
      <c r="Q239" s="48">
        <f>IF((L240=""),"",MAX(D241:L241))</f>
        <v>7568</v>
      </c>
      <c r="R239" s="48">
        <f>IF(L240="","",MIN(D241:L241))</f>
        <v>7356</v>
      </c>
      <c r="S239" s="75">
        <f>IF((L241=""),"",AVERAGE(D241:L241))</f>
        <v>7497.1111111111113</v>
      </c>
      <c r="T239" s="51">
        <f>IF((L240=""),"",(Q239-R239)/(Q239+R239)*100)</f>
        <v>1.4205306888233717</v>
      </c>
      <c r="U239" s="48">
        <f>STDEV(D241:P241)</f>
        <v>77.994301786163277</v>
      </c>
      <c r="V239" s="228" t="str">
        <f>IF(L240="","",IF(T239&lt;7.3,IF(S239&gt;5700,IF(S239&lt;7200,"Pass","Fail"),"Fail"),"Fail"))</f>
        <v>Fail</v>
      </c>
      <c r="W239" s="55">
        <v>1159</v>
      </c>
      <c r="X239" s="98" t="s">
        <v>245</v>
      </c>
      <c r="Y239" s="98"/>
      <c r="Z239" s="37">
        <v>4955</v>
      </c>
      <c r="AA239" s="37">
        <v>9645</v>
      </c>
      <c r="AB239" s="37">
        <v>5100</v>
      </c>
      <c r="AC239" s="37">
        <v>8300</v>
      </c>
      <c r="AD239" s="67">
        <v>10</v>
      </c>
      <c r="AE239" s="67">
        <v>9.8000000000000007</v>
      </c>
    </row>
    <row r="240" spans="1:31" ht="12.75" customHeight="1" x14ac:dyDescent="0.35">
      <c r="A240" s="294"/>
      <c r="B240" s="46"/>
      <c r="C240" s="54" t="s">
        <v>200</v>
      </c>
      <c r="D240" s="35">
        <v>2260</v>
      </c>
      <c r="E240" s="35">
        <v>2253</v>
      </c>
      <c r="F240" s="35">
        <v>2256</v>
      </c>
      <c r="G240" s="35">
        <v>2212</v>
      </c>
      <c r="H240" s="35">
        <v>2243</v>
      </c>
      <c r="I240" s="35">
        <v>2170</v>
      </c>
      <c r="J240" s="35">
        <v>2228</v>
      </c>
      <c r="K240" s="35">
        <v>2253</v>
      </c>
      <c r="L240" s="35">
        <v>2222</v>
      </c>
      <c r="M240" s="53"/>
      <c r="N240" s="53"/>
      <c r="O240" s="53"/>
      <c r="P240" s="53"/>
      <c r="Q240" s="46"/>
      <c r="R240" s="46"/>
      <c r="S240" s="46"/>
      <c r="T240" s="46"/>
      <c r="U240" s="46"/>
      <c r="V240" s="229"/>
      <c r="W240" s="46"/>
      <c r="X240" s="98"/>
      <c r="Y240" s="98"/>
      <c r="AD240" s="67"/>
      <c r="AE240" s="67"/>
    </row>
    <row r="241" spans="1:31" ht="24.8" customHeight="1" thickBot="1" x14ac:dyDescent="0.4">
      <c r="A241" s="294"/>
      <c r="B241" s="42"/>
      <c r="C241" s="74" t="s">
        <v>199</v>
      </c>
      <c r="D241" s="81">
        <f t="shared" ref="D241:L241" si="76">IF(((D239="")*AND(D240="")),"",(D239-D240)*2)</f>
        <v>7402</v>
      </c>
      <c r="E241" s="81">
        <f t="shared" si="76"/>
        <v>7510</v>
      </c>
      <c r="F241" s="81">
        <f t="shared" si="76"/>
        <v>7552</v>
      </c>
      <c r="G241" s="81">
        <f t="shared" si="76"/>
        <v>7562</v>
      </c>
      <c r="H241" s="81">
        <f t="shared" si="76"/>
        <v>7440</v>
      </c>
      <c r="I241" s="81">
        <f t="shared" si="76"/>
        <v>7568</v>
      </c>
      <c r="J241" s="81">
        <f t="shared" si="76"/>
        <v>7542</v>
      </c>
      <c r="K241" s="81">
        <f t="shared" si="76"/>
        <v>7542</v>
      </c>
      <c r="L241" s="81">
        <f t="shared" si="76"/>
        <v>7356</v>
      </c>
      <c r="M241" s="81"/>
      <c r="N241" s="81"/>
      <c r="O241" s="81"/>
      <c r="P241" s="81" t="str">
        <f>IF(((P239="")*AND(P240="")),"",(P239-P240)*2)</f>
        <v/>
      </c>
      <c r="Q241" s="42"/>
      <c r="R241" s="42"/>
      <c r="S241" s="42"/>
      <c r="T241" s="42"/>
      <c r="U241" s="78"/>
      <c r="V241" s="230"/>
      <c r="W241" s="42"/>
      <c r="X241" s="97"/>
      <c r="Y241" s="97"/>
      <c r="AD241" s="67"/>
      <c r="AE241" s="67"/>
    </row>
    <row r="242" spans="1:31" ht="12.75" customHeight="1" x14ac:dyDescent="0.25">
      <c r="A242" s="92">
        <v>42912</v>
      </c>
      <c r="B242" s="46" t="s">
        <v>202</v>
      </c>
      <c r="C242" s="78" t="s">
        <v>201</v>
      </c>
      <c r="D242" s="35">
        <v>6995</v>
      </c>
      <c r="E242" s="35">
        <v>7084</v>
      </c>
      <c r="F242" s="35">
        <v>6937</v>
      </c>
      <c r="G242" s="35">
        <v>6998</v>
      </c>
      <c r="H242" s="35">
        <v>6977</v>
      </c>
      <c r="I242" s="35">
        <v>7009</v>
      </c>
      <c r="J242" s="64">
        <v>7017</v>
      </c>
      <c r="K242" s="64">
        <v>6938</v>
      </c>
      <c r="L242" s="64">
        <v>6970</v>
      </c>
      <c r="M242" s="64">
        <v>7005</v>
      </c>
      <c r="N242" s="64">
        <v>7073</v>
      </c>
      <c r="O242" s="64">
        <v>6997</v>
      </c>
      <c r="P242" s="64">
        <v>7030</v>
      </c>
      <c r="Q242" s="48">
        <f>IF((L243=""),"",MAX(D244:P244))</f>
        <v>5451</v>
      </c>
      <c r="R242" s="46">
        <f>IF(L243="","",MIN(D244:L244))</f>
        <v>5405</v>
      </c>
      <c r="S242" s="51">
        <f>IF((P244=""),"",AVERAGE(D244:P244))</f>
        <v>5429.9230769230771</v>
      </c>
      <c r="T242" s="105">
        <f>IF((L243=""),"",(Q242-R242)/(Q242+R242)*100)</f>
        <v>0.42372881355932202</v>
      </c>
      <c r="U242" s="46">
        <f>STDEV(D244:P244)</f>
        <v>14.517010358320672</v>
      </c>
      <c r="V242" s="231" t="str">
        <f>IF(P243="","",IF(T242&lt;2.7,IF(S242&gt;5150,IF(S242&lt;5600,"Pass","Fail"),"Fail"),"Fail"))</f>
        <v>Pass</v>
      </c>
      <c r="W242" s="46">
        <v>1159</v>
      </c>
      <c r="X242" s="95" t="s">
        <v>244</v>
      </c>
      <c r="Y242" s="95"/>
      <c r="Z242" s="251">
        <v>4470</v>
      </c>
      <c r="AA242" s="251">
        <v>6020</v>
      </c>
      <c r="AB242" s="251">
        <v>5150</v>
      </c>
      <c r="AC242" s="251">
        <v>5600</v>
      </c>
      <c r="AD242" s="67">
        <v>10</v>
      </c>
      <c r="AE242" s="252">
        <v>2.7</v>
      </c>
    </row>
    <row r="243" spans="1:31" ht="12.75" customHeight="1" x14ac:dyDescent="0.35">
      <c r="A243" s="294"/>
      <c r="B243" s="46"/>
      <c r="C243" s="54" t="s">
        <v>200</v>
      </c>
      <c r="D243" s="35">
        <v>1568</v>
      </c>
      <c r="E243" s="35">
        <v>1660</v>
      </c>
      <c r="F243" s="35">
        <v>1525</v>
      </c>
      <c r="G243" s="35">
        <v>1549</v>
      </c>
      <c r="H243" s="35">
        <v>1545</v>
      </c>
      <c r="I243" s="35">
        <v>1574</v>
      </c>
      <c r="J243" s="64">
        <v>1566</v>
      </c>
      <c r="K243" s="64">
        <v>1490</v>
      </c>
      <c r="L243" s="64">
        <v>1565</v>
      </c>
      <c r="M243" s="64">
        <v>1569</v>
      </c>
      <c r="N243" s="64">
        <v>1641</v>
      </c>
      <c r="O243" s="64">
        <v>1585</v>
      </c>
      <c r="P243" s="64">
        <v>1604</v>
      </c>
      <c r="Q243" s="46"/>
      <c r="R243" s="46"/>
      <c r="S243" s="46"/>
      <c r="T243" s="46"/>
      <c r="U243" s="46"/>
      <c r="V243" s="229"/>
      <c r="W243" s="46"/>
      <c r="X243" s="98"/>
      <c r="Y243" s="98"/>
      <c r="AD243" s="67"/>
      <c r="AE243" s="67"/>
    </row>
    <row r="244" spans="1:31" ht="24.8" customHeight="1" thickBot="1" x14ac:dyDescent="0.4">
      <c r="A244" s="294"/>
      <c r="B244" s="78"/>
      <c r="C244" s="54" t="s">
        <v>199</v>
      </c>
      <c r="D244" s="93">
        <f t="shared" ref="D244:P244" si="77">IF(((D242="")*AND(D243="")),"",(D242-D243))</f>
        <v>5427</v>
      </c>
      <c r="E244" s="93">
        <f t="shared" si="77"/>
        <v>5424</v>
      </c>
      <c r="F244" s="93">
        <f t="shared" si="77"/>
        <v>5412</v>
      </c>
      <c r="G244" s="93">
        <f t="shared" si="77"/>
        <v>5449</v>
      </c>
      <c r="H244" s="93">
        <f t="shared" si="77"/>
        <v>5432</v>
      </c>
      <c r="I244" s="93">
        <f t="shared" si="77"/>
        <v>5435</v>
      </c>
      <c r="J244" s="93">
        <f t="shared" si="77"/>
        <v>5451</v>
      </c>
      <c r="K244" s="93">
        <f t="shared" si="77"/>
        <v>5448</v>
      </c>
      <c r="L244" s="93">
        <f t="shared" si="77"/>
        <v>5405</v>
      </c>
      <c r="M244" s="93">
        <f t="shared" si="77"/>
        <v>5436</v>
      </c>
      <c r="N244" s="93">
        <f t="shared" si="77"/>
        <v>5432</v>
      </c>
      <c r="O244" s="93">
        <f t="shared" si="77"/>
        <v>5412</v>
      </c>
      <c r="P244" s="93">
        <f t="shared" si="77"/>
        <v>5426</v>
      </c>
      <c r="Q244" s="78"/>
      <c r="R244" s="78"/>
      <c r="S244" s="78"/>
      <c r="T244" s="78"/>
      <c r="U244" s="78"/>
      <c r="V244" s="232"/>
      <c r="W244" s="78"/>
      <c r="X244" s="98"/>
      <c r="Y244" s="98"/>
      <c r="AD244" s="67"/>
      <c r="AE244" s="67"/>
    </row>
    <row r="245" spans="1:31" ht="12.75" customHeight="1" x14ac:dyDescent="0.25">
      <c r="A245" s="92">
        <v>42912</v>
      </c>
      <c r="B245" s="48" t="s">
        <v>204</v>
      </c>
      <c r="C245" s="54" t="s">
        <v>201</v>
      </c>
      <c r="D245" s="35">
        <v>5972</v>
      </c>
      <c r="E245" s="35">
        <v>6015</v>
      </c>
      <c r="F245" s="35">
        <v>6044</v>
      </c>
      <c r="G245" s="35">
        <v>6010</v>
      </c>
      <c r="H245" s="35">
        <v>5981</v>
      </c>
      <c r="I245" s="35">
        <v>5994</v>
      </c>
      <c r="J245" s="64">
        <v>6005</v>
      </c>
      <c r="K245" s="64">
        <v>6034</v>
      </c>
      <c r="L245" s="64">
        <v>5908</v>
      </c>
      <c r="M245" s="53"/>
      <c r="N245" s="53"/>
      <c r="O245" s="53"/>
      <c r="P245" s="53"/>
      <c r="Q245" s="48">
        <f>IF((L246=""),"",MAX(D247:L247))</f>
        <v>7520</v>
      </c>
      <c r="R245" s="48">
        <f>IF(L246="","",MIN(D247:L247))</f>
        <v>7230</v>
      </c>
      <c r="S245" s="75">
        <f>IF((L247=""),"",AVERAGE(D247:L247))</f>
        <v>7371.5555555555557</v>
      </c>
      <c r="T245" s="51">
        <f>IF((L246=""),"",(Q245-R245)/(Q245+R245)*100)</f>
        <v>1.9661016949152541</v>
      </c>
      <c r="U245" s="48">
        <f>STDEV(D247:P247)</f>
        <v>81.876600917342543</v>
      </c>
      <c r="V245" s="228" t="str">
        <f>IF(L246="","",IF(T245&lt;7.3,IF(S245&gt;5700,IF(S245&lt;7200,"Pass","Fail"),"Fail"),"Fail"))</f>
        <v>Fail</v>
      </c>
      <c r="W245" s="55">
        <v>1159</v>
      </c>
      <c r="X245" s="98" t="s">
        <v>244</v>
      </c>
      <c r="Y245" s="98"/>
      <c r="Z245" s="37">
        <v>4955</v>
      </c>
      <c r="AA245" s="37">
        <v>9645</v>
      </c>
      <c r="AB245" s="37">
        <v>5100</v>
      </c>
      <c r="AC245" s="37">
        <v>8300</v>
      </c>
      <c r="AD245" s="67">
        <v>10</v>
      </c>
      <c r="AE245" s="67">
        <v>9.8000000000000007</v>
      </c>
    </row>
    <row r="246" spans="1:31" ht="12.75" customHeight="1" x14ac:dyDescent="0.35">
      <c r="A246" s="294"/>
      <c r="B246" s="46"/>
      <c r="C246" s="54" t="s">
        <v>200</v>
      </c>
      <c r="D246" s="35">
        <v>2332</v>
      </c>
      <c r="E246" s="35">
        <v>2334</v>
      </c>
      <c r="F246" s="35">
        <v>2340</v>
      </c>
      <c r="G246" s="35">
        <v>2304</v>
      </c>
      <c r="H246" s="35">
        <v>2294</v>
      </c>
      <c r="I246" s="35">
        <v>2234</v>
      </c>
      <c r="J246" s="35">
        <v>2315</v>
      </c>
      <c r="K246" s="35">
        <v>2345</v>
      </c>
      <c r="L246" s="35">
        <v>2293</v>
      </c>
      <c r="M246" s="53"/>
      <c r="N246" s="53"/>
      <c r="O246" s="53"/>
      <c r="P246" s="53"/>
      <c r="Q246" s="46"/>
      <c r="R246" s="46"/>
      <c r="S246" s="46"/>
      <c r="T246" s="46"/>
      <c r="U246" s="46"/>
      <c r="V246" s="229"/>
      <c r="W246" s="46"/>
      <c r="X246" s="98"/>
      <c r="Y246" s="98"/>
      <c r="AD246" s="67"/>
      <c r="AE246" s="67"/>
    </row>
    <row r="247" spans="1:31" ht="24.8" customHeight="1" thickBot="1" x14ac:dyDescent="0.4">
      <c r="A247" s="294"/>
      <c r="B247" s="46"/>
      <c r="C247" s="48" t="s">
        <v>199</v>
      </c>
      <c r="D247" s="52">
        <f t="shared" ref="D247:L247" si="78">IF(((D245="")*AND(D246="")),"",(D245-D246)*2)</f>
        <v>7280</v>
      </c>
      <c r="E247" s="52">
        <f t="shared" si="78"/>
        <v>7362</v>
      </c>
      <c r="F247" s="52">
        <f t="shared" si="78"/>
        <v>7408</v>
      </c>
      <c r="G247" s="52">
        <f t="shared" si="78"/>
        <v>7412</v>
      </c>
      <c r="H247" s="52">
        <f t="shared" si="78"/>
        <v>7374</v>
      </c>
      <c r="I247" s="52">
        <f t="shared" si="78"/>
        <v>7520</v>
      </c>
      <c r="J247" s="52">
        <f t="shared" si="78"/>
        <v>7380</v>
      </c>
      <c r="K247" s="52">
        <f t="shared" si="78"/>
        <v>7378</v>
      </c>
      <c r="L247" s="52">
        <f t="shared" si="78"/>
        <v>7230</v>
      </c>
      <c r="M247" s="52"/>
      <c r="N247" s="52"/>
      <c r="O247" s="52"/>
      <c r="P247" s="52" t="str">
        <f>IF(((P245="")*AND(P246="")),"",(P245-P246)*2)</f>
        <v/>
      </c>
      <c r="Q247" s="46"/>
      <c r="R247" s="46"/>
      <c r="S247" s="46"/>
      <c r="T247" s="46"/>
      <c r="U247" s="46"/>
      <c r="V247" s="229"/>
      <c r="W247" s="46"/>
      <c r="X247" s="97"/>
      <c r="Y247" s="97"/>
      <c r="AD247" s="67"/>
      <c r="AE247" s="67"/>
    </row>
    <row r="248" spans="1:31" ht="12.75" customHeight="1" x14ac:dyDescent="0.25">
      <c r="A248" s="92">
        <v>42916</v>
      </c>
      <c r="B248" s="55" t="s">
        <v>202</v>
      </c>
      <c r="C248" s="59" t="s">
        <v>201</v>
      </c>
      <c r="D248" s="35">
        <v>6877.77</v>
      </c>
      <c r="E248" s="35">
        <v>6963.91</v>
      </c>
      <c r="F248" s="35">
        <v>6830.2</v>
      </c>
      <c r="G248" s="35">
        <v>6902.35</v>
      </c>
      <c r="H248" s="35">
        <v>6841.69</v>
      </c>
      <c r="I248" s="35">
        <v>6890.68</v>
      </c>
      <c r="J248" s="35">
        <v>6925.5</v>
      </c>
      <c r="K248" s="35">
        <v>6850.82</v>
      </c>
      <c r="L248" s="35">
        <v>6865.99</v>
      </c>
      <c r="M248" s="35">
        <v>6910.42</v>
      </c>
      <c r="N248" s="35">
        <v>6950.09</v>
      </c>
      <c r="O248" s="35">
        <v>6889.22</v>
      </c>
      <c r="P248" s="35">
        <v>6907.72</v>
      </c>
      <c r="Q248" s="48">
        <f>IF((L249=""),"",MAX(D250:P250))</f>
        <v>5425.74</v>
      </c>
      <c r="R248" s="55">
        <f>IF(L249="","",MIN(D250:L250))</f>
        <v>5377.61</v>
      </c>
      <c r="S248" s="51">
        <f>IF((P250=""),"",AVERAGE(D250:P250))</f>
        <v>5398.3046153846144</v>
      </c>
      <c r="T248" s="51">
        <f>IF((L249=""),"",(Q248-R248)/(Q248+R248)*100)</f>
        <v>0.44550995755946177</v>
      </c>
      <c r="U248" s="55">
        <f>STDEV(D250:P250)</f>
        <v>16.436646867789445</v>
      </c>
      <c r="V248" s="231" t="str">
        <f>IF(P249="","",IF(T248&lt;2.7,IF(S248&gt;5150,IF(S248&lt;5600,"Pass","Fail"),"Fail"),"Fail"))</f>
        <v>Pass</v>
      </c>
      <c r="W248" s="55">
        <v>102</v>
      </c>
      <c r="X248" s="95" t="s">
        <v>243</v>
      </c>
      <c r="Y248" s="95"/>
      <c r="Z248" s="251">
        <v>4470</v>
      </c>
      <c r="AA248" s="251">
        <v>6020</v>
      </c>
      <c r="AB248" s="251">
        <v>5150</v>
      </c>
      <c r="AC248" s="251">
        <v>5600</v>
      </c>
      <c r="AD248" s="67">
        <v>10</v>
      </c>
      <c r="AE248" s="252">
        <v>2.7</v>
      </c>
    </row>
    <row r="249" spans="1:31" ht="12.75" customHeight="1" x14ac:dyDescent="0.35">
      <c r="A249" s="294"/>
      <c r="B249" s="46"/>
      <c r="C249" s="54" t="s">
        <v>200</v>
      </c>
      <c r="D249" s="35">
        <v>1490.42</v>
      </c>
      <c r="E249" s="35">
        <v>1576.67</v>
      </c>
      <c r="F249" s="35">
        <v>1452.59</v>
      </c>
      <c r="G249" s="35">
        <v>1490.62</v>
      </c>
      <c r="H249" s="35">
        <v>1461.67</v>
      </c>
      <c r="I249" s="35">
        <v>1486.1</v>
      </c>
      <c r="J249" s="35">
        <v>1506.28</v>
      </c>
      <c r="K249" s="35">
        <v>1425.08</v>
      </c>
      <c r="L249" s="35">
        <v>1487.67</v>
      </c>
      <c r="M249" s="35">
        <v>1494.27</v>
      </c>
      <c r="N249" s="35">
        <v>1549.32</v>
      </c>
      <c r="O249" s="35">
        <v>1500.77</v>
      </c>
      <c r="P249" s="35">
        <v>1506.94</v>
      </c>
      <c r="Q249" s="46"/>
      <c r="R249" s="46"/>
      <c r="S249" s="46"/>
      <c r="T249" s="46"/>
      <c r="U249" s="46"/>
      <c r="V249" s="229"/>
      <c r="W249" s="46"/>
      <c r="X249" s="98"/>
      <c r="Y249" s="98"/>
      <c r="AD249" s="67"/>
      <c r="AE249" s="67"/>
    </row>
    <row r="250" spans="1:31" ht="23.95" customHeight="1" x14ac:dyDescent="0.35">
      <c r="A250" s="294"/>
      <c r="B250" s="78"/>
      <c r="C250" s="54" t="s">
        <v>199</v>
      </c>
      <c r="D250" s="93">
        <f t="shared" ref="D250:P250" si="79">IF(((D248="")*AND(D249="")),"",(D248-D249))</f>
        <v>5387.35</v>
      </c>
      <c r="E250" s="93">
        <f t="shared" si="79"/>
        <v>5387.24</v>
      </c>
      <c r="F250" s="93">
        <f t="shared" si="79"/>
        <v>5377.61</v>
      </c>
      <c r="G250" s="93">
        <f t="shared" si="79"/>
        <v>5411.7300000000005</v>
      </c>
      <c r="H250" s="93">
        <f t="shared" si="79"/>
        <v>5380.0199999999995</v>
      </c>
      <c r="I250" s="93">
        <f t="shared" si="79"/>
        <v>5404.58</v>
      </c>
      <c r="J250" s="93">
        <f t="shared" si="79"/>
        <v>5419.22</v>
      </c>
      <c r="K250" s="93">
        <f t="shared" si="79"/>
        <v>5425.74</v>
      </c>
      <c r="L250" s="93">
        <f t="shared" si="79"/>
        <v>5378.32</v>
      </c>
      <c r="M250" s="93">
        <f t="shared" si="79"/>
        <v>5416.15</v>
      </c>
      <c r="N250" s="93">
        <f t="shared" si="79"/>
        <v>5400.77</v>
      </c>
      <c r="O250" s="93">
        <f t="shared" si="79"/>
        <v>5388.4500000000007</v>
      </c>
      <c r="P250" s="93">
        <f t="shared" si="79"/>
        <v>5400.7800000000007</v>
      </c>
      <c r="Q250" s="78"/>
      <c r="R250" s="78"/>
      <c r="S250" s="78"/>
      <c r="T250" s="46"/>
      <c r="U250" s="78"/>
      <c r="V250" s="232"/>
      <c r="W250" s="78"/>
      <c r="X250" s="98"/>
      <c r="Y250" s="98"/>
      <c r="AD250" s="67"/>
      <c r="AE250" s="67"/>
    </row>
    <row r="251" spans="1:31" ht="12.75" customHeight="1" x14ac:dyDescent="0.25">
      <c r="A251" s="92">
        <v>42916</v>
      </c>
      <c r="B251" s="48" t="s">
        <v>204</v>
      </c>
      <c r="C251" s="54" t="s">
        <v>201</v>
      </c>
      <c r="D251" s="35">
        <v>5971.76</v>
      </c>
      <c r="E251" s="35">
        <v>6013.6</v>
      </c>
      <c r="F251" s="35">
        <v>6036.95</v>
      </c>
      <c r="G251" s="35">
        <v>5995.6</v>
      </c>
      <c r="H251" s="35">
        <v>5966.11</v>
      </c>
      <c r="I251" s="35">
        <v>5959.36</v>
      </c>
      <c r="J251" s="35">
        <v>6005.51</v>
      </c>
      <c r="K251" s="35">
        <v>6028.7</v>
      </c>
      <c r="L251" s="35">
        <v>5902.73</v>
      </c>
      <c r="M251" s="53"/>
      <c r="N251" s="53"/>
      <c r="O251" s="53"/>
      <c r="P251" s="53"/>
      <c r="Q251" s="48">
        <f>IF((L252=""),"",MAX(D253:L253))</f>
        <v>7544.7199999999993</v>
      </c>
      <c r="R251" s="48">
        <f>IF(L252="","",MIN(D253:L253))</f>
        <v>7072.2199999999993</v>
      </c>
      <c r="S251" s="75">
        <f>IF((L253=""),"",AVERAGE(D253:L253))</f>
        <v>7291.4177777777786</v>
      </c>
      <c r="T251" s="50">
        <f>IF((L252=""),"",(Q251-R251)/(Q251+R251)*100)</f>
        <v>3.2325507253912242</v>
      </c>
      <c r="U251" s="48">
        <f>STDEV(D253:P253)</f>
        <v>132.32011239582746</v>
      </c>
      <c r="V251" s="228" t="str">
        <f>IF(L252="","",IF(T251&lt;7.3,IF(S251&gt;5700,IF(S251&lt;7200,"Pass","Fail"),"Fail"),"Fail"))</f>
        <v>Fail</v>
      </c>
      <c r="W251" s="46">
        <v>102</v>
      </c>
      <c r="X251" s="98" t="s">
        <v>243</v>
      </c>
      <c r="Y251" s="98"/>
      <c r="Z251" s="37">
        <v>4955</v>
      </c>
      <c r="AA251" s="37">
        <v>9645</v>
      </c>
      <c r="AB251" s="37">
        <v>5100</v>
      </c>
      <c r="AC251" s="37">
        <v>8300</v>
      </c>
      <c r="AD251" s="67">
        <v>10</v>
      </c>
      <c r="AE251" s="67">
        <v>9.8000000000000007</v>
      </c>
    </row>
    <row r="252" spans="1:31" ht="12.75" customHeight="1" x14ac:dyDescent="0.35">
      <c r="A252" s="294"/>
      <c r="B252" s="46"/>
      <c r="C252" s="54" t="s">
        <v>200</v>
      </c>
      <c r="D252" s="35">
        <v>2395.81</v>
      </c>
      <c r="E252" s="35">
        <v>2382.8200000000002</v>
      </c>
      <c r="F252" s="35">
        <v>2381.48</v>
      </c>
      <c r="G252" s="35">
        <v>2332.54</v>
      </c>
      <c r="H252" s="35">
        <v>2285.02</v>
      </c>
      <c r="I252" s="35">
        <v>2187</v>
      </c>
      <c r="J252" s="35">
        <v>2346.88</v>
      </c>
      <c r="K252" s="35">
        <v>2390.77</v>
      </c>
      <c r="L252" s="35">
        <v>2366.62</v>
      </c>
      <c r="M252" s="53"/>
      <c r="N252" s="53"/>
      <c r="O252" s="53"/>
      <c r="P252" s="53"/>
      <c r="Q252" s="46"/>
      <c r="R252" s="46"/>
      <c r="S252" s="46"/>
      <c r="T252" s="46"/>
      <c r="U252" s="46"/>
      <c r="V252" s="229"/>
      <c r="W252" s="46"/>
      <c r="X252" s="98"/>
      <c r="Y252" s="98"/>
      <c r="AD252" s="67"/>
      <c r="AE252" s="67"/>
    </row>
    <row r="253" spans="1:31" ht="24.8" customHeight="1" thickBot="1" x14ac:dyDescent="0.4">
      <c r="A253" s="294"/>
      <c r="B253" s="42"/>
      <c r="C253" s="74" t="s">
        <v>199</v>
      </c>
      <c r="D253" s="81">
        <f t="shared" ref="D253:L253" si="80">IF(((D251="")*AND(D252="")),"",(D251-D252)*2)</f>
        <v>7151.9000000000005</v>
      </c>
      <c r="E253" s="81">
        <f t="shared" si="80"/>
        <v>7261.56</v>
      </c>
      <c r="F253" s="81">
        <f t="shared" si="80"/>
        <v>7310.94</v>
      </c>
      <c r="G253" s="81">
        <f t="shared" si="80"/>
        <v>7326.1200000000008</v>
      </c>
      <c r="H253" s="81">
        <f t="shared" si="80"/>
        <v>7362.1799999999994</v>
      </c>
      <c r="I253" s="81">
        <f t="shared" si="80"/>
        <v>7544.7199999999993</v>
      </c>
      <c r="J253" s="81">
        <f t="shared" si="80"/>
        <v>7317.26</v>
      </c>
      <c r="K253" s="81">
        <f t="shared" si="80"/>
        <v>7275.86</v>
      </c>
      <c r="L253" s="81">
        <f t="shared" si="80"/>
        <v>7072.2199999999993</v>
      </c>
      <c r="M253" s="81"/>
      <c r="N253" s="81"/>
      <c r="O253" s="81"/>
      <c r="P253" s="81" t="str">
        <f>IF(((P251="")*AND(P252="")),"",(P251-P252)*2)</f>
        <v/>
      </c>
      <c r="Q253" s="42"/>
      <c r="R253" s="42"/>
      <c r="S253" s="42"/>
      <c r="T253" s="42"/>
      <c r="U253" s="42"/>
      <c r="V253" s="230"/>
      <c r="W253" s="42"/>
      <c r="X253" s="97"/>
      <c r="Y253" s="97"/>
      <c r="AD253" s="67"/>
      <c r="AE253" s="67"/>
    </row>
    <row r="254" spans="1:31" ht="12.75" customHeight="1" x14ac:dyDescent="0.25">
      <c r="A254" s="92">
        <v>42922</v>
      </c>
      <c r="B254" s="55" t="s">
        <v>202</v>
      </c>
      <c r="C254" s="59" t="s">
        <v>201</v>
      </c>
      <c r="D254" s="35">
        <v>6891.83</v>
      </c>
      <c r="E254" s="35">
        <v>6981.29</v>
      </c>
      <c r="F254" s="35">
        <v>6837.71</v>
      </c>
      <c r="G254" s="35">
        <v>6898.53</v>
      </c>
      <c r="H254" s="35">
        <v>6867.45</v>
      </c>
      <c r="I254" s="35">
        <v>6903.71</v>
      </c>
      <c r="J254" s="35">
        <v>6916.23</v>
      </c>
      <c r="K254" s="35">
        <v>6837.14</v>
      </c>
      <c r="L254" s="35">
        <v>6868.81</v>
      </c>
      <c r="M254" s="35">
        <v>6901.79</v>
      </c>
      <c r="N254" s="35">
        <v>6965.4</v>
      </c>
      <c r="O254" s="35">
        <v>6890.66</v>
      </c>
      <c r="P254" s="35">
        <v>6920.39</v>
      </c>
      <c r="Q254" s="48">
        <f>IF((L255=""),"",MAX(D256:P256))</f>
        <v>5404.3799999999992</v>
      </c>
      <c r="R254" s="55">
        <f>IF(L255="","",MIN(D256:L256))</f>
        <v>5353.01</v>
      </c>
      <c r="S254" s="51">
        <f>IF((P256=""),"",AVERAGE(D256:P256))</f>
        <v>5384.9669230769232</v>
      </c>
      <c r="T254" s="51">
        <f>IF((L255=""),"",(Q254-R254)/(Q254+R254)*100)</f>
        <v>0.47753218949948811</v>
      </c>
      <c r="U254" s="55">
        <f>STDEV(D256:P256)</f>
        <v>19.331863328287625</v>
      </c>
      <c r="V254" s="231" t="str">
        <f>IF(P255="","",IF(T254&lt;2.7,IF(S254&gt;5150,IF(S254&lt;5600,"Pass","Fail"),"Fail"),"Fail"))</f>
        <v>Pass</v>
      </c>
      <c r="W254" s="55">
        <v>102</v>
      </c>
      <c r="X254" s="95" t="s">
        <v>242</v>
      </c>
      <c r="Y254" s="95"/>
      <c r="Z254" s="251">
        <v>4470</v>
      </c>
      <c r="AA254" s="251">
        <v>6020</v>
      </c>
      <c r="AB254" s="251">
        <v>5150</v>
      </c>
      <c r="AC254" s="251">
        <v>5600</v>
      </c>
      <c r="AD254" s="67">
        <v>10</v>
      </c>
      <c r="AE254" s="252">
        <v>2.7</v>
      </c>
    </row>
    <row r="255" spans="1:31" ht="12.75" customHeight="1" x14ac:dyDescent="0.35">
      <c r="A255" s="294"/>
      <c r="B255" s="46"/>
      <c r="C255" s="54" t="s">
        <v>200</v>
      </c>
      <c r="D255" s="35">
        <v>1522.68</v>
      </c>
      <c r="E255" s="35">
        <v>1603.3</v>
      </c>
      <c r="F255" s="35">
        <v>1484.14</v>
      </c>
      <c r="G255" s="35">
        <v>1510.63</v>
      </c>
      <c r="H255" s="35">
        <v>1493.9</v>
      </c>
      <c r="I255" s="35">
        <v>1500.46</v>
      </c>
      <c r="J255" s="35">
        <v>1514.75</v>
      </c>
      <c r="K255" s="35">
        <v>1433.17</v>
      </c>
      <c r="L255" s="35">
        <v>1515.8</v>
      </c>
      <c r="M255" s="35">
        <v>1498.53</v>
      </c>
      <c r="N255" s="35">
        <v>1561.02</v>
      </c>
      <c r="O255" s="35">
        <v>1517.46</v>
      </c>
      <c r="P255" s="35">
        <v>1520.53</v>
      </c>
      <c r="Q255" s="46"/>
      <c r="R255" s="46"/>
      <c r="S255" s="46"/>
      <c r="T255" s="46"/>
      <c r="U255" s="46"/>
      <c r="V255" s="229"/>
      <c r="W255" s="46"/>
      <c r="X255" s="98"/>
      <c r="Y255" s="98"/>
      <c r="AD255" s="67"/>
      <c r="AE255" s="67"/>
    </row>
    <row r="256" spans="1:31" ht="23.95" customHeight="1" x14ac:dyDescent="0.35">
      <c r="A256" s="294"/>
      <c r="B256" s="78"/>
      <c r="C256" s="54" t="s">
        <v>199</v>
      </c>
      <c r="D256" s="93">
        <f t="shared" ref="D256:P256" si="81">IF(((D254="")*AND(D255="")),"",(D254-D255))</f>
        <v>5369.15</v>
      </c>
      <c r="E256" s="93">
        <f t="shared" si="81"/>
        <v>5377.99</v>
      </c>
      <c r="F256" s="93">
        <f t="shared" si="81"/>
        <v>5353.57</v>
      </c>
      <c r="G256" s="93">
        <f t="shared" si="81"/>
        <v>5387.9</v>
      </c>
      <c r="H256" s="93">
        <f t="shared" si="81"/>
        <v>5373.5499999999993</v>
      </c>
      <c r="I256" s="93">
        <f t="shared" si="81"/>
        <v>5403.25</v>
      </c>
      <c r="J256" s="93">
        <f t="shared" si="81"/>
        <v>5401.48</v>
      </c>
      <c r="K256" s="93">
        <f t="shared" si="81"/>
        <v>5403.97</v>
      </c>
      <c r="L256" s="93">
        <f t="shared" si="81"/>
        <v>5353.01</v>
      </c>
      <c r="M256" s="93">
        <f t="shared" si="81"/>
        <v>5403.26</v>
      </c>
      <c r="N256" s="93">
        <f t="shared" si="81"/>
        <v>5404.3799999999992</v>
      </c>
      <c r="O256" s="93">
        <f t="shared" si="81"/>
        <v>5373.2</v>
      </c>
      <c r="P256" s="93">
        <f t="shared" si="81"/>
        <v>5399.8600000000006</v>
      </c>
      <c r="Q256" s="78"/>
      <c r="R256" s="78"/>
      <c r="S256" s="78"/>
      <c r="T256" s="46"/>
      <c r="U256" s="78"/>
      <c r="V256" s="232"/>
      <c r="W256" s="78"/>
      <c r="X256" s="98"/>
      <c r="Y256" s="98"/>
      <c r="AD256" s="67"/>
      <c r="AE256" s="67"/>
    </row>
    <row r="257" spans="1:31" ht="12.75" customHeight="1" x14ac:dyDescent="0.25">
      <c r="A257" s="92">
        <v>42922</v>
      </c>
      <c r="B257" s="48" t="s">
        <v>204</v>
      </c>
      <c r="C257" s="54" t="s">
        <v>201</v>
      </c>
      <c r="D257" s="35">
        <v>5979.15</v>
      </c>
      <c r="E257" s="35">
        <v>6021.68</v>
      </c>
      <c r="F257" s="35">
        <v>6046.85</v>
      </c>
      <c r="G257" s="35">
        <v>6003.73</v>
      </c>
      <c r="H257" s="35">
        <v>5958.39</v>
      </c>
      <c r="I257" s="35">
        <v>5962.14</v>
      </c>
      <c r="J257" s="35">
        <v>6017.28</v>
      </c>
      <c r="K257" s="35">
        <v>6034.47</v>
      </c>
      <c r="L257" s="35">
        <v>5903.97</v>
      </c>
      <c r="M257" s="53"/>
      <c r="N257" s="53"/>
      <c r="O257" s="53"/>
      <c r="P257" s="53"/>
      <c r="Q257" s="48">
        <f>IF((L258=""),"",MAX(D259:L259))</f>
        <v>7058.8000000000011</v>
      </c>
      <c r="R257" s="48">
        <f>IF(L258="","",MIN(D259:L259))</f>
        <v>6712.42</v>
      </c>
      <c r="S257" s="75">
        <f>IF((L259=""),"",AVERAGE(D259:L259))</f>
        <v>6930.1977777777784</v>
      </c>
      <c r="T257" s="50">
        <f>IF((L258=""),"",(Q257-R257)/(Q257+R257)*100)</f>
        <v>2.5152455628477433</v>
      </c>
      <c r="U257" s="48">
        <f>STDEV(D259:P259)</f>
        <v>130.43983304360876</v>
      </c>
      <c r="V257" s="228" t="str">
        <f>IF(L258="","",IF(T257&lt;7.3,IF(S257&gt;5700,IF(S257&lt;7200,"Pass","Fail"),"Fail"),"Fail"))</f>
        <v>Pass</v>
      </c>
      <c r="W257" s="46">
        <v>102</v>
      </c>
      <c r="X257" s="98" t="s">
        <v>242</v>
      </c>
      <c r="Y257" s="98"/>
      <c r="Z257" s="37">
        <v>4955</v>
      </c>
      <c r="AA257" s="37">
        <v>9645</v>
      </c>
      <c r="AB257" s="37">
        <v>5100</v>
      </c>
      <c r="AC257" s="37">
        <v>8300</v>
      </c>
      <c r="AD257" s="67">
        <v>10</v>
      </c>
      <c r="AE257" s="67">
        <v>9.8000000000000007</v>
      </c>
    </row>
    <row r="258" spans="1:31" ht="12.75" customHeight="1" x14ac:dyDescent="0.35">
      <c r="A258" s="294"/>
      <c r="B258" s="46"/>
      <c r="C258" s="54" t="s">
        <v>200</v>
      </c>
      <c r="D258" s="35">
        <v>2621.0100000000002</v>
      </c>
      <c r="E258" s="35">
        <v>2559.0300000000002</v>
      </c>
      <c r="F258" s="35">
        <v>2548.0700000000002</v>
      </c>
      <c r="G258" s="35">
        <v>2484.14</v>
      </c>
      <c r="H258" s="35">
        <v>2464.0100000000002</v>
      </c>
      <c r="I258" s="35">
        <v>2432.7399999999998</v>
      </c>
      <c r="J258" s="35">
        <v>2511.9699999999998</v>
      </c>
      <c r="K258" s="35">
        <v>2573.04</v>
      </c>
      <c r="L258" s="35">
        <v>2547.7600000000002</v>
      </c>
      <c r="M258" s="53"/>
      <c r="N258" s="53"/>
      <c r="O258" s="53"/>
      <c r="P258" s="53"/>
      <c r="Q258" s="46"/>
      <c r="R258" s="46"/>
      <c r="S258" s="46"/>
      <c r="T258" s="46"/>
      <c r="U258" s="46"/>
      <c r="V258" s="229"/>
      <c r="W258" s="46"/>
      <c r="X258" s="98"/>
      <c r="Y258" s="98"/>
      <c r="AD258" s="67"/>
      <c r="AE258" s="67"/>
    </row>
    <row r="259" spans="1:31" ht="24.8" customHeight="1" thickBot="1" x14ac:dyDescent="0.4">
      <c r="A259" s="294"/>
      <c r="B259" s="42"/>
      <c r="C259" s="74" t="s">
        <v>199</v>
      </c>
      <c r="D259" s="81">
        <f t="shared" ref="D259:L259" si="82">IF(((D257="")*AND(D258="")),"",(D257-D258)*2)</f>
        <v>6716.2799999999988</v>
      </c>
      <c r="E259" s="81">
        <f t="shared" si="82"/>
        <v>6925.3</v>
      </c>
      <c r="F259" s="81">
        <f t="shared" si="82"/>
        <v>6997.56</v>
      </c>
      <c r="G259" s="81">
        <f t="shared" si="82"/>
        <v>7039.1799999999994</v>
      </c>
      <c r="H259" s="81">
        <f t="shared" si="82"/>
        <v>6988.76</v>
      </c>
      <c r="I259" s="81">
        <f t="shared" si="82"/>
        <v>7058.8000000000011</v>
      </c>
      <c r="J259" s="81">
        <f t="shared" si="82"/>
        <v>7010.62</v>
      </c>
      <c r="K259" s="81">
        <f t="shared" si="82"/>
        <v>6922.8600000000006</v>
      </c>
      <c r="L259" s="81">
        <f t="shared" si="82"/>
        <v>6712.42</v>
      </c>
      <c r="M259" s="81"/>
      <c r="N259" s="81"/>
      <c r="O259" s="81"/>
      <c r="P259" s="81" t="str">
        <f>IF(((P257="")*AND(P258="")),"",(P257-P258)*2)</f>
        <v/>
      </c>
      <c r="Q259" s="42"/>
      <c r="R259" s="42"/>
      <c r="S259" s="42"/>
      <c r="T259" s="42"/>
      <c r="U259" s="42"/>
      <c r="V259" s="230"/>
      <c r="W259" s="42"/>
      <c r="X259" s="97"/>
      <c r="Y259" s="97"/>
      <c r="AD259" s="67"/>
      <c r="AE259" s="67"/>
    </row>
    <row r="260" spans="1:31" ht="12.75" customHeight="1" x14ac:dyDescent="0.25">
      <c r="A260" s="92">
        <v>42930</v>
      </c>
      <c r="B260" s="55" t="s">
        <v>202</v>
      </c>
      <c r="C260" s="59" t="s">
        <v>201</v>
      </c>
      <c r="D260" s="35">
        <v>7006.02</v>
      </c>
      <c r="E260" s="35">
        <v>7095.79</v>
      </c>
      <c r="F260" s="35">
        <v>6948.54</v>
      </c>
      <c r="G260" s="35">
        <v>7011.6</v>
      </c>
      <c r="H260" s="35">
        <v>6988.49</v>
      </c>
      <c r="I260" s="35">
        <v>7021.74</v>
      </c>
      <c r="J260" s="35">
        <v>7032.01</v>
      </c>
      <c r="K260" s="35">
        <v>6951.22</v>
      </c>
      <c r="L260" s="35">
        <v>6982</v>
      </c>
      <c r="M260" s="35">
        <v>7020.03</v>
      </c>
      <c r="N260" s="35">
        <v>7085.65</v>
      </c>
      <c r="O260" s="35">
        <v>7008.05</v>
      </c>
      <c r="P260" s="35">
        <v>7040.64</v>
      </c>
      <c r="Q260" s="48">
        <f>IF((L261=""),"",MAX(D262:P262))</f>
        <v>5397.58</v>
      </c>
      <c r="R260" s="55">
        <f>IF(L261="","",MIN(D262:L262))</f>
        <v>5327.62</v>
      </c>
      <c r="S260" s="51">
        <f>IF((P262=""),"",AVERAGE(D262:P262))</f>
        <v>5374.668461538462</v>
      </c>
      <c r="T260" s="51">
        <f>IF((L261=""),"",(Q260-R260)/(Q260+R260)*100)</f>
        <v>0.652295528288517</v>
      </c>
      <c r="U260" s="55">
        <f>STDEV(D262:P262)</f>
        <v>24.622627414011568</v>
      </c>
      <c r="V260" s="231" t="str">
        <f>IF(P261="","",IF(T260&lt;2.7,IF(S260&gt;5150,IF(S260&lt;5600,"Pass","Fail"),"Fail"),"Fail"))</f>
        <v>Pass</v>
      </c>
      <c r="W260" s="55">
        <v>102</v>
      </c>
      <c r="X260" s="95" t="s">
        <v>241</v>
      </c>
      <c r="Y260" s="95"/>
      <c r="Z260" s="251">
        <v>4470</v>
      </c>
      <c r="AA260" s="251">
        <v>6020</v>
      </c>
      <c r="AB260" s="251">
        <v>5150</v>
      </c>
      <c r="AC260" s="251">
        <v>5600</v>
      </c>
      <c r="AD260" s="67">
        <v>10</v>
      </c>
      <c r="AE260" s="252">
        <v>2.7</v>
      </c>
    </row>
    <row r="261" spans="1:31" ht="12.75" customHeight="1" x14ac:dyDescent="0.35">
      <c r="A261" s="294"/>
      <c r="B261" s="46"/>
      <c r="C261" s="54" t="s">
        <v>200</v>
      </c>
      <c r="D261" s="35">
        <v>1648.05</v>
      </c>
      <c r="E261" s="35">
        <v>1721.24</v>
      </c>
      <c r="F261" s="35">
        <v>1620.38</v>
      </c>
      <c r="G261" s="35">
        <v>1627.06</v>
      </c>
      <c r="H261" s="35">
        <v>1594.16</v>
      </c>
      <c r="I261" s="35">
        <v>1629.45</v>
      </c>
      <c r="J261" s="35">
        <v>1637.09</v>
      </c>
      <c r="K261" s="35">
        <v>1564.99</v>
      </c>
      <c r="L261" s="35">
        <v>1654.38</v>
      </c>
      <c r="M261" s="35">
        <v>1636.12</v>
      </c>
      <c r="N261" s="35">
        <v>1688.07</v>
      </c>
      <c r="O261" s="35">
        <v>1652.07</v>
      </c>
      <c r="P261" s="35">
        <v>1648.03</v>
      </c>
      <c r="Q261" s="46"/>
      <c r="R261" s="46"/>
      <c r="S261" s="46"/>
      <c r="T261" s="46"/>
      <c r="U261" s="46"/>
      <c r="V261" s="229"/>
      <c r="W261" s="46"/>
      <c r="X261" s="98"/>
      <c r="Y261" s="98"/>
      <c r="AD261" s="67"/>
      <c r="AE261" s="67"/>
    </row>
    <row r="262" spans="1:31" ht="23.95" customHeight="1" x14ac:dyDescent="0.35">
      <c r="A262" s="294"/>
      <c r="B262" s="78"/>
      <c r="C262" s="54" t="s">
        <v>199</v>
      </c>
      <c r="D262" s="93">
        <f t="shared" ref="D262:P262" si="83">IF(((D260="")*AND(D261="")),"",(D260-D261))</f>
        <v>5357.97</v>
      </c>
      <c r="E262" s="93">
        <f t="shared" si="83"/>
        <v>5374.55</v>
      </c>
      <c r="F262" s="93">
        <f t="shared" si="83"/>
        <v>5328.16</v>
      </c>
      <c r="G262" s="93">
        <f t="shared" si="83"/>
        <v>5384.5400000000009</v>
      </c>
      <c r="H262" s="93">
        <f t="shared" si="83"/>
        <v>5394.33</v>
      </c>
      <c r="I262" s="93">
        <f t="shared" si="83"/>
        <v>5392.29</v>
      </c>
      <c r="J262" s="93">
        <f t="shared" si="83"/>
        <v>5394.92</v>
      </c>
      <c r="K262" s="93">
        <f t="shared" si="83"/>
        <v>5386.2300000000005</v>
      </c>
      <c r="L262" s="93">
        <f t="shared" si="83"/>
        <v>5327.62</v>
      </c>
      <c r="M262" s="93">
        <f t="shared" si="83"/>
        <v>5383.91</v>
      </c>
      <c r="N262" s="93">
        <f t="shared" si="83"/>
        <v>5397.58</v>
      </c>
      <c r="O262" s="93">
        <f t="shared" si="83"/>
        <v>5355.9800000000005</v>
      </c>
      <c r="P262" s="93">
        <f t="shared" si="83"/>
        <v>5392.6100000000006</v>
      </c>
      <c r="Q262" s="78"/>
      <c r="R262" s="78"/>
      <c r="S262" s="78"/>
      <c r="T262" s="46"/>
      <c r="U262" s="78"/>
      <c r="V262" s="232"/>
      <c r="W262" s="78"/>
      <c r="X262" s="98"/>
      <c r="Y262" s="98"/>
      <c r="AD262" s="67"/>
      <c r="AE262" s="67"/>
    </row>
    <row r="263" spans="1:31" ht="12.75" customHeight="1" x14ac:dyDescent="0.25">
      <c r="A263" s="92">
        <v>42930</v>
      </c>
      <c r="B263" s="48" t="s">
        <v>204</v>
      </c>
      <c r="C263" s="54" t="s">
        <v>201</v>
      </c>
      <c r="D263" s="35">
        <v>5965.69</v>
      </c>
      <c r="E263" s="35">
        <v>6020.86</v>
      </c>
      <c r="F263" s="35">
        <v>6035.19</v>
      </c>
      <c r="G263" s="35">
        <v>5983.44</v>
      </c>
      <c r="H263" s="35">
        <v>5928.06</v>
      </c>
      <c r="I263" s="35">
        <v>5958.75</v>
      </c>
      <c r="J263" s="35">
        <v>6014.59</v>
      </c>
      <c r="K263" s="35">
        <v>6038.77</v>
      </c>
      <c r="L263" s="35">
        <v>5895.74</v>
      </c>
      <c r="M263" s="53"/>
      <c r="N263" s="53"/>
      <c r="O263" s="53"/>
      <c r="P263" s="53"/>
      <c r="Q263" s="48">
        <f>IF((L264=""),"",MAX(D265:L265))</f>
        <v>7571.36</v>
      </c>
      <c r="R263" s="48">
        <f>IF(L264="","",MIN(D265:L265))</f>
        <v>7050.1399999999994</v>
      </c>
      <c r="S263" s="75">
        <f>IF((L265=""),"",AVERAGE(D265:L265))</f>
        <v>7291.9155555555544</v>
      </c>
      <c r="T263" s="50">
        <f>IF((L264=""),"",(Q263-R263)/(Q263+R263)*100)</f>
        <v>3.5647505385904341</v>
      </c>
      <c r="U263" s="48">
        <f>STDEV(D265:P265)</f>
        <v>138.78685988874381</v>
      </c>
      <c r="V263" s="228" t="str">
        <f>IF(L264="","",IF(T263&lt;7.3,IF(S263&gt;5700,IF(S263&lt;7200,"Pass","Fail"),"Fail"),"Fail"))</f>
        <v>Fail</v>
      </c>
      <c r="W263" s="46">
        <v>102</v>
      </c>
      <c r="X263" s="98" t="s">
        <v>241</v>
      </c>
      <c r="Y263" s="98"/>
      <c r="Z263" s="37">
        <v>4955</v>
      </c>
      <c r="AA263" s="37">
        <v>9645</v>
      </c>
      <c r="AB263" s="37">
        <v>5100</v>
      </c>
      <c r="AC263" s="37">
        <v>8300</v>
      </c>
      <c r="AD263" s="67">
        <v>10</v>
      </c>
      <c r="AE263" s="67">
        <v>9.8000000000000007</v>
      </c>
    </row>
    <row r="264" spans="1:31" ht="12.75" customHeight="1" x14ac:dyDescent="0.35">
      <c r="A264" s="294"/>
      <c r="B264" s="46"/>
      <c r="C264" s="54" t="s">
        <v>200</v>
      </c>
      <c r="D264" s="35">
        <v>2378.7399999999998</v>
      </c>
      <c r="E264" s="35">
        <v>2379.5700000000002</v>
      </c>
      <c r="F264" s="35">
        <v>2377.89</v>
      </c>
      <c r="G264" s="35">
        <v>2331.5100000000002</v>
      </c>
      <c r="H264" s="35">
        <v>2256.86</v>
      </c>
      <c r="I264" s="35">
        <v>2173.0700000000002</v>
      </c>
      <c r="J264" s="35">
        <v>2361.1799999999998</v>
      </c>
      <c r="K264" s="35">
        <v>2397.98</v>
      </c>
      <c r="L264" s="35">
        <v>2370.67</v>
      </c>
      <c r="M264" s="53"/>
      <c r="N264" s="53"/>
      <c r="O264" s="53"/>
      <c r="P264" s="53"/>
      <c r="Q264" s="46"/>
      <c r="R264" s="46"/>
      <c r="S264" s="46"/>
      <c r="T264" s="46"/>
      <c r="U264" s="46"/>
      <c r="V264" s="229"/>
      <c r="W264" s="46"/>
      <c r="X264" s="98"/>
      <c r="Y264" s="98"/>
      <c r="AD264" s="67"/>
      <c r="AE264" s="67"/>
    </row>
    <row r="265" spans="1:31" ht="24.8" customHeight="1" thickBot="1" x14ac:dyDescent="0.4">
      <c r="A265" s="294"/>
      <c r="B265" s="42"/>
      <c r="C265" s="74" t="s">
        <v>199</v>
      </c>
      <c r="D265" s="81">
        <f t="shared" ref="D265:L265" si="84">IF(((D263="")*AND(D264="")),"",(D263-D264)*2)</f>
        <v>7173.9</v>
      </c>
      <c r="E265" s="81">
        <f t="shared" si="84"/>
        <v>7282.579999999999</v>
      </c>
      <c r="F265" s="81">
        <f t="shared" si="84"/>
        <v>7314.5999999999995</v>
      </c>
      <c r="G265" s="81">
        <f t="shared" si="84"/>
        <v>7303.8599999999988</v>
      </c>
      <c r="H265" s="81">
        <f t="shared" si="84"/>
        <v>7342.4000000000005</v>
      </c>
      <c r="I265" s="81">
        <f t="shared" si="84"/>
        <v>7571.36</v>
      </c>
      <c r="J265" s="81">
        <f t="shared" si="84"/>
        <v>7306.8200000000006</v>
      </c>
      <c r="K265" s="81">
        <f t="shared" si="84"/>
        <v>7281.5800000000008</v>
      </c>
      <c r="L265" s="81">
        <f t="shared" si="84"/>
        <v>7050.1399999999994</v>
      </c>
      <c r="M265" s="81"/>
      <c r="N265" s="81"/>
      <c r="O265" s="81"/>
      <c r="P265" s="81" t="str">
        <f>IF(((P263="")*AND(P264="")),"",(P263-P264)*2)</f>
        <v/>
      </c>
      <c r="Q265" s="42"/>
      <c r="R265" s="42"/>
      <c r="S265" s="42"/>
      <c r="T265" s="42"/>
      <c r="U265" s="42"/>
      <c r="V265" s="230"/>
      <c r="W265" s="42"/>
      <c r="X265" s="97"/>
      <c r="Y265" s="97"/>
      <c r="AD265" s="67"/>
      <c r="AE265" s="67"/>
    </row>
    <row r="266" spans="1:31" ht="12.75" customHeight="1" x14ac:dyDescent="0.25">
      <c r="A266" s="92">
        <v>42941</v>
      </c>
      <c r="B266" s="55" t="s">
        <v>202</v>
      </c>
      <c r="C266" s="59" t="s">
        <v>201</v>
      </c>
      <c r="D266" s="35">
        <v>6885.92</v>
      </c>
      <c r="E266" s="35">
        <v>6977.29</v>
      </c>
      <c r="F266" s="35">
        <v>6829.29</v>
      </c>
      <c r="G266" s="35">
        <v>6890.58</v>
      </c>
      <c r="H266" s="35">
        <v>6867.13</v>
      </c>
      <c r="I266" s="35">
        <v>6900.87</v>
      </c>
      <c r="J266" s="35">
        <v>6910.4</v>
      </c>
      <c r="K266" s="35">
        <v>6832.99</v>
      </c>
      <c r="L266" s="35">
        <v>6864.89</v>
      </c>
      <c r="M266" s="35">
        <v>6898.29</v>
      </c>
      <c r="N266" s="35">
        <v>6965.84</v>
      </c>
      <c r="O266" s="35">
        <v>6886.64</v>
      </c>
      <c r="P266" s="35">
        <v>6917.15</v>
      </c>
      <c r="Q266" s="48">
        <f>IF((L267=""),"",MAX(D268:P268))</f>
        <v>5363.1399999999994</v>
      </c>
      <c r="R266" s="55">
        <f>IF(L267="","",MIN(D268:L268))</f>
        <v>5309.79</v>
      </c>
      <c r="S266" s="51">
        <f>IF((P268=""),"",AVERAGE(D268:P268))</f>
        <v>5344.1046153846155</v>
      </c>
      <c r="T266" s="51">
        <f>IF((L267=""),"",(Q266-R266)/(Q266+R266)*100)</f>
        <v>0.49986273684920124</v>
      </c>
      <c r="U266" s="55">
        <f>STDEV(D268:P268)</f>
        <v>17.576329070364366</v>
      </c>
      <c r="V266" s="231" t="str">
        <f>IF(P267="","",IF(T266&lt;2.7,IF(S266&gt;5150,IF(S266&lt;5600,"Pass","Fail"),"Fail"),"Fail"))</f>
        <v>Pass</v>
      </c>
      <c r="W266" s="55">
        <v>1159</v>
      </c>
      <c r="X266" s="95" t="s">
        <v>240</v>
      </c>
      <c r="Y266" s="95"/>
      <c r="Z266" s="251">
        <v>4470</v>
      </c>
      <c r="AA266" s="251">
        <v>6020</v>
      </c>
      <c r="AB266" s="251">
        <v>5150</v>
      </c>
      <c r="AC266" s="251">
        <v>5600</v>
      </c>
      <c r="AD266" s="67">
        <v>10</v>
      </c>
      <c r="AE266" s="252">
        <v>2.7</v>
      </c>
    </row>
    <row r="267" spans="1:31" ht="12.75" customHeight="1" x14ac:dyDescent="0.35">
      <c r="A267" s="294"/>
      <c r="B267" s="46"/>
      <c r="C267" s="54" t="s">
        <v>200</v>
      </c>
      <c r="D267" s="35">
        <v>1551.07</v>
      </c>
      <c r="E267" s="35">
        <v>1630.08</v>
      </c>
      <c r="F267" s="35">
        <v>1519.5</v>
      </c>
      <c r="G267" s="35">
        <v>1543.13</v>
      </c>
      <c r="H267" s="35">
        <v>1517.59</v>
      </c>
      <c r="I267" s="35">
        <v>1537.73</v>
      </c>
      <c r="J267" s="35">
        <v>1555.22</v>
      </c>
      <c r="K267" s="35">
        <v>1482.26</v>
      </c>
      <c r="L267" s="35">
        <v>1554.11</v>
      </c>
      <c r="M267" s="35">
        <v>1545.42</v>
      </c>
      <c r="N267" s="35">
        <v>1604.73</v>
      </c>
      <c r="O267" s="35">
        <v>1555.16</v>
      </c>
      <c r="P267" s="35">
        <v>1557.92</v>
      </c>
      <c r="Q267" s="46"/>
      <c r="R267" s="46"/>
      <c r="S267" s="46"/>
      <c r="T267" s="46"/>
      <c r="U267" s="46"/>
      <c r="V267" s="229"/>
      <c r="W267" s="46"/>
      <c r="X267" s="98"/>
      <c r="Y267" s="98"/>
      <c r="Z267" s="251"/>
      <c r="AA267" s="251"/>
      <c r="AB267" s="251"/>
      <c r="AC267" s="251"/>
      <c r="AD267" s="67"/>
      <c r="AE267" s="252"/>
    </row>
    <row r="268" spans="1:31" ht="24.8" customHeight="1" thickBot="1" x14ac:dyDescent="0.4">
      <c r="A268" s="294"/>
      <c r="B268" s="78"/>
      <c r="C268" s="54" t="s">
        <v>199</v>
      </c>
      <c r="D268" s="93">
        <f t="shared" ref="D268:P268" si="85">IF(((D266="")*AND(D267="")),"",(D266-D267))</f>
        <v>5334.85</v>
      </c>
      <c r="E268" s="93">
        <f t="shared" si="85"/>
        <v>5347.21</v>
      </c>
      <c r="F268" s="93">
        <f t="shared" si="85"/>
        <v>5309.79</v>
      </c>
      <c r="G268" s="93">
        <f t="shared" si="85"/>
        <v>5347.45</v>
      </c>
      <c r="H268" s="93">
        <f t="shared" si="85"/>
        <v>5349.54</v>
      </c>
      <c r="I268" s="93">
        <f t="shared" si="85"/>
        <v>5363.1399999999994</v>
      </c>
      <c r="J268" s="93">
        <f t="shared" si="85"/>
        <v>5355.1799999999994</v>
      </c>
      <c r="K268" s="93">
        <f t="shared" si="85"/>
        <v>5350.73</v>
      </c>
      <c r="L268" s="93">
        <f t="shared" si="85"/>
        <v>5310.7800000000007</v>
      </c>
      <c r="M268" s="93">
        <f t="shared" si="85"/>
        <v>5352.87</v>
      </c>
      <c r="N268" s="93">
        <f t="shared" si="85"/>
        <v>5361.1100000000006</v>
      </c>
      <c r="O268" s="93">
        <f t="shared" si="85"/>
        <v>5331.4800000000005</v>
      </c>
      <c r="P268" s="93">
        <f t="shared" si="85"/>
        <v>5359.23</v>
      </c>
      <c r="Q268" s="78"/>
      <c r="R268" s="78"/>
      <c r="S268" s="78"/>
      <c r="T268" s="46"/>
      <c r="U268" s="78"/>
      <c r="V268" s="232"/>
      <c r="W268" s="78"/>
      <c r="X268" s="98"/>
      <c r="Y268" s="98"/>
      <c r="Z268" s="251"/>
      <c r="AA268" s="251"/>
      <c r="AB268" s="251"/>
      <c r="AC268" s="251"/>
      <c r="AD268" s="67"/>
      <c r="AE268" s="252"/>
    </row>
    <row r="269" spans="1:31" ht="12.75" customHeight="1" x14ac:dyDescent="0.25">
      <c r="A269" s="92">
        <v>42941</v>
      </c>
      <c r="B269" s="48" t="s">
        <v>204</v>
      </c>
      <c r="C269" s="54" t="s">
        <v>201</v>
      </c>
      <c r="D269" s="35">
        <v>5972.95</v>
      </c>
      <c r="E269" s="35">
        <v>6021.2</v>
      </c>
      <c r="F269" s="35">
        <v>6050.32</v>
      </c>
      <c r="G269" s="35">
        <v>5995.02</v>
      </c>
      <c r="H269" s="35">
        <v>5956.96</v>
      </c>
      <c r="I269" s="35">
        <v>5958.2</v>
      </c>
      <c r="J269" s="35">
        <v>6012.43</v>
      </c>
      <c r="K269" s="35">
        <v>6038.12</v>
      </c>
      <c r="L269" s="35">
        <v>5905.35</v>
      </c>
      <c r="M269" s="53"/>
      <c r="N269" s="53"/>
      <c r="O269" s="53"/>
      <c r="P269" s="53"/>
      <c r="Q269" s="48">
        <f>IF((L270=""),"",MAX(D271:L271))</f>
        <v>6967.98</v>
      </c>
      <c r="R269" s="48">
        <f>IF(L270="","",MIN(D271:L271))</f>
        <v>6530.9000000000005</v>
      </c>
      <c r="S269" s="75">
        <f>IF((L271=""),"",AVERAGE(D271:L271))</f>
        <v>6741.1533333333327</v>
      </c>
      <c r="T269" s="50">
        <f>IF((L270=""),"",(Q269-R269)/(Q269+R269)*100)</f>
        <v>3.2378982552626514</v>
      </c>
      <c r="U269" s="48">
        <f>STDEV(D271:P271)</f>
        <v>136.2616519788308</v>
      </c>
      <c r="V269" s="228" t="str">
        <f>IF(L270="","",IF(T269&lt;7.3,IF(S269&gt;5700,IF(S269&lt;7200,"Pass","Fail"),"Fail"),"Fail"))</f>
        <v>Pass</v>
      </c>
      <c r="W269" s="55">
        <v>1159</v>
      </c>
      <c r="X269" s="98" t="s">
        <v>240</v>
      </c>
      <c r="Y269" s="98"/>
      <c r="Z269" s="37">
        <v>4955</v>
      </c>
      <c r="AA269" s="37">
        <v>9645</v>
      </c>
      <c r="AB269" s="37">
        <v>5100</v>
      </c>
      <c r="AC269" s="37">
        <v>8300</v>
      </c>
      <c r="AD269" s="67">
        <v>10</v>
      </c>
      <c r="AE269" s="67">
        <v>9.8000000000000007</v>
      </c>
    </row>
    <row r="270" spans="1:31" ht="12.75" customHeight="1" x14ac:dyDescent="0.35">
      <c r="A270" s="294"/>
      <c r="B270" s="46"/>
      <c r="C270" s="54" t="s">
        <v>200</v>
      </c>
      <c r="D270" s="35">
        <v>2676.28</v>
      </c>
      <c r="E270" s="35">
        <v>2669.51</v>
      </c>
      <c r="F270" s="35">
        <v>2684.78</v>
      </c>
      <c r="G270" s="35">
        <v>2593.44</v>
      </c>
      <c r="H270" s="35">
        <v>2509.58</v>
      </c>
      <c r="I270" s="35">
        <v>2474.21</v>
      </c>
      <c r="J270" s="35">
        <v>2637.77</v>
      </c>
      <c r="K270" s="35">
        <v>2689.89</v>
      </c>
      <c r="L270" s="35">
        <v>2639.9</v>
      </c>
      <c r="M270" s="53"/>
      <c r="N270" s="53"/>
      <c r="O270" s="53"/>
      <c r="P270" s="53"/>
      <c r="Q270" s="46"/>
      <c r="R270" s="46"/>
      <c r="S270" s="46"/>
      <c r="T270" s="46"/>
      <c r="U270" s="46"/>
      <c r="V270" s="229"/>
      <c r="W270" s="46"/>
      <c r="X270" s="98"/>
      <c r="Y270" s="98"/>
    </row>
    <row r="271" spans="1:31" ht="24.8" customHeight="1" thickBot="1" x14ac:dyDescent="0.4">
      <c r="A271" s="294"/>
      <c r="B271" s="42"/>
      <c r="C271" s="74" t="s">
        <v>199</v>
      </c>
      <c r="D271" s="81">
        <f t="shared" ref="D271:L271" si="86">IF(((D269="")*AND(D270="")),"",(D269-D270)*2)</f>
        <v>6593.3399999999992</v>
      </c>
      <c r="E271" s="81">
        <f t="shared" si="86"/>
        <v>6703.3799999999992</v>
      </c>
      <c r="F271" s="81">
        <f t="shared" si="86"/>
        <v>6731.079999999999</v>
      </c>
      <c r="G271" s="81">
        <f t="shared" si="86"/>
        <v>6803.1600000000008</v>
      </c>
      <c r="H271" s="81">
        <f t="shared" si="86"/>
        <v>6894.76</v>
      </c>
      <c r="I271" s="81">
        <f t="shared" si="86"/>
        <v>6967.98</v>
      </c>
      <c r="J271" s="81">
        <f t="shared" si="86"/>
        <v>6749.3200000000006</v>
      </c>
      <c r="K271" s="81">
        <f t="shared" si="86"/>
        <v>6696.46</v>
      </c>
      <c r="L271" s="81">
        <f t="shared" si="86"/>
        <v>6530.9000000000005</v>
      </c>
      <c r="M271" s="81"/>
      <c r="N271" s="81"/>
      <c r="O271" s="81"/>
      <c r="P271" s="81" t="str">
        <f>IF(((P269="")*AND(P270="")),"",(P269-P270)*2)</f>
        <v/>
      </c>
      <c r="Q271" s="42"/>
      <c r="R271" s="42"/>
      <c r="S271" s="42"/>
      <c r="T271" s="42"/>
      <c r="U271" s="42"/>
      <c r="V271" s="230"/>
      <c r="W271" s="42"/>
      <c r="X271" s="97"/>
      <c r="Y271" s="97"/>
    </row>
    <row r="272" spans="1:31" ht="12.75" customHeight="1" x14ac:dyDescent="0.25">
      <c r="A272" s="92">
        <v>42951</v>
      </c>
      <c r="B272" s="55" t="s">
        <v>202</v>
      </c>
      <c r="C272" s="59" t="s">
        <v>201</v>
      </c>
      <c r="D272" s="35">
        <v>6886.51</v>
      </c>
      <c r="E272" s="35">
        <v>6971.1</v>
      </c>
      <c r="F272" s="35">
        <v>6838.64</v>
      </c>
      <c r="G272" s="35">
        <v>6908.24</v>
      </c>
      <c r="H272" s="35">
        <v>6848.93</v>
      </c>
      <c r="I272" s="35">
        <v>6896.6</v>
      </c>
      <c r="J272" s="35">
        <v>6929.8</v>
      </c>
      <c r="K272" s="35">
        <v>6856.87</v>
      </c>
      <c r="L272" s="35">
        <v>6872.96</v>
      </c>
      <c r="M272" s="35">
        <v>6914.05</v>
      </c>
      <c r="N272" s="35">
        <v>6954.62</v>
      </c>
      <c r="O272" s="35">
        <v>6895.57</v>
      </c>
      <c r="P272" s="35">
        <v>6913.64</v>
      </c>
      <c r="Q272" s="48">
        <f>IF((L273=""),"",MAX(D274:P274))</f>
        <v>5366.3600000000006</v>
      </c>
      <c r="R272" s="55">
        <f>IF(L273="","",MIN(D274:L274))</f>
        <v>5313.55</v>
      </c>
      <c r="S272" s="51">
        <f>IF((P274=""),"",AVERAGE(D274:P274))</f>
        <v>5337.1523076923086</v>
      </c>
      <c r="T272" s="51">
        <f>IF((L273=""),"",(Q272-R272)/(Q272+R272)*100)</f>
        <v>0.4944798223955108</v>
      </c>
      <c r="U272" s="55">
        <f>STDEV(D274:P274)</f>
        <v>14.208468809039088</v>
      </c>
      <c r="V272" s="231" t="str">
        <f>IF(P273="","",IF(T272&lt;2.7,IF(S272&gt;5150,IF(S272&lt;5600,"Pass","Fail"),"Fail"),"Fail"))</f>
        <v>Pass</v>
      </c>
      <c r="W272" s="55">
        <v>1159</v>
      </c>
      <c r="X272" s="95" t="s">
        <v>239</v>
      </c>
      <c r="Y272" s="95"/>
      <c r="Z272" s="251">
        <v>4470</v>
      </c>
      <c r="AA272" s="251">
        <v>6020</v>
      </c>
      <c r="AB272" s="251">
        <v>5150</v>
      </c>
      <c r="AC272" s="251">
        <v>5600</v>
      </c>
      <c r="AD272" s="67">
        <v>10</v>
      </c>
      <c r="AE272" s="252">
        <v>2.7</v>
      </c>
    </row>
    <row r="273" spans="1:31" ht="12.75" customHeight="1" x14ac:dyDescent="0.35">
      <c r="A273" s="294"/>
      <c r="B273" s="46"/>
      <c r="C273" s="54" t="s">
        <v>200</v>
      </c>
      <c r="D273" s="35">
        <v>1550.65</v>
      </c>
      <c r="E273" s="35">
        <v>1634.18</v>
      </c>
      <c r="F273" s="35">
        <v>1524.7</v>
      </c>
      <c r="G273" s="35">
        <v>1567.46</v>
      </c>
      <c r="H273" s="35">
        <v>1515.1</v>
      </c>
      <c r="I273" s="35">
        <v>1551.05</v>
      </c>
      <c r="J273" s="35">
        <v>1563.44</v>
      </c>
      <c r="K273" s="35">
        <v>1505.38</v>
      </c>
      <c r="L273" s="35">
        <v>1559.41</v>
      </c>
      <c r="M273" s="35">
        <v>1573.72</v>
      </c>
      <c r="N273" s="35">
        <v>1615.83</v>
      </c>
      <c r="O273" s="35">
        <v>1570.55</v>
      </c>
      <c r="P273" s="35">
        <v>1573.08</v>
      </c>
      <c r="Q273" s="46"/>
      <c r="R273" s="46"/>
      <c r="S273" s="46"/>
      <c r="T273" s="46"/>
      <c r="U273" s="46"/>
      <c r="V273" s="229"/>
      <c r="W273" s="46"/>
      <c r="X273" s="98"/>
      <c r="Y273" s="98"/>
      <c r="Z273" s="251"/>
      <c r="AA273" s="251"/>
      <c r="AB273" s="251"/>
      <c r="AC273" s="251"/>
      <c r="AD273" s="67"/>
      <c r="AE273" s="252"/>
    </row>
    <row r="274" spans="1:31" ht="23.95" customHeight="1" x14ac:dyDescent="0.35">
      <c r="A274" s="294"/>
      <c r="B274" s="78"/>
      <c r="C274" s="54" t="s">
        <v>199</v>
      </c>
      <c r="D274" s="93">
        <f t="shared" ref="D274:P274" si="87">IF(((D272="")*AND(D273="")),"",(D272-D273))</f>
        <v>5335.8600000000006</v>
      </c>
      <c r="E274" s="93">
        <f t="shared" si="87"/>
        <v>5336.92</v>
      </c>
      <c r="F274" s="93">
        <f t="shared" si="87"/>
        <v>5313.9400000000005</v>
      </c>
      <c r="G274" s="93">
        <f t="shared" si="87"/>
        <v>5340.78</v>
      </c>
      <c r="H274" s="93">
        <f t="shared" si="87"/>
        <v>5333.83</v>
      </c>
      <c r="I274" s="93">
        <f t="shared" si="87"/>
        <v>5345.55</v>
      </c>
      <c r="J274" s="93">
        <f t="shared" si="87"/>
        <v>5366.3600000000006</v>
      </c>
      <c r="K274" s="93">
        <f t="shared" si="87"/>
        <v>5351.49</v>
      </c>
      <c r="L274" s="93">
        <f t="shared" si="87"/>
        <v>5313.55</v>
      </c>
      <c r="M274" s="93">
        <f t="shared" si="87"/>
        <v>5340.33</v>
      </c>
      <c r="N274" s="93">
        <f t="shared" si="87"/>
        <v>5338.79</v>
      </c>
      <c r="O274" s="93">
        <f t="shared" si="87"/>
        <v>5325.0199999999995</v>
      </c>
      <c r="P274" s="93">
        <f t="shared" si="87"/>
        <v>5340.56</v>
      </c>
      <c r="Q274" s="78"/>
      <c r="R274" s="78"/>
      <c r="S274" s="78"/>
      <c r="T274" s="46"/>
      <c r="U274" s="78"/>
      <c r="V274" s="232"/>
      <c r="W274" s="78"/>
      <c r="X274" s="98"/>
      <c r="Y274" s="98"/>
      <c r="Z274" s="251"/>
      <c r="AA274" s="251"/>
      <c r="AB274" s="251"/>
      <c r="AC274" s="251"/>
      <c r="AD274" s="67"/>
      <c r="AE274" s="252"/>
    </row>
    <row r="275" spans="1:31" ht="12.75" customHeight="1" x14ac:dyDescent="0.25">
      <c r="A275" s="92">
        <v>42951</v>
      </c>
      <c r="B275" s="48" t="s">
        <v>204</v>
      </c>
      <c r="C275" s="54" t="s">
        <v>201</v>
      </c>
      <c r="D275" s="35">
        <v>5980.88</v>
      </c>
      <c r="E275" s="35">
        <v>6015.77</v>
      </c>
      <c r="F275" s="35">
        <v>6058.13</v>
      </c>
      <c r="G275" s="35">
        <v>6035.67</v>
      </c>
      <c r="H275" s="35">
        <v>5945.35</v>
      </c>
      <c r="I275" s="35">
        <v>5980.69</v>
      </c>
      <c r="J275" s="35">
        <v>6009.31</v>
      </c>
      <c r="K275" s="35">
        <v>6028.55</v>
      </c>
      <c r="L275" s="35">
        <v>5914.47</v>
      </c>
      <c r="M275" s="53"/>
      <c r="N275" s="53"/>
      <c r="O275" s="53"/>
      <c r="P275" s="53"/>
      <c r="Q275" s="48">
        <f>IF((L276=""),"",MAX(D277:L277))</f>
        <v>6998.4800000000005</v>
      </c>
      <c r="R275" s="48">
        <f>IF(L276="","",MIN(D277:L277))</f>
        <v>6794.54</v>
      </c>
      <c r="S275" s="75">
        <f>IF((L277=""),"",AVERAGE(D277:L277))</f>
        <v>6872.9866666666676</v>
      </c>
      <c r="T275" s="50">
        <f>IF((L276=""),"",(Q275-R275)/(Q275+R275)*100)</f>
        <v>1.4785739453723732</v>
      </c>
      <c r="U275" s="48">
        <f>STDEV(D277:P277)</f>
        <v>69.351325870526679</v>
      </c>
      <c r="V275" s="228" t="str">
        <f>IF(L276="","",IF(T275&lt;7.3,IF(S275&gt;5700,IF(S275&lt;7200,"Pass","Fail"),"Fail"),"Fail"))</f>
        <v>Pass</v>
      </c>
      <c r="W275" s="46">
        <v>1159</v>
      </c>
      <c r="X275" s="98" t="s">
        <v>239</v>
      </c>
      <c r="Y275" s="98"/>
      <c r="Z275" s="37">
        <v>4955</v>
      </c>
      <c r="AA275" s="37">
        <v>9645</v>
      </c>
      <c r="AB275" s="37">
        <v>5100</v>
      </c>
      <c r="AC275" s="37">
        <v>8300</v>
      </c>
      <c r="AD275" s="67">
        <v>10</v>
      </c>
      <c r="AE275" s="67">
        <v>9.8000000000000007</v>
      </c>
    </row>
    <row r="276" spans="1:31" ht="12.75" customHeight="1" x14ac:dyDescent="0.35">
      <c r="A276" s="294"/>
      <c r="B276" s="46"/>
      <c r="C276" s="54" t="s">
        <v>200</v>
      </c>
      <c r="D276" s="35">
        <v>2583.61</v>
      </c>
      <c r="E276" s="35">
        <v>2608.7800000000002</v>
      </c>
      <c r="F276" s="35">
        <v>2628.21</v>
      </c>
      <c r="G276" s="35">
        <v>2536.4299999999998</v>
      </c>
      <c r="H276" s="35">
        <v>2517.39</v>
      </c>
      <c r="I276" s="35">
        <v>2503.58</v>
      </c>
      <c r="J276" s="35">
        <v>2551.86</v>
      </c>
      <c r="K276" s="35">
        <v>2601.15</v>
      </c>
      <c r="L276" s="35">
        <v>2509.37</v>
      </c>
      <c r="M276" s="53"/>
      <c r="N276" s="53"/>
      <c r="O276" s="53"/>
      <c r="P276" s="53"/>
      <c r="Q276" s="46"/>
      <c r="R276" s="46"/>
      <c r="S276" s="46"/>
      <c r="T276" s="46"/>
      <c r="U276" s="46"/>
      <c r="V276" s="229"/>
      <c r="W276" s="46"/>
      <c r="X276" s="98"/>
      <c r="Y276" s="98"/>
    </row>
    <row r="277" spans="1:31" ht="24.8" customHeight="1" thickBot="1" x14ac:dyDescent="0.4">
      <c r="A277" s="294"/>
      <c r="B277" s="42"/>
      <c r="C277" s="74" t="s">
        <v>199</v>
      </c>
      <c r="D277" s="81">
        <f t="shared" ref="D277:L277" si="88">IF(((D275="")*AND(D276="")),"",(D275-D276)*2)</f>
        <v>6794.54</v>
      </c>
      <c r="E277" s="81">
        <f t="shared" si="88"/>
        <v>6813.9800000000005</v>
      </c>
      <c r="F277" s="81">
        <f t="shared" si="88"/>
        <v>6859.84</v>
      </c>
      <c r="G277" s="81">
        <f t="shared" si="88"/>
        <v>6998.4800000000005</v>
      </c>
      <c r="H277" s="81">
        <f t="shared" si="88"/>
        <v>6855.920000000001</v>
      </c>
      <c r="I277" s="81">
        <f t="shared" si="88"/>
        <v>6954.2199999999993</v>
      </c>
      <c r="J277" s="81">
        <f t="shared" si="88"/>
        <v>6914.9000000000005</v>
      </c>
      <c r="K277" s="81">
        <f t="shared" si="88"/>
        <v>6854.8</v>
      </c>
      <c r="L277" s="81">
        <f t="shared" si="88"/>
        <v>6810.2000000000007</v>
      </c>
      <c r="M277" s="81"/>
      <c r="N277" s="81"/>
      <c r="O277" s="81"/>
      <c r="P277" s="81" t="str">
        <f>IF(((P275="")*AND(P276="")),"",(P275-P276)*2)</f>
        <v/>
      </c>
      <c r="Q277" s="42"/>
      <c r="R277" s="42"/>
      <c r="S277" s="42"/>
      <c r="T277" s="42"/>
      <c r="U277" s="42"/>
      <c r="V277" s="230"/>
      <c r="W277" s="42"/>
      <c r="X277" s="97"/>
      <c r="Y277" s="97"/>
    </row>
    <row r="278" spans="1:31" ht="12.75" customHeight="1" x14ac:dyDescent="0.25">
      <c r="A278" s="92">
        <v>42968</v>
      </c>
      <c r="B278" s="55" t="s">
        <v>202</v>
      </c>
      <c r="C278" s="59" t="s">
        <v>201</v>
      </c>
      <c r="D278" s="35">
        <v>6842</v>
      </c>
      <c r="E278" s="35">
        <v>6946</v>
      </c>
      <c r="F278" s="35">
        <v>6778</v>
      </c>
      <c r="G278" s="35">
        <v>6854</v>
      </c>
      <c r="H278" s="35">
        <v>6856</v>
      </c>
      <c r="I278" s="64">
        <v>6890</v>
      </c>
      <c r="J278" s="64">
        <v>6884</v>
      </c>
      <c r="K278" s="64">
        <v>6785</v>
      </c>
      <c r="L278" s="64">
        <v>6801</v>
      </c>
      <c r="M278" s="64">
        <v>6886</v>
      </c>
      <c r="N278" s="64">
        <v>6942</v>
      </c>
      <c r="O278" s="64">
        <v>6847</v>
      </c>
      <c r="P278" s="64">
        <v>6869</v>
      </c>
      <c r="Q278" s="48">
        <f>IF((L279=""),"",MAX(D280:P280))</f>
        <v>5380</v>
      </c>
      <c r="R278" s="55">
        <f>IF(L279="","",MIN(D280:L280))</f>
        <v>5296</v>
      </c>
      <c r="S278" s="51">
        <f>IF((P280=""),"",AVERAGE(D280:P280))</f>
        <v>5333.3846153846152</v>
      </c>
      <c r="T278" s="51">
        <f>IF((L279=""),"",(Q278-R278)/(Q278+R278)*100)</f>
        <v>0.78681153990258523</v>
      </c>
      <c r="U278" s="55">
        <f>STDEV(D280:P280)</f>
        <v>26.638125752194796</v>
      </c>
      <c r="V278" s="231" t="str">
        <f>IF(P279="","",IF(T278&lt;2.7,IF(S278&gt;5150,IF(S278&lt;5600,"Pass","Fail"),"Fail"),"Fail"))</f>
        <v>Pass</v>
      </c>
      <c r="W278" s="55">
        <v>1159</v>
      </c>
      <c r="X278" s="94"/>
      <c r="Y278" s="94"/>
      <c r="Z278" s="251">
        <v>4470</v>
      </c>
      <c r="AA278" s="251">
        <v>6020</v>
      </c>
      <c r="AB278" s="251">
        <v>5150</v>
      </c>
      <c r="AC278" s="251">
        <v>5600</v>
      </c>
      <c r="AD278" s="67">
        <v>10</v>
      </c>
      <c r="AE278" s="252">
        <v>2.7</v>
      </c>
    </row>
    <row r="279" spans="1:31" ht="12.75" customHeight="1" x14ac:dyDescent="0.35">
      <c r="A279" s="294"/>
      <c r="B279" s="46"/>
      <c r="C279" s="54" t="s">
        <v>200</v>
      </c>
      <c r="D279" s="35">
        <v>1529</v>
      </c>
      <c r="E279" s="35">
        <v>1615</v>
      </c>
      <c r="F279" s="35">
        <v>1482</v>
      </c>
      <c r="G279" s="35">
        <v>1518</v>
      </c>
      <c r="H279" s="35">
        <v>1519</v>
      </c>
      <c r="I279" s="35">
        <v>1520</v>
      </c>
      <c r="J279" s="35">
        <v>1538</v>
      </c>
      <c r="K279" s="35">
        <v>1405</v>
      </c>
      <c r="L279" s="35">
        <v>1504</v>
      </c>
      <c r="M279" s="35">
        <v>1520</v>
      </c>
      <c r="N279" s="35">
        <v>1614</v>
      </c>
      <c r="O279" s="35">
        <v>1535</v>
      </c>
      <c r="P279" s="35">
        <v>1547</v>
      </c>
      <c r="Q279" s="46"/>
      <c r="R279" s="46"/>
      <c r="S279" s="46"/>
      <c r="T279" s="46"/>
      <c r="U279" s="46"/>
      <c r="V279" s="229"/>
      <c r="W279" s="46"/>
      <c r="X279" s="98"/>
      <c r="Y279" s="98"/>
      <c r="Z279" s="251"/>
      <c r="AA279" s="251"/>
      <c r="AB279" s="251"/>
      <c r="AC279" s="251"/>
      <c r="AD279" s="67"/>
      <c r="AE279" s="252"/>
    </row>
    <row r="280" spans="1:31" ht="23.95" customHeight="1" x14ac:dyDescent="0.35">
      <c r="A280" s="294"/>
      <c r="B280" s="78"/>
      <c r="C280" s="54" t="s">
        <v>199</v>
      </c>
      <c r="D280" s="93">
        <f t="shared" ref="D280:P280" si="89">IF(((D278="")*AND(D279="")),"",(D278-D279))</f>
        <v>5313</v>
      </c>
      <c r="E280" s="93">
        <f t="shared" si="89"/>
        <v>5331</v>
      </c>
      <c r="F280" s="93">
        <f t="shared" si="89"/>
        <v>5296</v>
      </c>
      <c r="G280" s="93">
        <f t="shared" si="89"/>
        <v>5336</v>
      </c>
      <c r="H280" s="93">
        <f t="shared" si="89"/>
        <v>5337</v>
      </c>
      <c r="I280" s="93">
        <f t="shared" si="89"/>
        <v>5370</v>
      </c>
      <c r="J280" s="93">
        <f t="shared" si="89"/>
        <v>5346</v>
      </c>
      <c r="K280" s="93">
        <f t="shared" si="89"/>
        <v>5380</v>
      </c>
      <c r="L280" s="93">
        <f t="shared" si="89"/>
        <v>5297</v>
      </c>
      <c r="M280" s="93">
        <f t="shared" si="89"/>
        <v>5366</v>
      </c>
      <c r="N280" s="93">
        <f t="shared" si="89"/>
        <v>5328</v>
      </c>
      <c r="O280" s="93">
        <f t="shared" si="89"/>
        <v>5312</v>
      </c>
      <c r="P280" s="93">
        <f t="shared" si="89"/>
        <v>5322</v>
      </c>
      <c r="Q280" s="78"/>
      <c r="R280" s="78"/>
      <c r="S280" s="78"/>
      <c r="T280" s="46"/>
      <c r="U280" s="78"/>
      <c r="V280" s="232"/>
      <c r="W280" s="78"/>
      <c r="X280" s="98"/>
      <c r="Y280" s="98"/>
      <c r="Z280" s="251"/>
      <c r="AA280" s="251"/>
      <c r="AB280" s="251"/>
      <c r="AC280" s="251"/>
      <c r="AD280" s="67"/>
      <c r="AE280" s="252"/>
    </row>
    <row r="281" spans="1:31" ht="12.75" customHeight="1" x14ac:dyDescent="0.25">
      <c r="A281" s="92">
        <v>42968</v>
      </c>
      <c r="B281" s="48" t="s">
        <v>204</v>
      </c>
      <c r="C281" s="54" t="s">
        <v>201</v>
      </c>
      <c r="D281" s="35">
        <v>5902</v>
      </c>
      <c r="E281" s="35">
        <v>5999</v>
      </c>
      <c r="F281" s="35">
        <v>6020</v>
      </c>
      <c r="G281" s="35">
        <v>5967</v>
      </c>
      <c r="H281" s="35">
        <v>5848</v>
      </c>
      <c r="I281" s="35">
        <v>5890</v>
      </c>
      <c r="J281" s="35">
        <v>5971</v>
      </c>
      <c r="K281" s="35">
        <v>6013</v>
      </c>
      <c r="L281" s="35">
        <v>5822</v>
      </c>
      <c r="M281" s="53"/>
      <c r="N281" s="53"/>
      <c r="O281" s="53"/>
      <c r="P281" s="53"/>
      <c r="Q281" s="48">
        <f>IF((L282=""),"",MAX(D283:L283))</f>
        <v>6836</v>
      </c>
      <c r="R281" s="48">
        <f>IF(L282="","",MIN(D283:L283))</f>
        <v>6634</v>
      </c>
      <c r="S281" s="75">
        <f>IF((L283=""),"",AVERAGE(D283:L283))</f>
        <v>6764.2222222222226</v>
      </c>
      <c r="T281" s="50">
        <f>IF((L282=""),"",(Q281-R281)/(Q281+R281)*100)</f>
        <v>1.4996288047512991</v>
      </c>
      <c r="U281" s="48">
        <f>STDEV(D283:P283)</f>
        <v>58.416131714145919</v>
      </c>
      <c r="V281" s="228" t="str">
        <f>IF(L282="","",IF(T281&lt;7.3,IF(S281&gt;5700,IF(S281&lt;7200,"Pass","Fail"),"Fail"),"Fail"))</f>
        <v>Pass</v>
      </c>
      <c r="W281" s="46">
        <v>1159</v>
      </c>
      <c r="X281" s="104"/>
      <c r="Y281" s="104"/>
      <c r="Z281" s="37">
        <v>4955</v>
      </c>
      <c r="AA281" s="37">
        <v>9645</v>
      </c>
      <c r="AB281" s="37">
        <v>5100</v>
      </c>
      <c r="AC281" s="37">
        <v>8300</v>
      </c>
      <c r="AD281" s="67">
        <v>10</v>
      </c>
      <c r="AE281" s="67">
        <v>9.8000000000000007</v>
      </c>
    </row>
    <row r="282" spans="1:31" ht="12.75" customHeight="1" x14ac:dyDescent="0.35">
      <c r="A282" s="294"/>
      <c r="B282" s="46"/>
      <c r="C282" s="54" t="s">
        <v>200</v>
      </c>
      <c r="D282" s="35">
        <v>2495</v>
      </c>
      <c r="E282" s="35">
        <v>2638</v>
      </c>
      <c r="F282" s="35">
        <v>2634</v>
      </c>
      <c r="G282" s="35">
        <v>2549</v>
      </c>
      <c r="H282" s="35">
        <v>2467</v>
      </c>
      <c r="I282" s="64">
        <v>2504</v>
      </c>
      <c r="J282" s="64">
        <v>2576</v>
      </c>
      <c r="K282" s="64">
        <v>2625</v>
      </c>
      <c r="L282" s="64">
        <v>2505</v>
      </c>
      <c r="M282" s="53"/>
      <c r="N282" s="53"/>
      <c r="O282" s="53"/>
      <c r="P282" s="53"/>
      <c r="Q282" s="46"/>
      <c r="R282" s="46"/>
      <c r="S282" s="46"/>
      <c r="T282" s="46"/>
      <c r="U282" s="46"/>
      <c r="V282" s="229"/>
      <c r="W282" s="46"/>
      <c r="X282" s="104"/>
      <c r="Y282" s="104"/>
    </row>
    <row r="283" spans="1:31" ht="24.8" customHeight="1" thickBot="1" x14ac:dyDescent="0.4">
      <c r="A283" s="294"/>
      <c r="B283" s="42"/>
      <c r="C283" s="74" t="s">
        <v>199</v>
      </c>
      <c r="D283" s="81">
        <f t="shared" ref="D283:L283" si="90">IF(((D281="")*AND(D282="")),"",(D281-D282)*2)</f>
        <v>6814</v>
      </c>
      <c r="E283" s="81">
        <f t="shared" si="90"/>
        <v>6722</v>
      </c>
      <c r="F283" s="81">
        <f t="shared" si="90"/>
        <v>6772</v>
      </c>
      <c r="G283" s="81">
        <f t="shared" si="90"/>
        <v>6836</v>
      </c>
      <c r="H283" s="81">
        <f t="shared" si="90"/>
        <v>6762</v>
      </c>
      <c r="I283" s="81">
        <f t="shared" si="90"/>
        <v>6772</v>
      </c>
      <c r="J283" s="81">
        <f t="shared" si="90"/>
        <v>6790</v>
      </c>
      <c r="K283" s="81">
        <f t="shared" si="90"/>
        <v>6776</v>
      </c>
      <c r="L283" s="81">
        <f t="shared" si="90"/>
        <v>6634</v>
      </c>
      <c r="M283" s="81"/>
      <c r="N283" s="81"/>
      <c r="O283" s="81"/>
      <c r="P283" s="81" t="str">
        <f>IF(((P281="")*AND(P282="")),"",(P281-P282)*2)</f>
        <v/>
      </c>
      <c r="Q283" s="42"/>
      <c r="R283" s="42"/>
      <c r="S283" s="42"/>
      <c r="T283" s="42"/>
      <c r="U283" s="42"/>
      <c r="V283" s="230"/>
      <c r="W283" s="42"/>
      <c r="X283" s="103"/>
      <c r="Y283" s="103"/>
    </row>
    <row r="284" spans="1:31" ht="12.75" customHeight="1" x14ac:dyDescent="0.25">
      <c r="A284" s="92">
        <v>42972</v>
      </c>
      <c r="B284" s="55" t="s">
        <v>202</v>
      </c>
      <c r="C284" s="59" t="s">
        <v>201</v>
      </c>
      <c r="D284" s="35">
        <v>6868.56</v>
      </c>
      <c r="E284" s="35">
        <v>6979.05</v>
      </c>
      <c r="F284" s="35">
        <v>6789.57</v>
      </c>
      <c r="G284" s="35">
        <v>6855.71</v>
      </c>
      <c r="H284" s="35">
        <v>6894.37</v>
      </c>
      <c r="I284" s="35">
        <v>6910.12</v>
      </c>
      <c r="J284" s="35">
        <v>6883.64</v>
      </c>
      <c r="K284" s="35">
        <v>6788.83</v>
      </c>
      <c r="L284" s="35">
        <v>6811.4</v>
      </c>
      <c r="M284" s="35">
        <v>6886.27</v>
      </c>
      <c r="N284" s="35">
        <v>6973.71</v>
      </c>
      <c r="O284" s="35">
        <v>6858.19</v>
      </c>
      <c r="P284" s="35">
        <v>6901.04</v>
      </c>
      <c r="Q284" s="48">
        <f>IF((L285=""),"",MAX(D286:P286))</f>
        <v>5374.54</v>
      </c>
      <c r="R284" s="55">
        <f>IF(L285="","",MIN(D286:L286))</f>
        <v>5260.5599999999995</v>
      </c>
      <c r="S284" s="51">
        <f>IF((P286=""),"",AVERAGE(D286:P286))</f>
        <v>5324.3661538461538</v>
      </c>
      <c r="T284" s="51">
        <f>IF((L285=""),"",(Q284-R284)/(Q284+R284)*100)</f>
        <v>1.0717341632894894</v>
      </c>
      <c r="U284" s="55">
        <f>STDEV(D286:P286)</f>
        <v>37.921509845658484</v>
      </c>
      <c r="V284" s="231" t="str">
        <f>IF(P285="","",IF(T284&lt;2.7,IF(S284&gt;5150,IF(S284&lt;5600,"Pass","Fail"),"Fail"),"Fail"))</f>
        <v>Pass</v>
      </c>
      <c r="W284" s="55">
        <v>121</v>
      </c>
      <c r="X284" s="95"/>
      <c r="Y284" s="95"/>
      <c r="Z284" s="251">
        <v>4470</v>
      </c>
      <c r="AA284" s="251">
        <v>6020</v>
      </c>
      <c r="AB284" s="251">
        <v>5150</v>
      </c>
      <c r="AC284" s="251">
        <v>5600</v>
      </c>
      <c r="AD284" s="67">
        <v>10</v>
      </c>
      <c r="AE284" s="252">
        <v>2.7</v>
      </c>
    </row>
    <row r="285" spans="1:31" ht="12.75" customHeight="1" x14ac:dyDescent="0.35">
      <c r="A285" s="294"/>
      <c r="B285" s="46"/>
      <c r="C285" s="54" t="s">
        <v>200</v>
      </c>
      <c r="D285" s="35">
        <v>1581.05</v>
      </c>
      <c r="E285" s="35">
        <v>1646.66</v>
      </c>
      <c r="F285" s="35">
        <v>1529.01</v>
      </c>
      <c r="G285" s="35">
        <v>1539.96</v>
      </c>
      <c r="H285" s="35">
        <v>1535.4</v>
      </c>
      <c r="I285" s="35">
        <v>1535.58</v>
      </c>
      <c r="J285" s="35">
        <v>1550.48</v>
      </c>
      <c r="K285" s="35">
        <v>1435.65</v>
      </c>
      <c r="L285" s="35">
        <v>1548.38</v>
      </c>
      <c r="M285" s="35">
        <v>1525.83</v>
      </c>
      <c r="N285" s="35">
        <v>1616.58</v>
      </c>
      <c r="O285" s="35">
        <v>1564.23</v>
      </c>
      <c r="P285" s="35">
        <v>1574.89</v>
      </c>
      <c r="Q285" s="46"/>
      <c r="R285" s="46"/>
      <c r="S285" s="46"/>
      <c r="T285" s="46"/>
      <c r="U285" s="46"/>
      <c r="V285" s="229"/>
      <c r="W285" s="46"/>
      <c r="X285" s="98"/>
      <c r="Y285" s="98"/>
      <c r="Z285" s="251"/>
      <c r="AA285" s="251"/>
      <c r="AB285" s="251"/>
      <c r="AC285" s="251"/>
      <c r="AD285" s="67"/>
      <c r="AE285" s="252"/>
    </row>
    <row r="286" spans="1:31" ht="23.95" customHeight="1" x14ac:dyDescent="0.35">
      <c r="A286" s="294"/>
      <c r="B286" s="78"/>
      <c r="C286" s="54" t="s">
        <v>199</v>
      </c>
      <c r="D286" s="93">
        <f t="shared" ref="D286:P286" si="91">IF(((D284="")*AND(D285="")),"",(D284-D285))</f>
        <v>5287.51</v>
      </c>
      <c r="E286" s="93">
        <f t="shared" si="91"/>
        <v>5332.39</v>
      </c>
      <c r="F286" s="93">
        <f t="shared" si="91"/>
        <v>5260.5599999999995</v>
      </c>
      <c r="G286" s="93">
        <f t="shared" si="91"/>
        <v>5315.75</v>
      </c>
      <c r="H286" s="93">
        <f t="shared" si="91"/>
        <v>5358.9699999999993</v>
      </c>
      <c r="I286" s="93">
        <f t="shared" si="91"/>
        <v>5374.54</v>
      </c>
      <c r="J286" s="93">
        <f t="shared" si="91"/>
        <v>5333.16</v>
      </c>
      <c r="K286" s="93">
        <f t="shared" si="91"/>
        <v>5353.18</v>
      </c>
      <c r="L286" s="93">
        <f t="shared" si="91"/>
        <v>5263.0199999999995</v>
      </c>
      <c r="M286" s="93">
        <f t="shared" si="91"/>
        <v>5360.4400000000005</v>
      </c>
      <c r="N286" s="93">
        <f t="shared" si="91"/>
        <v>5357.13</v>
      </c>
      <c r="O286" s="93">
        <f t="shared" si="91"/>
        <v>5293.9599999999991</v>
      </c>
      <c r="P286" s="93">
        <f t="shared" si="91"/>
        <v>5326.15</v>
      </c>
      <c r="Q286" s="78"/>
      <c r="R286" s="78"/>
      <c r="S286" s="78"/>
      <c r="T286" s="46"/>
      <c r="U286" s="78"/>
      <c r="V286" s="232"/>
      <c r="W286" s="78"/>
      <c r="X286" s="98"/>
      <c r="Y286" s="98"/>
      <c r="Z286" s="251"/>
      <c r="AA286" s="251"/>
      <c r="AB286" s="251"/>
      <c r="AC286" s="251"/>
      <c r="AD286" s="67"/>
      <c r="AE286" s="252"/>
    </row>
    <row r="287" spans="1:31" ht="12.75" customHeight="1" x14ac:dyDescent="0.25">
      <c r="A287" s="92">
        <v>42972</v>
      </c>
      <c r="B287" s="48" t="s">
        <v>204</v>
      </c>
      <c r="C287" s="54" t="s">
        <v>201</v>
      </c>
      <c r="D287" s="35">
        <v>5903.92</v>
      </c>
      <c r="E287" s="35">
        <v>6003.11</v>
      </c>
      <c r="F287" s="35">
        <v>6022.33</v>
      </c>
      <c r="G287" s="35">
        <v>5969.08</v>
      </c>
      <c r="H287" s="35">
        <v>5845.52</v>
      </c>
      <c r="I287" s="35">
        <v>5902.42</v>
      </c>
      <c r="J287" s="35">
        <v>5978.41</v>
      </c>
      <c r="K287" s="35">
        <v>6015.78</v>
      </c>
      <c r="L287" s="35">
        <v>5828.36</v>
      </c>
      <c r="M287" s="53"/>
      <c r="N287" s="53"/>
      <c r="O287" s="53"/>
      <c r="P287" s="53"/>
      <c r="Q287" s="48">
        <f>IF((L288=""),"",MAX(D289:L289))</f>
        <v>6950.56</v>
      </c>
      <c r="R287" s="48">
        <f>IF(L288="","",MIN(D289:L289))</f>
        <v>6675.4</v>
      </c>
      <c r="S287" s="75">
        <f>IF((L289=""),"",AVERAGE(D289:L289))</f>
        <v>6781.4</v>
      </c>
      <c r="T287" s="50">
        <f>IF((L288=""),"",(Q287-R287)/(Q287+R287)*100)</f>
        <v>2.0193806528127247</v>
      </c>
      <c r="U287" s="48">
        <f>STDEV(D289:P289)</f>
        <v>80.548959645671786</v>
      </c>
      <c r="V287" s="228" t="str">
        <f>IF(L288="","",IF(T287&lt;7.3,IF(S287&gt;5700,IF(S287&lt;7200,"Pass","Fail"),"Fail"),"Fail"))</f>
        <v>Pass</v>
      </c>
      <c r="W287" s="46">
        <v>121</v>
      </c>
      <c r="X287" s="98"/>
      <c r="Y287" s="98"/>
      <c r="Z287" s="37">
        <v>4955</v>
      </c>
      <c r="AA287" s="37">
        <v>9645</v>
      </c>
      <c r="AB287" s="37">
        <v>5100</v>
      </c>
      <c r="AC287" s="37">
        <v>8300</v>
      </c>
      <c r="AD287" s="67">
        <v>10</v>
      </c>
      <c r="AE287" s="67">
        <v>9.8000000000000007</v>
      </c>
    </row>
    <row r="288" spans="1:31" ht="12.75" customHeight="1" x14ac:dyDescent="0.35">
      <c r="A288" s="294"/>
      <c r="B288" s="46"/>
      <c r="C288" s="54" t="s">
        <v>200</v>
      </c>
      <c r="D288" s="35">
        <v>2496.58</v>
      </c>
      <c r="E288" s="35">
        <v>2627.51</v>
      </c>
      <c r="F288" s="35">
        <v>2638.91</v>
      </c>
      <c r="G288" s="35">
        <v>2571.66</v>
      </c>
      <c r="H288" s="35">
        <v>2435.21</v>
      </c>
      <c r="I288" s="35">
        <v>2427.14</v>
      </c>
      <c r="J288" s="35">
        <v>2595.56</v>
      </c>
      <c r="K288" s="35">
        <v>2669.4</v>
      </c>
      <c r="L288" s="35">
        <v>2490.66</v>
      </c>
      <c r="M288" s="53"/>
      <c r="N288" s="53"/>
      <c r="O288" s="53"/>
      <c r="P288" s="53"/>
      <c r="Q288" s="46"/>
      <c r="R288" s="46"/>
      <c r="S288" s="46"/>
      <c r="T288" s="46"/>
      <c r="U288" s="46"/>
      <c r="V288" s="229"/>
      <c r="W288" s="46"/>
      <c r="X288" s="98"/>
      <c r="Y288" s="98"/>
    </row>
    <row r="289" spans="1:31" ht="24.8" customHeight="1" thickBot="1" x14ac:dyDescent="0.4">
      <c r="A289" s="294"/>
      <c r="B289" s="42"/>
      <c r="C289" s="74" t="s">
        <v>199</v>
      </c>
      <c r="D289" s="81">
        <f t="shared" ref="D289:L289" si="92">IF(((D287="")*AND(D288="")),"",(D287-D288)*2)</f>
        <v>6814.68</v>
      </c>
      <c r="E289" s="81">
        <f t="shared" si="92"/>
        <v>6751.1999999999989</v>
      </c>
      <c r="F289" s="81">
        <f t="shared" si="92"/>
        <v>6766.84</v>
      </c>
      <c r="G289" s="81">
        <f t="shared" si="92"/>
        <v>6794.84</v>
      </c>
      <c r="H289" s="81">
        <f t="shared" si="92"/>
        <v>6820.6200000000008</v>
      </c>
      <c r="I289" s="81">
        <f t="shared" si="92"/>
        <v>6950.56</v>
      </c>
      <c r="J289" s="81">
        <f t="shared" si="92"/>
        <v>6765.7</v>
      </c>
      <c r="K289" s="81">
        <f t="shared" si="92"/>
        <v>6692.7599999999993</v>
      </c>
      <c r="L289" s="81">
        <f t="shared" si="92"/>
        <v>6675.4</v>
      </c>
      <c r="M289" s="81"/>
      <c r="N289" s="81"/>
      <c r="O289" s="81"/>
      <c r="P289" s="81" t="str">
        <f>IF(((P287="")*AND(P288="")),"",(P287-P288)*2)</f>
        <v/>
      </c>
      <c r="Q289" s="42"/>
      <c r="R289" s="42"/>
      <c r="S289" s="42"/>
      <c r="T289" s="42"/>
      <c r="U289" s="42"/>
      <c r="V289" s="230"/>
      <c r="W289" s="42"/>
      <c r="X289" s="97"/>
      <c r="Y289" s="97"/>
    </row>
    <row r="290" spans="1:31" ht="14.95" customHeight="1" x14ac:dyDescent="0.3">
      <c r="A290" s="92">
        <v>42976</v>
      </c>
      <c r="B290" s="55" t="s">
        <v>202</v>
      </c>
      <c r="C290" s="59" t="s">
        <v>201</v>
      </c>
      <c r="D290" s="102">
        <v>7006.63</v>
      </c>
      <c r="E290" s="102">
        <v>7106.7</v>
      </c>
      <c r="F290" s="102">
        <v>6927.69</v>
      </c>
      <c r="G290" s="102">
        <v>6993.31</v>
      </c>
      <c r="H290" s="102">
        <v>7021.38</v>
      </c>
      <c r="I290" s="102">
        <v>7038.2</v>
      </c>
      <c r="J290" s="102">
        <v>7018.66</v>
      </c>
      <c r="K290" s="102">
        <v>6926.81</v>
      </c>
      <c r="L290" s="102">
        <v>6944.6</v>
      </c>
      <c r="M290" s="102">
        <v>7017.62</v>
      </c>
      <c r="N290" s="102">
        <v>7097.23</v>
      </c>
      <c r="O290" s="102">
        <v>6987.7</v>
      </c>
      <c r="P290" s="102">
        <v>7028.06</v>
      </c>
      <c r="Q290" s="48">
        <f>IF((L291=""),"",MAX(D292:P292))</f>
        <v>5405.37</v>
      </c>
      <c r="R290" s="55">
        <f>IF(L291="","",MIN(D292:L292))</f>
        <v>5291.23</v>
      </c>
      <c r="S290" s="51">
        <f>IF((P292=""),"",AVERAGE(D292:P292))</f>
        <v>5354.4192307692301</v>
      </c>
      <c r="T290" s="51">
        <f>IF((L291=""),"",(Q290-R290)/(Q290+R290)*100)</f>
        <v>1.067068040311878</v>
      </c>
      <c r="U290" s="55">
        <f>STDEV(D292:P292)</f>
        <v>37.452644646615319</v>
      </c>
      <c r="V290" s="231" t="str">
        <f>IF(P291="","",IF(T290&lt;2.7,IF(S290&gt;5150,IF(S290&lt;5600,"Pass","Fail"),"Fail"),"Fail"))</f>
        <v>Pass</v>
      </c>
      <c r="W290" s="55">
        <v>1428</v>
      </c>
      <c r="X290" s="95"/>
      <c r="Y290" s="95"/>
      <c r="Z290" s="251">
        <v>4470</v>
      </c>
      <c r="AA290" s="251">
        <v>6020</v>
      </c>
      <c r="AB290" s="251">
        <v>5150</v>
      </c>
      <c r="AC290" s="251">
        <v>5600</v>
      </c>
      <c r="AD290" s="67">
        <v>10</v>
      </c>
      <c r="AE290" s="252">
        <v>2.7</v>
      </c>
    </row>
    <row r="291" spans="1:31" ht="14.95" customHeight="1" x14ac:dyDescent="0.35">
      <c r="A291" s="294"/>
      <c r="B291" s="46"/>
      <c r="C291" s="54" t="s">
        <v>200</v>
      </c>
      <c r="D291" s="102">
        <v>1683.84</v>
      </c>
      <c r="E291" s="102">
        <v>1739.72</v>
      </c>
      <c r="F291" s="102">
        <v>1636.46</v>
      </c>
      <c r="G291" s="102">
        <v>1654.29</v>
      </c>
      <c r="H291" s="102">
        <v>1629.66</v>
      </c>
      <c r="I291" s="102">
        <v>1632.83</v>
      </c>
      <c r="J291" s="102">
        <v>1662.64</v>
      </c>
      <c r="K291" s="102">
        <v>1549.7</v>
      </c>
      <c r="L291" s="102">
        <v>1651.88</v>
      </c>
      <c r="M291" s="102">
        <v>1628.59</v>
      </c>
      <c r="N291" s="102">
        <v>1709.66</v>
      </c>
      <c r="O291" s="102">
        <v>1661.31</v>
      </c>
      <c r="P291" s="102">
        <v>1666.56</v>
      </c>
      <c r="Q291" s="46"/>
      <c r="R291" s="46"/>
      <c r="S291" s="46"/>
      <c r="T291" s="46"/>
      <c r="U291" s="46"/>
      <c r="V291" s="229"/>
      <c r="W291" s="46"/>
      <c r="X291" s="98"/>
      <c r="Y291" s="98"/>
      <c r="Z291" s="251"/>
      <c r="AA291" s="251"/>
      <c r="AB291" s="251"/>
      <c r="AC291" s="251"/>
      <c r="AD291" s="67"/>
      <c r="AE291" s="252"/>
    </row>
    <row r="292" spans="1:31" ht="23.95" customHeight="1" x14ac:dyDescent="0.35">
      <c r="A292" s="294"/>
      <c r="B292" s="78"/>
      <c r="C292" s="54" t="s">
        <v>199</v>
      </c>
      <c r="D292" s="93">
        <f t="shared" ref="D292:P292" si="93">IF(((D290="")*AND(D291="")),"",(D290-D291))</f>
        <v>5322.79</v>
      </c>
      <c r="E292" s="93">
        <f t="shared" si="93"/>
        <v>5366.98</v>
      </c>
      <c r="F292" s="93">
        <f t="shared" si="93"/>
        <v>5291.23</v>
      </c>
      <c r="G292" s="93">
        <f t="shared" si="93"/>
        <v>5339.02</v>
      </c>
      <c r="H292" s="93">
        <f t="shared" si="93"/>
        <v>5391.72</v>
      </c>
      <c r="I292" s="93">
        <f t="shared" si="93"/>
        <v>5405.37</v>
      </c>
      <c r="J292" s="93">
        <f t="shared" si="93"/>
        <v>5356.0199999999995</v>
      </c>
      <c r="K292" s="93">
        <f t="shared" si="93"/>
        <v>5377.1100000000006</v>
      </c>
      <c r="L292" s="93">
        <f t="shared" si="93"/>
        <v>5292.72</v>
      </c>
      <c r="M292" s="93">
        <f t="shared" si="93"/>
        <v>5389.03</v>
      </c>
      <c r="N292" s="93">
        <f t="shared" si="93"/>
        <v>5387.57</v>
      </c>
      <c r="O292" s="93">
        <f t="shared" si="93"/>
        <v>5326.3899999999994</v>
      </c>
      <c r="P292" s="93">
        <f t="shared" si="93"/>
        <v>5361.5</v>
      </c>
      <c r="Q292" s="78"/>
      <c r="R292" s="78"/>
      <c r="S292" s="78"/>
      <c r="T292" s="46"/>
      <c r="U292" s="78"/>
      <c r="V292" s="232"/>
      <c r="W292" s="78"/>
      <c r="X292" s="98"/>
      <c r="Y292" s="98"/>
      <c r="Z292" s="251"/>
      <c r="AA292" s="251"/>
      <c r="AB292" s="251"/>
      <c r="AC292" s="251"/>
      <c r="AD292" s="67"/>
      <c r="AE292" s="252"/>
    </row>
    <row r="293" spans="1:31" ht="14.4" customHeight="1" x14ac:dyDescent="0.3">
      <c r="A293" s="92">
        <v>42976</v>
      </c>
      <c r="B293" s="48" t="s">
        <v>204</v>
      </c>
      <c r="C293" s="54" t="s">
        <v>201</v>
      </c>
      <c r="D293" s="101">
        <v>5909.46</v>
      </c>
      <c r="E293" s="101">
        <v>6033.06</v>
      </c>
      <c r="F293" s="101">
        <v>6040.4</v>
      </c>
      <c r="G293" s="101">
        <v>5988.4</v>
      </c>
      <c r="H293" s="101">
        <v>5901.61</v>
      </c>
      <c r="I293" s="101">
        <v>5963.41</v>
      </c>
      <c r="J293" s="101">
        <v>5993.63</v>
      </c>
      <c r="K293" s="101">
        <v>6038.61</v>
      </c>
      <c r="L293" s="101">
        <v>5847.22</v>
      </c>
      <c r="M293" s="53"/>
      <c r="N293" s="53"/>
      <c r="O293" s="53"/>
      <c r="P293" s="53"/>
      <c r="Q293" s="48">
        <f>IF((L294=""),"",MAX(D295:L295))</f>
        <v>7132.2</v>
      </c>
      <c r="R293" s="48">
        <f>IF(L294="","",MIN(D295:L295))</f>
        <v>6606.3600000000006</v>
      </c>
      <c r="S293" s="75">
        <f>IF((L295=""),"",AVERAGE(D295:L295))</f>
        <v>6808.1177777777775</v>
      </c>
      <c r="T293" s="50">
        <f>IF((L294=""),"",(Q293-R293)/(Q293+R293)*100)</f>
        <v>3.8274753685975762</v>
      </c>
      <c r="U293" s="48">
        <f>STDEV(D295:P295)</f>
        <v>164.59477496094578</v>
      </c>
      <c r="V293" s="228" t="str">
        <f>IF(L294="","",IF(T293&lt;7.3,IF(S293&gt;5700,IF(S293&lt;7200,"Pass","Fail"),"Fail"),"Fail"))</f>
        <v>Pass</v>
      </c>
      <c r="W293" s="46">
        <v>1428</v>
      </c>
      <c r="X293" s="98"/>
      <c r="Y293" s="98"/>
      <c r="Z293" s="37">
        <v>4955</v>
      </c>
      <c r="AA293" s="37">
        <v>9645</v>
      </c>
      <c r="AB293" s="37">
        <v>5100</v>
      </c>
      <c r="AC293" s="37">
        <v>8300</v>
      </c>
      <c r="AD293" s="67">
        <v>10</v>
      </c>
      <c r="AE293" s="67">
        <v>9.8000000000000007</v>
      </c>
    </row>
    <row r="294" spans="1:31" ht="14.95" customHeight="1" x14ac:dyDescent="0.35">
      <c r="A294" s="294"/>
      <c r="B294" s="46"/>
      <c r="C294" s="54" t="s">
        <v>200</v>
      </c>
      <c r="D294" s="100">
        <v>2520.85</v>
      </c>
      <c r="E294" s="100">
        <v>2663.89</v>
      </c>
      <c r="F294" s="100">
        <v>2664.92</v>
      </c>
      <c r="G294" s="100">
        <v>2576.83</v>
      </c>
      <c r="H294" s="100">
        <v>2397.65</v>
      </c>
      <c r="I294" s="100">
        <v>2397.31</v>
      </c>
      <c r="J294" s="100">
        <v>2607.75</v>
      </c>
      <c r="K294" s="100">
        <v>2706.03</v>
      </c>
      <c r="L294" s="100">
        <v>2544.04</v>
      </c>
      <c r="M294" s="53"/>
      <c r="N294" s="53"/>
      <c r="O294" s="53"/>
      <c r="P294" s="53"/>
      <c r="Q294" s="46"/>
      <c r="R294" s="46"/>
      <c r="S294" s="46"/>
      <c r="T294" s="46"/>
      <c r="U294" s="46"/>
      <c r="V294" s="229"/>
      <c r="W294" s="46"/>
      <c r="X294" s="98"/>
      <c r="Y294" s="98"/>
    </row>
    <row r="295" spans="1:31" ht="24.8" customHeight="1" thickBot="1" x14ac:dyDescent="0.4">
      <c r="A295" s="294"/>
      <c r="B295" s="42"/>
      <c r="C295" s="74" t="s">
        <v>199</v>
      </c>
      <c r="D295" s="81">
        <f t="shared" ref="D295:L295" si="94">IF(((D293="")*AND(D294="")),"",(D293-D294)*2)</f>
        <v>6777.22</v>
      </c>
      <c r="E295" s="81">
        <f t="shared" si="94"/>
        <v>6738.3400000000011</v>
      </c>
      <c r="F295" s="81">
        <f t="shared" si="94"/>
        <v>6750.9599999999991</v>
      </c>
      <c r="G295" s="81">
        <f t="shared" si="94"/>
        <v>6823.1399999999994</v>
      </c>
      <c r="H295" s="81">
        <f t="shared" si="94"/>
        <v>7007.9199999999992</v>
      </c>
      <c r="I295" s="81">
        <f t="shared" si="94"/>
        <v>7132.2</v>
      </c>
      <c r="J295" s="81">
        <f t="shared" si="94"/>
        <v>6771.76</v>
      </c>
      <c r="K295" s="81">
        <f t="shared" si="94"/>
        <v>6665.1599999999989</v>
      </c>
      <c r="L295" s="81">
        <f t="shared" si="94"/>
        <v>6606.3600000000006</v>
      </c>
      <c r="M295" s="81"/>
      <c r="N295" s="81"/>
      <c r="O295" s="81"/>
      <c r="P295" s="81" t="str">
        <f>IF(((P293="")*AND(P294="")),"",(P293-P294)*2)</f>
        <v/>
      </c>
      <c r="Q295" s="42"/>
      <c r="R295" s="42"/>
      <c r="S295" s="42"/>
      <c r="T295" s="42"/>
      <c r="U295" s="42"/>
      <c r="V295" s="230"/>
      <c r="W295" s="42"/>
      <c r="X295" s="97"/>
      <c r="Y295" s="97"/>
    </row>
    <row r="296" spans="1:31" ht="14.95" customHeight="1" x14ac:dyDescent="0.3">
      <c r="A296" s="92">
        <v>42981</v>
      </c>
      <c r="B296" s="55" t="s">
        <v>202</v>
      </c>
      <c r="C296" s="59" t="s">
        <v>201</v>
      </c>
      <c r="D296" s="99">
        <v>6840</v>
      </c>
      <c r="E296" s="99">
        <v>6932</v>
      </c>
      <c r="F296" s="99">
        <v>6776</v>
      </c>
      <c r="G296" s="99">
        <v>6861</v>
      </c>
      <c r="H296" s="99">
        <v>6846</v>
      </c>
      <c r="I296" s="99">
        <v>6887</v>
      </c>
      <c r="J296" s="99">
        <v>6882</v>
      </c>
      <c r="K296" s="99">
        <v>6814</v>
      </c>
      <c r="L296" s="99">
        <v>6793</v>
      </c>
      <c r="M296" s="99">
        <v>6888</v>
      </c>
      <c r="N296" s="99">
        <v>6953</v>
      </c>
      <c r="O296" s="99">
        <v>6845</v>
      </c>
      <c r="P296" s="99">
        <v>6869</v>
      </c>
      <c r="Q296" s="48">
        <f>IF((L297=""),"",MAX(D298:P298))</f>
        <v>5440</v>
      </c>
      <c r="R296" s="55">
        <f>IF(L297="","",MIN(D298:L298))</f>
        <v>5368</v>
      </c>
      <c r="S296" s="51">
        <f>IF((P298=""),"",AVERAGE(D298:P298))</f>
        <v>5404.1538461538457</v>
      </c>
      <c r="T296" s="51">
        <f>IF((L297=""),"",(Q296-R296)/(Q296+R296)*100)</f>
        <v>0.66617320503330868</v>
      </c>
      <c r="U296" s="55">
        <f>STDEV(D298:P298)</f>
        <v>24.501177365744944</v>
      </c>
      <c r="V296" s="231" t="str">
        <f>IF(P297="","",IF(T296&lt;2.7,IF(S296&gt;5150,IF(S296&lt;5600,"Pass","Fail"),"Fail"),"Fail"))</f>
        <v>Pass</v>
      </c>
      <c r="W296" s="55">
        <v>1159</v>
      </c>
      <c r="X296" s="95" t="s">
        <v>238</v>
      </c>
      <c r="Y296" s="95"/>
      <c r="Z296" s="251">
        <v>4470</v>
      </c>
      <c r="AA296" s="251">
        <v>6020</v>
      </c>
      <c r="AB296" s="251">
        <v>5150</v>
      </c>
      <c r="AC296" s="251">
        <v>5600</v>
      </c>
      <c r="AD296" s="67">
        <v>10</v>
      </c>
      <c r="AE296" s="252">
        <v>2.7</v>
      </c>
    </row>
    <row r="297" spans="1:31" ht="14.95" customHeight="1" x14ac:dyDescent="0.35">
      <c r="A297" s="294"/>
      <c r="B297" s="46"/>
      <c r="C297" s="54" t="s">
        <v>200</v>
      </c>
      <c r="D297" s="99">
        <v>1458</v>
      </c>
      <c r="E297" s="99">
        <v>1540</v>
      </c>
      <c r="F297" s="99">
        <v>1407</v>
      </c>
      <c r="G297" s="99">
        <v>1450</v>
      </c>
      <c r="H297" s="99">
        <v>1440</v>
      </c>
      <c r="I297" s="99">
        <v>1457</v>
      </c>
      <c r="J297" s="99">
        <v>1453</v>
      </c>
      <c r="K297" s="99">
        <v>1378</v>
      </c>
      <c r="L297" s="99">
        <v>1425</v>
      </c>
      <c r="M297" s="99">
        <v>1448</v>
      </c>
      <c r="N297" s="99">
        <v>1547</v>
      </c>
      <c r="O297" s="99">
        <v>1460</v>
      </c>
      <c r="P297" s="99">
        <v>1469</v>
      </c>
      <c r="Q297" s="46"/>
      <c r="R297" s="46"/>
      <c r="S297" s="46"/>
      <c r="T297" s="46"/>
      <c r="U297" s="46"/>
      <c r="V297" s="229"/>
      <c r="W297" s="46"/>
      <c r="X297" s="98"/>
      <c r="Y297" s="98"/>
      <c r="Z297" s="251"/>
      <c r="AA297" s="251"/>
      <c r="AB297" s="251"/>
      <c r="AC297" s="251"/>
      <c r="AD297" s="67"/>
      <c r="AE297" s="252"/>
    </row>
    <row r="298" spans="1:31" ht="23.95" customHeight="1" x14ac:dyDescent="0.35">
      <c r="A298" s="294"/>
      <c r="B298" s="78"/>
      <c r="C298" s="54" t="s">
        <v>199</v>
      </c>
      <c r="D298" s="93">
        <f t="shared" ref="D298:P298" si="95">IF(((D296="")*AND(D297="")),"",(D296-D297))</f>
        <v>5382</v>
      </c>
      <c r="E298" s="93">
        <f t="shared" si="95"/>
        <v>5392</v>
      </c>
      <c r="F298" s="93">
        <f t="shared" si="95"/>
        <v>5369</v>
      </c>
      <c r="G298" s="93">
        <f t="shared" si="95"/>
        <v>5411</v>
      </c>
      <c r="H298" s="93">
        <f t="shared" si="95"/>
        <v>5406</v>
      </c>
      <c r="I298" s="93">
        <f t="shared" si="95"/>
        <v>5430</v>
      </c>
      <c r="J298" s="93">
        <f t="shared" si="95"/>
        <v>5429</v>
      </c>
      <c r="K298" s="93">
        <f t="shared" si="95"/>
        <v>5436</v>
      </c>
      <c r="L298" s="93">
        <f t="shared" si="95"/>
        <v>5368</v>
      </c>
      <c r="M298" s="93">
        <f t="shared" si="95"/>
        <v>5440</v>
      </c>
      <c r="N298" s="93">
        <f t="shared" si="95"/>
        <v>5406</v>
      </c>
      <c r="O298" s="93">
        <f t="shared" si="95"/>
        <v>5385</v>
      </c>
      <c r="P298" s="93">
        <f t="shared" si="95"/>
        <v>5400</v>
      </c>
      <c r="Q298" s="78"/>
      <c r="R298" s="78"/>
      <c r="S298" s="78"/>
      <c r="T298" s="46"/>
      <c r="U298" s="78"/>
      <c r="V298" s="232"/>
      <c r="W298" s="78"/>
      <c r="X298" s="98"/>
      <c r="Y298" s="98"/>
      <c r="Z298" s="251"/>
      <c r="AA298" s="251"/>
      <c r="AB298" s="251"/>
      <c r="AC298" s="251"/>
      <c r="AD298" s="67"/>
      <c r="AE298" s="252"/>
    </row>
    <row r="299" spans="1:31" ht="12.75" customHeight="1" x14ac:dyDescent="0.25">
      <c r="A299" s="92">
        <v>42981</v>
      </c>
      <c r="B299" s="48" t="s">
        <v>204</v>
      </c>
      <c r="C299" s="54" t="s">
        <v>201</v>
      </c>
      <c r="D299" s="35">
        <v>6131</v>
      </c>
      <c r="E299" s="35">
        <v>6216</v>
      </c>
      <c r="F299" s="35">
        <v>6213</v>
      </c>
      <c r="G299" s="35">
        <v>6165</v>
      </c>
      <c r="H299" s="35">
        <v>6003</v>
      </c>
      <c r="I299" s="35">
        <v>6064</v>
      </c>
      <c r="J299" s="35">
        <v>6196</v>
      </c>
      <c r="K299" s="35">
        <v>6138</v>
      </c>
      <c r="L299" s="35">
        <v>6011</v>
      </c>
      <c r="M299" s="53"/>
      <c r="N299" s="53"/>
      <c r="O299" s="53"/>
      <c r="P299" s="53"/>
      <c r="Q299" s="48">
        <f>IF((L300=""),"",MAX(D301:L301))</f>
        <v>6848</v>
      </c>
      <c r="R299" s="48">
        <f>IF(L300="","",MIN(D301:L301))</f>
        <v>6752</v>
      </c>
      <c r="S299" s="75">
        <f>IF((L301=""),"",AVERAGE(D301:L301))</f>
        <v>6807.5555555555557</v>
      </c>
      <c r="T299" s="50">
        <f>IF((L300=""),"",(Q299-R299)/(Q299+R299)*100)</f>
        <v>0.70588235294117652</v>
      </c>
      <c r="U299" s="48">
        <f>STDEV(D301:P301)</f>
        <v>35.408724599705337</v>
      </c>
      <c r="V299" s="228" t="str">
        <f>IF(L300="","",IF(T299&lt;7.3,IF(S299&gt;5700,IF(S299&lt;7200,"Pass","Fail"),"Fail"),"Fail"))</f>
        <v>Pass</v>
      </c>
      <c r="W299" s="46">
        <v>1159</v>
      </c>
      <c r="X299" s="98" t="s">
        <v>238</v>
      </c>
      <c r="Y299" s="98"/>
      <c r="Z299" s="37">
        <v>4955</v>
      </c>
      <c r="AA299" s="37">
        <v>9645</v>
      </c>
      <c r="AB299" s="37">
        <v>5100</v>
      </c>
      <c r="AC299" s="37">
        <v>8300</v>
      </c>
      <c r="AD299" s="67">
        <v>10</v>
      </c>
      <c r="AE299" s="67">
        <v>9.8000000000000007</v>
      </c>
    </row>
    <row r="300" spans="1:31" ht="12.75" customHeight="1" x14ac:dyDescent="0.35">
      <c r="A300" s="294"/>
      <c r="B300" s="46"/>
      <c r="C300" s="54" t="s">
        <v>200</v>
      </c>
      <c r="D300" s="35">
        <v>2735</v>
      </c>
      <c r="E300" s="35">
        <v>2801</v>
      </c>
      <c r="F300" s="35">
        <v>2794</v>
      </c>
      <c r="G300" s="35">
        <v>2741</v>
      </c>
      <c r="H300" s="35">
        <v>2590</v>
      </c>
      <c r="I300" s="35">
        <v>2674</v>
      </c>
      <c r="J300" s="35">
        <v>2778</v>
      </c>
      <c r="K300" s="35">
        <v>2755</v>
      </c>
      <c r="L300" s="35">
        <v>2635</v>
      </c>
      <c r="M300" s="53"/>
      <c r="N300" s="53"/>
      <c r="O300" s="53"/>
      <c r="P300" s="53"/>
      <c r="Q300" s="46"/>
      <c r="R300" s="46"/>
      <c r="S300" s="46"/>
      <c r="T300" s="46"/>
      <c r="U300" s="46"/>
      <c r="V300" s="229"/>
      <c r="W300" s="46"/>
      <c r="X300" s="98"/>
      <c r="Y300" s="98"/>
    </row>
    <row r="301" spans="1:31" ht="24.8" customHeight="1" thickBot="1" x14ac:dyDescent="0.4">
      <c r="A301" s="294"/>
      <c r="B301" s="42"/>
      <c r="C301" s="74" t="s">
        <v>199</v>
      </c>
      <c r="D301" s="81">
        <f t="shared" ref="D301:L301" si="96">IF(((D299="")*AND(D300="")),"",(D299-D300)*2)</f>
        <v>6792</v>
      </c>
      <c r="E301" s="81">
        <f t="shared" si="96"/>
        <v>6830</v>
      </c>
      <c r="F301" s="81">
        <f t="shared" si="96"/>
        <v>6838</v>
      </c>
      <c r="G301" s="81">
        <f t="shared" si="96"/>
        <v>6848</v>
      </c>
      <c r="H301" s="81">
        <f t="shared" si="96"/>
        <v>6826</v>
      </c>
      <c r="I301" s="81">
        <f t="shared" si="96"/>
        <v>6780</v>
      </c>
      <c r="J301" s="81">
        <f t="shared" si="96"/>
        <v>6836</v>
      </c>
      <c r="K301" s="81">
        <f t="shared" si="96"/>
        <v>6766</v>
      </c>
      <c r="L301" s="81">
        <f t="shared" si="96"/>
        <v>6752</v>
      </c>
      <c r="M301" s="81"/>
      <c r="N301" s="81"/>
      <c r="O301" s="81"/>
      <c r="P301" s="81" t="str">
        <f>IF(((P299="")*AND(P300="")),"",(P299-P300)*2)</f>
        <v/>
      </c>
      <c r="Q301" s="42"/>
      <c r="R301" s="42"/>
      <c r="S301" s="42"/>
      <c r="T301" s="42"/>
      <c r="U301" s="42"/>
      <c r="V301" s="230"/>
      <c r="W301" s="42"/>
      <c r="X301" s="97"/>
      <c r="Y301" s="97"/>
    </row>
    <row r="302" spans="1:31" ht="12.75" customHeight="1" x14ac:dyDescent="0.25">
      <c r="A302" s="92">
        <v>42992</v>
      </c>
      <c r="B302" s="55" t="s">
        <v>202</v>
      </c>
      <c r="C302" s="59" t="s">
        <v>201</v>
      </c>
      <c r="D302" s="35">
        <v>6889.89</v>
      </c>
      <c r="E302" s="35">
        <v>6998.63</v>
      </c>
      <c r="F302" s="35">
        <v>6809.24</v>
      </c>
      <c r="G302" s="35">
        <v>6875.92</v>
      </c>
      <c r="H302" s="35">
        <v>6911.72</v>
      </c>
      <c r="I302" s="35">
        <v>6927.96</v>
      </c>
      <c r="J302" s="35">
        <v>6905.65</v>
      </c>
      <c r="K302" s="35">
        <v>6815.38</v>
      </c>
      <c r="L302" s="35">
        <v>6832.71</v>
      </c>
      <c r="M302" s="35">
        <v>6905.5</v>
      </c>
      <c r="N302" s="35">
        <v>6995.64</v>
      </c>
      <c r="O302" s="35">
        <v>6878.92</v>
      </c>
      <c r="P302" s="35">
        <v>6920.98</v>
      </c>
      <c r="Q302" s="48">
        <f>IF((L303=""),"",MAX(D304:P304))</f>
        <v>5381.23</v>
      </c>
      <c r="R302" s="55">
        <f>IF(L303="","",MIN(D304:L304))</f>
        <v>5271.74</v>
      </c>
      <c r="S302" s="51">
        <f>IF((P304=""),"",AVERAGE(D304:P304))</f>
        <v>5332.1046153846155</v>
      </c>
      <c r="T302" s="51">
        <f>IF((L303=""),"",(Q302-R302)/(Q302+R302)*100)</f>
        <v>1.0277884946639275</v>
      </c>
      <c r="U302" s="55">
        <f>STDEV(D304:P304)</f>
        <v>36.113131641039878</v>
      </c>
      <c r="V302" s="231" t="str">
        <f>IF(P303="","",IF(T302&lt;2.7,IF(S302&gt;5150,IF(S302&lt;5600,"Pass","Fail"),"Fail"),"Fail"))</f>
        <v>Pass</v>
      </c>
      <c r="W302" s="55">
        <v>121</v>
      </c>
      <c r="X302" s="95"/>
      <c r="Y302" s="95"/>
      <c r="Z302" s="251">
        <v>4470</v>
      </c>
      <c r="AA302" s="251">
        <v>6020</v>
      </c>
      <c r="AB302" s="251">
        <v>5150</v>
      </c>
      <c r="AC302" s="251">
        <v>5600</v>
      </c>
      <c r="AD302" s="67">
        <v>10</v>
      </c>
      <c r="AE302" s="252">
        <v>2.7</v>
      </c>
    </row>
    <row r="303" spans="1:31" ht="12.75" customHeight="1" x14ac:dyDescent="0.35">
      <c r="A303" s="294"/>
      <c r="B303" s="46"/>
      <c r="C303" s="54" t="s">
        <v>200</v>
      </c>
      <c r="D303" s="35">
        <v>1591.39</v>
      </c>
      <c r="E303" s="35">
        <v>1660.22</v>
      </c>
      <c r="F303" s="35">
        <v>1537.5</v>
      </c>
      <c r="G303" s="35">
        <v>1552.42</v>
      </c>
      <c r="H303" s="35">
        <v>1546.75</v>
      </c>
      <c r="I303" s="35">
        <v>1546.73</v>
      </c>
      <c r="J303" s="35">
        <v>1567.54</v>
      </c>
      <c r="K303" s="35">
        <v>1454.65</v>
      </c>
      <c r="L303" s="35">
        <v>1559.89</v>
      </c>
      <c r="M303" s="35">
        <v>1541.19</v>
      </c>
      <c r="N303" s="35">
        <v>1632.69</v>
      </c>
      <c r="O303" s="35">
        <v>1576.48</v>
      </c>
      <c r="P303" s="35">
        <v>1583.33</v>
      </c>
      <c r="Q303" s="46"/>
      <c r="R303" s="46"/>
      <c r="S303" s="46"/>
      <c r="T303" s="46"/>
      <c r="U303" s="46"/>
      <c r="V303" s="229"/>
      <c r="W303" s="46"/>
      <c r="X303" s="98"/>
      <c r="Y303" s="98"/>
      <c r="Z303" s="251"/>
      <c r="AA303" s="251"/>
      <c r="AB303" s="251"/>
      <c r="AC303" s="251"/>
      <c r="AD303" s="67"/>
      <c r="AE303" s="252"/>
    </row>
    <row r="304" spans="1:31" ht="23.95" customHeight="1" x14ac:dyDescent="0.35">
      <c r="A304" s="294"/>
      <c r="B304" s="78"/>
      <c r="C304" s="54" t="s">
        <v>199</v>
      </c>
      <c r="D304" s="93">
        <f t="shared" ref="D304:P304" si="97">IF(((D302="")*AND(D303="")),"",(D302-D303))</f>
        <v>5298.5</v>
      </c>
      <c r="E304" s="93">
        <f t="shared" si="97"/>
        <v>5338.41</v>
      </c>
      <c r="F304" s="93">
        <f t="shared" si="97"/>
        <v>5271.74</v>
      </c>
      <c r="G304" s="93">
        <f t="shared" si="97"/>
        <v>5323.5</v>
      </c>
      <c r="H304" s="93">
        <f t="shared" si="97"/>
        <v>5364.97</v>
      </c>
      <c r="I304" s="93">
        <f t="shared" si="97"/>
        <v>5381.23</v>
      </c>
      <c r="J304" s="93">
        <f t="shared" si="97"/>
        <v>5338.11</v>
      </c>
      <c r="K304" s="93">
        <f t="shared" si="97"/>
        <v>5360.73</v>
      </c>
      <c r="L304" s="93">
        <f t="shared" si="97"/>
        <v>5272.82</v>
      </c>
      <c r="M304" s="93">
        <f t="shared" si="97"/>
        <v>5364.3099999999995</v>
      </c>
      <c r="N304" s="93">
        <f t="shared" si="97"/>
        <v>5362.9500000000007</v>
      </c>
      <c r="O304" s="93">
        <f t="shared" si="97"/>
        <v>5302.4400000000005</v>
      </c>
      <c r="P304" s="93">
        <f t="shared" si="97"/>
        <v>5337.65</v>
      </c>
      <c r="Q304" s="78"/>
      <c r="R304" s="78"/>
      <c r="S304" s="78"/>
      <c r="T304" s="46"/>
      <c r="U304" s="78"/>
      <c r="V304" s="232"/>
      <c r="W304" s="78"/>
      <c r="X304" s="98"/>
      <c r="Y304" s="98"/>
      <c r="Z304" s="251"/>
      <c r="AA304" s="251"/>
      <c r="AB304" s="251"/>
      <c r="AC304" s="251"/>
      <c r="AD304" s="67"/>
      <c r="AE304" s="252"/>
    </row>
    <row r="305" spans="1:31" ht="12.75" customHeight="1" x14ac:dyDescent="0.25">
      <c r="A305" s="92">
        <v>42992</v>
      </c>
      <c r="B305" s="48" t="s">
        <v>204</v>
      </c>
      <c r="C305" s="54" t="s">
        <v>201</v>
      </c>
      <c r="D305" s="35">
        <v>5920.62</v>
      </c>
      <c r="E305" s="35">
        <v>6015.7</v>
      </c>
      <c r="F305" s="35">
        <v>6031.48</v>
      </c>
      <c r="G305" s="35">
        <v>5985.34</v>
      </c>
      <c r="H305" s="35">
        <v>5868.84</v>
      </c>
      <c r="I305" s="35">
        <v>5906.81</v>
      </c>
      <c r="J305" s="35">
        <v>5996.84</v>
      </c>
      <c r="K305" s="35">
        <v>6033.38</v>
      </c>
      <c r="L305" s="35">
        <v>5844.54</v>
      </c>
      <c r="M305" s="53"/>
      <c r="N305" s="53"/>
      <c r="O305" s="53"/>
      <c r="P305" s="53"/>
      <c r="Q305" s="48">
        <f>IF((L306=""),"",MAX(D307:L307))</f>
        <v>7081.6800000000012</v>
      </c>
      <c r="R305" s="48">
        <f>IF(L306="","",MIN(D307:L307))</f>
        <v>6699.26</v>
      </c>
      <c r="S305" s="75">
        <f>IF((L307=""),"",AVERAGE(D307:L307))</f>
        <v>6884.2177777777779</v>
      </c>
      <c r="T305" s="50">
        <f>IF((L306=""),"",(Q305-R305)/(Q305+R305)*100)</f>
        <v>2.7749921268070312</v>
      </c>
      <c r="U305" s="48">
        <f>STDEV(D307:P307)</f>
        <v>121.96681124160185</v>
      </c>
      <c r="V305" s="228" t="str">
        <f>IF(L306="","",IF(T305&lt;7.3,IF(S305&gt;5700,IF(S305&lt;7200,"Pass","Fail"),"Fail"),"Fail"))</f>
        <v>Pass</v>
      </c>
      <c r="W305" s="46">
        <v>121</v>
      </c>
      <c r="X305" s="98"/>
      <c r="Y305" s="98"/>
      <c r="Z305" s="37">
        <v>4955</v>
      </c>
      <c r="AA305" s="37">
        <v>9645</v>
      </c>
      <c r="AB305" s="37">
        <v>5100</v>
      </c>
      <c r="AC305" s="37">
        <v>8300</v>
      </c>
      <c r="AD305" s="67">
        <v>10</v>
      </c>
      <c r="AE305" s="67">
        <v>9.8000000000000007</v>
      </c>
    </row>
    <row r="306" spans="1:31" ht="12.75" customHeight="1" x14ac:dyDescent="0.35">
      <c r="A306" s="294"/>
      <c r="B306" s="46"/>
      <c r="C306" s="54" t="s">
        <v>200</v>
      </c>
      <c r="D306" s="35">
        <v>2503.5100000000002</v>
      </c>
      <c r="E306" s="35">
        <v>2597.1799999999998</v>
      </c>
      <c r="F306" s="35">
        <v>2614.3000000000002</v>
      </c>
      <c r="G306" s="35">
        <v>2516.83</v>
      </c>
      <c r="H306" s="35">
        <v>2358</v>
      </c>
      <c r="I306" s="35">
        <v>2365.9699999999998</v>
      </c>
      <c r="J306" s="35">
        <v>2524.85</v>
      </c>
      <c r="K306" s="35">
        <v>2649.02</v>
      </c>
      <c r="L306" s="35">
        <v>2494.91</v>
      </c>
      <c r="M306" s="53"/>
      <c r="N306" s="53"/>
      <c r="O306" s="53"/>
      <c r="P306" s="53"/>
      <c r="Q306" s="46"/>
      <c r="R306" s="46"/>
      <c r="S306" s="46"/>
      <c r="T306" s="46"/>
      <c r="U306" s="46"/>
      <c r="V306" s="229"/>
      <c r="W306" s="46"/>
      <c r="X306" s="98"/>
      <c r="Y306" s="98"/>
    </row>
    <row r="307" spans="1:31" ht="24.8" customHeight="1" thickBot="1" x14ac:dyDescent="0.4">
      <c r="A307" s="294"/>
      <c r="B307" s="42"/>
      <c r="C307" s="74" t="s">
        <v>199</v>
      </c>
      <c r="D307" s="81">
        <f t="shared" ref="D307:L307" si="98">IF(((D305="")*AND(D306="")),"",(D305-D306)*2)</f>
        <v>6834.2199999999993</v>
      </c>
      <c r="E307" s="81">
        <f t="shared" si="98"/>
        <v>6837.04</v>
      </c>
      <c r="F307" s="81">
        <f t="shared" si="98"/>
        <v>6834.3599999999988</v>
      </c>
      <c r="G307" s="81">
        <f t="shared" si="98"/>
        <v>6937.02</v>
      </c>
      <c r="H307" s="81">
        <f t="shared" si="98"/>
        <v>7021.68</v>
      </c>
      <c r="I307" s="81">
        <f t="shared" si="98"/>
        <v>7081.6800000000012</v>
      </c>
      <c r="J307" s="81">
        <f t="shared" si="98"/>
        <v>6943.9800000000005</v>
      </c>
      <c r="K307" s="81">
        <f t="shared" si="98"/>
        <v>6768.72</v>
      </c>
      <c r="L307" s="81">
        <f t="shared" si="98"/>
        <v>6699.26</v>
      </c>
      <c r="M307" s="81"/>
      <c r="N307" s="81"/>
      <c r="O307" s="81"/>
      <c r="P307" s="81" t="str">
        <f>IF(((P305="")*AND(P306="")),"",(P305-P306)*2)</f>
        <v/>
      </c>
      <c r="Q307" s="42"/>
      <c r="R307" s="42"/>
      <c r="S307" s="42"/>
      <c r="T307" s="42"/>
      <c r="U307" s="42"/>
      <c r="V307" s="230"/>
      <c r="W307" s="42"/>
      <c r="X307" s="97"/>
      <c r="Y307" s="97"/>
    </row>
    <row r="308" spans="1:31" ht="12.75" customHeight="1" x14ac:dyDescent="0.25">
      <c r="A308" s="92">
        <v>42997</v>
      </c>
      <c r="B308" s="55" t="s">
        <v>202</v>
      </c>
      <c r="C308" s="59" t="s">
        <v>201</v>
      </c>
      <c r="D308" s="35">
        <v>6901.43</v>
      </c>
      <c r="E308" s="35">
        <v>7013.36</v>
      </c>
      <c r="F308" s="35">
        <v>6821.11</v>
      </c>
      <c r="G308" s="35">
        <v>6885.82</v>
      </c>
      <c r="H308" s="35">
        <v>6924.45</v>
      </c>
      <c r="I308" s="35">
        <v>6939.25</v>
      </c>
      <c r="J308" s="35">
        <v>6915.07</v>
      </c>
      <c r="K308" s="35">
        <v>6825.8</v>
      </c>
      <c r="L308" s="35">
        <v>6844.1</v>
      </c>
      <c r="M308" s="35">
        <v>6914.61</v>
      </c>
      <c r="N308" s="35">
        <v>7008.46</v>
      </c>
      <c r="O308" s="35">
        <v>6887.24</v>
      </c>
      <c r="P308" s="35">
        <v>6929.85</v>
      </c>
      <c r="Q308" s="48">
        <f>IF((L309=""),"",MAX(D310:P310))</f>
        <v>5600.18</v>
      </c>
      <c r="R308" s="55">
        <f>IF(L309="","",MIN(D310:L310))</f>
        <v>5443.54</v>
      </c>
      <c r="S308" s="51">
        <f>IF((P310=""),"",AVERAGE(D310:P310))</f>
        <v>5510.4030769230758</v>
      </c>
      <c r="T308" s="51">
        <f>IF((L309=""),"",(Q308-R308)/(Q308+R308)*100)</f>
        <v>1.418362653163973</v>
      </c>
      <c r="U308" s="55">
        <f>STDEV(D310:P310)</f>
        <v>51.251403783151055</v>
      </c>
      <c r="V308" s="231" t="str">
        <f>IF(P309="","",IF(T308&lt;2.7,IF(S308&gt;5150,IF(S308&lt;5600,"Pass","Fail"),"Fail"),"Fail"))</f>
        <v>Pass</v>
      </c>
      <c r="W308" s="55">
        <v>1335</v>
      </c>
      <c r="X308" s="95"/>
      <c r="Y308" s="95" t="s">
        <v>237</v>
      </c>
      <c r="Z308" s="251">
        <v>4470</v>
      </c>
      <c r="AA308" s="251">
        <v>6020</v>
      </c>
      <c r="AB308" s="251">
        <v>5150</v>
      </c>
      <c r="AC308" s="251">
        <v>5600</v>
      </c>
      <c r="AD308" s="67">
        <v>10</v>
      </c>
      <c r="AE308" s="252">
        <v>2.7</v>
      </c>
    </row>
    <row r="309" spans="1:31" ht="12.75" customHeight="1" x14ac:dyDescent="0.35">
      <c r="A309" s="294"/>
      <c r="B309" s="46"/>
      <c r="C309" s="54" t="s">
        <v>200</v>
      </c>
      <c r="D309" s="35">
        <v>1457.89</v>
      </c>
      <c r="E309" s="35">
        <v>1538.23</v>
      </c>
      <c r="F309" s="35">
        <v>1373.59</v>
      </c>
      <c r="G309" s="35">
        <v>1361.74</v>
      </c>
      <c r="H309" s="35">
        <v>1440.65</v>
      </c>
      <c r="I309" s="35">
        <v>1390.35</v>
      </c>
      <c r="J309" s="35">
        <v>1361.92</v>
      </c>
      <c r="K309" s="35">
        <v>1225.6199999999999</v>
      </c>
      <c r="L309" s="35">
        <v>1380</v>
      </c>
      <c r="M309" s="35">
        <v>1319.89</v>
      </c>
      <c r="N309" s="35">
        <v>1511.04</v>
      </c>
      <c r="O309" s="35">
        <v>1385.01</v>
      </c>
      <c r="P309" s="35">
        <v>1429.38</v>
      </c>
      <c r="Q309" s="46"/>
      <c r="R309" s="46"/>
      <c r="S309" s="46"/>
      <c r="T309" s="46"/>
      <c r="U309" s="46"/>
      <c r="V309" s="229"/>
      <c r="W309" s="46"/>
      <c r="X309" s="98"/>
      <c r="Y309" s="98"/>
    </row>
    <row r="310" spans="1:31" ht="23.95" customHeight="1" x14ac:dyDescent="0.35">
      <c r="A310" s="294"/>
      <c r="B310" s="78"/>
      <c r="C310" s="54" t="s">
        <v>199</v>
      </c>
      <c r="D310" s="93">
        <f t="shared" ref="D310:P310" si="99">IF(((D308="")*AND(D309="")),"",(D308-D309))</f>
        <v>5443.54</v>
      </c>
      <c r="E310" s="93">
        <f t="shared" si="99"/>
        <v>5475.1299999999992</v>
      </c>
      <c r="F310" s="93">
        <f t="shared" si="99"/>
        <v>5447.5199999999995</v>
      </c>
      <c r="G310" s="93">
        <f t="shared" si="99"/>
        <v>5524.08</v>
      </c>
      <c r="H310" s="93">
        <f t="shared" si="99"/>
        <v>5483.7999999999993</v>
      </c>
      <c r="I310" s="93">
        <f t="shared" si="99"/>
        <v>5548.9</v>
      </c>
      <c r="J310" s="93">
        <f t="shared" si="99"/>
        <v>5553.15</v>
      </c>
      <c r="K310" s="93">
        <f t="shared" si="99"/>
        <v>5600.18</v>
      </c>
      <c r="L310" s="93">
        <f t="shared" si="99"/>
        <v>5464.1</v>
      </c>
      <c r="M310" s="93">
        <f t="shared" si="99"/>
        <v>5594.7199999999993</v>
      </c>
      <c r="N310" s="93">
        <f t="shared" si="99"/>
        <v>5497.42</v>
      </c>
      <c r="O310" s="93">
        <f t="shared" si="99"/>
        <v>5502.23</v>
      </c>
      <c r="P310" s="93">
        <f t="shared" si="99"/>
        <v>5500.47</v>
      </c>
      <c r="Q310" s="78"/>
      <c r="R310" s="78"/>
      <c r="S310" s="78"/>
      <c r="T310" s="46"/>
      <c r="U310" s="78"/>
      <c r="V310" s="232"/>
      <c r="W310" s="78"/>
      <c r="X310" s="98"/>
      <c r="Y310" s="98"/>
    </row>
    <row r="311" spans="1:31" ht="12.75" customHeight="1" x14ac:dyDescent="0.25">
      <c r="A311" s="92">
        <v>42997</v>
      </c>
      <c r="B311" s="48" t="s">
        <v>204</v>
      </c>
      <c r="C311" s="54" t="s">
        <v>201</v>
      </c>
      <c r="D311" s="35">
        <v>5925.2</v>
      </c>
      <c r="E311" s="35">
        <v>6018.44</v>
      </c>
      <c r="F311" s="35">
        <v>6033.8</v>
      </c>
      <c r="G311" s="35">
        <v>5981.09</v>
      </c>
      <c r="H311" s="35">
        <v>5883.19</v>
      </c>
      <c r="I311" s="35">
        <v>5906.07</v>
      </c>
      <c r="J311" s="35">
        <v>5994.76</v>
      </c>
      <c r="K311" s="35">
        <v>6033.46</v>
      </c>
      <c r="L311" s="35">
        <v>5853.86</v>
      </c>
      <c r="M311" s="53"/>
      <c r="N311" s="53"/>
      <c r="O311" s="53"/>
      <c r="P311" s="53"/>
      <c r="Q311" s="48">
        <f>IF((L312=""),"",MAX(D313:L313))</f>
        <v>7544.4599999999991</v>
      </c>
      <c r="R311" s="48">
        <f>IF(L312="","",MIN(D313:L313))</f>
        <v>7183.82</v>
      </c>
      <c r="S311" s="75">
        <f>IF((L313=""),"",AVERAGE(D313:L313))</f>
        <v>7410.6888888888898</v>
      </c>
      <c r="T311" s="50">
        <f>IF((L312=""),"",(Q311-R311)/(Q311+R311)*100)</f>
        <v>2.4486226497595065</v>
      </c>
      <c r="U311" s="48">
        <f>STDEV(D313:P313)</f>
        <v>107.41759730654519</v>
      </c>
      <c r="V311" s="228" t="str">
        <f>IF(L312="","",IF(T311&lt;7.3,IF(S311&gt;5700,IF(S311&lt;7200,"Pass","Fail"),"Fail"),"Fail"))</f>
        <v>Fail</v>
      </c>
      <c r="W311" s="46">
        <v>1335</v>
      </c>
      <c r="X311" s="98"/>
      <c r="Y311" s="98"/>
      <c r="Z311" s="37">
        <v>4955</v>
      </c>
      <c r="AA311" s="37">
        <v>9645</v>
      </c>
      <c r="AB311" s="37">
        <v>5100</v>
      </c>
      <c r="AC311" s="37">
        <v>8300</v>
      </c>
      <c r="AD311" s="67">
        <v>10</v>
      </c>
      <c r="AE311" s="67">
        <v>9.8000000000000007</v>
      </c>
    </row>
    <row r="312" spans="1:31" ht="12.75" customHeight="1" x14ac:dyDescent="0.35">
      <c r="A312" s="294"/>
      <c r="B312" s="46"/>
      <c r="C312" s="54" t="s">
        <v>200</v>
      </c>
      <c r="D312" s="35">
        <v>2273.13</v>
      </c>
      <c r="E312" s="35">
        <v>2309.7399999999998</v>
      </c>
      <c r="F312" s="35">
        <v>2296.8200000000002</v>
      </c>
      <c r="G312" s="35">
        <v>2262.2600000000002</v>
      </c>
      <c r="H312" s="35">
        <v>2138.37</v>
      </c>
      <c r="I312" s="35">
        <v>2133.84</v>
      </c>
      <c r="J312" s="35">
        <v>2277.35</v>
      </c>
      <c r="K312" s="35">
        <v>2328.31</v>
      </c>
      <c r="L312" s="35">
        <v>2261.9499999999998</v>
      </c>
      <c r="M312" s="53"/>
      <c r="N312" s="53"/>
      <c r="O312" s="53"/>
      <c r="P312" s="53"/>
      <c r="Q312" s="46"/>
      <c r="R312" s="46"/>
      <c r="S312" s="46"/>
      <c r="T312" s="46"/>
      <c r="U312" s="46"/>
      <c r="V312" s="229"/>
      <c r="W312" s="46"/>
      <c r="X312" s="98"/>
      <c r="Y312" s="98"/>
    </row>
    <row r="313" spans="1:31" ht="24.8" customHeight="1" thickBot="1" x14ac:dyDescent="0.4">
      <c r="A313" s="294"/>
      <c r="B313" s="42"/>
      <c r="C313" s="74" t="s">
        <v>199</v>
      </c>
      <c r="D313" s="81">
        <f t="shared" ref="D313:L313" si="100">IF(((D311="")*AND(D312="")),"",(D311-D312)*2)</f>
        <v>7304.1399999999994</v>
      </c>
      <c r="E313" s="81">
        <f t="shared" si="100"/>
        <v>7417.4</v>
      </c>
      <c r="F313" s="81">
        <f t="shared" si="100"/>
        <v>7473.96</v>
      </c>
      <c r="G313" s="81">
        <f t="shared" si="100"/>
        <v>7437.66</v>
      </c>
      <c r="H313" s="81">
        <f t="shared" si="100"/>
        <v>7489.6399999999994</v>
      </c>
      <c r="I313" s="81">
        <f t="shared" si="100"/>
        <v>7544.4599999999991</v>
      </c>
      <c r="J313" s="81">
        <f t="shared" si="100"/>
        <v>7434.8200000000006</v>
      </c>
      <c r="K313" s="81">
        <f t="shared" si="100"/>
        <v>7410.3</v>
      </c>
      <c r="L313" s="81">
        <f t="shared" si="100"/>
        <v>7183.82</v>
      </c>
      <c r="M313" s="81"/>
      <c r="N313" s="81"/>
      <c r="O313" s="81"/>
      <c r="P313" s="81" t="str">
        <f>IF(((P311="")*AND(P312="")),"",(P311-P312)*2)</f>
        <v/>
      </c>
      <c r="Q313" s="42"/>
      <c r="R313" s="42"/>
      <c r="S313" s="42"/>
      <c r="T313" s="42"/>
      <c r="U313" s="42"/>
      <c r="V313" s="230"/>
      <c r="W313" s="42"/>
      <c r="X313" s="97"/>
      <c r="Y313" s="97"/>
    </row>
    <row r="314" spans="1:31" ht="12.75" customHeight="1" x14ac:dyDescent="0.25">
      <c r="A314" s="92">
        <v>43004</v>
      </c>
      <c r="B314" s="55" t="s">
        <v>202</v>
      </c>
      <c r="C314" s="59" t="s">
        <v>201</v>
      </c>
      <c r="D314" s="35">
        <v>7104.3</v>
      </c>
      <c r="E314" s="35">
        <v>6927.41</v>
      </c>
      <c r="F314" s="35">
        <v>7005.04</v>
      </c>
      <c r="G314" s="35">
        <v>7005.65</v>
      </c>
      <c r="H314" s="35">
        <v>7036.35</v>
      </c>
      <c r="I314" s="35">
        <v>7038.74</v>
      </c>
      <c r="J314" s="35">
        <v>6952.08</v>
      </c>
      <c r="K314" s="35">
        <v>6955.51</v>
      </c>
      <c r="L314" s="35">
        <v>7035.63</v>
      </c>
      <c r="M314" s="35">
        <v>7095.15</v>
      </c>
      <c r="N314" s="35">
        <v>6998.97</v>
      </c>
      <c r="O314" s="35">
        <v>7021.05</v>
      </c>
      <c r="P314" s="35">
        <v>6929.85</v>
      </c>
      <c r="Q314" s="48">
        <f>IF((L315=""),"",MAX(D316:P316))</f>
        <v>5653.5999999999995</v>
      </c>
      <c r="R314" s="55">
        <f>IF(L315="","",MIN(D316:L316))</f>
        <v>5282.21</v>
      </c>
      <c r="S314" s="51">
        <f>IF((P316=""),"",AVERAGE(D316:P316))</f>
        <v>5502.7876923076929</v>
      </c>
      <c r="T314" s="51">
        <f>IF((L315=""),"",(Q314-R314)/(Q314+R314)*100)</f>
        <v>3.3960904587771679</v>
      </c>
      <c r="U314" s="55">
        <f>STDEV(D316:P316)</f>
        <v>100.33725539016277</v>
      </c>
      <c r="V314" s="231" t="str">
        <f>IF(P315="","",IF(T314&lt;2.7,IF(S314&gt;5150,IF(S314&lt;5600,"Pass","Fail"),"Fail"),"Fail"))</f>
        <v>Fail</v>
      </c>
      <c r="W314" s="55">
        <v>1519</v>
      </c>
      <c r="X314" s="95"/>
      <c r="Y314" s="95"/>
      <c r="Z314" s="251">
        <v>4470</v>
      </c>
      <c r="AA314" s="251">
        <v>6020</v>
      </c>
      <c r="AB314" s="251">
        <v>5150</v>
      </c>
      <c r="AC314" s="251">
        <v>5600</v>
      </c>
      <c r="AD314" s="67">
        <v>10</v>
      </c>
      <c r="AE314" s="252">
        <v>2.7</v>
      </c>
    </row>
    <row r="315" spans="1:31" ht="12.75" customHeight="1" x14ac:dyDescent="0.35">
      <c r="A315" s="294"/>
      <c r="B315" s="46"/>
      <c r="C315" s="54" t="s">
        <v>200</v>
      </c>
      <c r="D315" s="35">
        <v>1547.11</v>
      </c>
      <c r="E315" s="35">
        <v>1645.2</v>
      </c>
      <c r="F315" s="35">
        <v>1459.22</v>
      </c>
      <c r="G315" s="35">
        <v>1478.3</v>
      </c>
      <c r="H315" s="35">
        <v>1551.01</v>
      </c>
      <c r="I315" s="35">
        <v>1504.52</v>
      </c>
      <c r="J315" s="35">
        <v>1485.21</v>
      </c>
      <c r="K315" s="35">
        <v>1348.46</v>
      </c>
      <c r="L315" s="35">
        <v>1471.51</v>
      </c>
      <c r="M315" s="35">
        <v>1441.55</v>
      </c>
      <c r="N315" s="35">
        <v>1620.04</v>
      </c>
      <c r="O315" s="35">
        <v>1487.77</v>
      </c>
      <c r="P315" s="35">
        <v>1529.59</v>
      </c>
      <c r="Q315" s="46"/>
      <c r="R315" s="46"/>
      <c r="S315" s="46"/>
      <c r="T315" s="46"/>
      <c r="U315" s="46"/>
      <c r="V315" s="229"/>
      <c r="W315" s="46"/>
      <c r="X315" s="98"/>
      <c r="Y315" s="98"/>
    </row>
    <row r="316" spans="1:31" ht="23.95" customHeight="1" x14ac:dyDescent="0.35">
      <c r="A316" s="294"/>
      <c r="B316" s="78"/>
      <c r="C316" s="54" t="s">
        <v>199</v>
      </c>
      <c r="D316" s="93">
        <f t="shared" ref="D316:P316" si="101">IF(((D314="")*AND(D315="")),"",(D314-D315))</f>
        <v>5557.1900000000005</v>
      </c>
      <c r="E316" s="93">
        <f t="shared" si="101"/>
        <v>5282.21</v>
      </c>
      <c r="F316" s="93">
        <f t="shared" si="101"/>
        <v>5545.82</v>
      </c>
      <c r="G316" s="93">
        <f t="shared" si="101"/>
        <v>5527.3499999999995</v>
      </c>
      <c r="H316" s="93">
        <f t="shared" si="101"/>
        <v>5485.34</v>
      </c>
      <c r="I316" s="93">
        <f t="shared" si="101"/>
        <v>5534.2199999999993</v>
      </c>
      <c r="J316" s="93">
        <f t="shared" si="101"/>
        <v>5466.87</v>
      </c>
      <c r="K316" s="93">
        <f t="shared" si="101"/>
        <v>5607.05</v>
      </c>
      <c r="L316" s="93">
        <f t="shared" si="101"/>
        <v>5564.12</v>
      </c>
      <c r="M316" s="93">
        <f t="shared" si="101"/>
        <v>5653.5999999999995</v>
      </c>
      <c r="N316" s="93">
        <f t="shared" si="101"/>
        <v>5378.93</v>
      </c>
      <c r="O316" s="93">
        <f t="shared" si="101"/>
        <v>5533.2800000000007</v>
      </c>
      <c r="P316" s="93">
        <f t="shared" si="101"/>
        <v>5400.26</v>
      </c>
      <c r="Q316" s="78"/>
      <c r="R316" s="78"/>
      <c r="S316" s="78"/>
      <c r="T316" s="46"/>
      <c r="U316" s="78"/>
      <c r="V316" s="232"/>
      <c r="W316" s="78"/>
      <c r="X316" s="98"/>
      <c r="Y316" s="98"/>
    </row>
    <row r="317" spans="1:31" ht="12.75" customHeight="1" x14ac:dyDescent="0.25">
      <c r="A317" s="92">
        <v>43004</v>
      </c>
      <c r="B317" s="48" t="s">
        <v>204</v>
      </c>
      <c r="C317" s="54" t="s">
        <v>201</v>
      </c>
      <c r="D317" s="35">
        <v>5923.91</v>
      </c>
      <c r="E317" s="35">
        <v>6018.65</v>
      </c>
      <c r="F317" s="35">
        <v>6036.37</v>
      </c>
      <c r="G317" s="35">
        <v>5983.63</v>
      </c>
      <c r="H317" s="35">
        <v>5873.71</v>
      </c>
      <c r="I317" s="35">
        <v>5925.04</v>
      </c>
      <c r="J317" s="35">
        <v>5997.72</v>
      </c>
      <c r="K317" s="35">
        <v>6033.93</v>
      </c>
      <c r="L317" s="35">
        <v>5853.81</v>
      </c>
      <c r="M317" s="53"/>
      <c r="N317" s="53"/>
      <c r="O317" s="53"/>
      <c r="P317" s="53"/>
      <c r="Q317" s="48">
        <f>IF((L318=""),"",MAX(D319:L319))</f>
        <v>7449</v>
      </c>
      <c r="R317" s="48">
        <f>IF(L318="","",MIN(D319:L319))</f>
        <v>7120.5400000000009</v>
      </c>
      <c r="S317" s="75">
        <f>IF((L319=""),"",AVERAGE(D319:L319))</f>
        <v>7335.0399999999981</v>
      </c>
      <c r="T317" s="50">
        <f>IF((L318=""),"",(Q317-R317)/(Q317+R317)*100)</f>
        <v>2.2544294466400387</v>
      </c>
      <c r="U317" s="48">
        <f>STDEV(D319:P319)</f>
        <v>96.438274040963435</v>
      </c>
      <c r="V317" s="228" t="str">
        <f>IF(L318="","",IF(T317&lt;7.3,IF(S317&gt;5700,IF(S317&lt;7200,"Pass","Fail"),"Fail"),"Fail"))</f>
        <v>Fail</v>
      </c>
      <c r="W317" s="46">
        <v>1519</v>
      </c>
      <c r="X317" s="98"/>
      <c r="Y317" s="98"/>
      <c r="Z317" s="37">
        <v>4955</v>
      </c>
      <c r="AA317" s="37">
        <v>9645</v>
      </c>
      <c r="AB317" s="37">
        <v>5100</v>
      </c>
      <c r="AC317" s="37">
        <v>8300</v>
      </c>
      <c r="AD317" s="67">
        <v>10</v>
      </c>
      <c r="AE317" s="67">
        <v>9.8000000000000007</v>
      </c>
    </row>
    <row r="318" spans="1:31" ht="12.75" customHeight="1" x14ac:dyDescent="0.35">
      <c r="A318" s="294"/>
      <c r="B318" s="46"/>
      <c r="C318" s="54" t="s">
        <v>200</v>
      </c>
      <c r="D318" s="35">
        <v>2295.5500000000002</v>
      </c>
      <c r="E318" s="35">
        <v>2330.58</v>
      </c>
      <c r="F318" s="35">
        <v>2334.79</v>
      </c>
      <c r="G318" s="35">
        <v>2304.17</v>
      </c>
      <c r="H318" s="35">
        <v>2193.4499999999998</v>
      </c>
      <c r="I318" s="35">
        <v>2200.54</v>
      </c>
      <c r="J318" s="35">
        <v>2338.9</v>
      </c>
      <c r="K318" s="35">
        <v>2347.5700000000002</v>
      </c>
      <c r="L318" s="35">
        <v>2293.54</v>
      </c>
      <c r="M318" s="53"/>
      <c r="N318" s="53"/>
      <c r="O318" s="53"/>
      <c r="P318" s="53"/>
      <c r="Q318" s="46"/>
      <c r="R318" s="46"/>
      <c r="S318" s="46"/>
      <c r="T318" s="46"/>
      <c r="U318" s="46"/>
      <c r="V318" s="229"/>
      <c r="W318" s="46"/>
      <c r="X318" s="98"/>
      <c r="Y318" s="98"/>
    </row>
    <row r="319" spans="1:31" ht="24.8" customHeight="1" thickBot="1" x14ac:dyDescent="0.4">
      <c r="A319" s="294"/>
      <c r="B319" s="42"/>
      <c r="C319" s="74" t="s">
        <v>199</v>
      </c>
      <c r="D319" s="81">
        <f t="shared" ref="D319:L319" si="102">IF(((D317="")*AND(D318="")),"",(D317-D318)*2)</f>
        <v>7256.7199999999993</v>
      </c>
      <c r="E319" s="81">
        <f t="shared" si="102"/>
        <v>7376.1399999999994</v>
      </c>
      <c r="F319" s="81">
        <f t="shared" si="102"/>
        <v>7403.16</v>
      </c>
      <c r="G319" s="81">
        <f t="shared" si="102"/>
        <v>7358.92</v>
      </c>
      <c r="H319" s="81">
        <f t="shared" si="102"/>
        <v>7360.52</v>
      </c>
      <c r="I319" s="81">
        <f t="shared" si="102"/>
        <v>7449</v>
      </c>
      <c r="J319" s="81">
        <f t="shared" si="102"/>
        <v>7317.64</v>
      </c>
      <c r="K319" s="81">
        <f t="shared" si="102"/>
        <v>7372.72</v>
      </c>
      <c r="L319" s="81">
        <f t="shared" si="102"/>
        <v>7120.5400000000009</v>
      </c>
      <c r="M319" s="81"/>
      <c r="N319" s="81"/>
      <c r="O319" s="81"/>
      <c r="P319" s="81" t="str">
        <f>IF(((P317="")*AND(P318="")),"",(P317-P318)*2)</f>
        <v/>
      </c>
      <c r="Q319" s="42"/>
      <c r="R319" s="42"/>
      <c r="S319" s="42"/>
      <c r="T319" s="42"/>
      <c r="U319" s="42"/>
      <c r="V319" s="230"/>
      <c r="W319" s="42"/>
      <c r="X319" s="97"/>
      <c r="Y319" s="97"/>
    </row>
    <row r="320" spans="1:31" ht="12.75" customHeight="1" x14ac:dyDescent="0.25">
      <c r="A320" s="92">
        <v>43011</v>
      </c>
      <c r="B320" s="55" t="s">
        <v>202</v>
      </c>
      <c r="C320" s="59" t="s">
        <v>201</v>
      </c>
      <c r="D320" s="35">
        <v>7104.3</v>
      </c>
      <c r="E320" s="35">
        <v>6927.41</v>
      </c>
      <c r="F320" s="35">
        <v>7005.04</v>
      </c>
      <c r="G320" s="35">
        <v>7005.65</v>
      </c>
      <c r="H320" s="35">
        <v>7036.35</v>
      </c>
      <c r="I320" s="35">
        <v>7038.74</v>
      </c>
      <c r="J320" s="35">
        <v>6952.08</v>
      </c>
      <c r="K320" s="35">
        <v>6955.51</v>
      </c>
      <c r="L320" s="35">
        <v>7035.63</v>
      </c>
      <c r="M320" s="35">
        <v>7095.15</v>
      </c>
      <c r="N320" s="35">
        <v>6998.97</v>
      </c>
      <c r="O320" s="35">
        <v>7021.05</v>
      </c>
      <c r="P320" s="35">
        <v>6929.85</v>
      </c>
      <c r="Q320" s="48">
        <f>IF((L321=""),"",MAX(D322:P322))</f>
        <v>5653.5999999999995</v>
      </c>
      <c r="R320" s="55">
        <f>IF(L321="","",MIN(D322:L322))</f>
        <v>5282.21</v>
      </c>
      <c r="S320" s="51">
        <f>IF((P322=""),"",AVERAGE(D322:P322))</f>
        <v>5502.7876923076929</v>
      </c>
      <c r="T320" s="51">
        <f>IF((L321=""),"",(Q320-R320)/(Q320+R320)*100)</f>
        <v>3.3960904587771679</v>
      </c>
      <c r="U320" s="55">
        <f>STDEV(D322:P322)</f>
        <v>100.33725539016277</v>
      </c>
      <c r="V320" s="231" t="str">
        <f>IF(P321="","",IF(T320&lt;2.7,IF(S320&gt;5150,IF(S320&lt;5600,"Pass","Fail"),"Fail"),"Fail"))</f>
        <v>Fail</v>
      </c>
      <c r="W320" s="55">
        <v>1519</v>
      </c>
      <c r="X320" s="95"/>
      <c r="Y320" s="95"/>
      <c r="Z320" s="251">
        <v>4470</v>
      </c>
      <c r="AA320" s="251">
        <v>6020</v>
      </c>
      <c r="AB320" s="251">
        <v>5150</v>
      </c>
      <c r="AC320" s="251">
        <v>5600</v>
      </c>
      <c r="AD320" s="67">
        <v>10</v>
      </c>
      <c r="AE320" s="252">
        <v>2.7</v>
      </c>
    </row>
    <row r="321" spans="1:31" ht="12.75" customHeight="1" x14ac:dyDescent="0.35">
      <c r="A321" s="294"/>
      <c r="B321" s="46"/>
      <c r="C321" s="54" t="s">
        <v>200</v>
      </c>
      <c r="D321" s="35">
        <v>1547.11</v>
      </c>
      <c r="E321" s="35">
        <v>1645.2</v>
      </c>
      <c r="F321" s="35">
        <v>1459.22</v>
      </c>
      <c r="G321" s="35">
        <v>1478.3</v>
      </c>
      <c r="H321" s="35">
        <v>1551.01</v>
      </c>
      <c r="I321" s="35">
        <v>1504.52</v>
      </c>
      <c r="J321" s="35">
        <v>1485.21</v>
      </c>
      <c r="K321" s="35">
        <v>1348.46</v>
      </c>
      <c r="L321" s="35">
        <v>1471.51</v>
      </c>
      <c r="M321" s="35">
        <v>1441.55</v>
      </c>
      <c r="N321" s="35">
        <v>1620.04</v>
      </c>
      <c r="O321" s="35">
        <v>1487.77</v>
      </c>
      <c r="P321" s="35">
        <v>1529.59</v>
      </c>
      <c r="Q321" s="46"/>
      <c r="R321" s="46"/>
      <c r="S321" s="46"/>
      <c r="T321" s="46"/>
      <c r="U321" s="46"/>
      <c r="V321" s="229"/>
      <c r="W321" s="46"/>
      <c r="X321" s="98"/>
      <c r="Y321" s="98"/>
    </row>
    <row r="322" spans="1:31" ht="23.95" customHeight="1" x14ac:dyDescent="0.35">
      <c r="A322" s="294"/>
      <c r="B322" s="78"/>
      <c r="C322" s="54" t="s">
        <v>199</v>
      </c>
      <c r="D322" s="93">
        <f t="shared" ref="D322:P322" si="103">IF(((D320="")*AND(D321="")),"",(D320-D321))</f>
        <v>5557.1900000000005</v>
      </c>
      <c r="E322" s="93">
        <f t="shared" si="103"/>
        <v>5282.21</v>
      </c>
      <c r="F322" s="93">
        <f t="shared" si="103"/>
        <v>5545.82</v>
      </c>
      <c r="G322" s="93">
        <f t="shared" si="103"/>
        <v>5527.3499999999995</v>
      </c>
      <c r="H322" s="93">
        <f t="shared" si="103"/>
        <v>5485.34</v>
      </c>
      <c r="I322" s="93">
        <f t="shared" si="103"/>
        <v>5534.2199999999993</v>
      </c>
      <c r="J322" s="93">
        <f t="shared" si="103"/>
        <v>5466.87</v>
      </c>
      <c r="K322" s="93">
        <f t="shared" si="103"/>
        <v>5607.05</v>
      </c>
      <c r="L322" s="93">
        <f t="shared" si="103"/>
        <v>5564.12</v>
      </c>
      <c r="M322" s="93">
        <f t="shared" si="103"/>
        <v>5653.5999999999995</v>
      </c>
      <c r="N322" s="93">
        <f t="shared" si="103"/>
        <v>5378.93</v>
      </c>
      <c r="O322" s="93">
        <f t="shared" si="103"/>
        <v>5533.2800000000007</v>
      </c>
      <c r="P322" s="93">
        <f t="shared" si="103"/>
        <v>5400.26</v>
      </c>
      <c r="Q322" s="78"/>
      <c r="R322" s="78"/>
      <c r="S322" s="78"/>
      <c r="T322" s="46"/>
      <c r="U322" s="78"/>
      <c r="V322" s="232"/>
      <c r="W322" s="78"/>
      <c r="X322" s="98"/>
      <c r="Y322" s="98"/>
    </row>
    <row r="323" spans="1:31" ht="12.75" customHeight="1" x14ac:dyDescent="0.25">
      <c r="A323" s="92">
        <v>43011</v>
      </c>
      <c r="B323" s="48" t="s">
        <v>204</v>
      </c>
      <c r="C323" s="54" t="s">
        <v>201</v>
      </c>
      <c r="D323" s="35">
        <v>5923.91</v>
      </c>
      <c r="E323" s="35">
        <v>6018.65</v>
      </c>
      <c r="F323" s="35">
        <v>6036.37</v>
      </c>
      <c r="G323" s="35">
        <v>5983.63</v>
      </c>
      <c r="H323" s="35">
        <v>5873.71</v>
      </c>
      <c r="I323" s="35">
        <v>5925.04</v>
      </c>
      <c r="J323" s="35">
        <v>5997.72</v>
      </c>
      <c r="K323" s="35">
        <v>6033.93</v>
      </c>
      <c r="L323" s="35">
        <v>5853.81</v>
      </c>
      <c r="M323" s="53"/>
      <c r="N323" s="53"/>
      <c r="O323" s="53"/>
      <c r="P323" s="53"/>
      <c r="Q323" s="48">
        <f>IF((L324=""),"",MAX(D325:L325))</f>
        <v>7449</v>
      </c>
      <c r="R323" s="48">
        <f>IF(L324="","",MIN(D325:L325))</f>
        <v>7120.5400000000009</v>
      </c>
      <c r="S323" s="75">
        <f>IF((L325=""),"",AVERAGE(D325:L325))</f>
        <v>7335.0399999999981</v>
      </c>
      <c r="T323" s="50">
        <f>IF((L324=""),"",(Q323-R323)/(Q323+R323)*100)</f>
        <v>2.2544294466400387</v>
      </c>
      <c r="U323" s="48">
        <f>STDEV(D325:P325)</f>
        <v>96.438274040963435</v>
      </c>
      <c r="V323" s="228" t="str">
        <f>IF(L324="","",IF(T323&lt;7.3,IF(S323&gt;5700,IF(S323&lt;7200,"Pass","Fail"),"Fail"),"Fail"))</f>
        <v>Fail</v>
      </c>
      <c r="W323" s="46">
        <v>1519</v>
      </c>
      <c r="X323" s="98"/>
      <c r="Y323" s="98"/>
      <c r="Z323" s="37">
        <v>4955</v>
      </c>
      <c r="AA323" s="37">
        <v>9645</v>
      </c>
      <c r="AB323" s="37">
        <v>5100</v>
      </c>
      <c r="AC323" s="37">
        <v>8300</v>
      </c>
      <c r="AD323" s="67">
        <v>10</v>
      </c>
      <c r="AE323" s="67">
        <v>9.8000000000000007</v>
      </c>
    </row>
    <row r="324" spans="1:31" ht="12.75" customHeight="1" x14ac:dyDescent="0.35">
      <c r="A324" s="294"/>
      <c r="B324" s="46"/>
      <c r="C324" s="54" t="s">
        <v>200</v>
      </c>
      <c r="D324" s="35">
        <v>2295.5500000000002</v>
      </c>
      <c r="E324" s="35">
        <v>2330.58</v>
      </c>
      <c r="F324" s="35">
        <v>2334.79</v>
      </c>
      <c r="G324" s="35">
        <v>2304.17</v>
      </c>
      <c r="H324" s="35">
        <v>2193.4499999999998</v>
      </c>
      <c r="I324" s="35">
        <v>2200.54</v>
      </c>
      <c r="J324" s="35">
        <v>2338.9</v>
      </c>
      <c r="K324" s="35">
        <v>2347.5700000000002</v>
      </c>
      <c r="L324" s="35">
        <v>2293.54</v>
      </c>
      <c r="M324" s="53"/>
      <c r="N324" s="53"/>
      <c r="O324" s="53"/>
      <c r="P324" s="53"/>
      <c r="Q324" s="46"/>
      <c r="R324" s="46"/>
      <c r="S324" s="46"/>
      <c r="T324" s="46"/>
      <c r="U324" s="46"/>
      <c r="V324" s="229"/>
      <c r="W324" s="46"/>
      <c r="X324" s="98"/>
      <c r="Y324" s="98"/>
    </row>
    <row r="325" spans="1:31" ht="24.8" customHeight="1" thickBot="1" x14ac:dyDescent="0.4">
      <c r="A325" s="294"/>
      <c r="B325" s="42"/>
      <c r="C325" s="74" t="s">
        <v>199</v>
      </c>
      <c r="D325" s="81">
        <f t="shared" ref="D325:L325" si="104">IF(((D323="")*AND(D324="")),"",(D323-D324)*2)</f>
        <v>7256.7199999999993</v>
      </c>
      <c r="E325" s="81">
        <f t="shared" si="104"/>
        <v>7376.1399999999994</v>
      </c>
      <c r="F325" s="81">
        <f t="shared" si="104"/>
        <v>7403.16</v>
      </c>
      <c r="G325" s="81">
        <f t="shared" si="104"/>
        <v>7358.92</v>
      </c>
      <c r="H325" s="81">
        <f t="shared" si="104"/>
        <v>7360.52</v>
      </c>
      <c r="I325" s="81">
        <f t="shared" si="104"/>
        <v>7449</v>
      </c>
      <c r="J325" s="81">
        <f t="shared" si="104"/>
        <v>7317.64</v>
      </c>
      <c r="K325" s="81">
        <f t="shared" si="104"/>
        <v>7372.72</v>
      </c>
      <c r="L325" s="81">
        <f t="shared" si="104"/>
        <v>7120.5400000000009</v>
      </c>
      <c r="M325" s="81"/>
      <c r="N325" s="81"/>
      <c r="O325" s="81"/>
      <c r="P325" s="81" t="str">
        <f>IF(((P323="")*AND(P324="")),"",(P323-P324)*2)</f>
        <v/>
      </c>
      <c r="Q325" s="42"/>
      <c r="R325" s="42"/>
      <c r="S325" s="42"/>
      <c r="T325" s="42"/>
      <c r="U325" s="42"/>
      <c r="V325" s="230"/>
      <c r="W325" s="42"/>
      <c r="X325" s="97"/>
      <c r="Y325" s="97"/>
    </row>
    <row r="326" spans="1:31" ht="12.75" customHeight="1" x14ac:dyDescent="0.25">
      <c r="A326" s="92">
        <v>43011</v>
      </c>
      <c r="B326" s="55" t="s">
        <v>202</v>
      </c>
      <c r="C326" s="59" t="s">
        <v>201</v>
      </c>
      <c r="D326" s="35">
        <v>6924.02</v>
      </c>
      <c r="E326" s="35">
        <v>7027.28</v>
      </c>
      <c r="F326" s="35">
        <v>6844.88</v>
      </c>
      <c r="G326" s="35">
        <v>6922.23</v>
      </c>
      <c r="H326" s="35">
        <v>6930.34</v>
      </c>
      <c r="I326" s="35">
        <v>6957.23</v>
      </c>
      <c r="J326" s="35">
        <v>6955.46</v>
      </c>
      <c r="K326" s="35">
        <v>6865.94</v>
      </c>
      <c r="L326" s="35">
        <v>6871.02</v>
      </c>
      <c r="M326" s="35">
        <v>6952.35</v>
      </c>
      <c r="N326" s="35">
        <v>7017.69</v>
      </c>
      <c r="O326" s="35">
        <v>6915.32</v>
      </c>
      <c r="P326" s="35">
        <v>6946.63</v>
      </c>
      <c r="Q326" s="48">
        <f>IF((L327=""),"",MAX(D328:P328))</f>
        <v>5511.4900000000007</v>
      </c>
      <c r="R326" s="55">
        <f>IF(L327="","",MIN(D328:L328))</f>
        <v>5404.32</v>
      </c>
      <c r="S326" s="51">
        <f>IF((P328=""),"",AVERAGE(D328:P328))</f>
        <v>5466.7284615384615</v>
      </c>
      <c r="T326" s="51">
        <f>IF((L327=""),"",(Q326-R326)/(Q326+R326)*100)</f>
        <v>0.98178696771014673</v>
      </c>
      <c r="U326" s="55">
        <f>STDEV(D328:P328)</f>
        <v>35.411062265473305</v>
      </c>
      <c r="V326" s="231" t="str">
        <f>IF(P327="","",IF(T326&lt;2.7,IF(S326&gt;5150,IF(S326&lt;5600,"Pass","Fail"),"Fail"),"Fail"))</f>
        <v>Pass</v>
      </c>
      <c r="W326" s="55">
        <v>1428</v>
      </c>
      <c r="X326" s="95"/>
      <c r="Y326" s="95"/>
      <c r="Z326" s="251">
        <v>4470</v>
      </c>
      <c r="AA326" s="251">
        <v>6020</v>
      </c>
      <c r="AB326" s="251">
        <v>5150</v>
      </c>
      <c r="AC326" s="251">
        <v>5600</v>
      </c>
      <c r="AD326" s="67">
        <v>10</v>
      </c>
      <c r="AE326" s="252">
        <v>2.7</v>
      </c>
    </row>
    <row r="327" spans="1:31" ht="12.75" customHeight="1" x14ac:dyDescent="0.35">
      <c r="A327" s="294"/>
      <c r="B327" s="46"/>
      <c r="C327" s="54" t="s">
        <v>200</v>
      </c>
      <c r="D327" s="35">
        <v>1498.78</v>
      </c>
      <c r="E327" s="35">
        <v>1558.5</v>
      </c>
      <c r="F327" s="35">
        <v>1440.56</v>
      </c>
      <c r="G327" s="35">
        <v>1473.56</v>
      </c>
      <c r="H327" s="35">
        <v>1438.26</v>
      </c>
      <c r="I327" s="35">
        <v>1448.06</v>
      </c>
      <c r="J327" s="35">
        <v>1485.27</v>
      </c>
      <c r="K327" s="35">
        <v>1363.57</v>
      </c>
      <c r="L327" s="35">
        <v>1454.08</v>
      </c>
      <c r="M327" s="35">
        <v>1440.86</v>
      </c>
      <c r="N327" s="35">
        <v>1526.37</v>
      </c>
      <c r="O327" s="35">
        <v>1463.4</v>
      </c>
      <c r="P327" s="35">
        <v>1471.65</v>
      </c>
      <c r="Q327" s="46"/>
      <c r="R327" s="46"/>
      <c r="S327" s="46"/>
      <c r="T327" s="46"/>
      <c r="U327" s="46"/>
      <c r="V327" s="229"/>
      <c r="W327" s="46"/>
      <c r="X327" s="98"/>
      <c r="Y327" s="98"/>
    </row>
    <row r="328" spans="1:31" ht="23.95" customHeight="1" x14ac:dyDescent="0.35">
      <c r="A328" s="294"/>
      <c r="B328" s="78"/>
      <c r="C328" s="54" t="s">
        <v>199</v>
      </c>
      <c r="D328" s="93">
        <f t="shared" ref="D328:P328" si="105">IF(((D326="")*AND(D327="")),"",(D326-D327))</f>
        <v>5425.2400000000007</v>
      </c>
      <c r="E328" s="93">
        <f t="shared" si="105"/>
        <v>5468.78</v>
      </c>
      <c r="F328" s="93">
        <f t="shared" si="105"/>
        <v>5404.32</v>
      </c>
      <c r="G328" s="93">
        <f t="shared" si="105"/>
        <v>5448.67</v>
      </c>
      <c r="H328" s="93">
        <f t="shared" si="105"/>
        <v>5492.08</v>
      </c>
      <c r="I328" s="93">
        <f t="shared" si="105"/>
        <v>5509.17</v>
      </c>
      <c r="J328" s="93">
        <f t="shared" si="105"/>
        <v>5470.1900000000005</v>
      </c>
      <c r="K328" s="93">
        <f t="shared" si="105"/>
        <v>5502.37</v>
      </c>
      <c r="L328" s="93">
        <f t="shared" si="105"/>
        <v>5416.9400000000005</v>
      </c>
      <c r="M328" s="93">
        <f t="shared" si="105"/>
        <v>5511.4900000000007</v>
      </c>
      <c r="N328" s="93">
        <f t="shared" si="105"/>
        <v>5491.32</v>
      </c>
      <c r="O328" s="93">
        <f t="shared" si="105"/>
        <v>5451.92</v>
      </c>
      <c r="P328" s="93">
        <f t="shared" si="105"/>
        <v>5474.98</v>
      </c>
      <c r="Q328" s="78"/>
      <c r="R328" s="78"/>
      <c r="S328" s="78"/>
      <c r="T328" s="46"/>
      <c r="U328" s="78"/>
      <c r="V328" s="232"/>
      <c r="W328" s="78"/>
      <c r="X328" s="98"/>
      <c r="Y328" s="98"/>
    </row>
    <row r="329" spans="1:31" ht="12.75" customHeight="1" x14ac:dyDescent="0.25">
      <c r="A329" s="92">
        <v>43011</v>
      </c>
      <c r="B329" s="48" t="s">
        <v>204</v>
      </c>
      <c r="C329" s="54" t="s">
        <v>201</v>
      </c>
      <c r="D329" s="35">
        <v>5931.94</v>
      </c>
      <c r="E329" s="35">
        <v>6021.62</v>
      </c>
      <c r="F329" s="35">
        <v>6043.7</v>
      </c>
      <c r="G329" s="35">
        <v>5984.47</v>
      </c>
      <c r="H329" s="35">
        <v>5892.24</v>
      </c>
      <c r="I329" s="35">
        <v>5926.3</v>
      </c>
      <c r="J329" s="35">
        <v>5997.67</v>
      </c>
      <c r="K329" s="35">
        <v>6036.54</v>
      </c>
      <c r="L329" s="35">
        <v>5855.89</v>
      </c>
      <c r="M329" s="53"/>
      <c r="N329" s="53"/>
      <c r="O329" s="53"/>
      <c r="P329" s="53"/>
      <c r="Q329" s="48">
        <f>IF((L330=""),"",MAX(D331:L331))</f>
        <v>7417.3200000000006</v>
      </c>
      <c r="R329" s="48">
        <f>IF(L330="","",MIN(D331:L331))</f>
        <v>6987.9600000000009</v>
      </c>
      <c r="S329" s="75">
        <f>IF((L331=""),"",AVERAGE(D331:L331))</f>
        <v>7243.66</v>
      </c>
      <c r="T329" s="50">
        <f>IF((L330=""),"",(Q329-R329)/(Q329+R329)*100)</f>
        <v>2.9805737896104736</v>
      </c>
      <c r="U329" s="48">
        <f>STDEV(D331:P331)</f>
        <v>125.66460161875334</v>
      </c>
      <c r="V329" s="228" t="str">
        <f>IF(L330="","",IF(T329&lt;7.3,IF(S329&gt;5700,IF(S329&lt;7200,"Pass","Fail"),"Fail"),"Fail"))</f>
        <v>Fail</v>
      </c>
      <c r="W329" s="46">
        <v>1428</v>
      </c>
      <c r="X329" s="98"/>
      <c r="Y329" s="98"/>
      <c r="Z329" s="37">
        <v>4955</v>
      </c>
      <c r="AA329" s="37">
        <v>9645</v>
      </c>
      <c r="AB329" s="37">
        <v>5100</v>
      </c>
      <c r="AC329" s="37">
        <v>8300</v>
      </c>
      <c r="AD329" s="67">
        <v>10</v>
      </c>
      <c r="AE329" s="67">
        <v>9.8000000000000007</v>
      </c>
    </row>
    <row r="330" spans="1:31" ht="12.75" customHeight="1" x14ac:dyDescent="0.35">
      <c r="A330" s="294"/>
      <c r="B330" s="46"/>
      <c r="C330" s="54" t="s">
        <v>200</v>
      </c>
      <c r="D330" s="35">
        <v>2366.23</v>
      </c>
      <c r="E330" s="35">
        <v>2399.92</v>
      </c>
      <c r="F330" s="35">
        <v>2390.23</v>
      </c>
      <c r="G330" s="35">
        <v>2353.89</v>
      </c>
      <c r="H330" s="35">
        <v>2211.64</v>
      </c>
      <c r="I330" s="35">
        <v>2217.64</v>
      </c>
      <c r="J330" s="35">
        <v>2374.02</v>
      </c>
      <c r="K330" s="35">
        <v>2418.42</v>
      </c>
      <c r="L330" s="35">
        <v>2361.91</v>
      </c>
      <c r="M330" s="53"/>
      <c r="N330" s="53"/>
      <c r="O330" s="53"/>
      <c r="P330" s="53"/>
      <c r="Q330" s="46"/>
      <c r="R330" s="46"/>
      <c r="S330" s="46"/>
      <c r="T330" s="46"/>
      <c r="U330" s="46"/>
      <c r="V330" s="229"/>
      <c r="W330" s="46"/>
      <c r="X330" s="98"/>
      <c r="Y330" s="98"/>
    </row>
    <row r="331" spans="1:31" ht="24.8" customHeight="1" thickBot="1" x14ac:dyDescent="0.4">
      <c r="A331" s="294"/>
      <c r="B331" s="42"/>
      <c r="C331" s="74" t="s">
        <v>199</v>
      </c>
      <c r="D331" s="81">
        <f t="shared" ref="D331:L331" si="106">IF(((D329="")*AND(D330="")),"",(D329-D330)*2)</f>
        <v>7131.4199999999992</v>
      </c>
      <c r="E331" s="81">
        <f t="shared" si="106"/>
        <v>7243.4</v>
      </c>
      <c r="F331" s="81">
        <f t="shared" si="106"/>
        <v>7306.94</v>
      </c>
      <c r="G331" s="81">
        <f t="shared" si="106"/>
        <v>7261.1600000000008</v>
      </c>
      <c r="H331" s="81">
        <f t="shared" si="106"/>
        <v>7361.2</v>
      </c>
      <c r="I331" s="81">
        <f t="shared" si="106"/>
        <v>7417.3200000000006</v>
      </c>
      <c r="J331" s="81">
        <f t="shared" si="106"/>
        <v>7247.3</v>
      </c>
      <c r="K331" s="81">
        <f t="shared" si="106"/>
        <v>7236.24</v>
      </c>
      <c r="L331" s="81">
        <f t="shared" si="106"/>
        <v>6987.9600000000009</v>
      </c>
      <c r="M331" s="81"/>
      <c r="N331" s="81"/>
      <c r="O331" s="81"/>
      <c r="P331" s="81" t="str">
        <f>IF(((P329="")*AND(P330="")),"",(P329-P330)*2)</f>
        <v/>
      </c>
      <c r="Q331" s="42"/>
      <c r="R331" s="42"/>
      <c r="S331" s="42"/>
      <c r="T331" s="42"/>
      <c r="U331" s="42"/>
      <c r="V331" s="230"/>
      <c r="W331" s="42"/>
      <c r="X331" s="97"/>
      <c r="Y331" s="97"/>
    </row>
    <row r="332" spans="1:31" ht="12.75" customHeight="1" x14ac:dyDescent="0.25">
      <c r="A332" s="92">
        <v>43018</v>
      </c>
      <c r="B332" s="55" t="s">
        <v>202</v>
      </c>
      <c r="C332" s="59" t="s">
        <v>201</v>
      </c>
      <c r="D332" s="35">
        <v>6898.89</v>
      </c>
      <c r="E332" s="35">
        <v>7010.64</v>
      </c>
      <c r="F332" s="35">
        <v>6809</v>
      </c>
      <c r="G332" s="35">
        <v>6869.73</v>
      </c>
      <c r="H332" s="35">
        <v>6922.78</v>
      </c>
      <c r="I332" s="35">
        <v>6931.3</v>
      </c>
      <c r="J332" s="35">
        <v>6896.79</v>
      </c>
      <c r="K332" s="35">
        <v>6805.64</v>
      </c>
      <c r="L332" s="35">
        <v>6829.52</v>
      </c>
      <c r="M332" s="35">
        <v>6896.33</v>
      </c>
      <c r="N332" s="35">
        <v>7001.66</v>
      </c>
      <c r="O332" s="35">
        <v>6874.86</v>
      </c>
      <c r="P332" s="35">
        <v>6926.46</v>
      </c>
      <c r="Q332" s="48">
        <f>IF((L333=""),"",MAX(D334:P334))</f>
        <v>5483.66</v>
      </c>
      <c r="R332" s="55">
        <f>IF(L333="","",MIN(D334:L334))</f>
        <v>5396.34</v>
      </c>
      <c r="S332" s="51">
        <f>IF((P334=""),"",AVERAGE(D334:P334))</f>
        <v>5432.0653846153837</v>
      </c>
      <c r="T332" s="51">
        <f>IF((L333=""),"",(Q332-R332)/(Q332+R332)*100)</f>
        <v>0.80257352941176197</v>
      </c>
      <c r="U332" s="55">
        <f>STDEV(D334:P334)</f>
        <v>25.856844553355824</v>
      </c>
      <c r="V332" s="231" t="str">
        <f>IF(P333="","",IF(T332&lt;2.7,IF(S332&gt;5150,IF(S332&lt;5600,"Pass","Fail"),"Fail"),"Fail"))</f>
        <v>Pass</v>
      </c>
      <c r="W332" s="55">
        <v>1428</v>
      </c>
      <c r="X332" s="95" t="s">
        <v>236</v>
      </c>
      <c r="Y332" s="95"/>
      <c r="Z332" s="251">
        <v>4470</v>
      </c>
      <c r="AA332" s="251">
        <v>6020</v>
      </c>
      <c r="AB332" s="251">
        <v>5150</v>
      </c>
      <c r="AC332" s="251">
        <v>5600</v>
      </c>
      <c r="AD332" s="67">
        <v>10</v>
      </c>
      <c r="AE332" s="252">
        <v>2.7</v>
      </c>
    </row>
    <row r="333" spans="1:31" ht="12.75" customHeight="1" x14ac:dyDescent="0.35">
      <c r="A333" s="294"/>
      <c r="B333" s="46"/>
      <c r="C333" s="54" t="s">
        <v>200</v>
      </c>
      <c r="D333" s="35">
        <v>1489.06</v>
      </c>
      <c r="E333" s="35">
        <v>1588.73</v>
      </c>
      <c r="F333" s="35">
        <v>1412.66</v>
      </c>
      <c r="G333" s="35">
        <v>1438.63</v>
      </c>
      <c r="H333" s="35">
        <v>1498.04</v>
      </c>
      <c r="I333" s="35">
        <v>1469.58</v>
      </c>
      <c r="J333" s="35">
        <v>1452.75</v>
      </c>
      <c r="K333" s="35">
        <v>1321.98</v>
      </c>
      <c r="L333" s="35">
        <v>1423.91</v>
      </c>
      <c r="M333" s="35">
        <v>1426.34</v>
      </c>
      <c r="N333" s="35">
        <v>1577.24</v>
      </c>
      <c r="O333" s="35">
        <v>1453.27</v>
      </c>
      <c r="P333" s="35">
        <v>1504.56</v>
      </c>
      <c r="Q333" s="46"/>
      <c r="R333" s="46"/>
      <c r="S333" s="46"/>
      <c r="T333" s="46"/>
      <c r="U333" s="46"/>
      <c r="V333" s="229"/>
      <c r="W333" s="46"/>
      <c r="X333" s="98"/>
      <c r="Y333" s="98"/>
    </row>
    <row r="334" spans="1:31" ht="23.95" customHeight="1" x14ac:dyDescent="0.35">
      <c r="A334" s="294"/>
      <c r="B334" s="78"/>
      <c r="C334" s="54" t="s">
        <v>199</v>
      </c>
      <c r="D334" s="93">
        <f t="shared" ref="D334:P334" si="107">IF(((D332="")*AND(D333="")),"",(D332-D333))</f>
        <v>5409.83</v>
      </c>
      <c r="E334" s="93">
        <f t="shared" si="107"/>
        <v>5421.91</v>
      </c>
      <c r="F334" s="93">
        <f t="shared" si="107"/>
        <v>5396.34</v>
      </c>
      <c r="G334" s="93">
        <f t="shared" si="107"/>
        <v>5431.0999999999995</v>
      </c>
      <c r="H334" s="93">
        <f t="shared" si="107"/>
        <v>5424.74</v>
      </c>
      <c r="I334" s="93">
        <f t="shared" si="107"/>
        <v>5461.72</v>
      </c>
      <c r="J334" s="93">
        <f t="shared" si="107"/>
        <v>5444.04</v>
      </c>
      <c r="K334" s="93">
        <f t="shared" si="107"/>
        <v>5483.66</v>
      </c>
      <c r="L334" s="93">
        <f t="shared" si="107"/>
        <v>5405.6100000000006</v>
      </c>
      <c r="M334" s="93">
        <f t="shared" si="107"/>
        <v>5469.99</v>
      </c>
      <c r="N334" s="93">
        <f t="shared" si="107"/>
        <v>5424.42</v>
      </c>
      <c r="O334" s="93">
        <f t="shared" si="107"/>
        <v>5421.59</v>
      </c>
      <c r="P334" s="93">
        <f t="shared" si="107"/>
        <v>5421.9</v>
      </c>
      <c r="Q334" s="78"/>
      <c r="R334" s="78"/>
      <c r="S334" s="78"/>
      <c r="T334" s="46"/>
      <c r="U334" s="78"/>
      <c r="V334" s="232"/>
      <c r="W334" s="78"/>
      <c r="X334" s="98"/>
      <c r="Y334" s="98"/>
    </row>
    <row r="335" spans="1:31" ht="12.75" customHeight="1" x14ac:dyDescent="0.25">
      <c r="A335" s="92">
        <v>43018</v>
      </c>
      <c r="B335" s="48" t="s">
        <v>204</v>
      </c>
      <c r="C335" s="54" t="s">
        <v>201</v>
      </c>
      <c r="D335" s="35">
        <v>5933.83</v>
      </c>
      <c r="E335" s="35">
        <v>6014.78</v>
      </c>
      <c r="F335" s="35">
        <v>6036.08</v>
      </c>
      <c r="G335" s="35">
        <v>5982.53</v>
      </c>
      <c r="H335" s="35">
        <v>5892.6</v>
      </c>
      <c r="I335" s="35">
        <v>5915.81</v>
      </c>
      <c r="J335" s="35">
        <v>5999.19</v>
      </c>
      <c r="K335" s="35">
        <v>6025.63</v>
      </c>
      <c r="L335" s="35">
        <v>5857.09</v>
      </c>
      <c r="M335" s="53"/>
      <c r="N335" s="53"/>
      <c r="O335" s="53"/>
      <c r="P335" s="53"/>
      <c r="Q335" s="48">
        <f>IF((L336=""),"",MAX(D337:L337))</f>
        <v>7109.52</v>
      </c>
      <c r="R335" s="48">
        <f>IF(L336="","",MIN(D337:L337))</f>
        <v>6862.8</v>
      </c>
      <c r="S335" s="75">
        <f>IF((L337=""),"",AVERAGE(D337:L337))</f>
        <v>7042.2199999999993</v>
      </c>
      <c r="T335" s="50">
        <f>IF((L336=""),"",(Q335-R335)/(Q335+R335)*100)</f>
        <v>1.7657769074856593</v>
      </c>
      <c r="U335" s="48">
        <f>STDEV(D337:P337)</f>
        <v>78.380956233003374</v>
      </c>
      <c r="V335" s="228" t="str">
        <f>IF(L336="","",IF(T335&lt;9.8,IF(S335&gt;5100,IF(S335&lt;8300,"Pass","Fail"),"Fail"),"Fail"))</f>
        <v>Pass</v>
      </c>
      <c r="W335" s="46">
        <v>1428</v>
      </c>
      <c r="X335" s="98" t="s">
        <v>236</v>
      </c>
      <c r="Y335" s="98"/>
      <c r="Z335" s="37">
        <v>4955</v>
      </c>
      <c r="AA335" s="37">
        <v>9645</v>
      </c>
      <c r="AB335" s="37">
        <v>5100</v>
      </c>
      <c r="AC335" s="37">
        <v>8300</v>
      </c>
      <c r="AD335" s="67">
        <v>10</v>
      </c>
      <c r="AE335" s="67">
        <v>9.8000000000000007</v>
      </c>
    </row>
    <row r="336" spans="1:31" ht="12.75" customHeight="1" x14ac:dyDescent="0.35">
      <c r="A336" s="294"/>
      <c r="B336" s="46"/>
      <c r="C336" s="54" t="s">
        <v>200</v>
      </c>
      <c r="D336" s="35">
        <v>2448.81</v>
      </c>
      <c r="E336" s="35">
        <v>2478.67</v>
      </c>
      <c r="F336" s="35">
        <v>2483.25</v>
      </c>
      <c r="G336" s="35">
        <v>2450.15</v>
      </c>
      <c r="H336" s="35">
        <v>2337.84</v>
      </c>
      <c r="I336" s="35">
        <v>2387.94</v>
      </c>
      <c r="J336" s="35">
        <v>2467.9299999999998</v>
      </c>
      <c r="K336" s="35">
        <v>2487.27</v>
      </c>
      <c r="L336" s="35">
        <v>2425.69</v>
      </c>
      <c r="M336" s="53"/>
      <c r="N336" s="53"/>
      <c r="O336" s="53"/>
      <c r="P336" s="53"/>
      <c r="Q336" s="46"/>
      <c r="R336" s="46"/>
      <c r="S336" s="46"/>
      <c r="T336" s="46"/>
      <c r="U336" s="46"/>
      <c r="V336" s="229"/>
      <c r="W336" s="46"/>
      <c r="X336" s="98"/>
      <c r="Y336" s="98"/>
    </row>
    <row r="337" spans="1:31" ht="24.8" customHeight="1" thickBot="1" x14ac:dyDescent="0.4">
      <c r="A337" s="294"/>
      <c r="B337" s="42"/>
      <c r="C337" s="74" t="s">
        <v>199</v>
      </c>
      <c r="D337" s="81">
        <f t="shared" ref="D337:L337" si="108">IF(((D335="")*AND(D336="")),"",(D335-D336)*2)</f>
        <v>6970.04</v>
      </c>
      <c r="E337" s="81">
        <f t="shared" si="108"/>
        <v>7072.2199999999993</v>
      </c>
      <c r="F337" s="81">
        <f t="shared" si="108"/>
        <v>7105.66</v>
      </c>
      <c r="G337" s="81">
        <f t="shared" si="108"/>
        <v>7064.7599999999993</v>
      </c>
      <c r="H337" s="81">
        <f t="shared" si="108"/>
        <v>7109.52</v>
      </c>
      <c r="I337" s="81">
        <f t="shared" si="108"/>
        <v>7055.7400000000007</v>
      </c>
      <c r="J337" s="81">
        <f t="shared" si="108"/>
        <v>7062.5199999999995</v>
      </c>
      <c r="K337" s="81">
        <f t="shared" si="108"/>
        <v>7076.72</v>
      </c>
      <c r="L337" s="81">
        <f t="shared" si="108"/>
        <v>6862.8</v>
      </c>
      <c r="M337" s="81"/>
      <c r="N337" s="81"/>
      <c r="O337" s="81"/>
      <c r="P337" s="81" t="str">
        <f>IF(((P335="")*AND(P336="")),"",(P335-P336)*2)</f>
        <v/>
      </c>
      <c r="Q337" s="42"/>
      <c r="R337" s="42"/>
      <c r="S337" s="42"/>
      <c r="T337" s="42"/>
      <c r="U337" s="42"/>
      <c r="V337" s="230"/>
      <c r="W337" s="42"/>
      <c r="X337" s="97"/>
      <c r="Y337" s="97"/>
    </row>
    <row r="338" spans="1:31" ht="12.75" customHeight="1" x14ac:dyDescent="0.25">
      <c r="A338" s="92">
        <v>43025</v>
      </c>
      <c r="B338" s="55" t="s">
        <v>202</v>
      </c>
      <c r="C338" s="59" t="s">
        <v>201</v>
      </c>
      <c r="D338" s="35">
        <v>7021.6</v>
      </c>
      <c r="E338" s="35">
        <v>7128.66</v>
      </c>
      <c r="F338" s="35">
        <v>6936.07</v>
      </c>
      <c r="G338" s="35">
        <v>6999.65</v>
      </c>
      <c r="H338" s="35">
        <v>7036.57</v>
      </c>
      <c r="I338" s="35">
        <v>7051.14</v>
      </c>
      <c r="J338" s="35">
        <v>7025.59</v>
      </c>
      <c r="K338" s="35">
        <v>6935.51</v>
      </c>
      <c r="L338" s="35">
        <v>6954.67</v>
      </c>
      <c r="M338" s="35">
        <v>7022.06</v>
      </c>
      <c r="N338" s="35">
        <v>7111.12</v>
      </c>
      <c r="O338" s="35">
        <v>6996.19</v>
      </c>
      <c r="P338" s="35">
        <v>7037.89</v>
      </c>
      <c r="Q338" s="48">
        <f>IF((L339=""),"",MAX(D340:P340))</f>
        <v>5502.84</v>
      </c>
      <c r="R338" s="55">
        <f>IF(L339="","",MIN(D340:L340))</f>
        <v>5386.3499999999995</v>
      </c>
      <c r="S338" s="51">
        <f>IF((P340=""),"",AVERAGE(D340:P340))</f>
        <v>5450.873846153846</v>
      </c>
      <c r="T338" s="51">
        <f>IF((L339=""),"",(Q338-R338)/(Q338+R338)*100)</f>
        <v>1.0697765398528329</v>
      </c>
      <c r="U338" s="55">
        <f>STDEV(D340:P340)</f>
        <v>36.560268630135951</v>
      </c>
      <c r="V338" s="231" t="str">
        <f>IF(P339="","",IF(T338&lt;2.7,IF(S338&gt;5150,IF(S338&lt;5600,"Pass","Fail"),"Fail"),"Fail"))</f>
        <v>Pass</v>
      </c>
      <c r="W338" s="55" t="s">
        <v>235</v>
      </c>
      <c r="X338" s="95"/>
      <c r="Y338" s="95"/>
      <c r="Z338" s="251">
        <v>4470</v>
      </c>
      <c r="AA338" s="251">
        <v>6020</v>
      </c>
      <c r="AB338" s="251">
        <v>5150</v>
      </c>
      <c r="AC338" s="251">
        <v>5600</v>
      </c>
      <c r="AD338" s="67">
        <v>10</v>
      </c>
      <c r="AE338" s="252">
        <v>2.7</v>
      </c>
    </row>
    <row r="339" spans="1:31" ht="12.75" customHeight="1" x14ac:dyDescent="0.35">
      <c r="A339" s="294"/>
      <c r="B339" s="46"/>
      <c r="C339" s="54" t="s">
        <v>200</v>
      </c>
      <c r="D339" s="35">
        <v>1609.38</v>
      </c>
      <c r="E339" s="35">
        <v>1673.57</v>
      </c>
      <c r="F339" s="35">
        <v>1549.72</v>
      </c>
      <c r="G339" s="35">
        <v>1564.94</v>
      </c>
      <c r="H339" s="35">
        <v>1568.03</v>
      </c>
      <c r="I339" s="35">
        <v>1548.3</v>
      </c>
      <c r="J339" s="35">
        <v>1570.58</v>
      </c>
      <c r="K339" s="35">
        <v>1453.13</v>
      </c>
      <c r="L339" s="35">
        <v>1558.93</v>
      </c>
      <c r="M339" s="35">
        <v>1524.39</v>
      </c>
      <c r="N339" s="35">
        <v>1636.9</v>
      </c>
      <c r="O339" s="35">
        <v>1560</v>
      </c>
      <c r="P339" s="35">
        <v>1577.49</v>
      </c>
      <c r="Q339" s="46"/>
      <c r="R339" s="46"/>
      <c r="S339" s="46"/>
      <c r="T339" s="46"/>
      <c r="U339" s="46"/>
      <c r="V339" s="229"/>
      <c r="W339" s="46"/>
      <c r="X339" s="98"/>
      <c r="Y339" s="98"/>
    </row>
    <row r="340" spans="1:31" ht="24.8" customHeight="1" thickBot="1" x14ac:dyDescent="0.4">
      <c r="A340" s="294"/>
      <c r="B340" s="78"/>
      <c r="C340" s="54" t="s">
        <v>199</v>
      </c>
      <c r="D340" s="93">
        <f t="shared" ref="D340:P340" si="109">IF(((D338="")*AND(D339="")),"",(D338-D339))</f>
        <v>5412.22</v>
      </c>
      <c r="E340" s="93">
        <f t="shared" si="109"/>
        <v>5455.09</v>
      </c>
      <c r="F340" s="93">
        <f t="shared" si="109"/>
        <v>5386.3499999999995</v>
      </c>
      <c r="G340" s="93">
        <f t="shared" si="109"/>
        <v>5434.7099999999991</v>
      </c>
      <c r="H340" s="93">
        <f t="shared" si="109"/>
        <v>5468.54</v>
      </c>
      <c r="I340" s="93">
        <f t="shared" si="109"/>
        <v>5502.84</v>
      </c>
      <c r="J340" s="93">
        <f t="shared" si="109"/>
        <v>5455.01</v>
      </c>
      <c r="K340" s="93">
        <f t="shared" si="109"/>
        <v>5482.38</v>
      </c>
      <c r="L340" s="93">
        <f t="shared" si="109"/>
        <v>5395.74</v>
      </c>
      <c r="M340" s="93">
        <f t="shared" si="109"/>
        <v>5497.67</v>
      </c>
      <c r="N340" s="93">
        <f t="shared" si="109"/>
        <v>5474.2199999999993</v>
      </c>
      <c r="O340" s="93">
        <f t="shared" si="109"/>
        <v>5436.19</v>
      </c>
      <c r="P340" s="93">
        <f t="shared" si="109"/>
        <v>5460.4000000000005</v>
      </c>
      <c r="Q340" s="78"/>
      <c r="R340" s="78"/>
      <c r="S340" s="78"/>
      <c r="T340" s="46"/>
      <c r="U340" s="78"/>
      <c r="V340" s="232"/>
      <c r="W340" s="78"/>
      <c r="X340" s="98"/>
      <c r="Y340" s="98"/>
    </row>
    <row r="341" spans="1:31" ht="12.75" customHeight="1" x14ac:dyDescent="0.25">
      <c r="A341" s="92">
        <v>43025</v>
      </c>
      <c r="B341" s="48" t="s">
        <v>204</v>
      </c>
      <c r="C341" s="54" t="s">
        <v>201</v>
      </c>
      <c r="D341" s="35">
        <v>5929.41</v>
      </c>
      <c r="E341" s="35">
        <v>6011.64</v>
      </c>
      <c r="F341" s="35">
        <v>6035.27</v>
      </c>
      <c r="G341" s="35">
        <v>5982.57</v>
      </c>
      <c r="H341" s="35">
        <v>5887.22</v>
      </c>
      <c r="I341" s="35">
        <v>5926.51</v>
      </c>
      <c r="J341" s="35">
        <v>5995.35</v>
      </c>
      <c r="K341" s="35">
        <v>6023.14</v>
      </c>
      <c r="L341" s="35">
        <v>5857.78</v>
      </c>
      <c r="M341" s="53"/>
      <c r="N341" s="53"/>
      <c r="O341" s="53"/>
      <c r="P341" s="53"/>
      <c r="Q341" s="48">
        <f>IF((L342=""),"",MAX(D343:L343))</f>
        <v>7076.26</v>
      </c>
      <c r="R341" s="48">
        <f>IF(L342="","",MIN(D343:L343))</f>
        <v>6751.36</v>
      </c>
      <c r="S341" s="75">
        <f>IF((L343=""),"",AVERAGE(D343:L343))</f>
        <v>6982.9666666666672</v>
      </c>
      <c r="T341" s="50">
        <f>IF((L342=""),"",(Q341-R341)/(Q341+R341)*100)</f>
        <v>2.3496451305430766</v>
      </c>
      <c r="U341" s="48">
        <f>STDEV(D343:P343)</f>
        <v>110.99119784919903</v>
      </c>
      <c r="V341" s="228" t="str">
        <f>IF(L342="","",IF(T341&lt;9.8,IF(S341&gt;5100,IF(S341&lt;8300,"Pass","Fail"),"Fail"),"Fail"))</f>
        <v>Pass</v>
      </c>
      <c r="W341" s="55" t="s">
        <v>235</v>
      </c>
      <c r="X341" s="98"/>
      <c r="Y341" s="98"/>
      <c r="Z341" s="37">
        <v>4955</v>
      </c>
      <c r="AA341" s="37">
        <v>9645</v>
      </c>
      <c r="AB341" s="37">
        <v>5100</v>
      </c>
      <c r="AC341" s="37">
        <v>8300</v>
      </c>
      <c r="AD341" s="67">
        <v>10</v>
      </c>
      <c r="AE341" s="67">
        <v>9.8000000000000007</v>
      </c>
    </row>
    <row r="342" spans="1:31" ht="12.75" customHeight="1" x14ac:dyDescent="0.35">
      <c r="A342" s="294"/>
      <c r="B342" s="46"/>
      <c r="C342" s="54" t="s">
        <v>200</v>
      </c>
      <c r="D342" s="35">
        <v>2499.36</v>
      </c>
      <c r="E342" s="35">
        <v>2512.0700000000002</v>
      </c>
      <c r="F342" s="35">
        <v>2500.3200000000002</v>
      </c>
      <c r="G342" s="35">
        <v>2449.09</v>
      </c>
      <c r="H342" s="35">
        <v>2349.09</v>
      </c>
      <c r="I342" s="35">
        <v>2402.17</v>
      </c>
      <c r="J342" s="35">
        <v>2486.4299999999998</v>
      </c>
      <c r="K342" s="35">
        <v>2544.91</v>
      </c>
      <c r="L342" s="35">
        <v>2482.1</v>
      </c>
      <c r="M342" s="53"/>
      <c r="N342" s="53"/>
      <c r="O342" s="53"/>
      <c r="P342" s="53"/>
      <c r="Q342" s="46"/>
      <c r="R342" s="46"/>
      <c r="S342" s="46"/>
      <c r="T342" s="46"/>
      <c r="U342" s="46"/>
      <c r="V342" s="229"/>
      <c r="W342" s="46"/>
      <c r="X342" s="98"/>
      <c r="Y342" s="98"/>
    </row>
    <row r="343" spans="1:31" ht="24.8" customHeight="1" thickBot="1" x14ac:dyDescent="0.4">
      <c r="A343" s="294"/>
      <c r="B343" s="42"/>
      <c r="C343" s="74" t="s">
        <v>199</v>
      </c>
      <c r="D343" s="81">
        <f t="shared" ref="D343:L343" si="110">IF(((D341="")*AND(D342="")),"",(D341-D342)*2)</f>
        <v>6860.0999999999995</v>
      </c>
      <c r="E343" s="81">
        <f t="shared" si="110"/>
        <v>6999.14</v>
      </c>
      <c r="F343" s="81">
        <f t="shared" si="110"/>
        <v>7069.9000000000005</v>
      </c>
      <c r="G343" s="81">
        <f t="shared" si="110"/>
        <v>7066.9599999999991</v>
      </c>
      <c r="H343" s="81">
        <f t="shared" si="110"/>
        <v>7076.26</v>
      </c>
      <c r="I343" s="81">
        <f t="shared" si="110"/>
        <v>7048.68</v>
      </c>
      <c r="J343" s="81">
        <f t="shared" si="110"/>
        <v>7017.8400000000011</v>
      </c>
      <c r="K343" s="81">
        <f t="shared" si="110"/>
        <v>6956.4600000000009</v>
      </c>
      <c r="L343" s="81">
        <f t="shared" si="110"/>
        <v>6751.36</v>
      </c>
      <c r="M343" s="81"/>
      <c r="N343" s="81"/>
      <c r="O343" s="81"/>
      <c r="P343" s="81" t="str">
        <f>IF(((P341="")*AND(P342="")),"",(P341-P342)*2)</f>
        <v/>
      </c>
      <c r="Q343" s="42"/>
      <c r="R343" s="42"/>
      <c r="S343" s="42"/>
      <c r="T343" s="42"/>
      <c r="U343" s="42"/>
      <c r="V343" s="230"/>
      <c r="W343" s="42"/>
      <c r="X343" s="97"/>
      <c r="Y343" s="97"/>
    </row>
    <row r="344" spans="1:31" ht="12.75" customHeight="1" x14ac:dyDescent="0.25">
      <c r="A344" s="92">
        <v>43031</v>
      </c>
      <c r="B344" s="55" t="s">
        <v>202</v>
      </c>
      <c r="C344" s="59" t="s">
        <v>201</v>
      </c>
      <c r="D344" s="35">
        <v>6889.9</v>
      </c>
      <c r="E344" s="35">
        <v>6996.68</v>
      </c>
      <c r="F344" s="35">
        <v>6808.99</v>
      </c>
      <c r="G344" s="35">
        <v>6885.98</v>
      </c>
      <c r="H344" s="35">
        <v>6894.22</v>
      </c>
      <c r="I344" s="35">
        <v>6921.57</v>
      </c>
      <c r="J344" s="35">
        <v>6915.58</v>
      </c>
      <c r="K344" s="35">
        <v>6827.95</v>
      </c>
      <c r="L344" s="35">
        <v>6831.47</v>
      </c>
      <c r="M344" s="35">
        <v>6908.38</v>
      </c>
      <c r="N344" s="35">
        <v>6977.29</v>
      </c>
      <c r="O344" s="35">
        <v>6872.06</v>
      </c>
      <c r="P344" s="35">
        <v>6903.16</v>
      </c>
      <c r="Q344" s="48">
        <f>IF((L345=""),"",MAX(D346:P346))</f>
        <v>5444.18</v>
      </c>
      <c r="R344" s="55">
        <f>IF(L345="","",MIN(D346:L346))</f>
        <v>5354.0199999999995</v>
      </c>
      <c r="S344" s="51">
        <f>IF((P346=""),"",AVERAGE(D346:P346))</f>
        <v>5391.2699999999995</v>
      </c>
      <c r="T344" s="51">
        <f>IF((L345=""),"",(Q344-R344)/(Q344+R344)*100)</f>
        <v>0.83495397381045688</v>
      </c>
      <c r="U344" s="55">
        <f>STDEV(D346:P346)</f>
        <v>26.959612076833359</v>
      </c>
      <c r="V344" s="231" t="str">
        <f>IF(P345="","",IF(T344&lt;2.7,IF(S344&gt;5150,IF(S344&lt;5600,"Pass","Fail"),"Fail"),"Fail"))</f>
        <v>Pass</v>
      </c>
      <c r="W344" s="55">
        <v>1159</v>
      </c>
      <c r="X344" s="95" t="s">
        <v>234</v>
      </c>
      <c r="Y344" s="95"/>
      <c r="Z344" s="251">
        <v>4470</v>
      </c>
      <c r="AA344" s="251">
        <v>6020</v>
      </c>
      <c r="AB344" s="251">
        <v>5150</v>
      </c>
      <c r="AC344" s="251">
        <v>5600</v>
      </c>
      <c r="AD344" s="67">
        <v>10</v>
      </c>
      <c r="AE344" s="252">
        <v>2.7</v>
      </c>
    </row>
    <row r="345" spans="1:31" ht="12.75" customHeight="1" x14ac:dyDescent="0.35">
      <c r="A345" s="294"/>
      <c r="B345" s="46"/>
      <c r="C345" s="54" t="s">
        <v>200</v>
      </c>
      <c r="D345" s="35">
        <v>1525.28</v>
      </c>
      <c r="E345" s="35">
        <v>1619.57</v>
      </c>
      <c r="F345" s="35">
        <v>1454.97</v>
      </c>
      <c r="G345" s="35">
        <v>1497.26</v>
      </c>
      <c r="H345" s="35">
        <v>1510.26</v>
      </c>
      <c r="I345" s="35">
        <v>1501.73</v>
      </c>
      <c r="J345" s="35">
        <v>1510.5</v>
      </c>
      <c r="K345" s="35">
        <v>1383.77</v>
      </c>
      <c r="L345" s="35">
        <v>1465.75</v>
      </c>
      <c r="M345" s="35">
        <v>1475.62</v>
      </c>
      <c r="N345" s="35">
        <v>1594.72</v>
      </c>
      <c r="O345" s="35">
        <v>1487.57</v>
      </c>
      <c r="P345" s="35">
        <v>1519.72</v>
      </c>
      <c r="Q345" s="46"/>
      <c r="R345" s="46"/>
      <c r="S345" s="46"/>
      <c r="T345" s="46"/>
      <c r="U345" s="46"/>
      <c r="V345" s="229"/>
      <c r="W345" s="46"/>
      <c r="X345" s="98"/>
      <c r="Y345" s="98"/>
    </row>
    <row r="346" spans="1:31" ht="23.95" customHeight="1" x14ac:dyDescent="0.35">
      <c r="A346" s="294"/>
      <c r="B346" s="78"/>
      <c r="C346" s="54" t="s">
        <v>199</v>
      </c>
      <c r="D346" s="93">
        <f t="shared" ref="D346:P346" si="111">IF(((D344="")*AND(D345="")),"",(D344-D345))</f>
        <v>5364.62</v>
      </c>
      <c r="E346" s="93">
        <f t="shared" si="111"/>
        <v>5377.1100000000006</v>
      </c>
      <c r="F346" s="93">
        <f t="shared" si="111"/>
        <v>5354.0199999999995</v>
      </c>
      <c r="G346" s="93">
        <f t="shared" si="111"/>
        <v>5388.7199999999993</v>
      </c>
      <c r="H346" s="93">
        <f t="shared" si="111"/>
        <v>5383.96</v>
      </c>
      <c r="I346" s="93">
        <f t="shared" si="111"/>
        <v>5419.84</v>
      </c>
      <c r="J346" s="93">
        <f t="shared" si="111"/>
        <v>5405.08</v>
      </c>
      <c r="K346" s="93">
        <f t="shared" si="111"/>
        <v>5444.18</v>
      </c>
      <c r="L346" s="93">
        <f t="shared" si="111"/>
        <v>5365.72</v>
      </c>
      <c r="M346" s="93">
        <f t="shared" si="111"/>
        <v>5432.76</v>
      </c>
      <c r="N346" s="93">
        <f t="shared" si="111"/>
        <v>5382.57</v>
      </c>
      <c r="O346" s="93">
        <f t="shared" si="111"/>
        <v>5384.4900000000007</v>
      </c>
      <c r="P346" s="93">
        <f t="shared" si="111"/>
        <v>5383.44</v>
      </c>
      <c r="Q346" s="78"/>
      <c r="R346" s="78"/>
      <c r="S346" s="78"/>
      <c r="T346" s="46"/>
      <c r="U346" s="78"/>
      <c r="V346" s="232"/>
      <c r="W346" s="78"/>
      <c r="X346" s="98"/>
      <c r="Y346" s="98"/>
    </row>
    <row r="347" spans="1:31" ht="12.75" customHeight="1" x14ac:dyDescent="0.25">
      <c r="A347" s="92">
        <v>43031</v>
      </c>
      <c r="B347" s="48" t="s">
        <v>204</v>
      </c>
      <c r="C347" s="54" t="s">
        <v>201</v>
      </c>
      <c r="D347" s="35">
        <v>5939.51</v>
      </c>
      <c r="E347" s="35">
        <v>6017.77</v>
      </c>
      <c r="F347" s="35">
        <v>6035.83</v>
      </c>
      <c r="G347" s="35">
        <v>5986.4</v>
      </c>
      <c r="H347" s="35">
        <v>5896.54</v>
      </c>
      <c r="I347" s="35">
        <v>5922.08</v>
      </c>
      <c r="J347" s="35">
        <v>6004.28</v>
      </c>
      <c r="K347" s="35">
        <v>6034.03</v>
      </c>
      <c r="L347" s="35">
        <v>5861.33</v>
      </c>
      <c r="M347" s="53"/>
      <c r="N347" s="53"/>
      <c r="O347" s="53"/>
      <c r="P347" s="53"/>
      <c r="Q347" s="48">
        <f>IF((L348=""),"",MAX(D349:L349))</f>
        <v>7201.5999999999995</v>
      </c>
      <c r="R347" s="48">
        <f>IF(L348="","",MIN(D349:L349))</f>
        <v>6959.24</v>
      </c>
      <c r="S347" s="75">
        <f>IF((L349=""),"",AVERAGE(D349:L349))</f>
        <v>7119.5422222222214</v>
      </c>
      <c r="T347" s="50">
        <f>IF((L348=""),"",(Q347-R347)/(Q347+R347)*100)</f>
        <v>1.7114803924060977</v>
      </c>
      <c r="U347" s="48">
        <f>STDEV(D349:P349)</f>
        <v>76.430467383396504</v>
      </c>
      <c r="V347" s="228" t="str">
        <f>IF(L348="","",IF(T347&lt;9.8,IF(S347&gt;5100,IF(S347&lt;8300,"Pass","Fail"),"Fail"),"Fail"))</f>
        <v>Pass</v>
      </c>
      <c r="W347" s="46">
        <v>1159</v>
      </c>
      <c r="X347" s="95" t="s">
        <v>234</v>
      </c>
      <c r="Y347" s="95"/>
      <c r="Z347" s="37">
        <v>4955</v>
      </c>
      <c r="AA347" s="37">
        <v>9645</v>
      </c>
      <c r="AB347" s="37">
        <v>5100</v>
      </c>
      <c r="AC347" s="37">
        <v>8300</v>
      </c>
      <c r="AD347" s="67">
        <v>10</v>
      </c>
      <c r="AE347" s="67">
        <v>9.8000000000000007</v>
      </c>
    </row>
    <row r="348" spans="1:31" ht="12.75" customHeight="1" x14ac:dyDescent="0.35">
      <c r="A348" s="294"/>
      <c r="B348" s="46"/>
      <c r="C348" s="54" t="s">
        <v>200</v>
      </c>
      <c r="D348" s="35">
        <v>2407.7199999999998</v>
      </c>
      <c r="E348" s="35">
        <v>2442.75</v>
      </c>
      <c r="F348" s="35">
        <v>2445.69</v>
      </c>
      <c r="G348" s="35">
        <v>2455</v>
      </c>
      <c r="H348" s="35">
        <v>2320.52</v>
      </c>
      <c r="I348" s="35">
        <v>2321.2800000000002</v>
      </c>
      <c r="J348" s="35">
        <v>2429.16</v>
      </c>
      <c r="K348" s="35">
        <v>2456</v>
      </c>
      <c r="L348" s="35">
        <v>2381.71</v>
      </c>
      <c r="M348" s="53"/>
      <c r="N348" s="53"/>
      <c r="O348" s="53"/>
      <c r="P348" s="53"/>
      <c r="Q348" s="46"/>
      <c r="R348" s="46"/>
      <c r="S348" s="46"/>
      <c r="T348" s="46"/>
      <c r="U348" s="46"/>
      <c r="V348" s="229"/>
      <c r="W348" s="46"/>
      <c r="X348" s="98"/>
      <c r="Y348" s="98"/>
    </row>
    <row r="349" spans="1:31" ht="24.8" customHeight="1" thickBot="1" x14ac:dyDescent="0.4">
      <c r="A349" s="294"/>
      <c r="B349" s="42"/>
      <c r="C349" s="74" t="s">
        <v>199</v>
      </c>
      <c r="D349" s="81">
        <f t="shared" ref="D349:L349" si="112">IF(((D347="")*AND(D348="")),"",(D347-D348)*2)</f>
        <v>7063.5800000000008</v>
      </c>
      <c r="E349" s="81">
        <f t="shared" si="112"/>
        <v>7150.0400000000009</v>
      </c>
      <c r="F349" s="81">
        <f t="shared" si="112"/>
        <v>7180.28</v>
      </c>
      <c r="G349" s="81">
        <f t="shared" si="112"/>
        <v>7062.7999999999993</v>
      </c>
      <c r="H349" s="81">
        <f t="shared" si="112"/>
        <v>7152.04</v>
      </c>
      <c r="I349" s="81">
        <f t="shared" si="112"/>
        <v>7201.5999999999995</v>
      </c>
      <c r="J349" s="81">
        <f t="shared" si="112"/>
        <v>7150.24</v>
      </c>
      <c r="K349" s="81">
        <f t="shared" si="112"/>
        <v>7156.0599999999995</v>
      </c>
      <c r="L349" s="81">
        <f t="shared" si="112"/>
        <v>6959.24</v>
      </c>
      <c r="M349" s="81"/>
      <c r="N349" s="81"/>
      <c r="O349" s="81"/>
      <c r="P349" s="81" t="str">
        <f>IF(((P347="")*AND(P348="")),"",(P347-P348)*2)</f>
        <v/>
      </c>
      <c r="Q349" s="42"/>
      <c r="R349" s="42"/>
      <c r="S349" s="42"/>
      <c r="T349" s="42"/>
      <c r="U349" s="42"/>
      <c r="V349" s="230"/>
      <c r="W349" s="42"/>
      <c r="X349" s="97"/>
      <c r="Y349" s="97"/>
    </row>
    <row r="350" spans="1:31" ht="12.75" customHeight="1" x14ac:dyDescent="0.25">
      <c r="A350" s="92">
        <v>43038</v>
      </c>
      <c r="B350" s="55" t="s">
        <v>202</v>
      </c>
      <c r="C350" s="59" t="s">
        <v>201</v>
      </c>
      <c r="D350" s="35">
        <v>6906.9</v>
      </c>
      <c r="E350" s="35">
        <v>7018.61</v>
      </c>
      <c r="F350" s="35">
        <v>6820.52</v>
      </c>
      <c r="G350" s="35">
        <v>6886.29</v>
      </c>
      <c r="H350" s="35">
        <v>6926.47</v>
      </c>
      <c r="I350" s="35">
        <v>6940.61</v>
      </c>
      <c r="J350" s="35">
        <v>6913.47</v>
      </c>
      <c r="K350" s="35">
        <v>6823.77</v>
      </c>
      <c r="L350" s="35">
        <v>6840.7</v>
      </c>
      <c r="M350" s="35">
        <v>6910.33</v>
      </c>
      <c r="N350" s="35">
        <v>7008.47</v>
      </c>
      <c r="O350" s="35">
        <v>6882.76</v>
      </c>
      <c r="P350" s="35">
        <v>6929.99</v>
      </c>
      <c r="Q350" s="48">
        <f>IF((L351=""),"",MAX(D352:P352))</f>
        <v>5484.03</v>
      </c>
      <c r="R350" s="55">
        <f>IF(L351="","",MIN(D352:L352))</f>
        <v>5388.6500000000005</v>
      </c>
      <c r="S350" s="51">
        <f>IF((P352=""),"",AVERAGE(D352:P352))</f>
        <v>5428.1476923076925</v>
      </c>
      <c r="T350" s="51">
        <f>IF((L351=""),"",(Q350-R350)/(Q350+R350)*100)</f>
        <v>0.87724461678260734</v>
      </c>
      <c r="U350" s="55">
        <f>STDEV(D352:P352)</f>
        <v>26.879698086674434</v>
      </c>
      <c r="V350" s="231" t="str">
        <f>IF(P351="","",IF(T350&lt;2.7,IF(S350&gt;5150,IF(S350&lt;5600,"Pass","Fail"),"Fail"),"Fail"))</f>
        <v>Pass</v>
      </c>
      <c r="W350" s="55">
        <v>1428</v>
      </c>
      <c r="X350" s="212"/>
      <c r="Y350" s="95"/>
      <c r="Z350" s="251">
        <v>4470</v>
      </c>
      <c r="AA350" s="251">
        <v>6020</v>
      </c>
      <c r="AB350" s="251">
        <v>5150</v>
      </c>
      <c r="AC350" s="251">
        <v>5600</v>
      </c>
      <c r="AD350" s="67">
        <v>10</v>
      </c>
      <c r="AE350" s="252">
        <v>2.7</v>
      </c>
    </row>
    <row r="351" spans="1:31" ht="12.75" customHeight="1" x14ac:dyDescent="0.35">
      <c r="A351" s="294"/>
      <c r="B351" s="46"/>
      <c r="C351" s="54" t="s">
        <v>200</v>
      </c>
      <c r="D351" s="35">
        <v>1504.98</v>
      </c>
      <c r="E351" s="35">
        <v>1607.08</v>
      </c>
      <c r="F351" s="35">
        <v>1431.87</v>
      </c>
      <c r="G351" s="35">
        <v>1463.05</v>
      </c>
      <c r="H351" s="35">
        <v>1499.05</v>
      </c>
      <c r="I351" s="35">
        <v>1484.75</v>
      </c>
      <c r="J351" s="35">
        <v>1454.69</v>
      </c>
      <c r="K351" s="35">
        <v>1376.61</v>
      </c>
      <c r="L351" s="35">
        <v>1439.14</v>
      </c>
      <c r="M351" s="35">
        <v>1426.3</v>
      </c>
      <c r="N351" s="35">
        <v>1589.5</v>
      </c>
      <c r="O351" s="35">
        <v>1466.24</v>
      </c>
      <c r="P351" s="35">
        <v>1499.71</v>
      </c>
      <c r="Q351" s="46"/>
      <c r="R351" s="46"/>
      <c r="S351" s="46"/>
      <c r="T351" s="46"/>
      <c r="U351" s="46"/>
      <c r="V351" s="229"/>
      <c r="W351" s="46"/>
      <c r="X351" s="212"/>
      <c r="Y351" s="98"/>
    </row>
    <row r="352" spans="1:31" ht="23.95" customHeight="1" x14ac:dyDescent="0.35">
      <c r="A352" s="294"/>
      <c r="B352" s="78"/>
      <c r="C352" s="54" t="s">
        <v>199</v>
      </c>
      <c r="D352" s="93">
        <f t="shared" ref="D352:P352" si="113">IF(((D350="")*AND(D351="")),"",(D350-D351))</f>
        <v>5401.92</v>
      </c>
      <c r="E352" s="93">
        <f t="shared" si="113"/>
        <v>5411.53</v>
      </c>
      <c r="F352" s="93">
        <f t="shared" si="113"/>
        <v>5388.6500000000005</v>
      </c>
      <c r="G352" s="93">
        <f t="shared" si="113"/>
        <v>5423.24</v>
      </c>
      <c r="H352" s="93">
        <f t="shared" si="113"/>
        <v>5427.42</v>
      </c>
      <c r="I352" s="93">
        <f t="shared" si="113"/>
        <v>5455.86</v>
      </c>
      <c r="J352" s="93">
        <f t="shared" si="113"/>
        <v>5458.7800000000007</v>
      </c>
      <c r="K352" s="93">
        <f t="shared" si="113"/>
        <v>5447.1600000000008</v>
      </c>
      <c r="L352" s="93">
        <f t="shared" si="113"/>
        <v>5401.5599999999995</v>
      </c>
      <c r="M352" s="93">
        <f t="shared" si="113"/>
        <v>5484.03</v>
      </c>
      <c r="N352" s="93">
        <f t="shared" si="113"/>
        <v>5418.97</v>
      </c>
      <c r="O352" s="93">
        <f t="shared" si="113"/>
        <v>5416.52</v>
      </c>
      <c r="P352" s="93">
        <f t="shared" si="113"/>
        <v>5430.28</v>
      </c>
      <c r="Q352" s="78"/>
      <c r="R352" s="78"/>
      <c r="S352" s="78"/>
      <c r="T352" s="46"/>
      <c r="U352" s="78"/>
      <c r="V352" s="232"/>
      <c r="W352" s="78"/>
      <c r="X352" s="212"/>
      <c r="Y352" s="98"/>
    </row>
    <row r="353" spans="1:31" ht="12.75" customHeight="1" x14ac:dyDescent="0.25">
      <c r="A353" s="92">
        <v>43038</v>
      </c>
      <c r="B353" s="48" t="s">
        <v>204</v>
      </c>
      <c r="C353" s="54" t="s">
        <v>201</v>
      </c>
      <c r="D353" s="35">
        <v>5926.79</v>
      </c>
      <c r="E353" s="35">
        <v>6009.28</v>
      </c>
      <c r="F353" s="35">
        <v>6024.92</v>
      </c>
      <c r="G353" s="35">
        <v>5977.32</v>
      </c>
      <c r="H353" s="35">
        <v>5885.72</v>
      </c>
      <c r="I353" s="35">
        <v>5933.46</v>
      </c>
      <c r="J353" s="35">
        <v>5999.49</v>
      </c>
      <c r="K353" s="35">
        <v>6021.65</v>
      </c>
      <c r="L353" s="35">
        <v>5861.02</v>
      </c>
      <c r="M353" s="53"/>
      <c r="N353" s="53"/>
      <c r="O353" s="53"/>
      <c r="P353" s="53"/>
      <c r="Q353" s="48">
        <f>IF((L354=""),"",MAX(D355:L355))</f>
        <v>7223.3</v>
      </c>
      <c r="R353" s="48">
        <f>IF(L354="","",MIN(D355:L355))</f>
        <v>7112.34</v>
      </c>
      <c r="S353" s="75">
        <f>IF((L355=""),"",AVERAGE(D355:L355))</f>
        <v>7176.4066666666658</v>
      </c>
      <c r="T353" s="50">
        <f>IF((L354=""),"",(Q353-R353)/(Q353+R353)*100)</f>
        <v>0.77401497247419748</v>
      </c>
      <c r="U353" s="48">
        <f>STDEV(D355:P355)</f>
        <v>32.94248017378149</v>
      </c>
      <c r="V353" s="228" t="str">
        <f>IF(L354="","",IF(T353&lt;9.8,IF(S353&gt;5100,IF(S353&lt;8300,"Pass","Fail"),"Fail"),"Fail"))</f>
        <v>Pass</v>
      </c>
      <c r="W353" s="46">
        <v>1428</v>
      </c>
      <c r="X353" s="212"/>
      <c r="Y353" s="98"/>
      <c r="Z353" s="37">
        <v>4955</v>
      </c>
      <c r="AA353" s="37">
        <v>9645</v>
      </c>
      <c r="AB353" s="37">
        <v>5100</v>
      </c>
      <c r="AC353" s="37">
        <v>8300</v>
      </c>
      <c r="AD353" s="67">
        <v>10</v>
      </c>
      <c r="AE353" s="67">
        <v>9.8000000000000007</v>
      </c>
    </row>
    <row r="354" spans="1:31" ht="12.75" customHeight="1" x14ac:dyDescent="0.35">
      <c r="A354" s="294"/>
      <c r="B354" s="46"/>
      <c r="C354" s="54" t="s">
        <v>200</v>
      </c>
      <c r="D354" s="35">
        <v>2370.62</v>
      </c>
      <c r="E354" s="35">
        <v>2416.66</v>
      </c>
      <c r="F354" s="35">
        <v>2413.27</v>
      </c>
      <c r="G354" s="35">
        <v>2378.08</v>
      </c>
      <c r="H354" s="35">
        <v>2298.92</v>
      </c>
      <c r="I354" s="35">
        <v>2353.1999999999998</v>
      </c>
      <c r="J354" s="35">
        <v>2402.14</v>
      </c>
      <c r="K354" s="35">
        <v>2424.9</v>
      </c>
      <c r="L354" s="35">
        <v>2288.0300000000002</v>
      </c>
      <c r="M354" s="53"/>
      <c r="N354" s="53"/>
      <c r="O354" s="53"/>
      <c r="P354" s="53"/>
      <c r="Q354" s="46"/>
      <c r="R354" s="46"/>
      <c r="S354" s="46"/>
      <c r="T354" s="46"/>
      <c r="U354" s="46"/>
      <c r="V354" s="229"/>
      <c r="W354" s="46"/>
      <c r="X354" s="212"/>
      <c r="Y354" s="98"/>
    </row>
    <row r="355" spans="1:31" ht="24.8" customHeight="1" thickBot="1" x14ac:dyDescent="0.4">
      <c r="A355" s="294"/>
      <c r="B355" s="42"/>
      <c r="C355" s="74" t="s">
        <v>199</v>
      </c>
      <c r="D355" s="81">
        <f t="shared" ref="D355:L355" si="114">IF(((D353="")*AND(D354="")),"",(D353-D354)*2)</f>
        <v>7112.34</v>
      </c>
      <c r="E355" s="81">
        <f t="shared" si="114"/>
        <v>7185.24</v>
      </c>
      <c r="F355" s="81">
        <f t="shared" si="114"/>
        <v>7223.3</v>
      </c>
      <c r="G355" s="81">
        <f t="shared" si="114"/>
        <v>7198.48</v>
      </c>
      <c r="H355" s="81">
        <f t="shared" si="114"/>
        <v>7173.6</v>
      </c>
      <c r="I355" s="81">
        <f t="shared" si="114"/>
        <v>7160.52</v>
      </c>
      <c r="J355" s="81">
        <f t="shared" si="114"/>
        <v>7194.7</v>
      </c>
      <c r="K355" s="81">
        <f t="shared" si="114"/>
        <v>7193.4999999999991</v>
      </c>
      <c r="L355" s="81">
        <f t="shared" si="114"/>
        <v>7145.9800000000005</v>
      </c>
      <c r="M355" s="81"/>
      <c r="N355" s="81"/>
      <c r="O355" s="81"/>
      <c r="P355" s="81" t="str">
        <f>IF(((P353="")*AND(P354="")),"",(P353-P354)*2)</f>
        <v/>
      </c>
      <c r="Q355" s="42"/>
      <c r="R355" s="42"/>
      <c r="S355" s="42"/>
      <c r="T355" s="42"/>
      <c r="U355" s="42"/>
      <c r="V355" s="230"/>
      <c r="W355" s="42"/>
      <c r="X355" s="212"/>
      <c r="Y355" s="97"/>
    </row>
    <row r="356" spans="1:31" ht="12.75" customHeight="1" x14ac:dyDescent="0.25">
      <c r="A356" s="92">
        <v>43041</v>
      </c>
      <c r="B356" s="55" t="s">
        <v>202</v>
      </c>
      <c r="C356" s="59" t="s">
        <v>201</v>
      </c>
      <c r="D356" s="35">
        <v>6888.23</v>
      </c>
      <c r="E356" s="35">
        <v>7003.62</v>
      </c>
      <c r="F356" s="35">
        <v>6799.36</v>
      </c>
      <c r="G356" s="35">
        <v>6859.62</v>
      </c>
      <c r="H356" s="35">
        <v>6916.09</v>
      </c>
      <c r="I356" s="35">
        <v>6924.09</v>
      </c>
      <c r="J356" s="35">
        <v>6887.54</v>
      </c>
      <c r="K356" s="35">
        <v>6797.81</v>
      </c>
      <c r="L356" s="35">
        <v>6819.93</v>
      </c>
      <c r="M356" s="35">
        <v>6887.33</v>
      </c>
      <c r="N356" s="35">
        <v>6993.72</v>
      </c>
      <c r="O356" s="35">
        <v>6864.51</v>
      </c>
      <c r="P356" s="35">
        <v>6917.81</v>
      </c>
      <c r="Q356" s="48">
        <f>IF((L357=""),"",MAX(D358:P358))</f>
        <v>5533.88</v>
      </c>
      <c r="R356" s="55">
        <f>IF(L357="","",MIN(D358:L358))</f>
        <v>5396.24</v>
      </c>
      <c r="S356" s="51">
        <f>IF((P358=""),"",AVERAGE(D358:P358))</f>
        <v>5449.0076923076931</v>
      </c>
      <c r="T356" s="51">
        <f>IF((L357=""),"",(Q356-R356)/(Q356+R356)*100)</f>
        <v>1.2592725422959705</v>
      </c>
      <c r="U356" s="55">
        <f>STDEV(D358:P358)</f>
        <v>43.734048359344051</v>
      </c>
      <c r="V356" s="231" t="str">
        <f>IF(P357="","",IF(T356&lt;2.7,IF(S356&gt;5150,IF(S356&lt;5600,"Pass","Fail"),"Fail"),"Fail"))</f>
        <v>Pass</v>
      </c>
      <c r="W356" s="55">
        <v>1335</v>
      </c>
      <c r="X356" s="212"/>
      <c r="Y356" s="95"/>
      <c r="Z356" s="251">
        <v>4470</v>
      </c>
      <c r="AA356" s="251">
        <v>6020</v>
      </c>
      <c r="AB356" s="251">
        <v>5150</v>
      </c>
      <c r="AC356" s="251">
        <v>5600</v>
      </c>
      <c r="AD356" s="67">
        <v>10</v>
      </c>
      <c r="AE356" s="252">
        <v>2.7</v>
      </c>
    </row>
    <row r="357" spans="1:31" ht="12.75" customHeight="1" x14ac:dyDescent="0.35">
      <c r="A357" s="294"/>
      <c r="B357" s="46"/>
      <c r="C357" s="54" t="s">
        <v>200</v>
      </c>
      <c r="D357" s="35">
        <v>1489.42</v>
      </c>
      <c r="E357" s="35">
        <v>1607.38</v>
      </c>
      <c r="F357" s="35">
        <v>1380.65</v>
      </c>
      <c r="G357" s="35">
        <v>1394.62</v>
      </c>
      <c r="H357" s="35">
        <v>1513.71</v>
      </c>
      <c r="I357" s="35">
        <v>1458.19</v>
      </c>
      <c r="J357" s="35">
        <v>1405.24</v>
      </c>
      <c r="K357" s="35">
        <v>1263.93</v>
      </c>
      <c r="L357" s="35">
        <v>1381.94</v>
      </c>
      <c r="M357" s="35">
        <v>1370.8</v>
      </c>
      <c r="N357" s="35">
        <v>1573.55</v>
      </c>
      <c r="O357" s="35">
        <v>1405.17</v>
      </c>
      <c r="P357" s="35">
        <v>1477.96</v>
      </c>
      <c r="Q357" s="46"/>
      <c r="R357" s="46"/>
      <c r="S357" s="46"/>
      <c r="T357" s="46"/>
      <c r="U357" s="46"/>
      <c r="V357" s="229"/>
      <c r="W357" s="46"/>
      <c r="X357" s="212"/>
      <c r="Y357" s="98"/>
    </row>
    <row r="358" spans="1:31" ht="23.95" customHeight="1" x14ac:dyDescent="0.35">
      <c r="A358" s="294"/>
      <c r="B358" s="78"/>
      <c r="C358" s="54" t="s">
        <v>199</v>
      </c>
      <c r="D358" s="93">
        <f t="shared" ref="D358:P358" si="115">IF(((D356="")*AND(D357="")),"",(D356-D357))</f>
        <v>5398.8099999999995</v>
      </c>
      <c r="E358" s="93">
        <f t="shared" si="115"/>
        <v>5396.24</v>
      </c>
      <c r="F358" s="93">
        <f t="shared" si="115"/>
        <v>5418.7099999999991</v>
      </c>
      <c r="G358" s="93">
        <f t="shared" si="115"/>
        <v>5465</v>
      </c>
      <c r="H358" s="93">
        <f t="shared" si="115"/>
        <v>5402.38</v>
      </c>
      <c r="I358" s="93">
        <f t="shared" si="115"/>
        <v>5465.9</v>
      </c>
      <c r="J358" s="93">
        <f t="shared" si="115"/>
        <v>5482.3</v>
      </c>
      <c r="K358" s="93">
        <f t="shared" si="115"/>
        <v>5533.88</v>
      </c>
      <c r="L358" s="93">
        <f t="shared" si="115"/>
        <v>5437.99</v>
      </c>
      <c r="M358" s="93">
        <f t="shared" si="115"/>
        <v>5516.53</v>
      </c>
      <c r="N358" s="93">
        <f t="shared" si="115"/>
        <v>5420.17</v>
      </c>
      <c r="O358" s="93">
        <f t="shared" si="115"/>
        <v>5459.34</v>
      </c>
      <c r="P358" s="93">
        <f t="shared" si="115"/>
        <v>5439.85</v>
      </c>
      <c r="Q358" s="78"/>
      <c r="R358" s="78"/>
      <c r="S358" s="78"/>
      <c r="T358" s="46"/>
      <c r="U358" s="78"/>
      <c r="V358" s="232"/>
      <c r="W358" s="78"/>
      <c r="X358" s="212"/>
      <c r="Y358" s="98"/>
    </row>
    <row r="359" spans="1:31" ht="12.75" customHeight="1" x14ac:dyDescent="0.25">
      <c r="A359" s="92">
        <v>43041</v>
      </c>
      <c r="B359" s="48" t="s">
        <v>204</v>
      </c>
      <c r="C359" s="54" t="s">
        <v>201</v>
      </c>
      <c r="D359" s="35">
        <v>5933.73</v>
      </c>
      <c r="E359" s="35">
        <v>6012.46</v>
      </c>
      <c r="F359" s="35">
        <v>6030</v>
      </c>
      <c r="G359" s="35">
        <v>5978.04</v>
      </c>
      <c r="H359" s="35">
        <v>5896.71</v>
      </c>
      <c r="I359" s="35">
        <v>5921.95</v>
      </c>
      <c r="J359" s="35">
        <v>5993.3</v>
      </c>
      <c r="K359" s="35">
        <v>6027.48</v>
      </c>
      <c r="L359" s="35">
        <v>5862.21</v>
      </c>
      <c r="M359" s="53"/>
      <c r="N359" s="53"/>
      <c r="O359" s="53"/>
      <c r="P359" s="53"/>
      <c r="Q359" s="48">
        <f>IF((L360=""),"",MAX(D361:L361))</f>
        <v>7742.7</v>
      </c>
      <c r="R359" s="48">
        <f>IF(L360="","",MIN(D361:L361))</f>
        <v>7300.66</v>
      </c>
      <c r="S359" s="75">
        <f>IF((L361=""),"",AVERAGE(D361:L361))</f>
        <v>7544.9444444444425</v>
      </c>
      <c r="T359" s="50">
        <f>IF((L360=""),"",(Q359-R359)/(Q359+R359)*100)</f>
        <v>2.9384392848406207</v>
      </c>
      <c r="U359" s="48">
        <f>STDEV(D361:P361)</f>
        <v>126.38280372652687</v>
      </c>
      <c r="V359" s="228" t="str">
        <f>IF(L360="","",IF(T359&lt;9.8,IF(S359&gt;5100,IF(S359&lt;8300,"Pass","Fail"),"Fail"),"Fail"))</f>
        <v>Pass</v>
      </c>
      <c r="W359" s="46">
        <v>1335</v>
      </c>
      <c r="X359" s="212"/>
      <c r="Y359" s="98"/>
      <c r="Z359" s="37">
        <v>4955</v>
      </c>
      <c r="AA359" s="37">
        <v>9645</v>
      </c>
      <c r="AB359" s="37">
        <v>5100</v>
      </c>
      <c r="AC359" s="37">
        <v>8300</v>
      </c>
      <c r="AD359" s="67">
        <v>10</v>
      </c>
      <c r="AE359" s="67">
        <v>9.8000000000000007</v>
      </c>
    </row>
    <row r="360" spans="1:31" ht="12.75" customHeight="1" x14ac:dyDescent="0.35">
      <c r="A360" s="294"/>
      <c r="B360" s="46"/>
      <c r="C360" s="54" t="s">
        <v>200</v>
      </c>
      <c r="D360" s="35">
        <v>2220.63</v>
      </c>
      <c r="E360" s="35">
        <v>2246.1</v>
      </c>
      <c r="F360" s="35">
        <v>2237.29</v>
      </c>
      <c r="G360" s="35">
        <v>2192.33</v>
      </c>
      <c r="H360" s="35">
        <v>2069.02</v>
      </c>
      <c r="I360" s="35">
        <v>2050.6</v>
      </c>
      <c r="J360" s="35">
        <v>2215.63</v>
      </c>
      <c r="K360" s="35">
        <v>2260.15</v>
      </c>
      <c r="L360" s="35">
        <v>2211.88</v>
      </c>
      <c r="M360" s="53"/>
      <c r="N360" s="53"/>
      <c r="O360" s="53"/>
      <c r="P360" s="53"/>
      <c r="Q360" s="46"/>
      <c r="R360" s="46"/>
      <c r="S360" s="46"/>
      <c r="T360" s="46"/>
      <c r="U360" s="46"/>
      <c r="V360" s="229"/>
      <c r="W360" s="46"/>
      <c r="X360" s="212"/>
      <c r="Y360" s="98"/>
    </row>
    <row r="361" spans="1:31" ht="24.8" customHeight="1" thickBot="1" x14ac:dyDescent="0.4">
      <c r="A361" s="294"/>
      <c r="B361" s="42"/>
      <c r="C361" s="74" t="s">
        <v>199</v>
      </c>
      <c r="D361" s="81">
        <f t="shared" ref="D361:L361" si="116">IF(((D359="")*AND(D360="")),"",(D359-D360)*2)</f>
        <v>7426.1999999999989</v>
      </c>
      <c r="E361" s="81">
        <f t="shared" si="116"/>
        <v>7532.72</v>
      </c>
      <c r="F361" s="81">
        <f t="shared" si="116"/>
        <v>7585.42</v>
      </c>
      <c r="G361" s="81">
        <f t="shared" si="116"/>
        <v>7571.42</v>
      </c>
      <c r="H361" s="81">
        <f t="shared" si="116"/>
        <v>7655.38</v>
      </c>
      <c r="I361" s="81">
        <f t="shared" si="116"/>
        <v>7742.7</v>
      </c>
      <c r="J361" s="81">
        <f t="shared" si="116"/>
        <v>7555.34</v>
      </c>
      <c r="K361" s="81">
        <f t="shared" si="116"/>
        <v>7534.6599999999989</v>
      </c>
      <c r="L361" s="81">
        <f t="shared" si="116"/>
        <v>7300.66</v>
      </c>
      <c r="M361" s="81"/>
      <c r="N361" s="81"/>
      <c r="O361" s="81"/>
      <c r="P361" s="81" t="str">
        <f>IF(((P359="")*AND(P360="")),"",(P359-P360)*2)</f>
        <v/>
      </c>
      <c r="Q361" s="42"/>
      <c r="R361" s="42"/>
      <c r="S361" s="42"/>
      <c r="T361" s="42"/>
      <c r="U361" s="42"/>
      <c r="V361" s="230"/>
      <c r="W361" s="42"/>
      <c r="X361" s="212"/>
      <c r="Y361" s="97"/>
    </row>
    <row r="362" spans="1:31" ht="12.75" customHeight="1" x14ac:dyDescent="0.25">
      <c r="A362" s="92">
        <v>43045</v>
      </c>
      <c r="B362" s="55" t="s">
        <v>202</v>
      </c>
      <c r="C362" s="59" t="s">
        <v>201</v>
      </c>
      <c r="D362" s="35">
        <v>7011.84</v>
      </c>
      <c r="E362" s="35">
        <v>7115.4</v>
      </c>
      <c r="F362" s="35">
        <v>6931.72</v>
      </c>
      <c r="G362" s="35">
        <v>7006.17</v>
      </c>
      <c r="H362" s="35">
        <v>7015.29</v>
      </c>
      <c r="I362" s="35">
        <v>7041.09</v>
      </c>
      <c r="J362" s="35">
        <v>7034.17</v>
      </c>
      <c r="K362" s="35">
        <v>6943.99</v>
      </c>
      <c r="L362" s="35">
        <v>6952.35</v>
      </c>
      <c r="M362" s="35">
        <v>7027.58</v>
      </c>
      <c r="N362" s="35">
        <v>7095.38</v>
      </c>
      <c r="O362" s="35">
        <v>6991.14</v>
      </c>
      <c r="P362" s="35">
        <v>7022.03</v>
      </c>
      <c r="Q362" s="48">
        <f>IF((L363=""),"",MAX(D364:P364))</f>
        <v>5441.26</v>
      </c>
      <c r="R362" s="55">
        <f>IF(L363="","",MIN(D364:L364))</f>
        <v>5328.88</v>
      </c>
      <c r="S362" s="51">
        <f>IF((P364=""),"",AVERAGE(D364:P364))</f>
        <v>5392.0230769230775</v>
      </c>
      <c r="T362" s="51">
        <f>IF((L363=""),"",(Q362-R362)/(Q362+R362)*100)</f>
        <v>1.0434404752398774</v>
      </c>
      <c r="U362" s="55">
        <f>STDEV(D364:P364)</f>
        <v>37.388465998802133</v>
      </c>
      <c r="V362" s="231" t="str">
        <f>IF(P363="","",IF(T362&lt;2.7,IF(S362&gt;5150,IF(S362&lt;5600,"Pass","Fail"),"Fail"),"Fail"))</f>
        <v>Pass</v>
      </c>
      <c r="W362" s="55">
        <v>1159</v>
      </c>
      <c r="X362" s="212"/>
      <c r="Y362" s="95"/>
      <c r="Z362" s="251">
        <v>4470</v>
      </c>
      <c r="AA362" s="251">
        <v>6020</v>
      </c>
      <c r="AB362" s="251">
        <v>5150</v>
      </c>
      <c r="AC362" s="251">
        <v>5600</v>
      </c>
      <c r="AD362" s="67">
        <v>10</v>
      </c>
      <c r="AE362" s="252">
        <v>2.7</v>
      </c>
    </row>
    <row r="363" spans="1:31" ht="12.75" customHeight="1" x14ac:dyDescent="0.35">
      <c r="A363" s="294"/>
      <c r="B363" s="46"/>
      <c r="C363" s="54" t="s">
        <v>200</v>
      </c>
      <c r="D363" s="35">
        <v>1659.08</v>
      </c>
      <c r="E363" s="35">
        <v>1718.9</v>
      </c>
      <c r="F363" s="35">
        <v>1602.84</v>
      </c>
      <c r="G363" s="35">
        <v>1637.01</v>
      </c>
      <c r="H363" s="35">
        <v>1590.36</v>
      </c>
      <c r="I363" s="35">
        <v>1599.83</v>
      </c>
      <c r="J363" s="35">
        <v>1645.03</v>
      </c>
      <c r="K363" s="35">
        <v>1526.45</v>
      </c>
      <c r="L363" s="35">
        <v>1614.57</v>
      </c>
      <c r="M363" s="35">
        <v>1592.49</v>
      </c>
      <c r="N363" s="35">
        <v>1667.97</v>
      </c>
      <c r="O363" s="35">
        <v>1618.28</v>
      </c>
      <c r="P363" s="35">
        <v>1619.04</v>
      </c>
      <c r="Q363" s="46"/>
      <c r="R363" s="46"/>
      <c r="S363" s="46"/>
      <c r="T363" s="46"/>
      <c r="U363" s="46"/>
      <c r="V363" s="229"/>
      <c r="W363" s="46"/>
      <c r="X363" s="212"/>
      <c r="Y363" s="98"/>
    </row>
    <row r="364" spans="1:31" ht="23.95" customHeight="1" x14ac:dyDescent="0.35">
      <c r="A364" s="294"/>
      <c r="B364" s="78"/>
      <c r="C364" s="54" t="s">
        <v>199</v>
      </c>
      <c r="D364" s="93">
        <f t="shared" ref="D364:P364" si="117">IF(((D362="")*AND(D363="")),"",(D362-D363))</f>
        <v>5352.76</v>
      </c>
      <c r="E364" s="93">
        <f t="shared" si="117"/>
        <v>5396.5</v>
      </c>
      <c r="F364" s="93">
        <f t="shared" si="117"/>
        <v>5328.88</v>
      </c>
      <c r="G364" s="93">
        <f t="shared" si="117"/>
        <v>5369.16</v>
      </c>
      <c r="H364" s="93">
        <f t="shared" si="117"/>
        <v>5424.93</v>
      </c>
      <c r="I364" s="93">
        <f t="shared" si="117"/>
        <v>5441.26</v>
      </c>
      <c r="J364" s="93">
        <f t="shared" si="117"/>
        <v>5389.14</v>
      </c>
      <c r="K364" s="93">
        <f t="shared" si="117"/>
        <v>5417.54</v>
      </c>
      <c r="L364" s="93">
        <f t="shared" si="117"/>
        <v>5337.7800000000007</v>
      </c>
      <c r="M364" s="93">
        <f t="shared" si="117"/>
        <v>5435.09</v>
      </c>
      <c r="N364" s="93">
        <f t="shared" si="117"/>
        <v>5427.41</v>
      </c>
      <c r="O364" s="93">
        <f t="shared" si="117"/>
        <v>5372.8600000000006</v>
      </c>
      <c r="P364" s="93">
        <f t="shared" si="117"/>
        <v>5402.99</v>
      </c>
      <c r="Q364" s="78"/>
      <c r="R364" s="78"/>
      <c r="S364" s="78"/>
      <c r="T364" s="46"/>
      <c r="U364" s="78"/>
      <c r="V364" s="232"/>
      <c r="W364" s="78"/>
      <c r="X364" s="212"/>
      <c r="Y364" s="98"/>
    </row>
    <row r="365" spans="1:31" ht="12.75" customHeight="1" x14ac:dyDescent="0.25">
      <c r="A365" s="92">
        <v>43045</v>
      </c>
      <c r="B365" s="48" t="s">
        <v>204</v>
      </c>
      <c r="C365" s="54" t="s">
        <v>201</v>
      </c>
      <c r="D365" s="35">
        <v>5929.34</v>
      </c>
      <c r="E365" s="35">
        <v>6007.72</v>
      </c>
      <c r="F365" s="35">
        <v>6023.11</v>
      </c>
      <c r="G365" s="35">
        <v>5975.94</v>
      </c>
      <c r="H365" s="35">
        <v>5906.66</v>
      </c>
      <c r="I365" s="35">
        <v>5958.65</v>
      </c>
      <c r="J365" s="35">
        <v>5986.75</v>
      </c>
      <c r="K365" s="35">
        <v>6028.4</v>
      </c>
      <c r="L365" s="35">
        <v>5857.52</v>
      </c>
      <c r="M365" s="53"/>
      <c r="N365" s="53"/>
      <c r="O365" s="53"/>
      <c r="P365" s="53"/>
      <c r="Q365" s="48">
        <f>IF((L366=""),"",MAX(D367:L367))</f>
        <v>7610.579999999999</v>
      </c>
      <c r="R365" s="48">
        <f>IF(L366="","",MIN(D367:L367))</f>
        <v>7066.920000000001</v>
      </c>
      <c r="S365" s="75">
        <f>IF((L367=""),"",AVERAGE(D367:L367))</f>
        <v>7297.7777777777774</v>
      </c>
      <c r="T365" s="50">
        <f>IF((L366=""),"",(Q365-R365)/(Q365+R365)*100)</f>
        <v>3.7040367910066299</v>
      </c>
      <c r="U365" s="48">
        <f>STDEV(D367:P367)</f>
        <v>149.07642886936986</v>
      </c>
      <c r="V365" s="228" t="str">
        <f>IF(L366="","",IF(T365&lt;9.8,IF(S365&gt;5100,IF(S365&lt;8300,"Pass","Fail"),"Fail"),"Fail"))</f>
        <v>Pass</v>
      </c>
      <c r="W365" s="46">
        <v>1159</v>
      </c>
      <c r="X365" s="212"/>
      <c r="Y365" s="98"/>
      <c r="Z365" s="37">
        <v>4955</v>
      </c>
      <c r="AA365" s="37">
        <v>9645</v>
      </c>
      <c r="AB365" s="37">
        <v>5100</v>
      </c>
      <c r="AC365" s="37">
        <v>8300</v>
      </c>
      <c r="AD365" s="67">
        <v>10</v>
      </c>
      <c r="AE365" s="67">
        <v>9.8000000000000007</v>
      </c>
    </row>
    <row r="366" spans="1:31" ht="12.75" customHeight="1" x14ac:dyDescent="0.35">
      <c r="A366" s="294"/>
      <c r="B366" s="46"/>
      <c r="C366" s="54" t="s">
        <v>200</v>
      </c>
      <c r="D366" s="35">
        <v>2329.21</v>
      </c>
      <c r="E366" s="35">
        <v>2369.77</v>
      </c>
      <c r="F366" s="35">
        <v>2374.59</v>
      </c>
      <c r="G366" s="35">
        <v>2338.2399999999998</v>
      </c>
      <c r="H366" s="35">
        <v>2197.84</v>
      </c>
      <c r="I366" s="35">
        <v>2153.36</v>
      </c>
      <c r="J366" s="35">
        <v>2350.59</v>
      </c>
      <c r="K366" s="35">
        <v>2396.4299999999998</v>
      </c>
      <c r="L366" s="35">
        <v>2324.06</v>
      </c>
      <c r="M366" s="53"/>
      <c r="N366" s="53"/>
      <c r="O366" s="53"/>
      <c r="P366" s="53"/>
      <c r="Q366" s="46"/>
      <c r="R366" s="46"/>
      <c r="S366" s="46"/>
      <c r="T366" s="46"/>
      <c r="U366" s="46"/>
      <c r="V366" s="229"/>
      <c r="W366" s="46"/>
      <c r="X366" s="212"/>
      <c r="Y366" s="98"/>
    </row>
    <row r="367" spans="1:31" ht="24.8" customHeight="1" thickBot="1" x14ac:dyDescent="0.4">
      <c r="A367" s="294"/>
      <c r="B367" s="42"/>
      <c r="C367" s="74" t="s">
        <v>199</v>
      </c>
      <c r="D367" s="81">
        <f t="shared" ref="D367:L367" si="118">IF(((D365="")*AND(D366="")),"",(D365-D366)*2)</f>
        <v>7200.26</v>
      </c>
      <c r="E367" s="81">
        <f t="shared" si="118"/>
        <v>7275.9000000000005</v>
      </c>
      <c r="F367" s="81">
        <f t="shared" si="118"/>
        <v>7297.0399999999991</v>
      </c>
      <c r="G367" s="81">
        <f t="shared" si="118"/>
        <v>7275.4</v>
      </c>
      <c r="H367" s="81">
        <f t="shared" si="118"/>
        <v>7417.6399999999994</v>
      </c>
      <c r="I367" s="81">
        <f t="shared" si="118"/>
        <v>7610.579999999999</v>
      </c>
      <c r="J367" s="81">
        <f t="shared" si="118"/>
        <v>7272.32</v>
      </c>
      <c r="K367" s="81">
        <f t="shared" si="118"/>
        <v>7263.94</v>
      </c>
      <c r="L367" s="81">
        <f t="shared" si="118"/>
        <v>7066.920000000001</v>
      </c>
      <c r="M367" s="81"/>
      <c r="N367" s="81"/>
      <c r="O367" s="81"/>
      <c r="P367" s="81" t="str">
        <f>IF(((P365="")*AND(P366="")),"",(P365-P366)*2)</f>
        <v/>
      </c>
      <c r="Q367" s="42"/>
      <c r="R367" s="42"/>
      <c r="S367" s="42"/>
      <c r="T367" s="42"/>
      <c r="U367" s="42"/>
      <c r="V367" s="230"/>
      <c r="W367" s="42"/>
      <c r="X367" s="212"/>
      <c r="Y367" s="97"/>
    </row>
    <row r="368" spans="1:31" ht="12.75" customHeight="1" x14ac:dyDescent="0.25">
      <c r="A368" s="92">
        <v>43053</v>
      </c>
      <c r="B368" s="55" t="s">
        <v>202</v>
      </c>
      <c r="C368" s="59" t="s">
        <v>201</v>
      </c>
      <c r="D368" s="35">
        <v>6937.55</v>
      </c>
      <c r="E368" s="35">
        <v>7041.94</v>
      </c>
      <c r="F368" s="35">
        <v>6857.25</v>
      </c>
      <c r="G368" s="35">
        <v>6933.28</v>
      </c>
      <c r="H368" s="35">
        <v>6941.76</v>
      </c>
      <c r="I368" s="35">
        <v>6968.57</v>
      </c>
      <c r="J368" s="35">
        <v>6963.78</v>
      </c>
      <c r="K368" s="35">
        <v>6875.96</v>
      </c>
      <c r="L368" s="35">
        <v>6879.25</v>
      </c>
      <c r="M368" s="35">
        <v>6958.56</v>
      </c>
      <c r="N368" s="35">
        <v>7026.1</v>
      </c>
      <c r="O368" s="35">
        <v>6920.63</v>
      </c>
      <c r="P368" s="35">
        <v>6953.41</v>
      </c>
      <c r="Q368" s="48">
        <f>IF((L369=""),"",MAX(D370:P370))</f>
        <v>5437.22</v>
      </c>
      <c r="R368" s="55">
        <f>IF(L369="","",MIN(D370:L370))</f>
        <v>5347.3</v>
      </c>
      <c r="S368" s="51">
        <f>IF((P370=""),"",AVERAGE(D370:P370))</f>
        <v>5389.5276923076926</v>
      </c>
      <c r="T368" s="51">
        <f>IF((L369=""),"",(Q368-R368)/(Q368+R368)*100)</f>
        <v>0.83378768827912664</v>
      </c>
      <c r="U368" s="55">
        <f>STDEV(D370:P370)</f>
        <v>29.132322013485968</v>
      </c>
      <c r="V368" s="231" t="str">
        <f>IF(P369="","",IF(T368&lt;2.7,IF(S368&gt;5150,IF(S368&lt;5600,"Pass","Fail"),"Fail"),"Fail"))</f>
        <v>Pass</v>
      </c>
      <c r="W368" s="55">
        <v>1159</v>
      </c>
      <c r="X368" s="212"/>
      <c r="Y368" s="95"/>
      <c r="Z368" s="251">
        <v>4470</v>
      </c>
      <c r="AA368" s="251">
        <v>6020</v>
      </c>
      <c r="AB368" s="251">
        <v>5150</v>
      </c>
      <c r="AC368" s="251">
        <v>5600</v>
      </c>
      <c r="AD368" s="67">
        <v>10</v>
      </c>
      <c r="AE368" s="252">
        <v>2.7</v>
      </c>
    </row>
    <row r="369" spans="1:31" ht="12.75" customHeight="1" x14ac:dyDescent="0.35">
      <c r="A369" s="294"/>
      <c r="B369" s="46"/>
      <c r="C369" s="54" t="s">
        <v>200</v>
      </c>
      <c r="D369" s="35">
        <v>1582.82</v>
      </c>
      <c r="E369" s="35">
        <v>1669.15</v>
      </c>
      <c r="F369" s="35">
        <v>1509.95</v>
      </c>
      <c r="G369" s="35">
        <v>1549.83</v>
      </c>
      <c r="H369" s="35">
        <v>1560.98</v>
      </c>
      <c r="I369" s="35">
        <v>1545.4</v>
      </c>
      <c r="J369" s="35">
        <v>1562.78</v>
      </c>
      <c r="K369" s="35">
        <v>1438.74</v>
      </c>
      <c r="L369" s="35">
        <v>1521.19</v>
      </c>
      <c r="M369" s="35">
        <v>1522.14</v>
      </c>
      <c r="N369" s="35">
        <v>1631.67</v>
      </c>
      <c r="O369" s="35">
        <v>1537.57</v>
      </c>
      <c r="P369" s="35">
        <v>1561.96</v>
      </c>
      <c r="Q369" s="46"/>
      <c r="R369" s="46"/>
      <c r="S369" s="46"/>
      <c r="T369" s="46"/>
      <c r="U369" s="46"/>
      <c r="V369" s="229"/>
      <c r="W369" s="46"/>
      <c r="X369" s="212"/>
      <c r="Y369" s="98"/>
    </row>
    <row r="370" spans="1:31" ht="23.95" customHeight="1" x14ac:dyDescent="0.35">
      <c r="A370" s="294"/>
      <c r="B370" s="78"/>
      <c r="C370" s="54" t="s">
        <v>199</v>
      </c>
      <c r="D370" s="93">
        <f t="shared" ref="D370:P370" si="119">IF(((D368="")*AND(D369="")),"",(D368-D369))</f>
        <v>5354.7300000000005</v>
      </c>
      <c r="E370" s="93">
        <f t="shared" si="119"/>
        <v>5372.7899999999991</v>
      </c>
      <c r="F370" s="93">
        <f t="shared" si="119"/>
        <v>5347.3</v>
      </c>
      <c r="G370" s="93">
        <f t="shared" si="119"/>
        <v>5383.45</v>
      </c>
      <c r="H370" s="93">
        <f t="shared" si="119"/>
        <v>5380.7800000000007</v>
      </c>
      <c r="I370" s="93">
        <f t="shared" si="119"/>
        <v>5423.17</v>
      </c>
      <c r="J370" s="93">
        <f t="shared" si="119"/>
        <v>5401</v>
      </c>
      <c r="K370" s="93">
        <f t="shared" si="119"/>
        <v>5437.22</v>
      </c>
      <c r="L370" s="93">
        <f t="shared" si="119"/>
        <v>5358.0599999999995</v>
      </c>
      <c r="M370" s="93">
        <f t="shared" si="119"/>
        <v>5436.42</v>
      </c>
      <c r="N370" s="93">
        <f t="shared" si="119"/>
        <v>5394.43</v>
      </c>
      <c r="O370" s="93">
        <f t="shared" si="119"/>
        <v>5383.06</v>
      </c>
      <c r="P370" s="93">
        <f t="shared" si="119"/>
        <v>5391.45</v>
      </c>
      <c r="Q370" s="78"/>
      <c r="R370" s="78"/>
      <c r="S370" s="78"/>
      <c r="T370" s="46"/>
      <c r="U370" s="78"/>
      <c r="V370" s="232"/>
      <c r="W370" s="78"/>
      <c r="X370" s="212"/>
      <c r="Y370" s="98"/>
    </row>
    <row r="371" spans="1:31" ht="12.75" customHeight="1" x14ac:dyDescent="0.25">
      <c r="A371" s="92">
        <v>43053</v>
      </c>
      <c r="B371" s="48" t="s">
        <v>204</v>
      </c>
      <c r="C371" s="54" t="s">
        <v>201</v>
      </c>
      <c r="D371" s="35">
        <v>5936.06</v>
      </c>
      <c r="E371" s="35">
        <v>6014.95</v>
      </c>
      <c r="F371" s="35">
        <v>6029.35</v>
      </c>
      <c r="G371" s="35">
        <v>5990.67</v>
      </c>
      <c r="H371" s="35">
        <v>5894.22</v>
      </c>
      <c r="I371" s="35">
        <v>5938.54</v>
      </c>
      <c r="J371" s="35">
        <v>6000.38</v>
      </c>
      <c r="K371" s="35">
        <v>6024.34</v>
      </c>
      <c r="L371" s="35">
        <v>5861.24</v>
      </c>
      <c r="M371" s="53"/>
      <c r="N371" s="53"/>
      <c r="O371" s="53"/>
      <c r="P371" s="53"/>
      <c r="Q371" s="48">
        <f>IF((L372=""),"",MAX(D373:L373))</f>
        <v>7091.7200000000012</v>
      </c>
      <c r="R371" s="48">
        <f>IF(L372="","",MIN(D373:L373))</f>
        <v>6847.44</v>
      </c>
      <c r="S371" s="75">
        <f>IF((L373=""),"",AVERAGE(D373:L373))</f>
        <v>7029.1511111111122</v>
      </c>
      <c r="T371" s="50">
        <f>IF((L372=""),"",(Q371-R371)/(Q371+R371)*100)</f>
        <v>1.752472889327632</v>
      </c>
      <c r="U371" s="48">
        <f>STDEV(D373:P373)</f>
        <v>76.248868916929808</v>
      </c>
      <c r="V371" s="228" t="str">
        <f>IF(L372="","",IF(T371&lt;9.8,IF(S371&gt;5100,IF(S371&lt;8300,"Pass","Fail"),"Fail"),"Fail"))</f>
        <v>Pass</v>
      </c>
      <c r="W371" s="46">
        <v>1159</v>
      </c>
      <c r="X371" s="212"/>
      <c r="Y371" s="98"/>
      <c r="Z371" s="37">
        <v>4955</v>
      </c>
      <c r="AA371" s="37">
        <v>9645</v>
      </c>
      <c r="AB371" s="37">
        <v>5100</v>
      </c>
      <c r="AC371" s="37">
        <v>8300</v>
      </c>
      <c r="AD371" s="67">
        <v>10</v>
      </c>
      <c r="AE371" s="67">
        <v>9.8000000000000007</v>
      </c>
    </row>
    <row r="372" spans="1:31" ht="12.75" customHeight="1" x14ac:dyDescent="0.35">
      <c r="A372" s="294"/>
      <c r="B372" s="46"/>
      <c r="C372" s="54" t="s">
        <v>200</v>
      </c>
      <c r="D372" s="35">
        <v>2452.12</v>
      </c>
      <c r="E372" s="35">
        <v>2486.86</v>
      </c>
      <c r="F372" s="35">
        <v>2483.4899999999998</v>
      </c>
      <c r="G372" s="35">
        <v>2453.12</v>
      </c>
      <c r="H372" s="35">
        <v>2363.08</v>
      </c>
      <c r="I372" s="35">
        <v>2414</v>
      </c>
      <c r="J372" s="35">
        <v>2471.1999999999998</v>
      </c>
      <c r="K372" s="35">
        <v>2497.1799999999998</v>
      </c>
      <c r="L372" s="35">
        <v>2437.52</v>
      </c>
      <c r="M372" s="53"/>
      <c r="N372" s="53"/>
      <c r="O372" s="53"/>
      <c r="P372" s="53"/>
      <c r="Q372" s="46"/>
      <c r="R372" s="46"/>
      <c r="S372" s="46"/>
      <c r="T372" s="46"/>
      <c r="U372" s="46"/>
      <c r="V372" s="229"/>
      <c r="W372" s="46"/>
      <c r="X372" s="212"/>
      <c r="Y372" s="98"/>
    </row>
    <row r="373" spans="1:31" ht="24.8" customHeight="1" thickBot="1" x14ac:dyDescent="0.4">
      <c r="A373" s="294"/>
      <c r="B373" s="42"/>
      <c r="C373" s="74" t="s">
        <v>199</v>
      </c>
      <c r="D373" s="81">
        <f t="shared" ref="D373:L373" si="120">IF(((D371="")*AND(D372="")),"",(D371-D372)*2)</f>
        <v>6967.880000000001</v>
      </c>
      <c r="E373" s="81">
        <f t="shared" si="120"/>
        <v>7056.1799999999994</v>
      </c>
      <c r="F373" s="81">
        <f t="shared" si="120"/>
        <v>7091.7200000000012</v>
      </c>
      <c r="G373" s="81">
        <f t="shared" si="120"/>
        <v>7075.1</v>
      </c>
      <c r="H373" s="81">
        <f t="shared" si="120"/>
        <v>7062.2800000000007</v>
      </c>
      <c r="I373" s="81">
        <f t="shared" si="120"/>
        <v>7049.08</v>
      </c>
      <c r="J373" s="81">
        <f t="shared" si="120"/>
        <v>7058.3600000000006</v>
      </c>
      <c r="K373" s="81">
        <f t="shared" si="120"/>
        <v>7054.3200000000006</v>
      </c>
      <c r="L373" s="81">
        <f t="shared" si="120"/>
        <v>6847.44</v>
      </c>
      <c r="M373" s="81"/>
      <c r="N373" s="81"/>
      <c r="O373" s="81"/>
      <c r="P373" s="81" t="str">
        <f>IF(((P371="")*AND(P372="")),"",(P371-P372)*2)</f>
        <v/>
      </c>
      <c r="Q373" s="42"/>
      <c r="R373" s="42"/>
      <c r="S373" s="42"/>
      <c r="T373" s="42"/>
      <c r="U373" s="42"/>
      <c r="V373" s="230"/>
      <c r="W373" s="42"/>
      <c r="X373" s="212"/>
      <c r="Y373" s="97"/>
    </row>
    <row r="374" spans="1:31" ht="12.75" customHeight="1" x14ac:dyDescent="0.25">
      <c r="A374" s="92">
        <v>43055</v>
      </c>
      <c r="B374" s="55" t="s">
        <v>202</v>
      </c>
      <c r="C374" s="59" t="s">
        <v>201</v>
      </c>
      <c r="D374" s="35">
        <v>6912.9</v>
      </c>
      <c r="E374" s="35">
        <v>7025.43</v>
      </c>
      <c r="F374" s="35">
        <v>6822.98</v>
      </c>
      <c r="G374" s="35">
        <v>6882.26</v>
      </c>
      <c r="H374" s="35">
        <v>6936.15</v>
      </c>
      <c r="I374" s="35">
        <v>6944.6</v>
      </c>
      <c r="J374" s="35">
        <v>6907.66</v>
      </c>
      <c r="K374" s="35">
        <v>6817.11</v>
      </c>
      <c r="L374" s="35">
        <v>6839.27</v>
      </c>
      <c r="M374" s="35">
        <v>6905.51</v>
      </c>
      <c r="N374" s="35">
        <v>7011.74</v>
      </c>
      <c r="O374" s="35">
        <v>6882.92</v>
      </c>
      <c r="P374" s="35">
        <v>6933.87</v>
      </c>
      <c r="Q374" s="48">
        <f>IF((L375=""),"",MAX(D376:P376))</f>
        <v>5438.87</v>
      </c>
      <c r="R374" s="55">
        <f>IF(L375="","",MIN(D376:L376))</f>
        <v>5345.23</v>
      </c>
      <c r="S374" s="51">
        <f>IF((P376=""),"",AVERAGE(D376:P376))</f>
        <v>5389.1476923076925</v>
      </c>
      <c r="T374" s="51">
        <f>IF((L375=""),"",(Q374-R374)/(Q374+R374)*100)</f>
        <v>0.86831539025046445</v>
      </c>
      <c r="U374" s="55">
        <f>STDEV(D376:P376)</f>
        <v>32.425309598585208</v>
      </c>
      <c r="V374" s="231" t="str">
        <f>IF(P375="","",IF(T374&lt;2.7,IF(S374&gt;5150,IF(S374&lt;5600,"Pass","Fail"),"Fail"),"Fail"))</f>
        <v>Pass</v>
      </c>
      <c r="W374" s="55">
        <v>102</v>
      </c>
      <c r="X374" s="212"/>
      <c r="Y374" s="95"/>
      <c r="Z374" s="251">
        <v>4470</v>
      </c>
      <c r="AA374" s="251">
        <v>6020</v>
      </c>
      <c r="AB374" s="251">
        <v>5150</v>
      </c>
      <c r="AC374" s="251">
        <v>5600</v>
      </c>
      <c r="AD374" s="67">
        <v>10</v>
      </c>
      <c r="AE374" s="252">
        <v>2.7</v>
      </c>
    </row>
    <row r="375" spans="1:31" ht="12.75" customHeight="1" x14ac:dyDescent="0.35">
      <c r="A375" s="294"/>
      <c r="B375" s="46"/>
      <c r="C375" s="54" t="s">
        <v>200</v>
      </c>
      <c r="D375" s="35">
        <v>1561.82</v>
      </c>
      <c r="E375" s="35">
        <v>1658.64</v>
      </c>
      <c r="F375" s="35">
        <v>1477.75</v>
      </c>
      <c r="G375" s="35">
        <v>1464.88</v>
      </c>
      <c r="H375" s="35">
        <v>1567.06</v>
      </c>
      <c r="I375" s="35">
        <v>1528</v>
      </c>
      <c r="J375" s="35">
        <v>1480.35</v>
      </c>
      <c r="K375" s="35">
        <v>1378.24</v>
      </c>
      <c r="L375" s="35">
        <v>1483.14</v>
      </c>
      <c r="M375" s="35">
        <v>1477.18</v>
      </c>
      <c r="N375" s="35">
        <v>1629.56</v>
      </c>
      <c r="O375" s="35">
        <v>1505.67</v>
      </c>
      <c r="P375" s="35">
        <v>1551.19</v>
      </c>
      <c r="Q375" s="46"/>
      <c r="R375" s="46"/>
      <c r="S375" s="46"/>
      <c r="T375" s="46"/>
      <c r="U375" s="46"/>
      <c r="V375" s="229"/>
      <c r="W375" s="46"/>
      <c r="X375" s="212"/>
      <c r="Y375" s="98"/>
    </row>
    <row r="376" spans="1:31" ht="23.95" customHeight="1" x14ac:dyDescent="0.35">
      <c r="A376" s="294"/>
      <c r="B376" s="78"/>
      <c r="C376" s="54" t="s">
        <v>199</v>
      </c>
      <c r="D376" s="93">
        <f t="shared" ref="D376:P376" si="121">IF(((D374="")*AND(D375="")),"",(D374-D375))</f>
        <v>5351.08</v>
      </c>
      <c r="E376" s="93">
        <f t="shared" si="121"/>
        <v>5366.79</v>
      </c>
      <c r="F376" s="93">
        <f t="shared" si="121"/>
        <v>5345.23</v>
      </c>
      <c r="G376" s="93">
        <f t="shared" si="121"/>
        <v>5417.38</v>
      </c>
      <c r="H376" s="93">
        <f t="shared" si="121"/>
        <v>5369.09</v>
      </c>
      <c r="I376" s="93">
        <f t="shared" si="121"/>
        <v>5416.6</v>
      </c>
      <c r="J376" s="93">
        <f t="shared" si="121"/>
        <v>5427.3099999999995</v>
      </c>
      <c r="K376" s="93">
        <f t="shared" si="121"/>
        <v>5438.87</v>
      </c>
      <c r="L376" s="93">
        <f t="shared" si="121"/>
        <v>5356.13</v>
      </c>
      <c r="M376" s="93">
        <f t="shared" si="121"/>
        <v>5428.33</v>
      </c>
      <c r="N376" s="93">
        <f t="shared" si="121"/>
        <v>5382.18</v>
      </c>
      <c r="O376" s="93">
        <f t="shared" si="121"/>
        <v>5377.25</v>
      </c>
      <c r="P376" s="93">
        <f t="shared" si="121"/>
        <v>5382.68</v>
      </c>
      <c r="Q376" s="78"/>
      <c r="R376" s="78"/>
      <c r="S376" s="78"/>
      <c r="T376" s="46"/>
      <c r="U376" s="78"/>
      <c r="V376" s="232"/>
      <c r="W376" s="78"/>
      <c r="X376" s="212"/>
      <c r="Y376" s="98"/>
    </row>
    <row r="377" spans="1:31" ht="12.75" customHeight="1" x14ac:dyDescent="0.25">
      <c r="A377" s="92">
        <v>43055</v>
      </c>
      <c r="B377" s="48" t="s">
        <v>204</v>
      </c>
      <c r="C377" s="54" t="s">
        <v>201</v>
      </c>
      <c r="D377" s="35">
        <v>5945.55</v>
      </c>
      <c r="E377" s="35">
        <v>6014.1</v>
      </c>
      <c r="F377" s="35">
        <v>6031.67</v>
      </c>
      <c r="G377" s="35">
        <v>5977.49</v>
      </c>
      <c r="H377" s="35">
        <v>5905.9</v>
      </c>
      <c r="I377" s="35">
        <v>5939.6</v>
      </c>
      <c r="J377" s="35">
        <v>6000.84</v>
      </c>
      <c r="K377" s="35">
        <v>6032.23</v>
      </c>
      <c r="L377" s="35">
        <v>5868.84</v>
      </c>
      <c r="M377" s="53"/>
      <c r="N377" s="53"/>
      <c r="O377" s="53"/>
      <c r="P377" s="53"/>
      <c r="Q377" s="48">
        <f>IF((L378=""),"",MAX(D379:L379))</f>
        <v>7213.7400000000007</v>
      </c>
      <c r="R377" s="48">
        <f>IF(L378="","",MIN(D379:L379))</f>
        <v>6819.56</v>
      </c>
      <c r="S377" s="75">
        <f>IF((L379=""),"",AVERAGE(D379:L379))</f>
        <v>7054.7688888888888</v>
      </c>
      <c r="T377" s="50">
        <f>IF((L378=""),"",(Q377-R377)/(Q377+R377)*100)</f>
        <v>2.8088902823997222</v>
      </c>
      <c r="U377" s="48">
        <f>STDEV(D379:P379)</f>
        <v>115.32388222354943</v>
      </c>
      <c r="V377" s="228" t="str">
        <f>IF(L378="","",IF(T377&lt;9.8,IF(S377&gt;5100,IF(S377&lt;8300,"Pass","Fail"),"Fail"),"Fail"))</f>
        <v>Pass</v>
      </c>
      <c r="W377" s="46">
        <v>102</v>
      </c>
      <c r="X377" s="212"/>
      <c r="Y377" s="98"/>
      <c r="Z377" s="37">
        <v>4955</v>
      </c>
      <c r="AA377" s="37">
        <v>9645</v>
      </c>
      <c r="AB377" s="37">
        <v>5100</v>
      </c>
      <c r="AC377" s="37">
        <v>8300</v>
      </c>
      <c r="AD377" s="67">
        <v>10</v>
      </c>
      <c r="AE377" s="67">
        <v>9.8000000000000007</v>
      </c>
    </row>
    <row r="378" spans="1:31" ht="12.75" customHeight="1" x14ac:dyDescent="0.35">
      <c r="A378" s="294"/>
      <c r="B378" s="46"/>
      <c r="C378" s="54" t="s">
        <v>200</v>
      </c>
      <c r="D378" s="35">
        <v>2468.83</v>
      </c>
      <c r="E378" s="35">
        <v>2458.83</v>
      </c>
      <c r="F378" s="35">
        <v>2465.83</v>
      </c>
      <c r="G378" s="35">
        <v>2462.83</v>
      </c>
      <c r="H378" s="35">
        <v>2354.62</v>
      </c>
      <c r="I378" s="35">
        <v>2332.73</v>
      </c>
      <c r="J378" s="35">
        <v>2488.1999999999998</v>
      </c>
      <c r="K378" s="35">
        <v>2478.83</v>
      </c>
      <c r="L378" s="35">
        <v>2459.06</v>
      </c>
      <c r="M378" s="53"/>
      <c r="N378" s="53"/>
      <c r="O378" s="53"/>
      <c r="P378" s="53"/>
      <c r="Q378" s="46"/>
      <c r="R378" s="46"/>
      <c r="S378" s="46"/>
      <c r="T378" s="46"/>
      <c r="U378" s="46"/>
      <c r="V378" s="229"/>
      <c r="W378" s="46"/>
      <c r="X378" s="212"/>
      <c r="Y378" s="98"/>
    </row>
    <row r="379" spans="1:31" ht="24.8" customHeight="1" thickBot="1" x14ac:dyDescent="0.4">
      <c r="A379" s="294"/>
      <c r="B379" s="42"/>
      <c r="C379" s="74" t="s">
        <v>199</v>
      </c>
      <c r="D379" s="81">
        <f t="shared" ref="D379:L379" si="122">IF(((D377="")*AND(D378="")),"",(D377-D378)*2)</f>
        <v>6953.4400000000005</v>
      </c>
      <c r="E379" s="81">
        <f t="shared" si="122"/>
        <v>7110.5400000000009</v>
      </c>
      <c r="F379" s="81">
        <f t="shared" si="122"/>
        <v>7131.68</v>
      </c>
      <c r="G379" s="81">
        <f t="shared" si="122"/>
        <v>7029.32</v>
      </c>
      <c r="H379" s="81">
        <f t="shared" si="122"/>
        <v>7102.5599999999995</v>
      </c>
      <c r="I379" s="81">
        <f t="shared" si="122"/>
        <v>7213.7400000000007</v>
      </c>
      <c r="J379" s="81">
        <f t="shared" si="122"/>
        <v>7025.2800000000007</v>
      </c>
      <c r="K379" s="81">
        <f t="shared" si="122"/>
        <v>7106.7999999999993</v>
      </c>
      <c r="L379" s="81">
        <f t="shared" si="122"/>
        <v>6819.56</v>
      </c>
      <c r="M379" s="81"/>
      <c r="N379" s="81"/>
      <c r="O379" s="81"/>
      <c r="P379" s="81" t="str">
        <f>IF(((P377="")*AND(P378="")),"",(P377-P378)*2)</f>
        <v/>
      </c>
      <c r="Q379" s="42"/>
      <c r="R379" s="42"/>
      <c r="S379" s="42"/>
      <c r="T379" s="42"/>
      <c r="U379" s="42"/>
      <c r="V379" s="230"/>
      <c r="W379" s="42"/>
      <c r="X379" s="212"/>
      <c r="Y379" s="97"/>
    </row>
    <row r="380" spans="1:31" ht="12.75" customHeight="1" x14ac:dyDescent="0.25">
      <c r="A380" s="87">
        <v>43063</v>
      </c>
      <c r="B380" s="55" t="s">
        <v>202</v>
      </c>
      <c r="C380" s="59" t="s">
        <v>201</v>
      </c>
      <c r="D380" s="35">
        <v>6669.69</v>
      </c>
      <c r="E380" s="35">
        <v>6774.88</v>
      </c>
      <c r="F380" s="35">
        <v>6628.11</v>
      </c>
      <c r="G380" s="35">
        <v>6718.56</v>
      </c>
      <c r="H380" s="35">
        <v>6660.75</v>
      </c>
      <c r="I380" s="35">
        <v>6723.38</v>
      </c>
      <c r="J380" s="35">
        <v>6743.03</v>
      </c>
      <c r="K380" s="35">
        <v>6643.35</v>
      </c>
      <c r="L380" s="35">
        <v>6649.71</v>
      </c>
      <c r="M380" s="35">
        <v>6737.56</v>
      </c>
      <c r="N380" s="35">
        <v>6753.25</v>
      </c>
      <c r="O380" s="35">
        <v>6692.32</v>
      </c>
      <c r="P380" s="35">
        <v>6672.63</v>
      </c>
      <c r="Q380" s="48">
        <f>IF((L381=""),"",MAX(D382:P382))</f>
        <v>5407.0199999999995</v>
      </c>
      <c r="R380" s="55">
        <f>IF(L381="","",MIN(D382:L382))</f>
        <v>5262.44</v>
      </c>
      <c r="S380" s="51">
        <f>IF((P382=""),"",AVERAGE(D382:P382))</f>
        <v>5321.9446153846156</v>
      </c>
      <c r="T380" s="51">
        <f>IF((L381=""),"",(Q380-R380)/(Q380+R380)*100)</f>
        <v>1.3550826377342429</v>
      </c>
      <c r="U380" s="55">
        <f>STDEV(D382:P382)</f>
        <v>46.112344987610662</v>
      </c>
      <c r="V380" s="231" t="str">
        <f>IF(P381="","",IF(T380&lt;2.7,IF(S380&gt;5150,IF(S380&lt;5600,"Pass","Fail"),"Fail"),"Fail"))</f>
        <v>Pass</v>
      </c>
      <c r="W380" s="55">
        <v>121</v>
      </c>
      <c r="X380" s="212"/>
      <c r="Y380" s="95"/>
      <c r="Z380" s="251">
        <v>4470</v>
      </c>
      <c r="AA380" s="251">
        <v>6020</v>
      </c>
      <c r="AB380" s="251">
        <v>5150</v>
      </c>
      <c r="AC380" s="251">
        <v>5600</v>
      </c>
      <c r="AD380" s="67">
        <v>10</v>
      </c>
      <c r="AE380" s="252">
        <v>2.7</v>
      </c>
    </row>
    <row r="381" spans="1:31" ht="12.75" customHeight="1" x14ac:dyDescent="0.35">
      <c r="A381" s="294"/>
      <c r="B381" s="46"/>
      <c r="C381" s="54" t="s">
        <v>200</v>
      </c>
      <c r="D381" s="35">
        <v>1393.33</v>
      </c>
      <c r="E381" s="35">
        <v>1477.41</v>
      </c>
      <c r="F381" s="35">
        <v>1365.67</v>
      </c>
      <c r="G381" s="35">
        <v>1325.62</v>
      </c>
      <c r="H381" s="35">
        <v>1352.2</v>
      </c>
      <c r="I381" s="35">
        <v>1376.45</v>
      </c>
      <c r="J381" s="35">
        <v>1336.01</v>
      </c>
      <c r="K381" s="35">
        <v>1275.47</v>
      </c>
      <c r="L381" s="35">
        <v>1376.55</v>
      </c>
      <c r="M381" s="35">
        <v>1392.79</v>
      </c>
      <c r="N381" s="35">
        <v>1446.67</v>
      </c>
      <c r="O381" s="35">
        <v>1397.09</v>
      </c>
      <c r="P381" s="35">
        <v>1366.68</v>
      </c>
      <c r="Q381" s="46"/>
      <c r="R381" s="46"/>
      <c r="S381" s="46"/>
      <c r="T381" s="46"/>
      <c r="U381" s="46"/>
      <c r="V381" s="229"/>
      <c r="W381" s="46"/>
      <c r="X381" s="212"/>
      <c r="Y381" s="98"/>
    </row>
    <row r="382" spans="1:31" ht="23.95" customHeight="1" x14ac:dyDescent="0.35">
      <c r="A382" s="294"/>
      <c r="B382" s="78"/>
      <c r="C382" s="54" t="s">
        <v>199</v>
      </c>
      <c r="D382" s="93">
        <f t="shared" ref="D382:P382" si="123">IF(((D380="")*AND(D381="")),"",(D380-D381))</f>
        <v>5276.36</v>
      </c>
      <c r="E382" s="93">
        <f t="shared" si="123"/>
        <v>5297.47</v>
      </c>
      <c r="F382" s="93">
        <f t="shared" si="123"/>
        <v>5262.44</v>
      </c>
      <c r="G382" s="93">
        <f t="shared" si="123"/>
        <v>5392.9400000000005</v>
      </c>
      <c r="H382" s="93">
        <f t="shared" si="123"/>
        <v>5308.55</v>
      </c>
      <c r="I382" s="93">
        <f t="shared" si="123"/>
        <v>5346.93</v>
      </c>
      <c r="J382" s="93">
        <f t="shared" si="123"/>
        <v>5407.0199999999995</v>
      </c>
      <c r="K382" s="93">
        <f t="shared" si="123"/>
        <v>5367.88</v>
      </c>
      <c r="L382" s="93">
        <f t="shared" si="123"/>
        <v>5273.16</v>
      </c>
      <c r="M382" s="93">
        <f t="shared" si="123"/>
        <v>5344.77</v>
      </c>
      <c r="N382" s="93">
        <f t="shared" si="123"/>
        <v>5306.58</v>
      </c>
      <c r="O382" s="93">
        <f t="shared" si="123"/>
        <v>5295.23</v>
      </c>
      <c r="P382" s="93">
        <f t="shared" si="123"/>
        <v>5305.95</v>
      </c>
      <c r="Q382" s="78"/>
      <c r="R382" s="78"/>
      <c r="S382" s="78"/>
      <c r="T382" s="46"/>
      <c r="U382" s="78"/>
      <c r="V382" s="232"/>
      <c r="W382" s="78"/>
      <c r="X382" s="212"/>
      <c r="Y382" s="98"/>
    </row>
    <row r="383" spans="1:31" ht="12.75" customHeight="1" x14ac:dyDescent="0.25">
      <c r="A383" s="87">
        <v>43063</v>
      </c>
      <c r="B383" s="48" t="s">
        <v>204</v>
      </c>
      <c r="C383" s="54" t="s">
        <v>201</v>
      </c>
      <c r="D383" s="35">
        <v>5944.03</v>
      </c>
      <c r="E383" s="35">
        <v>6010.44</v>
      </c>
      <c r="F383" s="35">
        <v>6032.8</v>
      </c>
      <c r="G383" s="35">
        <v>5977.86</v>
      </c>
      <c r="H383" s="35">
        <v>5898.29</v>
      </c>
      <c r="I383" s="35">
        <v>5961.44</v>
      </c>
      <c r="J383" s="35">
        <v>5999.99</v>
      </c>
      <c r="K383" s="35">
        <v>6023.31</v>
      </c>
      <c r="L383" s="35">
        <v>5864.82</v>
      </c>
      <c r="M383" s="53"/>
      <c r="N383" s="53"/>
      <c r="O383" s="53"/>
      <c r="P383" s="53"/>
      <c r="Q383" s="48">
        <f>IF((L384=""),"",MAX(D385:L385))</f>
        <v>7323.2399999999989</v>
      </c>
      <c r="R383" s="48">
        <f>IF(L384="","",MIN(D385:L385))</f>
        <v>6972.5399999999991</v>
      </c>
      <c r="S383" s="75">
        <f>IF((L385=""),"",AVERAGE(D385:L385))</f>
        <v>7139.3088888888888</v>
      </c>
      <c r="T383" s="50">
        <f>IF((L384=""),"",(Q383-R383)/(Q383+R383)*100)</f>
        <v>2.4531714953643653</v>
      </c>
      <c r="U383" s="48">
        <f>STDEV(D385:P385)</f>
        <v>92.511677701310319</v>
      </c>
      <c r="V383" s="228" t="str">
        <f>IF(L384="","",IF(T383&lt;9.8,IF(S383&gt;5100,IF(S383&lt;8300,"Pass","Fail"),"Fail"),"Fail"))</f>
        <v>Pass</v>
      </c>
      <c r="W383" s="46">
        <v>121</v>
      </c>
      <c r="X383" s="212"/>
      <c r="Y383" s="98"/>
      <c r="Z383" s="37">
        <v>4955</v>
      </c>
      <c r="AA383" s="37">
        <v>9645</v>
      </c>
      <c r="AB383" s="37">
        <v>5100</v>
      </c>
      <c r="AC383" s="37">
        <v>8300</v>
      </c>
      <c r="AD383" s="67">
        <v>10</v>
      </c>
      <c r="AE383" s="67">
        <v>9.8000000000000007</v>
      </c>
    </row>
    <row r="384" spans="1:31" ht="12.75" customHeight="1" x14ac:dyDescent="0.35">
      <c r="A384" s="294"/>
      <c r="B384" s="46"/>
      <c r="C384" s="54" t="s">
        <v>200</v>
      </c>
      <c r="D384" s="35">
        <v>2409.15</v>
      </c>
      <c r="E384" s="35">
        <v>2442.86</v>
      </c>
      <c r="F384" s="35">
        <v>2444.16</v>
      </c>
      <c r="G384" s="35">
        <v>2410.48</v>
      </c>
      <c r="H384" s="35">
        <v>2319.87</v>
      </c>
      <c r="I384" s="35">
        <v>2299.8200000000002</v>
      </c>
      <c r="J384" s="35">
        <v>2424.13</v>
      </c>
      <c r="K384" s="35">
        <v>2457.0700000000002</v>
      </c>
      <c r="L384" s="35">
        <v>2378.5500000000002</v>
      </c>
      <c r="M384" s="53"/>
      <c r="N384" s="53"/>
      <c r="O384" s="53"/>
      <c r="P384" s="53"/>
      <c r="Q384" s="46"/>
      <c r="R384" s="46"/>
      <c r="S384" s="46"/>
      <c r="T384" s="46"/>
      <c r="U384" s="46"/>
      <c r="V384" s="229"/>
      <c r="W384" s="46"/>
      <c r="X384" s="212"/>
      <c r="Y384" s="98"/>
    </row>
    <row r="385" spans="1:31" ht="24.8" customHeight="1" thickBot="1" x14ac:dyDescent="0.4">
      <c r="A385" s="294"/>
      <c r="B385" s="42"/>
      <c r="C385" s="74" t="s">
        <v>199</v>
      </c>
      <c r="D385" s="81">
        <f t="shared" ref="D385:L385" si="124">IF(((D383="")*AND(D384="")),"",(D383-D384)*2)</f>
        <v>7069.7599999999993</v>
      </c>
      <c r="E385" s="81">
        <f t="shared" si="124"/>
        <v>7135.1599999999989</v>
      </c>
      <c r="F385" s="81">
        <f t="shared" si="124"/>
        <v>7177.2800000000007</v>
      </c>
      <c r="G385" s="81">
        <f t="shared" si="124"/>
        <v>7134.7599999999993</v>
      </c>
      <c r="H385" s="81">
        <f t="shared" si="124"/>
        <v>7156.84</v>
      </c>
      <c r="I385" s="81">
        <f t="shared" si="124"/>
        <v>7323.2399999999989</v>
      </c>
      <c r="J385" s="81">
        <f t="shared" si="124"/>
        <v>7151.7199999999993</v>
      </c>
      <c r="K385" s="81">
        <f t="shared" si="124"/>
        <v>7132.4800000000005</v>
      </c>
      <c r="L385" s="81">
        <f t="shared" si="124"/>
        <v>6972.5399999999991</v>
      </c>
      <c r="M385" s="81"/>
      <c r="N385" s="81"/>
      <c r="O385" s="81"/>
      <c r="P385" s="81" t="str">
        <f>IF(((P383="")*AND(P384="")),"",(P383-P384)*2)</f>
        <v/>
      </c>
      <c r="Q385" s="42"/>
      <c r="R385" s="42"/>
      <c r="S385" s="42"/>
      <c r="T385" s="42"/>
      <c r="U385" s="42"/>
      <c r="V385" s="230"/>
      <c r="W385" s="42"/>
      <c r="X385" s="212"/>
      <c r="Y385" s="97"/>
    </row>
    <row r="386" spans="1:31" ht="12.75" customHeight="1" x14ac:dyDescent="0.25">
      <c r="A386" s="87">
        <v>42898</v>
      </c>
      <c r="B386" s="55" t="s">
        <v>202</v>
      </c>
      <c r="C386" s="59" t="s">
        <v>201</v>
      </c>
      <c r="D386" s="35">
        <v>6836.03</v>
      </c>
      <c r="E386" s="35">
        <v>6934.16</v>
      </c>
      <c r="F386" s="35">
        <v>6780.4</v>
      </c>
      <c r="G386" s="35">
        <v>6866.61</v>
      </c>
      <c r="H386" s="35">
        <v>6827.02</v>
      </c>
      <c r="I386" s="35">
        <v>6872.19</v>
      </c>
      <c r="J386" s="35">
        <v>6903.17</v>
      </c>
      <c r="K386" s="35">
        <v>6795.39</v>
      </c>
      <c r="L386" s="35">
        <v>6805.27</v>
      </c>
      <c r="M386" s="35">
        <v>6890.24</v>
      </c>
      <c r="N386" s="35">
        <v>6918.03</v>
      </c>
      <c r="O386" s="35">
        <v>6834.5</v>
      </c>
      <c r="P386" s="35">
        <v>6843.4</v>
      </c>
      <c r="Q386" s="48">
        <f>IF((L387=""),"",MAX(D388:P388))</f>
        <v>5567.71</v>
      </c>
      <c r="R386" s="55">
        <f>IF(L387="","",MIN(D388:L388))</f>
        <v>5445.7199999999993</v>
      </c>
      <c r="S386" s="51">
        <f>IF((P388=""),"",AVERAGE(D388:P388))</f>
        <v>5496.086153846155</v>
      </c>
      <c r="T386" s="51">
        <f>IF((L387=""),"",(Q386-R386)/(Q386+R386)*100)</f>
        <v>1.1076476628988488</v>
      </c>
      <c r="U386" s="55">
        <f>STDEV(D388:P388)</f>
        <v>38.95909875293615</v>
      </c>
      <c r="V386" s="231" t="str">
        <f>IF(P387="","",IF(T386&lt;2.7,IF(S386&gt;5150,IF(S386&lt;5600,"Pass","Fail"),"Fail"),"Fail"))</f>
        <v>Pass</v>
      </c>
      <c r="W386" s="55">
        <v>102</v>
      </c>
      <c r="X386" s="212"/>
      <c r="Y386" s="95"/>
      <c r="Z386" s="251">
        <v>4470</v>
      </c>
      <c r="AA386" s="251">
        <v>6020</v>
      </c>
      <c r="AB386" s="251">
        <v>5150</v>
      </c>
      <c r="AC386" s="251">
        <v>5600</v>
      </c>
      <c r="AD386" s="67">
        <v>10</v>
      </c>
      <c r="AE386" s="252">
        <v>2.7</v>
      </c>
    </row>
    <row r="387" spans="1:31" ht="12.75" customHeight="1" x14ac:dyDescent="0.35">
      <c r="A387" s="294"/>
      <c r="B387" s="46"/>
      <c r="C387" s="54" t="s">
        <v>200</v>
      </c>
      <c r="D387" s="35">
        <v>1390.31</v>
      </c>
      <c r="E387" s="35">
        <v>1470.94</v>
      </c>
      <c r="F387" s="35">
        <v>1330.39</v>
      </c>
      <c r="G387" s="35">
        <v>1359.89</v>
      </c>
      <c r="H387" s="35">
        <v>1364.9</v>
      </c>
      <c r="I387" s="35">
        <v>1346.68</v>
      </c>
      <c r="J387" s="35">
        <v>1373.92</v>
      </c>
      <c r="K387" s="35">
        <v>1227.68</v>
      </c>
      <c r="L387" s="35">
        <v>1335.42</v>
      </c>
      <c r="M387" s="35">
        <v>1336.78</v>
      </c>
      <c r="N387" s="35">
        <v>1432.38</v>
      </c>
      <c r="O387" s="35">
        <v>1336.4</v>
      </c>
      <c r="P387" s="35">
        <v>1351.6</v>
      </c>
      <c r="Q387" s="46"/>
      <c r="R387" s="46"/>
      <c r="S387" s="46"/>
      <c r="T387" s="46"/>
      <c r="U387" s="46"/>
      <c r="V387" s="229"/>
      <c r="W387" s="46"/>
      <c r="X387" s="212"/>
      <c r="Y387" s="98"/>
    </row>
    <row r="388" spans="1:31" ht="23.95" customHeight="1" x14ac:dyDescent="0.35">
      <c r="A388" s="294"/>
      <c r="B388" s="78"/>
      <c r="C388" s="54" t="s">
        <v>199</v>
      </c>
      <c r="D388" s="93">
        <f t="shared" ref="D388:P388" si="125">IF(((D386="")*AND(D387="")),"",(D386-D387))</f>
        <v>5445.7199999999993</v>
      </c>
      <c r="E388" s="93">
        <f t="shared" si="125"/>
        <v>5463.2199999999993</v>
      </c>
      <c r="F388" s="93">
        <f t="shared" si="125"/>
        <v>5450.0099999999993</v>
      </c>
      <c r="G388" s="93">
        <f t="shared" si="125"/>
        <v>5506.7199999999993</v>
      </c>
      <c r="H388" s="93">
        <f t="shared" si="125"/>
        <v>5462.1200000000008</v>
      </c>
      <c r="I388" s="93">
        <f t="shared" si="125"/>
        <v>5525.5099999999993</v>
      </c>
      <c r="J388" s="93">
        <f t="shared" si="125"/>
        <v>5529.25</v>
      </c>
      <c r="K388" s="93">
        <f t="shared" si="125"/>
        <v>5567.71</v>
      </c>
      <c r="L388" s="93">
        <f t="shared" si="125"/>
        <v>5469.85</v>
      </c>
      <c r="M388" s="93">
        <f t="shared" si="125"/>
        <v>5553.46</v>
      </c>
      <c r="N388" s="93">
        <f t="shared" si="125"/>
        <v>5485.65</v>
      </c>
      <c r="O388" s="93">
        <f t="shared" si="125"/>
        <v>5498.1</v>
      </c>
      <c r="P388" s="93">
        <f t="shared" si="125"/>
        <v>5491.7999999999993</v>
      </c>
      <c r="Q388" s="78"/>
      <c r="R388" s="78"/>
      <c r="S388" s="78"/>
      <c r="T388" s="46"/>
      <c r="U388" s="78"/>
      <c r="V388" s="232"/>
      <c r="W388" s="78"/>
      <c r="X388" s="212"/>
      <c r="Y388" s="98"/>
    </row>
    <row r="389" spans="1:31" ht="12.75" customHeight="1" x14ac:dyDescent="0.25">
      <c r="A389" s="87">
        <v>42898</v>
      </c>
      <c r="B389" s="48" t="s">
        <v>204</v>
      </c>
      <c r="C389" s="54" t="s">
        <v>201</v>
      </c>
      <c r="D389" s="35">
        <v>5965.78</v>
      </c>
      <c r="E389" s="35">
        <v>6022.37</v>
      </c>
      <c r="F389" s="35">
        <v>6044.18</v>
      </c>
      <c r="G389" s="35">
        <v>5998.87</v>
      </c>
      <c r="H389" s="35">
        <v>5988.87</v>
      </c>
      <c r="I389" s="35">
        <v>5911.71</v>
      </c>
      <c r="J389" s="35">
        <v>5998.7</v>
      </c>
      <c r="K389" s="35">
        <v>6040.65</v>
      </c>
      <c r="L389" s="35">
        <v>5917.45</v>
      </c>
      <c r="M389" s="53"/>
      <c r="N389" s="53"/>
      <c r="O389" s="53"/>
      <c r="P389" s="53"/>
      <c r="Q389" s="48">
        <f>IF((L390=""),"",MAX(D391:L391))</f>
        <v>7416.9</v>
      </c>
      <c r="R389" s="48">
        <f>IF(L390="","",MIN(D391:L391))</f>
        <v>7215.16</v>
      </c>
      <c r="S389" s="75">
        <f>IF((L391=""),"",AVERAGE(D391:L391))</f>
        <v>7336.9266666666663</v>
      </c>
      <c r="T389" s="50">
        <f>IF((L390=""),"",(Q389-R389)/(Q389+R389)*100)</f>
        <v>1.3787532309189532</v>
      </c>
      <c r="U389" s="48">
        <f>STDEV(D391:P391)</f>
        <v>71.139643659495405</v>
      </c>
      <c r="V389" s="228" t="str">
        <f>IF(L390="","",IF(T389&lt;9.8,IF(S389&gt;5100,IF(S389&lt;8300,"Pass","Fail"),"Fail"),"Fail"))</f>
        <v>Pass</v>
      </c>
      <c r="W389" s="46">
        <v>102</v>
      </c>
      <c r="X389" s="212"/>
      <c r="Y389" s="98"/>
      <c r="Z389" s="37">
        <v>4955</v>
      </c>
      <c r="AA389" s="37">
        <v>9645</v>
      </c>
      <c r="AB389" s="37">
        <v>5100</v>
      </c>
      <c r="AC389" s="37">
        <v>8300</v>
      </c>
      <c r="AD389" s="67">
        <v>10</v>
      </c>
      <c r="AE389" s="67">
        <v>9.8000000000000007</v>
      </c>
    </row>
    <row r="390" spans="1:31" ht="12.75" customHeight="1" x14ac:dyDescent="0.35">
      <c r="A390" s="294"/>
      <c r="B390" s="46"/>
      <c r="C390" s="54" t="s">
        <v>200</v>
      </c>
      <c r="D390" s="35">
        <v>2358.1999999999998</v>
      </c>
      <c r="E390" s="35">
        <v>2346</v>
      </c>
      <c r="F390" s="35">
        <v>2340.3200000000002</v>
      </c>
      <c r="G390" s="35">
        <v>2313.0300000000002</v>
      </c>
      <c r="H390" s="35">
        <v>2280.42</v>
      </c>
      <c r="I390" s="35">
        <v>2254.75</v>
      </c>
      <c r="J390" s="35">
        <v>2321.42</v>
      </c>
      <c r="K390" s="35">
        <v>2356.8200000000002</v>
      </c>
      <c r="L390" s="35">
        <v>2301.4499999999998</v>
      </c>
      <c r="M390" s="53"/>
      <c r="N390" s="53"/>
      <c r="O390" s="53"/>
      <c r="P390" s="53"/>
      <c r="Q390" s="46"/>
      <c r="R390" s="46"/>
      <c r="S390" s="46"/>
      <c r="T390" s="46"/>
      <c r="U390" s="46"/>
      <c r="V390" s="229"/>
      <c r="W390" s="46"/>
      <c r="X390" s="212"/>
      <c r="Y390" s="98"/>
    </row>
    <row r="391" spans="1:31" ht="24.8" customHeight="1" thickBot="1" x14ac:dyDescent="0.4">
      <c r="A391" s="294"/>
      <c r="B391" s="42"/>
      <c r="C391" s="74" t="s">
        <v>199</v>
      </c>
      <c r="D391" s="81">
        <f t="shared" ref="D391:L391" si="126">IF(((D389="")*AND(D390="")),"",(D389-D390)*2)</f>
        <v>7215.16</v>
      </c>
      <c r="E391" s="81">
        <f t="shared" si="126"/>
        <v>7352.74</v>
      </c>
      <c r="F391" s="81">
        <f t="shared" si="126"/>
        <v>7407.72</v>
      </c>
      <c r="G391" s="81">
        <f t="shared" si="126"/>
        <v>7371.6799999999994</v>
      </c>
      <c r="H391" s="81">
        <f t="shared" si="126"/>
        <v>7416.9</v>
      </c>
      <c r="I391" s="81">
        <f t="shared" si="126"/>
        <v>7313.92</v>
      </c>
      <c r="J391" s="81">
        <f t="shared" si="126"/>
        <v>7354.5599999999995</v>
      </c>
      <c r="K391" s="81">
        <f t="shared" si="126"/>
        <v>7367.6599999999989</v>
      </c>
      <c r="L391" s="81">
        <f t="shared" si="126"/>
        <v>7232</v>
      </c>
      <c r="M391" s="81"/>
      <c r="N391" s="81"/>
      <c r="O391" s="81"/>
      <c r="P391" s="81" t="str">
        <f>IF(((P389="")*AND(P390="")),"",(P389-P390)*2)</f>
        <v/>
      </c>
      <c r="Q391" s="42"/>
      <c r="R391" s="42"/>
      <c r="S391" s="42"/>
      <c r="T391" s="42"/>
      <c r="U391" s="42"/>
      <c r="V391" s="230"/>
      <c r="W391" s="42"/>
      <c r="X391" s="212"/>
      <c r="Y391" s="97"/>
    </row>
    <row r="392" spans="1:31" ht="12.75" customHeight="1" x14ac:dyDescent="0.25">
      <c r="A392" s="87">
        <v>43080</v>
      </c>
      <c r="B392" s="55" t="s">
        <v>202</v>
      </c>
      <c r="C392" s="59" t="s">
        <v>201</v>
      </c>
      <c r="D392" s="35">
        <v>6886.58</v>
      </c>
      <c r="E392" s="35">
        <v>6980.63</v>
      </c>
      <c r="F392" s="35">
        <v>6807.5</v>
      </c>
      <c r="G392" s="35">
        <v>6878.04</v>
      </c>
      <c r="H392" s="35">
        <v>6889.87</v>
      </c>
      <c r="I392" s="35">
        <v>6914.42</v>
      </c>
      <c r="J392" s="35">
        <v>6912.69</v>
      </c>
      <c r="K392" s="35">
        <v>6804.32</v>
      </c>
      <c r="L392" s="35">
        <v>6827.69</v>
      </c>
      <c r="M392" s="35">
        <v>6906.08</v>
      </c>
      <c r="N392" s="35">
        <v>6965.86</v>
      </c>
      <c r="O392" s="35">
        <v>6865.85</v>
      </c>
      <c r="P392" s="35">
        <v>6901.77</v>
      </c>
      <c r="Q392" s="48">
        <f>IF((L393=""),"",MAX(D394:P394))</f>
        <v>5495.67</v>
      </c>
      <c r="R392" s="55">
        <f>IF(L393="","",MIN(D394:L394))</f>
        <v>5371.27</v>
      </c>
      <c r="S392" s="51">
        <f>IF((P394=""),"",AVERAGE(D394:P394))</f>
        <v>5421.51</v>
      </c>
      <c r="T392" s="51">
        <f>IF((L393=""),"",(Q392-R392)/(Q392+R392)*100)</f>
        <v>1.144756481585429</v>
      </c>
      <c r="U392" s="55">
        <f>STDEV(D394:P394)</f>
        <v>39.172312926351445</v>
      </c>
      <c r="V392" s="231" t="str">
        <f>IF(P393="","",IF(T392&lt;2.7,IF(S392&gt;5150,IF(S392&lt;5600,"Pass","Fail"),"Fail"),"Fail"))</f>
        <v>Pass</v>
      </c>
      <c r="W392" s="55"/>
      <c r="X392" s="212"/>
      <c r="Y392" s="95"/>
      <c r="Z392" s="251">
        <v>4470</v>
      </c>
      <c r="AA392" s="251">
        <v>6020</v>
      </c>
      <c r="AB392" s="251">
        <v>5150</v>
      </c>
      <c r="AC392" s="251">
        <v>5600</v>
      </c>
      <c r="AD392" s="67">
        <v>10</v>
      </c>
      <c r="AE392" s="252">
        <v>2.7</v>
      </c>
    </row>
    <row r="393" spans="1:31" ht="12.75" customHeight="1" x14ac:dyDescent="0.35">
      <c r="A393" s="294"/>
      <c r="B393" s="46"/>
      <c r="C393" s="54" t="s">
        <v>200</v>
      </c>
      <c r="D393" s="35">
        <v>1515.16</v>
      </c>
      <c r="E393" s="35">
        <v>1592.49</v>
      </c>
      <c r="F393" s="35">
        <v>1436.23</v>
      </c>
      <c r="G393" s="35">
        <v>1440.58</v>
      </c>
      <c r="H393" s="35">
        <v>1496.14</v>
      </c>
      <c r="I393" s="35">
        <v>1463.36</v>
      </c>
      <c r="J393" s="35">
        <v>1458.78</v>
      </c>
      <c r="K393" s="35">
        <v>1308.6500000000001</v>
      </c>
      <c r="L393" s="35">
        <v>1437.59</v>
      </c>
      <c r="M393" s="35">
        <v>1432.17</v>
      </c>
      <c r="N393" s="35">
        <v>1553.14</v>
      </c>
      <c r="O393" s="35">
        <v>1444.19</v>
      </c>
      <c r="P393" s="35">
        <v>1483.19</v>
      </c>
      <c r="Q393" s="46"/>
      <c r="R393" s="46"/>
      <c r="S393" s="46"/>
      <c r="T393" s="46"/>
      <c r="U393" s="46"/>
      <c r="V393" s="229"/>
      <c r="W393" s="46"/>
      <c r="X393" s="212"/>
      <c r="Y393" s="98"/>
    </row>
    <row r="394" spans="1:31" ht="23.95" customHeight="1" x14ac:dyDescent="0.35">
      <c r="A394" s="294"/>
      <c r="B394" s="78"/>
      <c r="C394" s="54" t="s">
        <v>199</v>
      </c>
      <c r="D394" s="93">
        <f t="shared" ref="D394:P394" si="127">IF(((D392="")*AND(D393="")),"",(D392-D393))</f>
        <v>5371.42</v>
      </c>
      <c r="E394" s="93">
        <f t="shared" si="127"/>
        <v>5388.14</v>
      </c>
      <c r="F394" s="93">
        <f t="shared" si="127"/>
        <v>5371.27</v>
      </c>
      <c r="G394" s="93">
        <f t="shared" si="127"/>
        <v>5437.46</v>
      </c>
      <c r="H394" s="93">
        <f t="shared" si="127"/>
        <v>5393.73</v>
      </c>
      <c r="I394" s="93">
        <f t="shared" si="127"/>
        <v>5451.06</v>
      </c>
      <c r="J394" s="93">
        <f t="shared" si="127"/>
        <v>5453.91</v>
      </c>
      <c r="K394" s="93">
        <f t="shared" si="127"/>
        <v>5495.67</v>
      </c>
      <c r="L394" s="93">
        <f t="shared" si="127"/>
        <v>5390.0999999999995</v>
      </c>
      <c r="M394" s="93">
        <f t="shared" si="127"/>
        <v>5473.91</v>
      </c>
      <c r="N394" s="93">
        <f t="shared" si="127"/>
        <v>5412.7199999999993</v>
      </c>
      <c r="O394" s="93">
        <f t="shared" si="127"/>
        <v>5421.66</v>
      </c>
      <c r="P394" s="93">
        <f t="shared" si="127"/>
        <v>5418.58</v>
      </c>
      <c r="Q394" s="78"/>
      <c r="R394" s="78"/>
      <c r="S394" s="78"/>
      <c r="T394" s="46"/>
      <c r="U394" s="78"/>
      <c r="V394" s="232"/>
      <c r="W394" s="78"/>
      <c r="X394" s="212"/>
      <c r="Y394" s="98"/>
    </row>
    <row r="395" spans="1:31" ht="12.75" customHeight="1" x14ac:dyDescent="0.25">
      <c r="A395" s="87">
        <v>43080</v>
      </c>
      <c r="B395" s="48" t="s">
        <v>204</v>
      </c>
      <c r="C395" s="54" t="s">
        <v>201</v>
      </c>
      <c r="D395" s="35">
        <v>5954.3</v>
      </c>
      <c r="E395" s="35">
        <v>6020.38</v>
      </c>
      <c r="F395" s="35">
        <v>6037.01</v>
      </c>
      <c r="G395" s="35">
        <v>5988.85</v>
      </c>
      <c r="H395" s="35">
        <v>5929.38</v>
      </c>
      <c r="I395" s="35">
        <v>5917</v>
      </c>
      <c r="J395" s="35">
        <v>5999.98</v>
      </c>
      <c r="K395" s="35">
        <v>6028.26</v>
      </c>
      <c r="L395" s="35">
        <v>5900.4</v>
      </c>
      <c r="M395" s="53"/>
      <c r="N395" s="53"/>
      <c r="O395" s="53"/>
      <c r="P395" s="53"/>
      <c r="Q395" s="48">
        <f>IF((L396=""),"",MAX(D397:L397))</f>
        <v>7287.5800000000008</v>
      </c>
      <c r="R395" s="48">
        <f>IF(L396="","",MIN(D397:L397))</f>
        <v>7081.7199999999993</v>
      </c>
      <c r="S395" s="75">
        <f>IF((L397=""),"",AVERAGE(D397:L397))</f>
        <v>7214.7711111111112</v>
      </c>
      <c r="T395" s="50">
        <f>IF((L396=""),"",(Q395-R395)/(Q395+R395)*100)</f>
        <v>1.4326376371848419</v>
      </c>
      <c r="U395" s="48">
        <f>STDEV(D397:P397)</f>
        <v>73.991047506513539</v>
      </c>
      <c r="V395" s="228" t="str">
        <f>IF(L396="","",IF(T395&lt;9.8,IF(S395&gt;5100,IF(S395&lt;8300,"Pass","Fail"),"Fail"),"Fail"))</f>
        <v>Pass</v>
      </c>
      <c r="W395" s="46"/>
      <c r="X395" s="212"/>
      <c r="Y395" s="98"/>
      <c r="Z395" s="37">
        <v>4955</v>
      </c>
      <c r="AA395" s="37">
        <v>9645</v>
      </c>
      <c r="AB395" s="37">
        <v>5100</v>
      </c>
      <c r="AC395" s="37">
        <v>8300</v>
      </c>
      <c r="AD395" s="67">
        <v>10</v>
      </c>
      <c r="AE395" s="67">
        <v>9.8000000000000007</v>
      </c>
    </row>
    <row r="396" spans="1:31" ht="12.75" customHeight="1" x14ac:dyDescent="0.35">
      <c r="A396" s="294"/>
      <c r="B396" s="46"/>
      <c r="C396" s="54" t="s">
        <v>200</v>
      </c>
      <c r="D396" s="35">
        <v>2407.81</v>
      </c>
      <c r="E396" s="35">
        <v>2401.06</v>
      </c>
      <c r="F396" s="35">
        <v>2393.2199999999998</v>
      </c>
      <c r="G396" s="35">
        <v>2363.08</v>
      </c>
      <c r="H396" s="35">
        <v>2300.17</v>
      </c>
      <c r="I396" s="35">
        <v>2295.41</v>
      </c>
      <c r="J396" s="35">
        <v>2376.56</v>
      </c>
      <c r="K396" s="35">
        <v>2412.2399999999998</v>
      </c>
      <c r="L396" s="35">
        <v>2359.54</v>
      </c>
      <c r="M396" s="53"/>
      <c r="N396" s="53"/>
      <c r="O396" s="53"/>
      <c r="P396" s="53"/>
      <c r="Q396" s="46"/>
      <c r="R396" s="46"/>
      <c r="S396" s="46"/>
      <c r="T396" s="46"/>
      <c r="U396" s="46"/>
      <c r="V396" s="229"/>
      <c r="W396" s="46"/>
      <c r="X396" s="212"/>
      <c r="Y396" s="98"/>
    </row>
    <row r="397" spans="1:31" ht="24.8" customHeight="1" thickBot="1" x14ac:dyDescent="0.4">
      <c r="A397" s="294"/>
      <c r="B397" s="42"/>
      <c r="C397" s="74" t="s">
        <v>199</v>
      </c>
      <c r="D397" s="81">
        <f t="shared" ref="D397:L397" si="128">IF(((D395="")*AND(D396="")),"",(D395-D396)*2)</f>
        <v>7092.9800000000005</v>
      </c>
      <c r="E397" s="81">
        <f t="shared" si="128"/>
        <v>7238.64</v>
      </c>
      <c r="F397" s="81">
        <f t="shared" si="128"/>
        <v>7287.5800000000008</v>
      </c>
      <c r="G397" s="81">
        <f t="shared" si="128"/>
        <v>7251.5400000000009</v>
      </c>
      <c r="H397" s="81">
        <f t="shared" si="128"/>
        <v>7258.42</v>
      </c>
      <c r="I397" s="81">
        <f t="shared" si="128"/>
        <v>7243.18</v>
      </c>
      <c r="J397" s="81">
        <f t="shared" si="128"/>
        <v>7246.8399999999992</v>
      </c>
      <c r="K397" s="81">
        <f t="shared" si="128"/>
        <v>7232.0400000000009</v>
      </c>
      <c r="L397" s="81">
        <f t="shared" si="128"/>
        <v>7081.7199999999993</v>
      </c>
      <c r="M397" s="81"/>
      <c r="N397" s="81"/>
      <c r="O397" s="81"/>
      <c r="P397" s="81" t="str">
        <f>IF(((P395="")*AND(P396="")),"",(P395-P396)*2)</f>
        <v/>
      </c>
      <c r="Q397" s="42"/>
      <c r="R397" s="42"/>
      <c r="S397" s="42"/>
      <c r="T397" s="42"/>
      <c r="U397" s="42"/>
      <c r="V397" s="230"/>
      <c r="W397" s="42"/>
      <c r="X397" s="212"/>
      <c r="Y397" s="97"/>
    </row>
    <row r="398" spans="1:31" ht="12.75" customHeight="1" x14ac:dyDescent="0.25">
      <c r="A398" s="87">
        <v>43091</v>
      </c>
      <c r="B398" s="55" t="s">
        <v>202</v>
      </c>
      <c r="C398" s="59" t="s">
        <v>201</v>
      </c>
      <c r="D398" s="35">
        <v>6912.97</v>
      </c>
      <c r="E398" s="35">
        <v>7018.09</v>
      </c>
      <c r="F398" s="35">
        <v>6825.27</v>
      </c>
      <c r="G398" s="35">
        <v>6885.37</v>
      </c>
      <c r="H398" s="35">
        <v>6930.33</v>
      </c>
      <c r="I398" s="35">
        <v>6941.93</v>
      </c>
      <c r="J398" s="35">
        <v>6914.03</v>
      </c>
      <c r="K398" s="35">
        <v>6812.57</v>
      </c>
      <c r="L398" s="35">
        <v>6843.5</v>
      </c>
      <c r="M398" s="35">
        <v>6911.66</v>
      </c>
      <c r="N398" s="35">
        <v>7002.72</v>
      </c>
      <c r="O398" s="35">
        <v>6886</v>
      </c>
      <c r="P398" s="35">
        <v>6935.66</v>
      </c>
      <c r="Q398" s="48">
        <f>IF((L399=""),"",MAX(D400:P400))</f>
        <v>5458.88</v>
      </c>
      <c r="R398" s="55">
        <f>IF(L399="","",MIN(D400:L400))</f>
        <v>5347.88</v>
      </c>
      <c r="S398" s="51">
        <f>IF((P400=""),"",AVERAGE(D400:P400))</f>
        <v>5416.3138461538465</v>
      </c>
      <c r="T398" s="51">
        <f>IF((L399=""),"",(Q398-R398)/(Q398+R398)*100)</f>
        <v>1.0271348674348277</v>
      </c>
      <c r="U398" s="55">
        <f>STDEV(D400:P400)</f>
        <v>38.018554798602715</v>
      </c>
      <c r="V398" s="231" t="str">
        <f>IF(P399="","",IF(T398&lt;2.7,IF(S398&gt;5150,IF(S398&lt;5600,"Pass","Fail"),"Fail"),"Fail"))</f>
        <v>Pass</v>
      </c>
      <c r="W398" s="55" t="s">
        <v>233</v>
      </c>
      <c r="X398" s="212"/>
      <c r="Y398" s="95"/>
      <c r="Z398" s="251">
        <v>4470</v>
      </c>
      <c r="AA398" s="251">
        <v>6020</v>
      </c>
      <c r="AB398" s="251">
        <v>5150</v>
      </c>
      <c r="AC398" s="251">
        <v>5600</v>
      </c>
      <c r="AD398" s="67">
        <v>10</v>
      </c>
      <c r="AE398" s="252">
        <v>2.7</v>
      </c>
    </row>
    <row r="399" spans="1:31" ht="12.75" customHeight="1" x14ac:dyDescent="0.35">
      <c r="A399" s="294"/>
      <c r="B399" s="46"/>
      <c r="C399" s="54" t="s">
        <v>200</v>
      </c>
      <c r="D399" s="35">
        <v>1547.74</v>
      </c>
      <c r="E399" s="35">
        <v>1610.83</v>
      </c>
      <c r="F399" s="35">
        <v>1477.39</v>
      </c>
      <c r="G399" s="35">
        <v>1492.45</v>
      </c>
      <c r="H399" s="35">
        <v>1489.98</v>
      </c>
      <c r="I399" s="35">
        <v>1491.28</v>
      </c>
      <c r="J399" s="35">
        <v>1497.77</v>
      </c>
      <c r="K399" s="35">
        <v>1355.21</v>
      </c>
      <c r="L399" s="35">
        <v>1476.09</v>
      </c>
      <c r="M399" s="35">
        <v>1452.78</v>
      </c>
      <c r="N399" s="35">
        <v>1556.81</v>
      </c>
      <c r="O399" s="35">
        <v>1470.37</v>
      </c>
      <c r="P399" s="35">
        <v>1489.32</v>
      </c>
      <c r="Q399" s="46"/>
      <c r="R399" s="46"/>
      <c r="S399" s="46"/>
      <c r="T399" s="46"/>
      <c r="U399" s="46"/>
      <c r="V399" s="229"/>
      <c r="W399" s="46"/>
      <c r="X399" s="212"/>
      <c r="Y399" s="98"/>
    </row>
    <row r="400" spans="1:31" ht="23.95" customHeight="1" x14ac:dyDescent="0.35">
      <c r="A400" s="294"/>
      <c r="B400" s="78"/>
      <c r="C400" s="54" t="s">
        <v>199</v>
      </c>
      <c r="D400" s="93">
        <f t="shared" ref="D400:P400" si="129">IF(((D398="")*AND(D399="")),"",(D398-D399))</f>
        <v>5365.2300000000005</v>
      </c>
      <c r="E400" s="93">
        <f t="shared" si="129"/>
        <v>5407.26</v>
      </c>
      <c r="F400" s="93">
        <f t="shared" si="129"/>
        <v>5347.88</v>
      </c>
      <c r="G400" s="93">
        <f t="shared" si="129"/>
        <v>5392.92</v>
      </c>
      <c r="H400" s="93">
        <f t="shared" si="129"/>
        <v>5440.35</v>
      </c>
      <c r="I400" s="93">
        <f t="shared" si="129"/>
        <v>5450.6500000000005</v>
      </c>
      <c r="J400" s="93">
        <f t="shared" si="129"/>
        <v>5416.26</v>
      </c>
      <c r="K400" s="93">
        <f t="shared" si="129"/>
        <v>5457.36</v>
      </c>
      <c r="L400" s="93">
        <f t="shared" si="129"/>
        <v>5367.41</v>
      </c>
      <c r="M400" s="93">
        <f t="shared" si="129"/>
        <v>5458.88</v>
      </c>
      <c r="N400" s="93">
        <f t="shared" si="129"/>
        <v>5445.91</v>
      </c>
      <c r="O400" s="93">
        <f t="shared" si="129"/>
        <v>5415.63</v>
      </c>
      <c r="P400" s="93">
        <f t="shared" si="129"/>
        <v>5446.34</v>
      </c>
      <c r="Q400" s="78"/>
      <c r="R400" s="78"/>
      <c r="S400" s="78"/>
      <c r="T400" s="46"/>
      <c r="U400" s="78"/>
      <c r="V400" s="232"/>
      <c r="W400" s="78"/>
      <c r="X400" s="212"/>
      <c r="Y400" s="98"/>
    </row>
    <row r="401" spans="1:31" ht="12.75" customHeight="1" x14ac:dyDescent="0.25">
      <c r="A401" s="87">
        <v>43091</v>
      </c>
      <c r="B401" s="48" t="s">
        <v>204</v>
      </c>
      <c r="C401" s="54" t="s">
        <v>201</v>
      </c>
      <c r="D401" s="35">
        <v>5959.53</v>
      </c>
      <c r="E401" s="35">
        <v>6015.94</v>
      </c>
      <c r="F401" s="35">
        <v>6035.38</v>
      </c>
      <c r="G401" s="35">
        <v>5989.73</v>
      </c>
      <c r="H401" s="35">
        <v>5917.91</v>
      </c>
      <c r="I401" s="35">
        <v>5925.54</v>
      </c>
      <c r="J401" s="35">
        <v>6008.77</v>
      </c>
      <c r="K401" s="35">
        <v>6035.88</v>
      </c>
      <c r="L401" s="35">
        <v>5875.09</v>
      </c>
      <c r="M401" s="53"/>
      <c r="N401" s="53"/>
      <c r="O401" s="53"/>
      <c r="P401" s="53"/>
      <c r="Q401" s="48">
        <f>IF((L402=""),"",MAX(D403:L403))</f>
        <v>7632.84</v>
      </c>
      <c r="R401" s="48">
        <f>IF(L402="","",MIN(D403:L403))</f>
        <v>7248.88</v>
      </c>
      <c r="S401" s="75">
        <f>IF((L403=""),"",AVERAGE(D403:L403))</f>
        <v>7427.7022222222231</v>
      </c>
      <c r="T401" s="50">
        <f>IF((L402=""),"",(Q401-R401)/(Q401+R401)*100)</f>
        <v>2.5800781092508123</v>
      </c>
      <c r="U401" s="48">
        <f>STDEV(D403:P403)</f>
        <v>110.13034252395859</v>
      </c>
      <c r="V401" s="228" t="str">
        <f>IF(L402="","",IF(T401&lt;9.8,IF(S401&gt;5100,IF(S401&lt;8300,"Pass","Fail"),"Fail"),"Fail"))</f>
        <v>Pass</v>
      </c>
      <c r="W401" s="46" t="s">
        <v>233</v>
      </c>
      <c r="X401" s="212"/>
      <c r="Y401" s="98"/>
      <c r="Z401" s="37">
        <v>4955</v>
      </c>
      <c r="AA401" s="37">
        <v>9645</v>
      </c>
      <c r="AB401" s="37">
        <v>5100</v>
      </c>
      <c r="AC401" s="37">
        <v>8300</v>
      </c>
      <c r="AD401" s="67">
        <v>10</v>
      </c>
      <c r="AE401" s="67">
        <v>9.8000000000000007</v>
      </c>
    </row>
    <row r="402" spans="1:31" ht="12.75" customHeight="1" x14ac:dyDescent="0.35">
      <c r="A402" s="294"/>
      <c r="B402" s="46"/>
      <c r="C402" s="54" t="s">
        <v>200</v>
      </c>
      <c r="D402" s="35">
        <v>2296.41</v>
      </c>
      <c r="E402" s="35">
        <v>2318.4899999999998</v>
      </c>
      <c r="F402" s="35">
        <v>2315.25</v>
      </c>
      <c r="G402" s="35">
        <v>2271.89</v>
      </c>
      <c r="H402" s="35">
        <v>2152.5100000000002</v>
      </c>
      <c r="I402" s="35">
        <v>2109.12</v>
      </c>
      <c r="J402" s="35">
        <v>2289.9899999999998</v>
      </c>
      <c r="K402" s="35">
        <v>2334.8000000000002</v>
      </c>
      <c r="L402" s="35">
        <v>2250.65</v>
      </c>
      <c r="M402" s="53"/>
      <c r="N402" s="53"/>
      <c r="O402" s="53"/>
      <c r="P402" s="53"/>
      <c r="Q402" s="46"/>
      <c r="R402" s="46"/>
      <c r="S402" s="46"/>
      <c r="T402" s="46"/>
      <c r="U402" s="46"/>
      <c r="V402" s="229"/>
      <c r="W402" s="46"/>
      <c r="X402" s="212"/>
      <c r="Y402" s="98"/>
    </row>
    <row r="403" spans="1:31" ht="24.8" customHeight="1" thickBot="1" x14ac:dyDescent="0.4">
      <c r="A403" s="294"/>
      <c r="B403" s="42"/>
      <c r="C403" s="74" t="s">
        <v>199</v>
      </c>
      <c r="D403" s="81">
        <f t="shared" ref="D403:L403" si="130">IF(((D401="")*AND(D402="")),"",(D401-D402)*2)</f>
        <v>7326.24</v>
      </c>
      <c r="E403" s="81">
        <f t="shared" si="130"/>
        <v>7394.9</v>
      </c>
      <c r="F403" s="81">
        <f t="shared" si="130"/>
        <v>7440.26</v>
      </c>
      <c r="G403" s="81">
        <f t="shared" si="130"/>
        <v>7435.6799999999994</v>
      </c>
      <c r="H403" s="81">
        <f t="shared" si="130"/>
        <v>7530.7999999999993</v>
      </c>
      <c r="I403" s="81">
        <f t="shared" si="130"/>
        <v>7632.84</v>
      </c>
      <c r="J403" s="81">
        <f t="shared" si="130"/>
        <v>7437.5600000000013</v>
      </c>
      <c r="K403" s="81">
        <f t="shared" si="130"/>
        <v>7402.16</v>
      </c>
      <c r="L403" s="81">
        <f t="shared" si="130"/>
        <v>7248.88</v>
      </c>
      <c r="M403" s="81"/>
      <c r="N403" s="81"/>
      <c r="O403" s="81"/>
      <c r="P403" s="81" t="str">
        <f>IF(((P401="")*AND(P402="")),"",(P401-P402)*2)</f>
        <v/>
      </c>
      <c r="Q403" s="42"/>
      <c r="R403" s="42"/>
      <c r="S403" s="42"/>
      <c r="T403" s="42"/>
      <c r="U403" s="42"/>
      <c r="V403" s="230"/>
      <c r="W403" s="42"/>
      <c r="X403" s="212"/>
      <c r="Y403" s="97"/>
    </row>
    <row r="404" spans="1:31" ht="12.75" customHeight="1" x14ac:dyDescent="0.25">
      <c r="A404" s="87">
        <v>43096</v>
      </c>
      <c r="B404" s="55" t="s">
        <v>202</v>
      </c>
      <c r="C404" s="59" t="s">
        <v>201</v>
      </c>
      <c r="D404" s="35">
        <v>7034.81</v>
      </c>
      <c r="E404" s="35">
        <v>7140.84</v>
      </c>
      <c r="F404" s="35">
        <v>6950.29</v>
      </c>
      <c r="G404" s="35">
        <v>7013.77</v>
      </c>
      <c r="H404" s="35">
        <v>7055.06</v>
      </c>
      <c r="I404" s="35">
        <v>7066.91</v>
      </c>
      <c r="J404" s="35">
        <v>7045.48</v>
      </c>
      <c r="K404" s="35">
        <v>6945.81</v>
      </c>
      <c r="L404" s="35">
        <v>6973.05</v>
      </c>
      <c r="M404" s="35">
        <v>7042.6</v>
      </c>
      <c r="N404" s="35">
        <v>7124.8</v>
      </c>
      <c r="O404" s="35">
        <v>7016.2</v>
      </c>
      <c r="P404" s="35">
        <v>7059.76</v>
      </c>
      <c r="Q404" s="48">
        <f>IF((L405=""),"",MAX(D406:P406))</f>
        <v>5388.0199999999995</v>
      </c>
      <c r="R404" s="55">
        <f>IF(L405="","",MIN(D406:L406))</f>
        <v>5281.62</v>
      </c>
      <c r="S404" s="51">
        <f>IF((P406=""),"",AVERAGE(D406:P406))</f>
        <v>5344.5523076923082</v>
      </c>
      <c r="T404" s="51">
        <f>IF((L405=""),"",(Q404-R404)/(Q404+R404)*100)</f>
        <v>0.99722202436070606</v>
      </c>
      <c r="U404" s="55">
        <f>STDEV(D406:P406)</f>
        <v>34.366793603187617</v>
      </c>
      <c r="V404" s="231" t="str">
        <f>IF(P405="","",IF(T404&lt;2.7,IF(S404&gt;5150,IF(S404&lt;5600,"Pass","Fail"),"Fail"),"Fail"))</f>
        <v>Pass</v>
      </c>
      <c r="W404" s="55"/>
      <c r="X404" s="212"/>
      <c r="Y404" s="95"/>
      <c r="Z404" s="251">
        <v>4470</v>
      </c>
      <c r="AA404" s="251">
        <v>6020</v>
      </c>
      <c r="AB404" s="251">
        <v>5150</v>
      </c>
      <c r="AC404" s="251">
        <v>5600</v>
      </c>
      <c r="AD404" s="67">
        <v>10</v>
      </c>
      <c r="AE404" s="252">
        <v>2.7</v>
      </c>
    </row>
    <row r="405" spans="1:31" ht="12.75" customHeight="1" x14ac:dyDescent="0.35">
      <c r="A405" s="294"/>
      <c r="B405" s="46"/>
      <c r="C405" s="54" t="s">
        <v>200</v>
      </c>
      <c r="D405" s="35">
        <v>1721.78</v>
      </c>
      <c r="E405" s="35">
        <v>1796.36</v>
      </c>
      <c r="F405" s="35">
        <v>1668.67</v>
      </c>
      <c r="G405" s="35">
        <v>1691.31</v>
      </c>
      <c r="H405" s="35">
        <v>1680.04</v>
      </c>
      <c r="I405" s="35">
        <v>1678.89</v>
      </c>
      <c r="J405" s="35">
        <v>1700.45</v>
      </c>
      <c r="K405" s="35">
        <v>1583.77</v>
      </c>
      <c r="L405" s="35">
        <v>1680.86</v>
      </c>
      <c r="M405" s="35">
        <v>1658.95</v>
      </c>
      <c r="N405" s="35">
        <v>1753.72</v>
      </c>
      <c r="O405" s="35">
        <v>1682.76</v>
      </c>
      <c r="P405" s="35">
        <v>1692.64</v>
      </c>
      <c r="Q405" s="46"/>
      <c r="R405" s="46"/>
      <c r="S405" s="46"/>
      <c r="T405" s="46"/>
      <c r="U405" s="46"/>
      <c r="V405" s="229"/>
      <c r="W405" s="46"/>
      <c r="X405" s="212"/>
      <c r="Y405" s="98"/>
    </row>
    <row r="406" spans="1:31" ht="23.95" customHeight="1" x14ac:dyDescent="0.35">
      <c r="A406" s="294"/>
      <c r="B406" s="78"/>
      <c r="C406" s="54" t="s">
        <v>199</v>
      </c>
      <c r="D406" s="93">
        <f t="shared" ref="D406:P406" si="131">IF(((D404="")*AND(D405="")),"",(D404-D405))</f>
        <v>5313.0300000000007</v>
      </c>
      <c r="E406" s="93">
        <f t="shared" si="131"/>
        <v>5344.4800000000005</v>
      </c>
      <c r="F406" s="93">
        <f t="shared" si="131"/>
        <v>5281.62</v>
      </c>
      <c r="G406" s="93">
        <f t="shared" si="131"/>
        <v>5322.4600000000009</v>
      </c>
      <c r="H406" s="93">
        <f t="shared" si="131"/>
        <v>5375.02</v>
      </c>
      <c r="I406" s="93">
        <f t="shared" si="131"/>
        <v>5388.0199999999995</v>
      </c>
      <c r="J406" s="93">
        <f t="shared" si="131"/>
        <v>5345.03</v>
      </c>
      <c r="K406" s="93">
        <f t="shared" si="131"/>
        <v>5362.0400000000009</v>
      </c>
      <c r="L406" s="93">
        <f t="shared" si="131"/>
        <v>5292.1900000000005</v>
      </c>
      <c r="M406" s="93">
        <f t="shared" si="131"/>
        <v>5383.6500000000005</v>
      </c>
      <c r="N406" s="93">
        <f t="shared" si="131"/>
        <v>5371.08</v>
      </c>
      <c r="O406" s="93">
        <f t="shared" si="131"/>
        <v>5333.44</v>
      </c>
      <c r="P406" s="93">
        <f t="shared" si="131"/>
        <v>5367.12</v>
      </c>
      <c r="Q406" s="78"/>
      <c r="R406" s="78"/>
      <c r="S406" s="78"/>
      <c r="T406" s="46"/>
      <c r="U406" s="78"/>
      <c r="V406" s="232"/>
      <c r="W406" s="78"/>
      <c r="X406" s="212"/>
      <c r="Y406" s="98"/>
    </row>
    <row r="407" spans="1:31" ht="12.75" customHeight="1" x14ac:dyDescent="0.25">
      <c r="A407" s="87">
        <v>43096</v>
      </c>
      <c r="B407" s="48" t="s">
        <v>204</v>
      </c>
      <c r="C407" s="54" t="s">
        <v>201</v>
      </c>
      <c r="D407" s="35">
        <v>5964.69</v>
      </c>
      <c r="E407" s="35">
        <v>6012.02</v>
      </c>
      <c r="F407" s="35">
        <v>6040.63</v>
      </c>
      <c r="G407" s="35">
        <v>5998.28</v>
      </c>
      <c r="H407" s="35">
        <v>5927.56</v>
      </c>
      <c r="I407" s="35">
        <v>5942.84</v>
      </c>
      <c r="J407" s="35">
        <v>6008.51</v>
      </c>
      <c r="K407" s="35">
        <v>6025.75</v>
      </c>
      <c r="L407" s="35">
        <v>5876.08</v>
      </c>
      <c r="M407" s="53"/>
      <c r="N407" s="53"/>
      <c r="O407" s="53"/>
      <c r="P407" s="53"/>
      <c r="Q407" s="48">
        <f>IF((L408=""),"",MAX(D409:L409))</f>
        <v>7191.72</v>
      </c>
      <c r="R407" s="48">
        <f>IF(L408="","",MIN(D409:L409))</f>
        <v>6789.84</v>
      </c>
      <c r="S407" s="75">
        <f>IF((L409=""),"",AVERAGE(D409:L409))</f>
        <v>6992.4155555555562</v>
      </c>
      <c r="T407" s="50">
        <f>IF((L408=""),"",(Q407-R407)/(Q407+R407)*100)</f>
        <v>2.8743573678473648</v>
      </c>
      <c r="U407" s="48">
        <f>STDEV(D409:P409)</f>
        <v>113.64723919998151</v>
      </c>
      <c r="V407" s="228" t="str">
        <f>IF(L408="","",IF(T407&lt;9.8,IF(S407&gt;5100,IF(S407&lt;8300,"Pass","Fail"),"Fail"),"Fail"))</f>
        <v>Pass</v>
      </c>
      <c r="W407" s="46"/>
      <c r="X407" s="212"/>
      <c r="Y407" s="98"/>
      <c r="Z407" s="37">
        <v>4955</v>
      </c>
      <c r="AA407" s="37">
        <v>9645</v>
      </c>
      <c r="AB407" s="37">
        <v>5100</v>
      </c>
      <c r="AC407" s="37">
        <v>8300</v>
      </c>
      <c r="AD407" s="67">
        <v>10</v>
      </c>
      <c r="AE407" s="67">
        <v>9.8000000000000007</v>
      </c>
    </row>
    <row r="408" spans="1:31" ht="12.75" customHeight="1" x14ac:dyDescent="0.35">
      <c r="A408" s="294"/>
      <c r="B408" s="46"/>
      <c r="C408" s="54" t="s">
        <v>200</v>
      </c>
      <c r="D408" s="35">
        <v>2493.64</v>
      </c>
      <c r="E408" s="35">
        <v>2528.4699999999998</v>
      </c>
      <c r="F408" s="35">
        <v>2512.85</v>
      </c>
      <c r="G408" s="35">
        <v>2501.8200000000002</v>
      </c>
      <c r="H408" s="35">
        <v>2389.91</v>
      </c>
      <c r="I408" s="35">
        <v>2346.98</v>
      </c>
      <c r="J408" s="35">
        <v>2501.2600000000002</v>
      </c>
      <c r="K408" s="35">
        <v>2574.4</v>
      </c>
      <c r="L408" s="35">
        <v>2481.16</v>
      </c>
      <c r="M408" s="53"/>
      <c r="N408" s="53"/>
      <c r="O408" s="53"/>
      <c r="P408" s="53"/>
      <c r="Q408" s="46"/>
      <c r="R408" s="46"/>
      <c r="S408" s="46"/>
      <c r="T408" s="46"/>
      <c r="U408" s="46"/>
      <c r="V408" s="229"/>
      <c r="W408" s="46"/>
      <c r="X408" s="212"/>
      <c r="Y408" s="98"/>
    </row>
    <row r="409" spans="1:31" ht="24.8" customHeight="1" thickBot="1" x14ac:dyDescent="0.4">
      <c r="A409" s="294"/>
      <c r="B409" s="42"/>
      <c r="C409" s="74" t="s">
        <v>199</v>
      </c>
      <c r="D409" s="81">
        <f t="shared" ref="D409:L409" si="132">IF(((D407="")*AND(D408="")),"",(D407-D408)*2)</f>
        <v>6942.0999999999995</v>
      </c>
      <c r="E409" s="81">
        <f t="shared" si="132"/>
        <v>6967.1000000000013</v>
      </c>
      <c r="F409" s="81">
        <f t="shared" si="132"/>
        <v>7055.56</v>
      </c>
      <c r="G409" s="81">
        <f t="shared" si="132"/>
        <v>6992.9199999999992</v>
      </c>
      <c r="H409" s="81">
        <f t="shared" si="132"/>
        <v>7075.3000000000011</v>
      </c>
      <c r="I409" s="81">
        <f t="shared" si="132"/>
        <v>7191.72</v>
      </c>
      <c r="J409" s="81">
        <f t="shared" si="132"/>
        <v>7014.5</v>
      </c>
      <c r="K409" s="81">
        <f t="shared" si="132"/>
        <v>6902.7</v>
      </c>
      <c r="L409" s="81">
        <f t="shared" si="132"/>
        <v>6789.84</v>
      </c>
      <c r="M409" s="81"/>
      <c r="N409" s="81"/>
      <c r="O409" s="81"/>
      <c r="P409" s="81" t="str">
        <f>IF(((P407="")*AND(P408="")),"",(P407-P408)*2)</f>
        <v/>
      </c>
      <c r="Q409" s="42"/>
      <c r="R409" s="42"/>
      <c r="S409" s="42"/>
      <c r="T409" s="42"/>
      <c r="U409" s="42"/>
      <c r="V409" s="230"/>
      <c r="W409" s="42"/>
      <c r="X409" s="212"/>
      <c r="Y409" s="97"/>
    </row>
    <row r="410" spans="1:31" ht="12.75" customHeight="1" x14ac:dyDescent="0.25">
      <c r="A410" s="87">
        <v>43100</v>
      </c>
      <c r="B410" s="55" t="s">
        <v>202</v>
      </c>
      <c r="C410" s="59" t="s">
        <v>201</v>
      </c>
      <c r="D410" s="35">
        <v>6937.37</v>
      </c>
      <c r="E410" s="35">
        <v>7049.06</v>
      </c>
      <c r="F410" s="35">
        <v>6864.38</v>
      </c>
      <c r="G410" s="35">
        <v>6940.13</v>
      </c>
      <c r="H410" s="35">
        <v>6942.95</v>
      </c>
      <c r="I410" s="35">
        <v>6972.49</v>
      </c>
      <c r="J410" s="35">
        <v>6971.31</v>
      </c>
      <c r="K410" s="35">
        <v>6883.56</v>
      </c>
      <c r="L410" s="35">
        <v>6888.48</v>
      </c>
      <c r="M410" s="35">
        <v>6965.26</v>
      </c>
      <c r="N410" s="35">
        <v>7030.09</v>
      </c>
      <c r="O410" s="35">
        <v>6929.51</v>
      </c>
      <c r="P410" s="35">
        <v>6951.18</v>
      </c>
      <c r="Q410" s="48">
        <f>IF((L411=""),"",MAX(D412:P412))</f>
        <v>5351.89</v>
      </c>
      <c r="R410" s="55">
        <f>IF(L411="","",MIN(D412:L412))</f>
        <v>5254.58</v>
      </c>
      <c r="S410" s="51">
        <f>IF((P412=""),"",AVERAGE(D412:P412))</f>
        <v>5314.457692307692</v>
      </c>
      <c r="T410" s="51">
        <f>IF((L411=""),"",(Q410-R410)/(Q410+R410)*100)</f>
        <v>0.91745887180183783</v>
      </c>
      <c r="U410" s="55">
        <f>STDEV(D412:P412)</f>
        <v>33.32800552934598</v>
      </c>
      <c r="V410" s="231" t="str">
        <f>IF(P411="","",IF(T410&lt;2.7,IF(S410&gt;5150,IF(S410&lt;5600,"Pass","Fail"),"Fail"),"Fail"))</f>
        <v>Pass</v>
      </c>
      <c r="W410" s="55"/>
      <c r="X410" s="212"/>
      <c r="Y410" s="95"/>
      <c r="Z410" s="251">
        <v>4470</v>
      </c>
      <c r="AA410" s="251">
        <v>6020</v>
      </c>
      <c r="AB410" s="251">
        <v>5150</v>
      </c>
      <c r="AC410" s="251">
        <v>5600</v>
      </c>
      <c r="AD410" s="67">
        <v>10</v>
      </c>
      <c r="AE410" s="252">
        <v>2.7</v>
      </c>
    </row>
    <row r="411" spans="1:31" ht="12.75" customHeight="1" x14ac:dyDescent="0.35">
      <c r="A411" s="294"/>
      <c r="B411" s="46"/>
      <c r="C411" s="54" t="s">
        <v>200</v>
      </c>
      <c r="D411" s="35">
        <v>1656.76</v>
      </c>
      <c r="E411" s="35">
        <v>1733.4</v>
      </c>
      <c r="F411" s="35">
        <v>1609.8</v>
      </c>
      <c r="G411" s="35">
        <v>1648.64</v>
      </c>
      <c r="H411" s="35">
        <v>1601.59</v>
      </c>
      <c r="I411" s="35">
        <v>1621.65</v>
      </c>
      <c r="J411" s="35">
        <v>1664.94</v>
      </c>
      <c r="K411" s="35">
        <v>1531.67</v>
      </c>
      <c r="L411" s="35">
        <v>1621.89</v>
      </c>
      <c r="M411" s="35">
        <v>1620.09</v>
      </c>
      <c r="N411" s="35">
        <v>1683.4</v>
      </c>
      <c r="O411" s="35">
        <v>1622.37</v>
      </c>
      <c r="P411" s="35">
        <v>1621.62</v>
      </c>
      <c r="Q411" s="46"/>
      <c r="R411" s="46"/>
      <c r="S411" s="46"/>
      <c r="T411" s="46"/>
      <c r="U411" s="46"/>
      <c r="V411" s="229"/>
      <c r="W411" s="46"/>
      <c r="X411" s="212"/>
      <c r="Y411" s="98"/>
    </row>
    <row r="412" spans="1:31" ht="23.95" customHeight="1" x14ac:dyDescent="0.35">
      <c r="A412" s="294"/>
      <c r="B412" s="78"/>
      <c r="C412" s="54" t="s">
        <v>199</v>
      </c>
      <c r="D412" s="93">
        <f t="shared" ref="D412:P412" si="133">IF(((D410="")*AND(D411="")),"",(D410-D411))</f>
        <v>5280.61</v>
      </c>
      <c r="E412" s="93">
        <f t="shared" si="133"/>
        <v>5315.66</v>
      </c>
      <c r="F412" s="93">
        <f t="shared" si="133"/>
        <v>5254.58</v>
      </c>
      <c r="G412" s="93">
        <f t="shared" si="133"/>
        <v>5291.49</v>
      </c>
      <c r="H412" s="93">
        <f t="shared" si="133"/>
        <v>5341.36</v>
      </c>
      <c r="I412" s="93">
        <f t="shared" si="133"/>
        <v>5350.84</v>
      </c>
      <c r="J412" s="93">
        <f t="shared" si="133"/>
        <v>5306.3700000000008</v>
      </c>
      <c r="K412" s="93">
        <f t="shared" si="133"/>
        <v>5351.89</v>
      </c>
      <c r="L412" s="93">
        <f t="shared" si="133"/>
        <v>5266.5899999999992</v>
      </c>
      <c r="M412" s="93">
        <f t="shared" si="133"/>
        <v>5345.17</v>
      </c>
      <c r="N412" s="93">
        <f t="shared" si="133"/>
        <v>5346.6900000000005</v>
      </c>
      <c r="O412" s="93">
        <f t="shared" si="133"/>
        <v>5307.14</v>
      </c>
      <c r="P412" s="93">
        <f t="shared" si="133"/>
        <v>5329.56</v>
      </c>
      <c r="Q412" s="78"/>
      <c r="R412" s="78"/>
      <c r="S412" s="78"/>
      <c r="T412" s="46"/>
      <c r="U412" s="78"/>
      <c r="V412" s="232"/>
      <c r="W412" s="78"/>
      <c r="X412" s="212"/>
      <c r="Y412" s="98"/>
    </row>
    <row r="413" spans="1:31" ht="12.75" customHeight="1" x14ac:dyDescent="0.25">
      <c r="A413" s="87">
        <v>43100</v>
      </c>
      <c r="B413" s="48" t="s">
        <v>204</v>
      </c>
      <c r="C413" s="54" t="s">
        <v>201</v>
      </c>
      <c r="D413" s="35">
        <v>5964.69</v>
      </c>
      <c r="E413" s="35">
        <v>6018.39</v>
      </c>
      <c r="F413" s="35">
        <v>6041.73</v>
      </c>
      <c r="G413" s="35">
        <v>5995.82</v>
      </c>
      <c r="H413" s="35">
        <v>5930.28</v>
      </c>
      <c r="I413" s="35">
        <v>5980.29</v>
      </c>
      <c r="J413" s="35">
        <v>6009.31</v>
      </c>
      <c r="K413" s="35">
        <v>6038.14</v>
      </c>
      <c r="L413" s="35">
        <v>5887.56</v>
      </c>
      <c r="M413" s="53"/>
      <c r="N413" s="53"/>
      <c r="O413" s="53"/>
      <c r="P413" s="53"/>
      <c r="Q413" s="48">
        <f>IF((L414=""),"",MAX(D415:L415))</f>
        <v>7499.58</v>
      </c>
      <c r="R413" s="48">
        <f>IF(L414="","",MIN(D415:L415))</f>
        <v>7055.4800000000005</v>
      </c>
      <c r="S413" s="75">
        <f>IF((L415=""),"",AVERAGE(D415:L415))</f>
        <v>7226.2488888888893</v>
      </c>
      <c r="T413" s="50">
        <f>IF((L414=""),"",(Q413-R413)/(Q413+R413)*100)</f>
        <v>3.0511725819062194</v>
      </c>
      <c r="U413" s="48">
        <f>STDEV(D415:P415)</f>
        <v>125.53074169744664</v>
      </c>
      <c r="V413" s="228" t="str">
        <f>IF(L414="","",IF(T413&lt;9.8,IF(S413&gt;5100,IF(S413&lt;8300,"Pass","Fail"),"Fail"),"Fail"))</f>
        <v>Pass</v>
      </c>
      <c r="W413" s="46"/>
      <c r="X413" s="212"/>
      <c r="Y413" s="98"/>
      <c r="Z413" s="37">
        <v>4955</v>
      </c>
      <c r="AA413" s="37">
        <v>9645</v>
      </c>
      <c r="AB413" s="37">
        <v>5100</v>
      </c>
      <c r="AC413" s="37">
        <v>8300</v>
      </c>
      <c r="AD413" s="67">
        <v>10</v>
      </c>
      <c r="AE413" s="67">
        <v>9.8000000000000007</v>
      </c>
    </row>
    <row r="414" spans="1:31" ht="12.75" customHeight="1" x14ac:dyDescent="0.35">
      <c r="A414" s="294"/>
      <c r="B414" s="46"/>
      <c r="C414" s="54" t="s">
        <v>200</v>
      </c>
      <c r="D414" s="35">
        <v>2392.65</v>
      </c>
      <c r="E414" s="35">
        <v>2426.52</v>
      </c>
      <c r="F414" s="35">
        <v>2431.7600000000002</v>
      </c>
      <c r="G414" s="35">
        <v>2389.52</v>
      </c>
      <c r="H414" s="35">
        <v>2265.38</v>
      </c>
      <c r="I414" s="35">
        <v>2230.5</v>
      </c>
      <c r="J414" s="35">
        <v>2401.59</v>
      </c>
      <c r="K414" s="35">
        <v>2450.35</v>
      </c>
      <c r="L414" s="35">
        <v>2359.8200000000002</v>
      </c>
      <c r="M414" s="53"/>
      <c r="N414" s="53"/>
      <c r="O414" s="53"/>
      <c r="P414" s="53"/>
      <c r="Q414" s="46"/>
      <c r="R414" s="46"/>
      <c r="S414" s="46"/>
      <c r="T414" s="46"/>
      <c r="U414" s="46"/>
      <c r="V414" s="229"/>
      <c r="W414" s="46"/>
      <c r="X414" s="212"/>
      <c r="Y414" s="98"/>
    </row>
    <row r="415" spans="1:31" ht="24.8" customHeight="1" thickBot="1" x14ac:dyDescent="0.4">
      <c r="A415" s="294"/>
      <c r="B415" s="42"/>
      <c r="C415" s="74" t="s">
        <v>199</v>
      </c>
      <c r="D415" s="81">
        <f t="shared" ref="D415:L415" si="134">IF(((D413="")*AND(D414="")),"",(D413-D414)*2)</f>
        <v>7144.079999999999</v>
      </c>
      <c r="E415" s="81">
        <f t="shared" si="134"/>
        <v>7183.7400000000007</v>
      </c>
      <c r="F415" s="81">
        <f t="shared" si="134"/>
        <v>7219.9399999999987</v>
      </c>
      <c r="G415" s="81">
        <f t="shared" si="134"/>
        <v>7212.5999999999995</v>
      </c>
      <c r="H415" s="81">
        <f t="shared" si="134"/>
        <v>7329.7999999999993</v>
      </c>
      <c r="I415" s="81">
        <f t="shared" si="134"/>
        <v>7499.58</v>
      </c>
      <c r="J415" s="81">
        <f t="shared" si="134"/>
        <v>7215.4400000000005</v>
      </c>
      <c r="K415" s="81">
        <f t="shared" si="134"/>
        <v>7175.5800000000008</v>
      </c>
      <c r="L415" s="81">
        <f t="shared" si="134"/>
        <v>7055.4800000000005</v>
      </c>
      <c r="M415" s="81"/>
      <c r="N415" s="81"/>
      <c r="O415" s="81"/>
      <c r="P415" s="81" t="str">
        <f>IF(((P413="")*AND(P414="")),"",(P413-P414)*2)</f>
        <v/>
      </c>
      <c r="Q415" s="42"/>
      <c r="R415" s="42"/>
      <c r="S415" s="42"/>
      <c r="T415" s="42"/>
      <c r="U415" s="42"/>
      <c r="V415" s="230"/>
      <c r="W415" s="42"/>
      <c r="X415" s="212"/>
      <c r="Y415" s="97"/>
    </row>
    <row r="416" spans="1:31" ht="12.75" customHeight="1" x14ac:dyDescent="0.25">
      <c r="A416" s="92">
        <v>43105</v>
      </c>
      <c r="B416" s="55" t="s">
        <v>202</v>
      </c>
      <c r="C416" s="59" t="s">
        <v>201</v>
      </c>
      <c r="D416" s="35">
        <v>6904.68</v>
      </c>
      <c r="E416" s="35">
        <v>7018.6</v>
      </c>
      <c r="F416" s="35">
        <v>6817.37</v>
      </c>
      <c r="G416" s="35">
        <v>6882.13</v>
      </c>
      <c r="H416" s="35">
        <v>6927.97</v>
      </c>
      <c r="I416" s="35">
        <v>6939.23</v>
      </c>
      <c r="J416" s="35">
        <v>6909.38</v>
      </c>
      <c r="K416" s="35">
        <v>6819.54</v>
      </c>
      <c r="L416" s="35">
        <v>6836.31</v>
      </c>
      <c r="M416" s="35">
        <v>6907.36</v>
      </c>
      <c r="N416" s="35">
        <v>7006.3</v>
      </c>
      <c r="O416" s="35">
        <v>6883.16</v>
      </c>
      <c r="P416" s="35">
        <v>6929.43</v>
      </c>
      <c r="Q416" s="48">
        <f>IF((L417=""),"",MAX(D418:P418))</f>
        <v>5391.57</v>
      </c>
      <c r="R416" s="55">
        <f>IF(L417="","",MIN(D418:L418))</f>
        <v>5287.33</v>
      </c>
      <c r="S416" s="51">
        <f>IF((P418=""),"",AVERAGE(D418:P418))</f>
        <v>5346.7238461538454</v>
      </c>
      <c r="T416" s="51">
        <f>IF((L417=""),"",(Q416-R416)/(Q416+R416)*100)</f>
        <v>0.97613050033242921</v>
      </c>
      <c r="U416" s="55">
        <f>STDEV(D418:P418)</f>
        <v>33.455323826077048</v>
      </c>
      <c r="V416" s="231" t="str">
        <f>IF(P417="","",IF(T416&lt;2.7,IF(S416&gt;5150,IF(S416&lt;5600,"Pass","Fail"),"Fail"),"Fail"))</f>
        <v>Pass</v>
      </c>
      <c r="W416" s="55">
        <v>1335</v>
      </c>
      <c r="X416" s="212"/>
      <c r="Y416" s="95"/>
      <c r="Z416" s="251">
        <v>4470</v>
      </c>
      <c r="AA416" s="251">
        <v>6020</v>
      </c>
      <c r="AB416" s="251">
        <v>5150</v>
      </c>
      <c r="AC416" s="251">
        <v>5600</v>
      </c>
      <c r="AD416" s="67">
        <v>10</v>
      </c>
      <c r="AE416" s="252">
        <v>2.7</v>
      </c>
    </row>
    <row r="417" spans="1:31" ht="12.75" customHeight="1" x14ac:dyDescent="0.35">
      <c r="A417" s="294"/>
      <c r="B417" s="46"/>
      <c r="C417" s="54" t="s">
        <v>200</v>
      </c>
      <c r="D417" s="35">
        <v>1598.25</v>
      </c>
      <c r="E417" s="35">
        <v>1677.51</v>
      </c>
      <c r="F417" s="35">
        <v>1530.04</v>
      </c>
      <c r="G417" s="35">
        <v>1552.66</v>
      </c>
      <c r="H417" s="35">
        <v>1567.22</v>
      </c>
      <c r="I417" s="35">
        <v>1557.18</v>
      </c>
      <c r="J417" s="35">
        <v>1565</v>
      </c>
      <c r="K417" s="35">
        <v>1427.97</v>
      </c>
      <c r="L417" s="35">
        <v>1536</v>
      </c>
      <c r="M417" s="35">
        <v>1527.41</v>
      </c>
      <c r="N417" s="35">
        <v>1629.4</v>
      </c>
      <c r="O417" s="35">
        <v>1540.2</v>
      </c>
      <c r="P417" s="35">
        <v>1565.21</v>
      </c>
      <c r="Q417" s="46"/>
      <c r="R417" s="46"/>
      <c r="S417" s="46"/>
      <c r="T417" s="46"/>
      <c r="U417" s="46"/>
      <c r="V417" s="229"/>
      <c r="W417" s="46"/>
      <c r="X417" s="212"/>
      <c r="Y417" s="98"/>
    </row>
    <row r="418" spans="1:31" ht="23.95" customHeight="1" x14ac:dyDescent="0.35">
      <c r="A418" s="294"/>
      <c r="B418" s="78"/>
      <c r="C418" s="54" t="s">
        <v>199</v>
      </c>
      <c r="D418" s="93">
        <f t="shared" ref="D418:P418" si="135">IF(((D416="")*AND(D417="")),"",(D416-D417))</f>
        <v>5306.43</v>
      </c>
      <c r="E418" s="93">
        <f t="shared" si="135"/>
        <v>5341.09</v>
      </c>
      <c r="F418" s="93">
        <f t="shared" si="135"/>
        <v>5287.33</v>
      </c>
      <c r="G418" s="93">
        <f t="shared" si="135"/>
        <v>5329.47</v>
      </c>
      <c r="H418" s="93">
        <f t="shared" si="135"/>
        <v>5360.75</v>
      </c>
      <c r="I418" s="93">
        <f t="shared" si="135"/>
        <v>5382.0499999999993</v>
      </c>
      <c r="J418" s="93">
        <f t="shared" si="135"/>
        <v>5344.38</v>
      </c>
      <c r="K418" s="93">
        <f t="shared" si="135"/>
        <v>5391.57</v>
      </c>
      <c r="L418" s="93">
        <f t="shared" si="135"/>
        <v>5300.31</v>
      </c>
      <c r="M418" s="93">
        <f t="shared" si="135"/>
        <v>5379.95</v>
      </c>
      <c r="N418" s="93">
        <f t="shared" si="135"/>
        <v>5376.9</v>
      </c>
      <c r="O418" s="93">
        <f t="shared" si="135"/>
        <v>5342.96</v>
      </c>
      <c r="P418" s="93">
        <f t="shared" si="135"/>
        <v>5364.22</v>
      </c>
      <c r="Q418" s="78"/>
      <c r="R418" s="78"/>
      <c r="S418" s="78"/>
      <c r="T418" s="46"/>
      <c r="U418" s="78"/>
      <c r="V418" s="232"/>
      <c r="W418" s="78"/>
      <c r="X418" s="212"/>
      <c r="Y418" s="98"/>
    </row>
    <row r="419" spans="1:31" ht="12.75" customHeight="1" x14ac:dyDescent="0.25">
      <c r="A419" s="92">
        <v>43105</v>
      </c>
      <c r="B419" s="48" t="s">
        <v>204</v>
      </c>
      <c r="C419" s="54" t="s">
        <v>201</v>
      </c>
      <c r="D419" s="35">
        <v>5871.28</v>
      </c>
      <c r="E419" s="35">
        <v>5986.31</v>
      </c>
      <c r="F419" s="35">
        <v>6027.43</v>
      </c>
      <c r="G419" s="35">
        <v>5975.47</v>
      </c>
      <c r="H419" s="35">
        <v>5800.84</v>
      </c>
      <c r="I419" s="35">
        <v>5826.36</v>
      </c>
      <c r="J419" s="35">
        <v>6000.38</v>
      </c>
      <c r="K419" s="35">
        <v>6017.32</v>
      </c>
      <c r="L419" s="35">
        <v>5902.69</v>
      </c>
      <c r="M419" s="53"/>
      <c r="N419" s="53"/>
      <c r="O419" s="53"/>
      <c r="P419" s="53"/>
      <c r="Q419" s="48">
        <f>IF((L420=""),"",MAX(D421:L421))</f>
        <v>6902.38</v>
      </c>
      <c r="R419" s="48">
        <f>IF(L420="","",MIN(D421:L421))</f>
        <v>6760.619999999999</v>
      </c>
      <c r="S419" s="75">
        <f>IF((L421=""),"",AVERAGE(D421:L421))</f>
        <v>6842.2133333333322</v>
      </c>
      <c r="T419" s="50">
        <f>IF((L420=""),"",(Q419-R419)/(Q419+R419)*100)</f>
        <v>1.0375466588597024</v>
      </c>
      <c r="U419" s="48">
        <f>STDEV(D421:P421)</f>
        <v>50.106346903361818</v>
      </c>
      <c r="V419" s="228" t="str">
        <f>IF(L420="","",IF(T419&lt;9.8,IF(S419&gt;5100,IF(S419&lt;8300,"Pass","Fail"),"Fail"),"Fail"))</f>
        <v>Pass</v>
      </c>
      <c r="W419" s="46">
        <v>1335</v>
      </c>
      <c r="X419" s="212"/>
      <c r="Y419" s="98"/>
      <c r="Z419" s="37">
        <v>4955</v>
      </c>
      <c r="AA419" s="37">
        <v>9645</v>
      </c>
      <c r="AB419" s="37">
        <v>5100</v>
      </c>
      <c r="AC419" s="37">
        <v>8300</v>
      </c>
      <c r="AD419" s="67">
        <v>10</v>
      </c>
      <c r="AE419" s="67">
        <v>9.8000000000000007</v>
      </c>
    </row>
    <row r="420" spans="1:31" ht="12.75" customHeight="1" x14ac:dyDescent="0.35">
      <c r="A420" s="294"/>
      <c r="B420" s="46"/>
      <c r="C420" s="54" t="s">
        <v>200</v>
      </c>
      <c r="D420" s="35">
        <v>2448.67</v>
      </c>
      <c r="E420" s="35">
        <v>2560.9899999999998</v>
      </c>
      <c r="F420" s="35">
        <v>2622.84</v>
      </c>
      <c r="G420" s="35">
        <v>2524.2800000000002</v>
      </c>
      <c r="H420" s="35">
        <v>2367.08</v>
      </c>
      <c r="I420" s="35">
        <v>2384.7399999999998</v>
      </c>
      <c r="J420" s="35">
        <v>2557.62</v>
      </c>
      <c r="K420" s="35">
        <v>2637.01</v>
      </c>
      <c r="L420" s="35">
        <v>2514.89</v>
      </c>
      <c r="M420" s="53"/>
      <c r="N420" s="53"/>
      <c r="O420" s="53"/>
      <c r="P420" s="53"/>
      <c r="Q420" s="46"/>
      <c r="R420" s="46"/>
      <c r="S420" s="46"/>
      <c r="T420" s="46"/>
      <c r="U420" s="46"/>
      <c r="V420" s="229"/>
      <c r="W420" s="46"/>
      <c r="X420" s="212"/>
      <c r="Y420" s="98"/>
    </row>
    <row r="421" spans="1:31" ht="24.8" customHeight="1" thickBot="1" x14ac:dyDescent="0.4">
      <c r="A421" s="294"/>
      <c r="B421" s="42"/>
      <c r="C421" s="74" t="s">
        <v>199</v>
      </c>
      <c r="D421" s="81">
        <f t="shared" ref="D421:L421" si="136">IF(((D419="")*AND(D420="")),"",(D419-D420)*2)</f>
        <v>6845.2199999999993</v>
      </c>
      <c r="E421" s="81">
        <f t="shared" si="136"/>
        <v>6850.6400000000012</v>
      </c>
      <c r="F421" s="81">
        <f t="shared" si="136"/>
        <v>6809.18</v>
      </c>
      <c r="G421" s="81">
        <f t="shared" si="136"/>
        <v>6902.38</v>
      </c>
      <c r="H421" s="81">
        <f t="shared" si="136"/>
        <v>6867.52</v>
      </c>
      <c r="I421" s="81">
        <f t="shared" si="136"/>
        <v>6883.24</v>
      </c>
      <c r="J421" s="81">
        <f t="shared" si="136"/>
        <v>6885.52</v>
      </c>
      <c r="K421" s="81">
        <f t="shared" si="136"/>
        <v>6760.619999999999</v>
      </c>
      <c r="L421" s="81">
        <f t="shared" si="136"/>
        <v>6775.5999999999995</v>
      </c>
      <c r="M421" s="81"/>
      <c r="N421" s="81"/>
      <c r="O421" s="81"/>
      <c r="P421" s="81" t="str">
        <f>IF(((P419="")*AND(P420="")),"",(P419-P420)*2)</f>
        <v/>
      </c>
      <c r="Q421" s="42"/>
      <c r="R421" s="42"/>
      <c r="S421" s="42"/>
      <c r="T421" s="42"/>
      <c r="U421" s="42"/>
      <c r="V421" s="230"/>
      <c r="W421" s="42"/>
      <c r="X421" s="212"/>
      <c r="Y421" s="97"/>
    </row>
    <row r="422" spans="1:31" ht="12.75" customHeight="1" x14ac:dyDescent="0.25">
      <c r="A422" s="92">
        <v>43108</v>
      </c>
      <c r="B422" s="55" t="s">
        <v>202</v>
      </c>
      <c r="C422" s="59" t="s">
        <v>201</v>
      </c>
      <c r="D422" s="35">
        <v>6714.42</v>
      </c>
      <c r="E422" s="35">
        <v>6855.19</v>
      </c>
      <c r="F422" s="35">
        <v>6642.44</v>
      </c>
      <c r="G422" s="35">
        <v>6705.39</v>
      </c>
      <c r="H422" s="35">
        <v>6765.05</v>
      </c>
      <c r="I422" s="35">
        <v>6752.76</v>
      </c>
      <c r="J422" s="35">
        <v>6764.4</v>
      </c>
      <c r="K422" s="35">
        <v>6696.2</v>
      </c>
      <c r="L422" s="35">
        <v>6733.53</v>
      </c>
      <c r="M422" s="35">
        <v>6818</v>
      </c>
      <c r="N422" s="35">
        <v>6893.43</v>
      </c>
      <c r="O422" s="35">
        <v>6813.8</v>
      </c>
      <c r="P422" s="35">
        <v>6874.98</v>
      </c>
      <c r="Q422" s="48">
        <f>IF((L423=""),"",MAX(D424:P424))</f>
        <v>5344.74</v>
      </c>
      <c r="R422" s="55">
        <f>IF(L423="","",MIN(D424:L424))</f>
        <v>5220.58</v>
      </c>
      <c r="S422" s="51">
        <f>IF((P424=""),"",AVERAGE(D424:P424))</f>
        <v>5283.3376923076921</v>
      </c>
      <c r="T422" s="51">
        <f>IF((L423=""),"",(Q422-R422)/(Q422+R422)*100)</f>
        <v>1.175165541602146</v>
      </c>
      <c r="U422" s="55">
        <f>STDEV(D424:P424)</f>
        <v>44.846800732019041</v>
      </c>
      <c r="V422" s="231" t="str">
        <f>IF(P423="","",IF(T422&lt;2.7,IF(S422&gt;5150,IF(S422&lt;5600,"Pass","Fail"),"Fail"),"Fail"))</f>
        <v>Pass</v>
      </c>
      <c r="W422" s="55">
        <v>1335</v>
      </c>
      <c r="X422" s="212"/>
      <c r="Y422" s="95"/>
      <c r="Z422" s="251">
        <v>4470</v>
      </c>
      <c r="AA422" s="251">
        <v>6020</v>
      </c>
      <c r="AB422" s="251">
        <v>5150</v>
      </c>
      <c r="AC422" s="251">
        <v>5600</v>
      </c>
      <c r="AD422" s="67">
        <v>10</v>
      </c>
      <c r="AE422" s="252">
        <v>2.7</v>
      </c>
    </row>
    <row r="423" spans="1:31" ht="12.75" customHeight="1" x14ac:dyDescent="0.35">
      <c r="A423" s="294"/>
      <c r="B423" s="46"/>
      <c r="C423" s="54" t="s">
        <v>200</v>
      </c>
      <c r="D423" s="35">
        <v>1492.61</v>
      </c>
      <c r="E423" s="35">
        <v>1608.24</v>
      </c>
      <c r="F423" s="35">
        <v>1421.86</v>
      </c>
      <c r="G423" s="35">
        <v>1360.65</v>
      </c>
      <c r="H423" s="35">
        <v>1493.44</v>
      </c>
      <c r="I423" s="35">
        <v>1436.44</v>
      </c>
      <c r="J423" s="35">
        <v>1429.31</v>
      </c>
      <c r="K423" s="35">
        <v>1357.93</v>
      </c>
      <c r="L423" s="35">
        <v>1503.49</v>
      </c>
      <c r="M423" s="35">
        <v>1496.89</v>
      </c>
      <c r="N423" s="35">
        <v>1612.54</v>
      </c>
      <c r="O423" s="35">
        <v>1541.49</v>
      </c>
      <c r="P423" s="35">
        <v>1591.31</v>
      </c>
      <c r="Q423" s="46"/>
      <c r="R423" s="46"/>
      <c r="S423" s="46"/>
      <c r="T423" s="46"/>
      <c r="U423" s="46"/>
      <c r="V423" s="229"/>
      <c r="W423" s="46"/>
      <c r="X423" s="212"/>
      <c r="Y423" s="98"/>
    </row>
    <row r="424" spans="1:31" ht="23.95" customHeight="1" x14ac:dyDescent="0.35">
      <c r="A424" s="294"/>
      <c r="B424" s="78"/>
      <c r="C424" s="54" t="s">
        <v>199</v>
      </c>
      <c r="D424" s="93">
        <f t="shared" ref="D424:P424" si="137">IF(((D422="")*AND(D423="")),"",(D422-D423))</f>
        <v>5221.8100000000004</v>
      </c>
      <c r="E424" s="93">
        <f t="shared" si="137"/>
        <v>5246.95</v>
      </c>
      <c r="F424" s="93">
        <f t="shared" si="137"/>
        <v>5220.58</v>
      </c>
      <c r="G424" s="93">
        <f t="shared" si="137"/>
        <v>5344.74</v>
      </c>
      <c r="H424" s="93">
        <f t="shared" si="137"/>
        <v>5271.6100000000006</v>
      </c>
      <c r="I424" s="93">
        <f t="shared" si="137"/>
        <v>5316.32</v>
      </c>
      <c r="J424" s="93">
        <f t="shared" si="137"/>
        <v>5335.09</v>
      </c>
      <c r="K424" s="93">
        <f t="shared" si="137"/>
        <v>5338.2699999999995</v>
      </c>
      <c r="L424" s="93">
        <f t="shared" si="137"/>
        <v>5230.04</v>
      </c>
      <c r="M424" s="93">
        <f t="shared" si="137"/>
        <v>5321.11</v>
      </c>
      <c r="N424" s="93">
        <f t="shared" si="137"/>
        <v>5280.89</v>
      </c>
      <c r="O424" s="93">
        <f t="shared" si="137"/>
        <v>5272.31</v>
      </c>
      <c r="P424" s="93">
        <f t="shared" si="137"/>
        <v>5283.67</v>
      </c>
      <c r="Q424" s="78"/>
      <c r="R424" s="78"/>
      <c r="S424" s="78"/>
      <c r="T424" s="46"/>
      <c r="U424" s="78"/>
      <c r="V424" s="232"/>
      <c r="W424" s="78"/>
      <c r="X424" s="212"/>
      <c r="Y424" s="98"/>
    </row>
    <row r="425" spans="1:31" ht="12.75" customHeight="1" x14ac:dyDescent="0.25">
      <c r="A425" s="92">
        <v>43108</v>
      </c>
      <c r="B425" s="48" t="s">
        <v>204</v>
      </c>
      <c r="C425" s="54" t="s">
        <v>201</v>
      </c>
      <c r="D425" s="35">
        <v>5805.2</v>
      </c>
      <c r="E425" s="35">
        <v>5989.59</v>
      </c>
      <c r="F425" s="35">
        <v>6019.04</v>
      </c>
      <c r="G425" s="35">
        <v>5976.25</v>
      </c>
      <c r="H425" s="35">
        <v>5710.36</v>
      </c>
      <c r="I425" s="35">
        <v>5771.39</v>
      </c>
      <c r="J425" s="35">
        <v>5993.43</v>
      </c>
      <c r="K425" s="35">
        <v>6011.63</v>
      </c>
      <c r="L425" s="35">
        <v>5880.21</v>
      </c>
      <c r="M425" s="53"/>
      <c r="N425" s="53"/>
      <c r="O425" s="53"/>
      <c r="P425" s="53"/>
      <c r="Q425" s="48">
        <f>IF((L426=""),"",MAX(D427:L427))</f>
        <v>6896.1</v>
      </c>
      <c r="R425" s="48">
        <f>IF(L426="","",MIN(D427:L427))</f>
        <v>6761.64</v>
      </c>
      <c r="S425" s="75">
        <f>IF((L427=""),"",AVERAGE(D427:L427))</f>
        <v>6840.5777777777776</v>
      </c>
      <c r="T425" s="50">
        <f>IF((L426=""),"",(Q425-R425)/(Q425+R425)*100)</f>
        <v>0.98449670296842684</v>
      </c>
      <c r="U425" s="48">
        <f>STDEV(D427:P427)</f>
        <v>52.25485952946817</v>
      </c>
      <c r="V425" s="228" t="str">
        <f>IF(L426="","",IF(T425&lt;9.8,IF(S425&gt;5100,IF(S425&lt;8300,"Pass","Fail"),"Fail"),"Fail"))</f>
        <v>Pass</v>
      </c>
      <c r="W425" s="46">
        <v>1335</v>
      </c>
      <c r="X425" s="212"/>
      <c r="Y425" s="98"/>
      <c r="Z425" s="37">
        <v>4955</v>
      </c>
      <c r="AA425" s="37">
        <v>9645</v>
      </c>
      <c r="AB425" s="37">
        <v>5100</v>
      </c>
      <c r="AC425" s="37">
        <v>8300</v>
      </c>
      <c r="AD425" s="67">
        <v>10</v>
      </c>
      <c r="AE425" s="67">
        <v>9.8000000000000007</v>
      </c>
    </row>
    <row r="426" spans="1:31" ht="12.75" customHeight="1" x14ac:dyDescent="0.35">
      <c r="A426" s="294"/>
      <c r="B426" s="46"/>
      <c r="C426" s="54" t="s">
        <v>200</v>
      </c>
      <c r="D426" s="35">
        <v>2385.83</v>
      </c>
      <c r="E426" s="35">
        <v>2541.54</v>
      </c>
      <c r="F426" s="35">
        <v>2622.71</v>
      </c>
      <c r="G426" s="35">
        <v>2528.7600000000002</v>
      </c>
      <c r="H426" s="35">
        <v>2280.3200000000002</v>
      </c>
      <c r="I426" s="35">
        <v>2341.46</v>
      </c>
      <c r="J426" s="35">
        <v>2550.04</v>
      </c>
      <c r="K426" s="35">
        <v>2630.81</v>
      </c>
      <c r="L426" s="35">
        <v>2493.0300000000002</v>
      </c>
      <c r="M426" s="53"/>
      <c r="N426" s="53"/>
      <c r="O426" s="53"/>
      <c r="P426" s="53"/>
      <c r="Q426" s="46"/>
      <c r="R426" s="46"/>
      <c r="S426" s="46"/>
      <c r="T426" s="46"/>
      <c r="U426" s="46"/>
      <c r="V426" s="229"/>
      <c r="W426" s="46"/>
      <c r="X426" s="212"/>
      <c r="Y426" s="98"/>
    </row>
    <row r="427" spans="1:31" ht="24.8" customHeight="1" thickBot="1" x14ac:dyDescent="0.4">
      <c r="A427" s="294"/>
      <c r="B427" s="42"/>
      <c r="C427" s="74" t="s">
        <v>199</v>
      </c>
      <c r="D427" s="81">
        <f t="shared" ref="D427:L427" si="138">IF(((D425="")*AND(D426="")),"",(D425-D426)*2)</f>
        <v>6838.74</v>
      </c>
      <c r="E427" s="81">
        <f t="shared" si="138"/>
        <v>6896.1</v>
      </c>
      <c r="F427" s="81">
        <f t="shared" si="138"/>
        <v>6792.66</v>
      </c>
      <c r="G427" s="81">
        <f t="shared" si="138"/>
        <v>6894.98</v>
      </c>
      <c r="H427" s="81">
        <f t="shared" si="138"/>
        <v>6860.079999999999</v>
      </c>
      <c r="I427" s="81">
        <f t="shared" si="138"/>
        <v>6859.8600000000006</v>
      </c>
      <c r="J427" s="81">
        <f t="shared" si="138"/>
        <v>6886.7800000000007</v>
      </c>
      <c r="K427" s="81">
        <f t="shared" si="138"/>
        <v>6761.64</v>
      </c>
      <c r="L427" s="81">
        <f t="shared" si="138"/>
        <v>6774.36</v>
      </c>
      <c r="M427" s="81"/>
      <c r="N427" s="81"/>
      <c r="O427" s="81"/>
      <c r="P427" s="81" t="str">
        <f>IF(((P425="")*AND(P426="")),"",(P425-P426)*2)</f>
        <v/>
      </c>
      <c r="Q427" s="42"/>
      <c r="R427" s="42"/>
      <c r="S427" s="42"/>
      <c r="T427" s="42"/>
      <c r="U427" s="42"/>
      <c r="V427" s="230"/>
      <c r="W427" s="42"/>
      <c r="X427" s="212"/>
      <c r="Y427" s="97"/>
    </row>
    <row r="428" spans="1:31" ht="12.75" customHeight="1" x14ac:dyDescent="0.25">
      <c r="A428" s="92">
        <v>43114</v>
      </c>
      <c r="B428" s="55" t="s">
        <v>202</v>
      </c>
      <c r="C428" s="59" t="s">
        <v>201</v>
      </c>
      <c r="D428" s="35">
        <v>6781.67</v>
      </c>
      <c r="E428" s="35">
        <v>6922.14</v>
      </c>
      <c r="F428" s="35">
        <v>6697.75</v>
      </c>
      <c r="G428" s="35">
        <v>6754.09</v>
      </c>
      <c r="H428" s="35">
        <v>6846.12</v>
      </c>
      <c r="I428" s="35">
        <v>6819.65</v>
      </c>
      <c r="J428" s="35">
        <v>6812.74</v>
      </c>
      <c r="K428" s="35">
        <v>6734.32</v>
      </c>
      <c r="L428" s="35">
        <v>6789.69</v>
      </c>
      <c r="M428" s="35">
        <v>6863.36</v>
      </c>
      <c r="N428" s="35">
        <v>6966.22</v>
      </c>
      <c r="O428" s="35">
        <v>6864.1</v>
      </c>
      <c r="P428" s="35">
        <v>6945.87</v>
      </c>
      <c r="Q428" s="48">
        <f>IF((L429=""),"",MAX(D430:P430))</f>
        <v>5354.84</v>
      </c>
      <c r="R428" s="55">
        <f>IF(L429="","",MIN(D430:L430))</f>
        <v>5238.8099999999995</v>
      </c>
      <c r="S428" s="51">
        <f>IF((P430=""),"",AVERAGE(D430:P430))</f>
        <v>5299.2784615384608</v>
      </c>
      <c r="T428" s="51">
        <f>IF((L429=""),"",(Q428-R428)/(Q428+R428)*100)</f>
        <v>1.0952787754928721</v>
      </c>
      <c r="U428" s="55">
        <f>STDEV(D430:P430)</f>
        <v>39.378185764488471</v>
      </c>
      <c r="V428" s="231" t="str">
        <f>IF(P429="","",IF(T428&lt;2.7,IF(S428&gt;5150,IF(S428&lt;5600,"Pass","Fail"),"Fail"),"Fail"))</f>
        <v>Pass</v>
      </c>
      <c r="W428" s="55">
        <v>1335</v>
      </c>
      <c r="X428" s="212"/>
      <c r="Y428" s="95"/>
      <c r="Z428" s="251">
        <v>4470</v>
      </c>
      <c r="AA428" s="251">
        <v>6020</v>
      </c>
      <c r="AB428" s="251">
        <v>5150</v>
      </c>
      <c r="AC428" s="251">
        <v>5600</v>
      </c>
      <c r="AD428" s="67">
        <v>10</v>
      </c>
      <c r="AE428" s="252">
        <v>2.7</v>
      </c>
    </row>
    <row r="429" spans="1:31" ht="12.75" customHeight="1" x14ac:dyDescent="0.35">
      <c r="A429" s="294"/>
      <c r="B429" s="46"/>
      <c r="C429" s="54" t="s">
        <v>200</v>
      </c>
      <c r="D429" s="35">
        <v>1539.46</v>
      </c>
      <c r="E429" s="35">
        <v>1657.4</v>
      </c>
      <c r="F429" s="35">
        <v>1458.94</v>
      </c>
      <c r="G429" s="35">
        <v>1421.79</v>
      </c>
      <c r="H429" s="35">
        <v>1556.91</v>
      </c>
      <c r="I429" s="35">
        <v>1481.69</v>
      </c>
      <c r="J429" s="35">
        <v>1489.06</v>
      </c>
      <c r="K429" s="35">
        <v>1379.48</v>
      </c>
      <c r="L429" s="35">
        <v>1536.66</v>
      </c>
      <c r="M429" s="35">
        <v>1520.9</v>
      </c>
      <c r="N429" s="35">
        <v>1662.72</v>
      </c>
      <c r="O429" s="35">
        <v>1565.91</v>
      </c>
      <c r="P429" s="35">
        <v>1636.18</v>
      </c>
      <c r="Q429" s="46"/>
      <c r="R429" s="46"/>
      <c r="S429" s="46"/>
      <c r="T429" s="46"/>
      <c r="U429" s="46"/>
      <c r="V429" s="229"/>
      <c r="W429" s="46"/>
      <c r="X429" s="212"/>
      <c r="Y429" s="98"/>
    </row>
    <row r="430" spans="1:31" ht="23.95" customHeight="1" x14ac:dyDescent="0.35">
      <c r="A430" s="294"/>
      <c r="B430" s="78"/>
      <c r="C430" s="54" t="s">
        <v>199</v>
      </c>
      <c r="D430" s="93">
        <f t="shared" ref="D430:P430" si="139">IF(((D428="")*AND(D429="")),"",(D428-D429))</f>
        <v>5242.21</v>
      </c>
      <c r="E430" s="93">
        <f t="shared" si="139"/>
        <v>5264.74</v>
      </c>
      <c r="F430" s="93">
        <f t="shared" si="139"/>
        <v>5238.8099999999995</v>
      </c>
      <c r="G430" s="93">
        <f t="shared" si="139"/>
        <v>5332.3</v>
      </c>
      <c r="H430" s="93">
        <f t="shared" si="139"/>
        <v>5289.21</v>
      </c>
      <c r="I430" s="93">
        <f t="shared" si="139"/>
        <v>5337.9599999999991</v>
      </c>
      <c r="J430" s="93">
        <f t="shared" si="139"/>
        <v>5323.68</v>
      </c>
      <c r="K430" s="93">
        <f t="shared" si="139"/>
        <v>5354.84</v>
      </c>
      <c r="L430" s="93">
        <f t="shared" si="139"/>
        <v>5253.03</v>
      </c>
      <c r="M430" s="93">
        <f t="shared" si="139"/>
        <v>5342.4599999999991</v>
      </c>
      <c r="N430" s="93">
        <f t="shared" si="139"/>
        <v>5303.5</v>
      </c>
      <c r="O430" s="93">
        <f t="shared" si="139"/>
        <v>5298.1900000000005</v>
      </c>
      <c r="P430" s="93">
        <f t="shared" si="139"/>
        <v>5309.69</v>
      </c>
      <c r="Q430" s="78"/>
      <c r="R430" s="78"/>
      <c r="S430" s="78"/>
      <c r="T430" s="46"/>
      <c r="U430" s="78"/>
      <c r="V430" s="232"/>
      <c r="W430" s="78"/>
      <c r="X430" s="212"/>
      <c r="Y430" s="98"/>
    </row>
    <row r="431" spans="1:31" ht="12.75" customHeight="1" x14ac:dyDescent="0.25">
      <c r="A431" s="92">
        <v>43114</v>
      </c>
      <c r="B431" s="48" t="s">
        <v>204</v>
      </c>
      <c r="C431" s="54" t="s">
        <v>201</v>
      </c>
      <c r="D431" s="35">
        <v>5834.11</v>
      </c>
      <c r="E431" s="35">
        <v>6004.2</v>
      </c>
      <c r="F431" s="35">
        <v>6033.5</v>
      </c>
      <c r="G431" s="35">
        <v>5992.31</v>
      </c>
      <c r="H431" s="35">
        <v>5739.43</v>
      </c>
      <c r="I431" s="35">
        <v>5757.98</v>
      </c>
      <c r="J431" s="35">
        <v>6008.73</v>
      </c>
      <c r="K431" s="35">
        <v>6024.58</v>
      </c>
      <c r="L431" s="35">
        <v>5893.13</v>
      </c>
      <c r="M431" s="53"/>
      <c r="N431" s="53"/>
      <c r="O431" s="53"/>
      <c r="P431" s="53"/>
      <c r="Q431" s="48">
        <f>IF((L432=""),"",MAX(D433:L433))</f>
        <v>7155.0399999999991</v>
      </c>
      <c r="R431" s="48">
        <f>IF(L432="","",MIN(D433:L433))</f>
        <v>6925.84</v>
      </c>
      <c r="S431" s="75">
        <f>IF((L433=""),"",AVERAGE(D433:L433))</f>
        <v>7007.0844444444438</v>
      </c>
      <c r="T431" s="50">
        <f>IF((L432=""),"",(Q431-R431)/(Q431+R431)*100)</f>
        <v>1.6277391753924393</v>
      </c>
      <c r="U431" s="48">
        <f>STDEV(D433:P433)</f>
        <v>62.249477730963669</v>
      </c>
      <c r="V431" s="228" t="str">
        <f>IF(L432="","",IF(T431&lt;9.8,IF(S431&gt;5100,IF(S431&lt;8300,"Pass","Fail"),"Fail"),"Fail"))</f>
        <v>Pass</v>
      </c>
      <c r="W431" s="46">
        <v>1335</v>
      </c>
      <c r="X431" s="212"/>
      <c r="Y431" s="98"/>
      <c r="Z431" s="37">
        <v>4955</v>
      </c>
      <c r="AA431" s="37">
        <v>9645</v>
      </c>
      <c r="AB431" s="37">
        <v>5100</v>
      </c>
      <c r="AC431" s="37">
        <v>8300</v>
      </c>
      <c r="AD431" s="67">
        <v>10</v>
      </c>
      <c r="AE431" s="67">
        <v>9.8000000000000007</v>
      </c>
    </row>
    <row r="432" spans="1:31" ht="12.75" customHeight="1" x14ac:dyDescent="0.35">
      <c r="A432" s="294"/>
      <c r="B432" s="46"/>
      <c r="C432" s="54" t="s">
        <v>200</v>
      </c>
      <c r="D432" s="35">
        <v>2347.27</v>
      </c>
      <c r="E432" s="35">
        <v>2493.8000000000002</v>
      </c>
      <c r="F432" s="35">
        <v>2531.94</v>
      </c>
      <c r="G432" s="35">
        <v>2493.1799999999998</v>
      </c>
      <c r="H432" s="35">
        <v>2236.83</v>
      </c>
      <c r="I432" s="35">
        <v>2253.98</v>
      </c>
      <c r="J432" s="35">
        <v>2431.21</v>
      </c>
      <c r="K432" s="35">
        <v>2537.67</v>
      </c>
      <c r="L432" s="35">
        <v>2430.21</v>
      </c>
      <c r="M432" s="53"/>
      <c r="N432" s="53"/>
      <c r="O432" s="53"/>
      <c r="P432" s="53"/>
      <c r="Q432" s="46"/>
      <c r="R432" s="46"/>
      <c r="S432" s="46"/>
      <c r="T432" s="46"/>
      <c r="U432" s="46"/>
      <c r="V432" s="229"/>
      <c r="W432" s="46"/>
      <c r="X432" s="212"/>
      <c r="Y432" s="98"/>
    </row>
    <row r="433" spans="1:31" ht="24.8" customHeight="1" thickBot="1" x14ac:dyDescent="0.4">
      <c r="A433" s="294"/>
      <c r="B433" s="42"/>
      <c r="C433" s="74" t="s">
        <v>199</v>
      </c>
      <c r="D433" s="81">
        <f t="shared" ref="D433:L433" si="140">IF(((D431="")*AND(D432="")),"",(D431-D432)*2)</f>
        <v>6973.6799999999994</v>
      </c>
      <c r="E433" s="81">
        <f t="shared" si="140"/>
        <v>7020.7999999999993</v>
      </c>
      <c r="F433" s="81">
        <f t="shared" si="140"/>
        <v>7003.12</v>
      </c>
      <c r="G433" s="81">
        <f t="shared" si="140"/>
        <v>6998.2600000000011</v>
      </c>
      <c r="H433" s="81">
        <f t="shared" si="140"/>
        <v>7005.2000000000007</v>
      </c>
      <c r="I433" s="81">
        <f t="shared" si="140"/>
        <v>7007.9999999999991</v>
      </c>
      <c r="J433" s="81">
        <f t="shared" si="140"/>
        <v>7155.0399999999991</v>
      </c>
      <c r="K433" s="81">
        <f t="shared" si="140"/>
        <v>6973.82</v>
      </c>
      <c r="L433" s="81">
        <f t="shared" si="140"/>
        <v>6925.84</v>
      </c>
      <c r="M433" s="81"/>
      <c r="N433" s="81"/>
      <c r="O433" s="81"/>
      <c r="P433" s="81" t="str">
        <f>IF(((P431="")*AND(P432="")),"",(P431-P432)*2)</f>
        <v/>
      </c>
      <c r="Q433" s="42"/>
      <c r="R433" s="42"/>
      <c r="S433" s="42"/>
      <c r="T433" s="42"/>
      <c r="U433" s="42"/>
      <c r="V433" s="230"/>
      <c r="W433" s="42"/>
      <c r="X433" s="212"/>
      <c r="Y433" s="97"/>
    </row>
    <row r="434" spans="1:31" ht="12.75" customHeight="1" x14ac:dyDescent="0.25">
      <c r="A434" s="92">
        <v>43119</v>
      </c>
      <c r="B434" s="55" t="s">
        <v>202</v>
      </c>
      <c r="C434" s="59" t="s">
        <v>201</v>
      </c>
      <c r="D434" s="35">
        <v>6790.5</v>
      </c>
      <c r="E434" s="35">
        <v>6926.55</v>
      </c>
      <c r="F434" s="35">
        <v>6695.27</v>
      </c>
      <c r="G434" s="35">
        <v>6764.76</v>
      </c>
      <c r="H434" s="35">
        <v>6848.91</v>
      </c>
      <c r="I434" s="35">
        <v>6822.83</v>
      </c>
      <c r="J434" s="35">
        <v>6827.48</v>
      </c>
      <c r="K434" s="35">
        <v>6747.15</v>
      </c>
      <c r="L434" s="35">
        <v>6789.34</v>
      </c>
      <c r="M434" s="35">
        <v>6872.06</v>
      </c>
      <c r="N434" s="35">
        <v>6964.71</v>
      </c>
      <c r="O434" s="35">
        <v>6859.94</v>
      </c>
      <c r="P434" s="35">
        <v>6944.44</v>
      </c>
      <c r="Q434" s="48">
        <f>IF((L435=""),"",MAX(D436:P436))</f>
        <v>5376.23</v>
      </c>
      <c r="R434" s="55">
        <f>IF(L435="","",MIN(D436:L436))</f>
        <v>5251.9900000000007</v>
      </c>
      <c r="S434" s="51">
        <f>IF((P436=""),"",AVERAGE(D436:P436))</f>
        <v>5308.4623076923071</v>
      </c>
      <c r="T434" s="51">
        <f>IF((L435=""),"",(Q434-R434)/(Q434+R434)*100)</f>
        <v>1.1689633823913963</v>
      </c>
      <c r="U434" s="55">
        <f>STDEV(D436:P436)</f>
        <v>41.125298409017802</v>
      </c>
      <c r="V434" s="231" t="str">
        <f>IF(P435="","",IF(T434&lt;2.7,IF(S434&gt;5150,IF(S434&lt;5600,"Pass","Fail"),"Fail"),"Fail"))</f>
        <v>Pass</v>
      </c>
      <c r="W434" s="55"/>
      <c r="X434" s="212"/>
      <c r="Y434" s="95"/>
      <c r="Z434" s="251">
        <v>4470</v>
      </c>
      <c r="AA434" s="251">
        <v>6020</v>
      </c>
      <c r="AB434" s="251">
        <v>5150</v>
      </c>
      <c r="AC434" s="251">
        <v>5600</v>
      </c>
      <c r="AD434" s="67">
        <v>10</v>
      </c>
      <c r="AE434" s="252">
        <v>2.7</v>
      </c>
    </row>
    <row r="435" spans="1:31" ht="12.75" customHeight="1" x14ac:dyDescent="0.35">
      <c r="A435" s="294"/>
      <c r="B435" s="46"/>
      <c r="C435" s="54" t="s">
        <v>200</v>
      </c>
      <c r="D435" s="35">
        <v>1537.93</v>
      </c>
      <c r="E435" s="35">
        <v>1656.42</v>
      </c>
      <c r="F435" s="35">
        <v>1443.28</v>
      </c>
      <c r="G435" s="35">
        <v>1423.25</v>
      </c>
      <c r="H435" s="35">
        <v>1563.37</v>
      </c>
      <c r="I435" s="35">
        <v>1473.87</v>
      </c>
      <c r="J435" s="35">
        <v>1488.46</v>
      </c>
      <c r="K435" s="35">
        <v>1370.92</v>
      </c>
      <c r="L435" s="35">
        <v>1520.91</v>
      </c>
      <c r="M435" s="35">
        <v>1518.32</v>
      </c>
      <c r="N435" s="35">
        <v>1664.18</v>
      </c>
      <c r="O435" s="35">
        <v>1550.63</v>
      </c>
      <c r="P435" s="35">
        <v>1632.39</v>
      </c>
      <c r="Q435" s="46"/>
      <c r="R435" s="46"/>
      <c r="S435" s="46"/>
      <c r="T435" s="46"/>
      <c r="U435" s="46"/>
      <c r="V435" s="229"/>
      <c r="W435" s="46"/>
      <c r="X435" s="212"/>
      <c r="Y435" s="98"/>
    </row>
    <row r="436" spans="1:31" ht="23.95" customHeight="1" x14ac:dyDescent="0.35">
      <c r="A436" s="294"/>
      <c r="B436" s="78"/>
      <c r="C436" s="54" t="s">
        <v>199</v>
      </c>
      <c r="D436" s="93">
        <f t="shared" ref="D436:P436" si="141">IF(((D434="")*AND(D435="")),"",(D434-D435))</f>
        <v>5252.57</v>
      </c>
      <c r="E436" s="93">
        <f t="shared" si="141"/>
        <v>5270.13</v>
      </c>
      <c r="F436" s="93">
        <f t="shared" si="141"/>
        <v>5251.9900000000007</v>
      </c>
      <c r="G436" s="93">
        <f t="shared" si="141"/>
        <v>5341.51</v>
      </c>
      <c r="H436" s="93">
        <f t="shared" si="141"/>
        <v>5285.54</v>
      </c>
      <c r="I436" s="93">
        <f t="shared" si="141"/>
        <v>5348.96</v>
      </c>
      <c r="J436" s="93">
        <f t="shared" si="141"/>
        <v>5339.0199999999995</v>
      </c>
      <c r="K436" s="93">
        <f t="shared" si="141"/>
        <v>5376.23</v>
      </c>
      <c r="L436" s="93">
        <f t="shared" si="141"/>
        <v>5268.43</v>
      </c>
      <c r="M436" s="93">
        <f t="shared" si="141"/>
        <v>5353.7400000000007</v>
      </c>
      <c r="N436" s="93">
        <f t="shared" si="141"/>
        <v>5300.53</v>
      </c>
      <c r="O436" s="93">
        <f t="shared" si="141"/>
        <v>5309.3099999999995</v>
      </c>
      <c r="P436" s="93">
        <f t="shared" si="141"/>
        <v>5312.0499999999993</v>
      </c>
      <c r="Q436" s="78"/>
      <c r="R436" s="78"/>
      <c r="S436" s="78"/>
      <c r="T436" s="46"/>
      <c r="U436" s="78"/>
      <c r="V436" s="232"/>
      <c r="W436" s="78"/>
      <c r="X436" s="212"/>
      <c r="Y436" s="98"/>
    </row>
    <row r="437" spans="1:31" ht="12.75" customHeight="1" x14ac:dyDescent="0.25">
      <c r="A437" s="92">
        <v>43119</v>
      </c>
      <c r="B437" s="48" t="s">
        <v>204</v>
      </c>
      <c r="C437" s="54" t="s">
        <v>201</v>
      </c>
      <c r="D437" s="35">
        <v>5850.92</v>
      </c>
      <c r="E437" s="35">
        <v>6001.5</v>
      </c>
      <c r="F437" s="35">
        <v>6032.08</v>
      </c>
      <c r="G437" s="35">
        <v>5985.25</v>
      </c>
      <c r="H437" s="35">
        <v>5759.19</v>
      </c>
      <c r="I437" s="35">
        <v>5765.88</v>
      </c>
      <c r="J437" s="35">
        <v>6010.64</v>
      </c>
      <c r="K437" s="35">
        <v>6013.25</v>
      </c>
      <c r="L437" s="35">
        <v>5869.34</v>
      </c>
      <c r="M437" s="53"/>
      <c r="N437" s="53"/>
      <c r="O437" s="53"/>
      <c r="P437" s="53"/>
      <c r="Q437" s="48">
        <f>IF((L438=""),"",MAX(D439:L439))</f>
        <v>6695.1999999999989</v>
      </c>
      <c r="R437" s="48">
        <f>IF(L438="","",MIN(D439:L439))</f>
        <v>6164.52</v>
      </c>
      <c r="S437" s="75">
        <f>IF((L439=""),"",AVERAGE(D439:L439))</f>
        <v>6474.5399999999991</v>
      </c>
      <c r="T437" s="50">
        <f>IF((L438=""),"",(Q437-R437)/(Q437+R437)*100)</f>
        <v>4.1266839402412998</v>
      </c>
      <c r="U437" s="48">
        <f>STDEV(D439:P439)</f>
        <v>155.65713828796902</v>
      </c>
      <c r="V437" s="228" t="str">
        <f>IF(L438="","",IF(T437&lt;9.8,IF(S437&gt;5100,IF(S437&lt;8300,"Pass","Fail"),"Fail"),"Fail"))</f>
        <v>Pass</v>
      </c>
      <c r="W437" s="46"/>
      <c r="X437" s="212"/>
      <c r="Y437" s="98"/>
      <c r="Z437" s="37">
        <v>4955</v>
      </c>
      <c r="AA437" s="37">
        <v>9645</v>
      </c>
      <c r="AB437" s="37">
        <v>5100</v>
      </c>
      <c r="AC437" s="37">
        <v>8300</v>
      </c>
      <c r="AD437" s="67">
        <v>10</v>
      </c>
      <c r="AE437" s="67">
        <v>9.8000000000000007</v>
      </c>
    </row>
    <row r="438" spans="1:31" ht="12.75" customHeight="1" x14ac:dyDescent="0.35">
      <c r="A438" s="294"/>
      <c r="B438" s="46"/>
      <c r="C438" s="54" t="s">
        <v>200</v>
      </c>
      <c r="D438" s="35">
        <v>2683.62</v>
      </c>
      <c r="E438" s="35">
        <v>2733.56</v>
      </c>
      <c r="F438" s="35">
        <v>2805.74</v>
      </c>
      <c r="G438" s="35">
        <v>2713.02</v>
      </c>
      <c r="H438" s="35">
        <v>2411.59</v>
      </c>
      <c r="I438" s="35">
        <v>2683.62</v>
      </c>
      <c r="J438" s="35">
        <v>2757.11</v>
      </c>
      <c r="K438" s="35">
        <v>2798.07</v>
      </c>
      <c r="L438" s="35">
        <v>2566.29</v>
      </c>
      <c r="M438" s="53"/>
      <c r="N438" s="53"/>
      <c r="O438" s="53"/>
      <c r="P438" s="53"/>
      <c r="Q438" s="46"/>
      <c r="R438" s="46"/>
      <c r="S438" s="46"/>
      <c r="T438" s="46"/>
      <c r="U438" s="46"/>
      <c r="V438" s="229"/>
      <c r="W438" s="46"/>
      <c r="X438" s="212"/>
      <c r="Y438" s="98"/>
    </row>
    <row r="439" spans="1:31" ht="24.8" customHeight="1" thickBot="1" x14ac:dyDescent="0.4">
      <c r="A439" s="294"/>
      <c r="B439" s="42"/>
      <c r="C439" s="74" t="s">
        <v>199</v>
      </c>
      <c r="D439" s="81">
        <f t="shared" ref="D439:L439" si="142">IF(((D437="")*AND(D438="")),"",(D437-D438)*2)</f>
        <v>6334.6</v>
      </c>
      <c r="E439" s="81">
        <f t="shared" si="142"/>
        <v>6535.88</v>
      </c>
      <c r="F439" s="81">
        <f t="shared" si="142"/>
        <v>6452.68</v>
      </c>
      <c r="G439" s="81">
        <f t="shared" si="142"/>
        <v>6544.46</v>
      </c>
      <c r="H439" s="81">
        <f t="shared" si="142"/>
        <v>6695.1999999999989</v>
      </c>
      <c r="I439" s="81">
        <f t="shared" si="142"/>
        <v>6164.52</v>
      </c>
      <c r="J439" s="81">
        <f t="shared" si="142"/>
        <v>6507.06</v>
      </c>
      <c r="K439" s="81">
        <f t="shared" si="142"/>
        <v>6430.36</v>
      </c>
      <c r="L439" s="81">
        <f t="shared" si="142"/>
        <v>6606.1</v>
      </c>
      <c r="M439" s="81"/>
      <c r="N439" s="81"/>
      <c r="O439" s="81"/>
      <c r="P439" s="81" t="str">
        <f>IF(((P437="")*AND(P438="")),"",(P437-P438)*2)</f>
        <v/>
      </c>
      <c r="Q439" s="42"/>
      <c r="R439" s="42"/>
      <c r="S439" s="42"/>
      <c r="T439" s="42"/>
      <c r="U439" s="42"/>
      <c r="V439" s="230"/>
      <c r="W439" s="42"/>
      <c r="X439" s="212"/>
      <c r="Y439" s="97"/>
    </row>
    <row r="440" spans="1:31" ht="12.75" customHeight="1" x14ac:dyDescent="0.25">
      <c r="A440" s="92">
        <v>43125</v>
      </c>
      <c r="B440" s="55" t="s">
        <v>202</v>
      </c>
      <c r="C440" s="59" t="s">
        <v>201</v>
      </c>
      <c r="D440" s="35">
        <v>6910.99</v>
      </c>
      <c r="E440" s="35">
        <v>7047.67</v>
      </c>
      <c r="F440" s="35">
        <v>6816</v>
      </c>
      <c r="G440" s="35">
        <v>6873.64</v>
      </c>
      <c r="H440" s="35">
        <v>6980.33</v>
      </c>
      <c r="I440" s="35">
        <v>6947.42</v>
      </c>
      <c r="J440" s="35">
        <v>6934.41</v>
      </c>
      <c r="K440" s="35">
        <v>6847.22</v>
      </c>
      <c r="L440" s="35">
        <v>6909.65</v>
      </c>
      <c r="M440" s="35">
        <v>6983.66</v>
      </c>
      <c r="N440" s="35">
        <v>7091.68</v>
      </c>
      <c r="O440" s="35">
        <v>6982.56</v>
      </c>
      <c r="P440" s="35">
        <v>7074.32</v>
      </c>
      <c r="Q440" s="48">
        <f>IF((L441=""),"",MAX(D442:P442))</f>
        <v>5375.85</v>
      </c>
      <c r="R440" s="55">
        <f>IF(L441="","",MIN(D442:L442))</f>
        <v>5261.74</v>
      </c>
      <c r="S440" s="51">
        <f>IF((P442=""),"",AVERAGE(D442:P442))</f>
        <v>5313.9861538461537</v>
      </c>
      <c r="T440" s="51">
        <f>IF((L441=""),"",(Q440-R440)/(Q440+R440)*100)</f>
        <v>1.0727053778158453</v>
      </c>
      <c r="U440" s="55">
        <f>STDEV(D442:P442)</f>
        <v>36.826451892279401</v>
      </c>
      <c r="V440" s="231" t="str">
        <f>IF(P441="","",IF(T440&lt;2.7,IF(S440&gt;5150,IF(S440&lt;5600,"Pass","Fail"),"Fail"),"Fail"))</f>
        <v>Pass</v>
      </c>
      <c r="W440" s="55">
        <v>1428</v>
      </c>
      <c r="X440" s="212"/>
      <c r="Y440" s="95"/>
      <c r="Z440" s="251">
        <v>4470</v>
      </c>
      <c r="AA440" s="251">
        <v>6020</v>
      </c>
      <c r="AB440" s="251">
        <v>5150</v>
      </c>
      <c r="AC440" s="251">
        <v>5600</v>
      </c>
      <c r="AD440" s="67">
        <v>10</v>
      </c>
      <c r="AE440" s="252">
        <v>2.7</v>
      </c>
    </row>
    <row r="441" spans="1:31" ht="12.75" customHeight="1" x14ac:dyDescent="0.35">
      <c r="A441" s="294"/>
      <c r="B441" s="46"/>
      <c r="C441" s="54" t="s">
        <v>200</v>
      </c>
      <c r="D441" s="35">
        <v>1645.76</v>
      </c>
      <c r="E441" s="35">
        <v>1764.65</v>
      </c>
      <c r="F441" s="35">
        <v>1554.26</v>
      </c>
      <c r="G441" s="35">
        <v>1551.44</v>
      </c>
      <c r="H441" s="35">
        <v>1682.14</v>
      </c>
      <c r="I441" s="35">
        <v>1595.44</v>
      </c>
      <c r="J441" s="35">
        <v>1595.96</v>
      </c>
      <c r="K441" s="35">
        <v>1471.37</v>
      </c>
      <c r="L441" s="35">
        <v>1636.94</v>
      </c>
      <c r="M441" s="35">
        <v>1622.21</v>
      </c>
      <c r="N441" s="35">
        <v>1779.17</v>
      </c>
      <c r="O441" s="35">
        <v>1665.36</v>
      </c>
      <c r="P441" s="35">
        <v>1753.03</v>
      </c>
      <c r="Q441" s="46"/>
      <c r="R441" s="46"/>
      <c r="S441" s="46"/>
      <c r="T441" s="46"/>
      <c r="U441" s="46"/>
      <c r="V441" s="229"/>
      <c r="W441" s="46"/>
      <c r="X441" s="212"/>
      <c r="Y441" s="98"/>
    </row>
    <row r="442" spans="1:31" ht="23.95" customHeight="1" x14ac:dyDescent="0.35">
      <c r="A442" s="294"/>
      <c r="B442" s="78"/>
      <c r="C442" s="54" t="s">
        <v>199</v>
      </c>
      <c r="D442" s="93">
        <f t="shared" ref="D442:P442" si="143">IF(((D440="")*AND(D441="")),"",(D440-D441))</f>
        <v>5265.23</v>
      </c>
      <c r="E442" s="93">
        <f t="shared" si="143"/>
        <v>5283.02</v>
      </c>
      <c r="F442" s="93">
        <f t="shared" si="143"/>
        <v>5261.74</v>
      </c>
      <c r="G442" s="93">
        <f t="shared" si="143"/>
        <v>5322.2000000000007</v>
      </c>
      <c r="H442" s="93">
        <f t="shared" si="143"/>
        <v>5298.19</v>
      </c>
      <c r="I442" s="93">
        <f t="shared" si="143"/>
        <v>5351.98</v>
      </c>
      <c r="J442" s="93">
        <f t="shared" si="143"/>
        <v>5338.45</v>
      </c>
      <c r="K442" s="93">
        <f t="shared" si="143"/>
        <v>5375.85</v>
      </c>
      <c r="L442" s="93">
        <f t="shared" si="143"/>
        <v>5272.7099999999991</v>
      </c>
      <c r="M442" s="93">
        <f t="shared" si="143"/>
        <v>5361.45</v>
      </c>
      <c r="N442" s="93">
        <f t="shared" si="143"/>
        <v>5312.51</v>
      </c>
      <c r="O442" s="93">
        <f t="shared" si="143"/>
        <v>5317.2000000000007</v>
      </c>
      <c r="P442" s="93">
        <f t="shared" si="143"/>
        <v>5321.29</v>
      </c>
      <c r="Q442" s="78"/>
      <c r="R442" s="78"/>
      <c r="S442" s="78"/>
      <c r="T442" s="46"/>
      <c r="U442" s="78"/>
      <c r="V442" s="232"/>
      <c r="W442" s="78"/>
      <c r="X442" s="212"/>
      <c r="Y442" s="98"/>
    </row>
    <row r="443" spans="1:31" ht="12.75" customHeight="1" x14ac:dyDescent="0.25">
      <c r="A443" s="92">
        <v>43125</v>
      </c>
      <c r="B443" s="48" t="s">
        <v>204</v>
      </c>
      <c r="C443" s="54" t="s">
        <v>201</v>
      </c>
      <c r="D443" s="35">
        <v>5855.72</v>
      </c>
      <c r="E443" s="35">
        <v>5998.62</v>
      </c>
      <c r="F443" s="35">
        <v>6026.63</v>
      </c>
      <c r="G443" s="35">
        <v>5985.81</v>
      </c>
      <c r="H443" s="35">
        <v>5784.64</v>
      </c>
      <c r="I443" s="35">
        <v>5789.45</v>
      </c>
      <c r="J443" s="35">
        <v>6014.16</v>
      </c>
      <c r="K443" s="35">
        <v>6006.14</v>
      </c>
      <c r="L443" s="35">
        <v>5939.15</v>
      </c>
      <c r="M443" s="53"/>
      <c r="N443" s="53"/>
      <c r="O443" s="53"/>
      <c r="P443" s="53"/>
      <c r="Q443" s="48">
        <f>IF((L444=""),"",MAX(D445:L445))</f>
        <v>6751.1799999999994</v>
      </c>
      <c r="R443" s="48">
        <f>IF(L444="","",MIN(D445:L445))</f>
        <v>6417.4400000000005</v>
      </c>
      <c r="S443" s="75">
        <f>IF((L445=""),"",AVERAGE(D445:L445))</f>
        <v>6572.6444444444451</v>
      </c>
      <c r="T443" s="50">
        <f>IF((L444=""),"",(Q443-R443)/(Q443+R443)*100)</f>
        <v>2.5343581939489401</v>
      </c>
      <c r="U443" s="48">
        <f>STDEV(D445:P445)</f>
        <v>118.31681950499556</v>
      </c>
      <c r="V443" s="228" t="str">
        <f>IF(L444="","",IF(T443&lt;9.8,IF(S443&gt;5100,IF(S443&lt;8300,"Pass","Fail"),"Fail"),"Fail"))</f>
        <v>Pass</v>
      </c>
      <c r="W443" s="46">
        <v>1428</v>
      </c>
      <c r="X443" s="212"/>
      <c r="Y443" s="98"/>
      <c r="Z443" s="37">
        <v>4955</v>
      </c>
      <c r="AA443" s="37">
        <v>9645</v>
      </c>
      <c r="AB443" s="37">
        <v>5100</v>
      </c>
      <c r="AC443" s="37">
        <v>8300</v>
      </c>
      <c r="AD443" s="67">
        <v>10</v>
      </c>
      <c r="AE443" s="67">
        <v>9.8000000000000007</v>
      </c>
    </row>
    <row r="444" spans="1:31" ht="12.75" customHeight="1" x14ac:dyDescent="0.35">
      <c r="A444" s="294"/>
      <c r="B444" s="46"/>
      <c r="C444" s="54" t="s">
        <v>200</v>
      </c>
      <c r="D444" s="35">
        <v>2647</v>
      </c>
      <c r="E444" s="35">
        <v>2713.33</v>
      </c>
      <c r="F444" s="35">
        <v>2789.68</v>
      </c>
      <c r="G444" s="35">
        <v>2695.27</v>
      </c>
      <c r="H444" s="35">
        <v>2419.88</v>
      </c>
      <c r="I444" s="35">
        <v>2471.19</v>
      </c>
      <c r="J444" s="35">
        <v>2738.37</v>
      </c>
      <c r="K444" s="35">
        <v>2785.14</v>
      </c>
      <c r="L444" s="35">
        <v>2563.56</v>
      </c>
      <c r="M444" s="53"/>
      <c r="N444" s="53"/>
      <c r="O444" s="53"/>
      <c r="P444" s="53"/>
      <c r="Q444" s="46"/>
      <c r="R444" s="46"/>
      <c r="S444" s="46"/>
      <c r="T444" s="46"/>
      <c r="U444" s="46"/>
      <c r="V444" s="229"/>
      <c r="W444" s="46"/>
      <c r="X444" s="212"/>
      <c r="Y444" s="98"/>
    </row>
    <row r="445" spans="1:31" ht="24.8" customHeight="1" thickBot="1" x14ac:dyDescent="0.4">
      <c r="A445" s="294"/>
      <c r="B445" s="42"/>
      <c r="C445" s="74" t="s">
        <v>199</v>
      </c>
      <c r="D445" s="81">
        <f t="shared" ref="D445:L445" si="144">IF(((D443="")*AND(D444="")),"",(D443-D444)*2)</f>
        <v>6417.4400000000005</v>
      </c>
      <c r="E445" s="81">
        <f t="shared" si="144"/>
        <v>6570.58</v>
      </c>
      <c r="F445" s="81">
        <f t="shared" si="144"/>
        <v>6473.9000000000005</v>
      </c>
      <c r="G445" s="81">
        <f t="shared" si="144"/>
        <v>6581.0800000000008</v>
      </c>
      <c r="H445" s="81">
        <f t="shared" si="144"/>
        <v>6729.52</v>
      </c>
      <c r="I445" s="81">
        <f t="shared" si="144"/>
        <v>6636.5199999999995</v>
      </c>
      <c r="J445" s="81">
        <f t="shared" si="144"/>
        <v>6551.58</v>
      </c>
      <c r="K445" s="81">
        <f t="shared" si="144"/>
        <v>6442.0000000000009</v>
      </c>
      <c r="L445" s="81">
        <f t="shared" si="144"/>
        <v>6751.1799999999994</v>
      </c>
      <c r="M445" s="81"/>
      <c r="N445" s="81"/>
      <c r="O445" s="81"/>
      <c r="P445" s="81" t="str">
        <f>IF(((P443="")*AND(P444="")),"",(P443-P444)*2)</f>
        <v/>
      </c>
      <c r="Q445" s="42"/>
      <c r="R445" s="42"/>
      <c r="S445" s="42"/>
      <c r="T445" s="42"/>
      <c r="U445" s="42"/>
      <c r="V445" s="230"/>
      <c r="W445" s="42"/>
      <c r="X445" s="212"/>
      <c r="Y445" s="97"/>
    </row>
    <row r="446" spans="1:31" ht="12.75" customHeight="1" x14ac:dyDescent="0.25">
      <c r="A446" s="87">
        <v>43129</v>
      </c>
      <c r="B446" s="55" t="s">
        <v>202</v>
      </c>
      <c r="C446" s="59" t="s">
        <v>201</v>
      </c>
      <c r="D446" s="35">
        <v>6406.11</v>
      </c>
      <c r="E446" s="35">
        <v>6525.42</v>
      </c>
      <c r="F446" s="35">
        <v>6360.67</v>
      </c>
      <c r="G446" s="35">
        <v>6435.5</v>
      </c>
      <c r="H446" s="35">
        <v>6399.72</v>
      </c>
      <c r="I446" s="35">
        <v>6448.16</v>
      </c>
      <c r="J446" s="35">
        <v>6485.09</v>
      </c>
      <c r="K446" s="35">
        <v>6375.15</v>
      </c>
      <c r="L446" s="35">
        <v>6436.74</v>
      </c>
      <c r="M446" s="35">
        <v>6527.33</v>
      </c>
      <c r="N446" s="35">
        <v>6545.81</v>
      </c>
      <c r="O446" s="35">
        <v>6506.51</v>
      </c>
      <c r="P446" s="35">
        <v>6513.81</v>
      </c>
      <c r="Q446" s="48">
        <f>IF((L447=""),"",MAX(D448:P448))</f>
        <v>5338.79</v>
      </c>
      <c r="R446" s="55">
        <f>IF(L447="","",MIN(D448:L448))</f>
        <v>5208.38</v>
      </c>
      <c r="S446" s="51">
        <f>IF((P448=""),"",AVERAGE(D448:P448))</f>
        <v>5271.0723076923077</v>
      </c>
      <c r="T446" s="51">
        <f>IF((L447=""),"",(Q446-R446)/(Q446+R446)*100)</f>
        <v>1.2364454161637657</v>
      </c>
      <c r="U446" s="55">
        <f>STDEV(D448:P448)</f>
        <v>45.677978858133521</v>
      </c>
      <c r="V446" s="231" t="str">
        <f>IF(P447="","",IF(T446&lt;2.7,IF(S446&gt;5150,IF(S446&lt;5600,"Pass","Fail"),"Fail"),"Fail"))</f>
        <v>Pass</v>
      </c>
      <c r="W446" s="55">
        <v>121</v>
      </c>
      <c r="X446" s="212"/>
      <c r="Y446" s="95"/>
      <c r="Z446" s="251">
        <v>4470</v>
      </c>
      <c r="AA446" s="251">
        <v>6020</v>
      </c>
      <c r="AB446" s="251">
        <v>5150</v>
      </c>
      <c r="AC446" s="251">
        <v>5600</v>
      </c>
      <c r="AD446" s="67">
        <v>10</v>
      </c>
      <c r="AE446" s="252">
        <v>2.7</v>
      </c>
    </row>
    <row r="447" spans="1:31" ht="12.75" customHeight="1" x14ac:dyDescent="0.35">
      <c r="A447" s="294"/>
      <c r="B447" s="46"/>
      <c r="C447" s="54" t="s">
        <v>200</v>
      </c>
      <c r="D447" s="35">
        <v>1194.1300000000001</v>
      </c>
      <c r="E447" s="35">
        <v>1290.51</v>
      </c>
      <c r="F447" s="35">
        <v>1152.29</v>
      </c>
      <c r="G447" s="35">
        <v>1139.3399999999999</v>
      </c>
      <c r="H447" s="35">
        <v>1156.67</v>
      </c>
      <c r="I447" s="35">
        <v>1133.8499999999999</v>
      </c>
      <c r="J447" s="35">
        <v>1146.3</v>
      </c>
      <c r="K447" s="35">
        <v>1039</v>
      </c>
      <c r="L447" s="35">
        <v>1213.82</v>
      </c>
      <c r="M447" s="35">
        <v>1213.43</v>
      </c>
      <c r="N447" s="35">
        <v>1281.3399999999999</v>
      </c>
      <c r="O447" s="35">
        <v>1237.83</v>
      </c>
      <c r="P447" s="35">
        <v>1243.57</v>
      </c>
      <c r="Q447" s="46"/>
      <c r="R447" s="46"/>
      <c r="S447" s="46"/>
      <c r="T447" s="46"/>
      <c r="U447" s="46"/>
      <c r="V447" s="229"/>
      <c r="W447" s="46"/>
      <c r="X447" s="212"/>
      <c r="Y447" s="98"/>
    </row>
    <row r="448" spans="1:31" ht="23.95" customHeight="1" x14ac:dyDescent="0.35">
      <c r="A448" s="294"/>
      <c r="B448" s="78"/>
      <c r="C448" s="54" t="s">
        <v>199</v>
      </c>
      <c r="D448" s="93">
        <f t="shared" ref="D448:P448" si="145">IF(((D446="")*AND(D447="")),"",(D446-D447))</f>
        <v>5211.9799999999996</v>
      </c>
      <c r="E448" s="93">
        <f t="shared" si="145"/>
        <v>5234.91</v>
      </c>
      <c r="F448" s="93">
        <f t="shared" si="145"/>
        <v>5208.38</v>
      </c>
      <c r="G448" s="93">
        <f t="shared" si="145"/>
        <v>5296.16</v>
      </c>
      <c r="H448" s="93">
        <f t="shared" si="145"/>
        <v>5243.05</v>
      </c>
      <c r="I448" s="93">
        <f t="shared" si="145"/>
        <v>5314.3099999999995</v>
      </c>
      <c r="J448" s="93">
        <f t="shared" si="145"/>
        <v>5338.79</v>
      </c>
      <c r="K448" s="93">
        <f t="shared" si="145"/>
        <v>5336.15</v>
      </c>
      <c r="L448" s="93">
        <f t="shared" si="145"/>
        <v>5222.92</v>
      </c>
      <c r="M448" s="93">
        <f t="shared" si="145"/>
        <v>5313.9</v>
      </c>
      <c r="N448" s="93">
        <f t="shared" si="145"/>
        <v>5264.47</v>
      </c>
      <c r="O448" s="93">
        <f t="shared" si="145"/>
        <v>5268.68</v>
      </c>
      <c r="P448" s="93">
        <f t="shared" si="145"/>
        <v>5270.2400000000007</v>
      </c>
      <c r="Q448" s="78"/>
      <c r="R448" s="78"/>
      <c r="S448" s="78"/>
      <c r="T448" s="46"/>
      <c r="U448" s="78"/>
      <c r="V448" s="232"/>
      <c r="W448" s="78"/>
      <c r="X448" s="212"/>
      <c r="Y448" s="98"/>
    </row>
    <row r="449" spans="1:31" ht="12.75" customHeight="1" x14ac:dyDescent="0.25">
      <c r="A449" s="87">
        <v>43129</v>
      </c>
      <c r="B449" s="48" t="s">
        <v>204</v>
      </c>
      <c r="C449" s="54" t="s">
        <v>201</v>
      </c>
      <c r="D449" s="35">
        <v>5860.24</v>
      </c>
      <c r="E449" s="35">
        <v>5983.45</v>
      </c>
      <c r="F449" s="35">
        <v>6019.94</v>
      </c>
      <c r="G449" s="35">
        <v>5973.79</v>
      </c>
      <c r="H449" s="35">
        <v>5793.91</v>
      </c>
      <c r="I449" s="35">
        <v>5782.59</v>
      </c>
      <c r="J449" s="35">
        <v>5994.33</v>
      </c>
      <c r="K449" s="35">
        <v>6015.84</v>
      </c>
      <c r="L449" s="35">
        <v>5953.88</v>
      </c>
      <c r="M449" s="53"/>
      <c r="N449" s="53"/>
      <c r="O449" s="53"/>
      <c r="P449" s="53"/>
      <c r="Q449" s="48">
        <f>IF((L450=""),"",MAX(D451:L451))</f>
        <v>6582.54</v>
      </c>
      <c r="R449" s="48">
        <f>IF(L450="","",MIN(D451:L451))</f>
        <v>6025.18</v>
      </c>
      <c r="S449" s="75">
        <f>IF((L451=""),"",AVERAGE(D451:L451))</f>
        <v>6321.04</v>
      </c>
      <c r="T449" s="50">
        <f>IF((L450=""),"",(Q449-R449)/(Q449+R449)*100)</f>
        <v>4.4207834564853883</v>
      </c>
      <c r="U449" s="48">
        <f>STDEV(D451:P451)</f>
        <v>195.38973821570042</v>
      </c>
      <c r="V449" s="228" t="str">
        <f>IF(L450="","",IF(T449&lt;9.8,IF(S449&gt;5100,IF(S449&lt;8300,"Pass","Fail"),"Fail"),"Fail"))</f>
        <v>Pass</v>
      </c>
      <c r="W449" s="46">
        <v>121</v>
      </c>
      <c r="X449" s="212"/>
      <c r="Y449" s="98"/>
      <c r="Z449" s="37">
        <v>4955</v>
      </c>
      <c r="AA449" s="37">
        <v>9645</v>
      </c>
      <c r="AB449" s="37">
        <v>5100</v>
      </c>
      <c r="AC449" s="37">
        <v>8300</v>
      </c>
      <c r="AD449" s="67">
        <v>10</v>
      </c>
      <c r="AE449" s="67">
        <v>9.8000000000000007</v>
      </c>
    </row>
    <row r="450" spans="1:31" ht="12.75" customHeight="1" x14ac:dyDescent="0.35">
      <c r="A450" s="294"/>
      <c r="B450" s="46"/>
      <c r="C450" s="54" t="s">
        <v>200</v>
      </c>
      <c r="D450" s="35">
        <v>2571.3200000000002</v>
      </c>
      <c r="E450" s="35">
        <v>2801.89</v>
      </c>
      <c r="F450" s="35">
        <v>2881.18</v>
      </c>
      <c r="G450" s="35">
        <v>2783.01</v>
      </c>
      <c r="H450" s="35">
        <v>2770</v>
      </c>
      <c r="I450" s="35">
        <v>2770</v>
      </c>
      <c r="J450" s="35">
        <v>2821.99</v>
      </c>
      <c r="K450" s="35">
        <v>2871.29</v>
      </c>
      <c r="L450" s="35">
        <v>2662.61</v>
      </c>
      <c r="M450" s="53"/>
      <c r="N450" s="53"/>
      <c r="O450" s="53"/>
      <c r="P450" s="53"/>
      <c r="Q450" s="46"/>
      <c r="R450" s="46"/>
      <c r="S450" s="46"/>
      <c r="T450" s="46"/>
      <c r="U450" s="46"/>
      <c r="V450" s="229"/>
      <c r="W450" s="46"/>
      <c r="X450" s="212"/>
      <c r="Y450" s="98"/>
    </row>
    <row r="451" spans="1:31" ht="24.8" customHeight="1" thickBot="1" x14ac:dyDescent="0.4">
      <c r="A451" s="294"/>
      <c r="B451" s="42"/>
      <c r="C451" s="74" t="s">
        <v>199</v>
      </c>
      <c r="D451" s="81">
        <f t="shared" ref="D451:L451" si="146">IF(((D449="")*AND(D450="")),"",(D449-D450)*2)</f>
        <v>6577.8399999999992</v>
      </c>
      <c r="E451" s="81">
        <f t="shared" si="146"/>
        <v>6363.12</v>
      </c>
      <c r="F451" s="81">
        <f t="shared" si="146"/>
        <v>6277.5199999999995</v>
      </c>
      <c r="G451" s="81">
        <f t="shared" si="146"/>
        <v>6381.5599999999995</v>
      </c>
      <c r="H451" s="81">
        <f t="shared" si="146"/>
        <v>6047.82</v>
      </c>
      <c r="I451" s="81">
        <f t="shared" si="146"/>
        <v>6025.18</v>
      </c>
      <c r="J451" s="81">
        <f t="shared" si="146"/>
        <v>6344.68</v>
      </c>
      <c r="K451" s="81">
        <f t="shared" si="146"/>
        <v>6289.1</v>
      </c>
      <c r="L451" s="81">
        <f t="shared" si="146"/>
        <v>6582.54</v>
      </c>
      <c r="M451" s="81"/>
      <c r="N451" s="81"/>
      <c r="O451" s="81"/>
      <c r="P451" s="81" t="str">
        <f>IF(((P449="")*AND(P450="")),"",(P449-P450)*2)</f>
        <v/>
      </c>
      <c r="Q451" s="42"/>
      <c r="R451" s="42"/>
      <c r="S451" s="42"/>
      <c r="T451" s="42"/>
      <c r="U451" s="42"/>
      <c r="V451" s="230"/>
      <c r="W451" s="42"/>
      <c r="X451" s="212"/>
      <c r="Y451" s="97"/>
    </row>
    <row r="452" spans="1:31" ht="12.75" customHeight="1" x14ac:dyDescent="0.25">
      <c r="A452" s="87">
        <v>43135</v>
      </c>
      <c r="B452" s="55" t="s">
        <v>202</v>
      </c>
      <c r="C452" s="59" t="s">
        <v>201</v>
      </c>
      <c r="D452" s="35">
        <v>6550.52</v>
      </c>
      <c r="E452" s="35">
        <v>6716.2</v>
      </c>
      <c r="F452" s="35">
        <v>6470.8</v>
      </c>
      <c r="G452" s="35">
        <v>6528.15</v>
      </c>
      <c r="H452" s="35">
        <v>6608.89</v>
      </c>
      <c r="I452" s="35">
        <v>6579.57</v>
      </c>
      <c r="J452" s="35">
        <v>6572.17</v>
      </c>
      <c r="K452" s="35">
        <v>6506.12</v>
      </c>
      <c r="L452" s="35">
        <v>6543.77</v>
      </c>
      <c r="M452" s="35">
        <v>6630.4</v>
      </c>
      <c r="N452" s="35">
        <v>6771.51</v>
      </c>
      <c r="O452" s="35">
        <v>6621.39</v>
      </c>
      <c r="P452" s="35">
        <v>6673.15</v>
      </c>
      <c r="Q452" s="48">
        <f>IF((L453=""),"",MAX(D454:P454))</f>
        <v>5381.57</v>
      </c>
      <c r="R452" s="55">
        <f>IF(L453="","",MIN(D454:L454))</f>
        <v>5227.8500000000004</v>
      </c>
      <c r="S452" s="51">
        <f>IF((P454=""),"",AVERAGE(D454:P454))</f>
        <v>5296.5561538461534</v>
      </c>
      <c r="T452" s="51">
        <f>IF((L453=""),"",(Q452-R452)/(Q452+R452)*100)</f>
        <v>1.4489010709350685</v>
      </c>
      <c r="U452" s="55">
        <f>STDEV(D454:P454)</f>
        <v>54.793239476304606</v>
      </c>
      <c r="V452" s="231" t="str">
        <f>IF(P453="","",IF(T452&lt;2.7,IF(S452&gt;5150,IF(S452&lt;5600,"Pass","Fail"),"Fail"),"Fail"))</f>
        <v>Pass</v>
      </c>
      <c r="W452" s="55">
        <v>121</v>
      </c>
      <c r="X452" s="212"/>
      <c r="Y452" s="95"/>
      <c r="Z452" s="251">
        <v>4470</v>
      </c>
      <c r="AA452" s="251">
        <v>6020</v>
      </c>
      <c r="AB452" s="251">
        <v>5150</v>
      </c>
      <c r="AC452" s="251">
        <v>5600</v>
      </c>
      <c r="AD452" s="67">
        <v>10</v>
      </c>
      <c r="AE452" s="252">
        <v>2.7</v>
      </c>
    </row>
    <row r="453" spans="1:31" ht="12.75" customHeight="1" x14ac:dyDescent="0.35">
      <c r="A453" s="294"/>
      <c r="B453" s="46"/>
      <c r="C453" s="54" t="s">
        <v>200</v>
      </c>
      <c r="D453" s="35">
        <v>1322.67</v>
      </c>
      <c r="E453" s="35">
        <v>1466.51</v>
      </c>
      <c r="F453" s="35">
        <v>1240.6199999999999</v>
      </c>
      <c r="G453" s="35">
        <v>1181.07</v>
      </c>
      <c r="H453" s="35">
        <v>1344.28</v>
      </c>
      <c r="I453" s="35">
        <v>1238.76</v>
      </c>
      <c r="J453" s="35">
        <v>1190.5999999999999</v>
      </c>
      <c r="K453" s="35">
        <v>1125.17</v>
      </c>
      <c r="L453" s="35">
        <v>1305.6300000000001</v>
      </c>
      <c r="M453" s="35">
        <v>1300.25</v>
      </c>
      <c r="N453" s="35">
        <v>1488.81</v>
      </c>
      <c r="O453" s="35">
        <v>1334.04</v>
      </c>
      <c r="P453" s="35">
        <v>1379</v>
      </c>
      <c r="Q453" s="46"/>
      <c r="R453" s="46"/>
      <c r="S453" s="46"/>
      <c r="T453" s="46"/>
      <c r="U453" s="46"/>
      <c r="V453" s="229"/>
      <c r="W453" s="46"/>
      <c r="X453" s="212"/>
      <c r="Y453" s="98"/>
    </row>
    <row r="454" spans="1:31" ht="23.95" customHeight="1" x14ac:dyDescent="0.35">
      <c r="A454" s="294"/>
      <c r="B454" s="78"/>
      <c r="C454" s="54" t="s">
        <v>199</v>
      </c>
      <c r="D454" s="93">
        <f t="shared" ref="D454:P454" si="147">IF(((D452="")*AND(D453="")),"",(D452-D453))</f>
        <v>5227.8500000000004</v>
      </c>
      <c r="E454" s="93">
        <f t="shared" si="147"/>
        <v>5249.69</v>
      </c>
      <c r="F454" s="93">
        <f t="shared" si="147"/>
        <v>5230.18</v>
      </c>
      <c r="G454" s="93">
        <f t="shared" si="147"/>
        <v>5347.08</v>
      </c>
      <c r="H454" s="93">
        <f t="shared" si="147"/>
        <v>5264.6100000000006</v>
      </c>
      <c r="I454" s="93">
        <f t="shared" si="147"/>
        <v>5340.8099999999995</v>
      </c>
      <c r="J454" s="93">
        <f t="shared" si="147"/>
        <v>5381.57</v>
      </c>
      <c r="K454" s="93">
        <f t="shared" si="147"/>
        <v>5380.95</v>
      </c>
      <c r="L454" s="93">
        <f t="shared" si="147"/>
        <v>5238.1400000000003</v>
      </c>
      <c r="M454" s="93">
        <f t="shared" si="147"/>
        <v>5330.15</v>
      </c>
      <c r="N454" s="93">
        <f t="shared" si="147"/>
        <v>5282.7000000000007</v>
      </c>
      <c r="O454" s="93">
        <f t="shared" si="147"/>
        <v>5287.35</v>
      </c>
      <c r="P454" s="93">
        <f t="shared" si="147"/>
        <v>5294.15</v>
      </c>
      <c r="Q454" s="78"/>
      <c r="R454" s="78"/>
      <c r="S454" s="78"/>
      <c r="T454" s="46"/>
      <c r="U454" s="78"/>
      <c r="V454" s="232"/>
      <c r="W454" s="78"/>
      <c r="X454" s="212"/>
      <c r="Y454" s="98"/>
    </row>
    <row r="455" spans="1:31" ht="12.75" customHeight="1" x14ac:dyDescent="0.25">
      <c r="A455" s="87">
        <v>43135</v>
      </c>
      <c r="B455" s="48" t="s">
        <v>204</v>
      </c>
      <c r="C455" s="54" t="s">
        <v>201</v>
      </c>
      <c r="D455" s="35">
        <v>5857.47</v>
      </c>
      <c r="E455" s="35">
        <v>5999.6</v>
      </c>
      <c r="F455" s="35">
        <v>6025.68</v>
      </c>
      <c r="G455" s="35">
        <v>5982.68</v>
      </c>
      <c r="H455" s="35">
        <v>5800.65</v>
      </c>
      <c r="I455" s="35">
        <v>5819.01</v>
      </c>
      <c r="J455" s="35">
        <v>6000.35</v>
      </c>
      <c r="K455" s="35">
        <v>6014.38</v>
      </c>
      <c r="L455" s="35">
        <v>5904.86</v>
      </c>
      <c r="M455" s="53"/>
      <c r="N455" s="53"/>
      <c r="O455" s="53"/>
      <c r="P455" s="53"/>
      <c r="Q455" s="48">
        <f>IF((L456=""),"",MAX(D457:L457))</f>
        <v>6602.5599999999995</v>
      </c>
      <c r="R455" s="48">
        <f>IF(L456="","",MIN(D457:L457))</f>
        <v>6090.02</v>
      </c>
      <c r="S455" s="75">
        <f>IF((L457=""),"",AVERAGE(D457:L457))</f>
        <v>6318.5666666666666</v>
      </c>
      <c r="T455" s="50">
        <f>IF((L456=""),"",(Q455-R455)/(Q455+R455)*100)</f>
        <v>4.0381073036372364</v>
      </c>
      <c r="U455" s="48">
        <f>STDEV(D457:P457)</f>
        <v>144.5579523928032</v>
      </c>
      <c r="V455" s="228" t="str">
        <f>IF(L456="","",IF(T455&lt;9.8,IF(S455&gt;5100,IF(S455&lt;8300,"Pass","Fail"),"Fail"),"Fail"))</f>
        <v>Pass</v>
      </c>
      <c r="W455" s="46">
        <v>121</v>
      </c>
      <c r="X455" s="212"/>
      <c r="Y455" s="98"/>
      <c r="Z455" s="37">
        <v>4955</v>
      </c>
      <c r="AA455" s="37">
        <v>9645</v>
      </c>
      <c r="AB455" s="37">
        <v>5100</v>
      </c>
      <c r="AC455" s="37">
        <v>8300</v>
      </c>
      <c r="AD455" s="67">
        <v>10</v>
      </c>
      <c r="AE455" s="67">
        <v>9.8000000000000007</v>
      </c>
    </row>
    <row r="456" spans="1:31" ht="12.75" customHeight="1" x14ac:dyDescent="0.35">
      <c r="A456" s="294"/>
      <c r="B456" s="46"/>
      <c r="C456" s="54" t="s">
        <v>200</v>
      </c>
      <c r="D456" s="35">
        <v>2630.79</v>
      </c>
      <c r="E456" s="35">
        <v>2834.29</v>
      </c>
      <c r="F456" s="35">
        <v>2902.07</v>
      </c>
      <c r="G456" s="35">
        <v>2809.03</v>
      </c>
      <c r="H456" s="35">
        <v>2499.37</v>
      </c>
      <c r="I456" s="35">
        <v>2774</v>
      </c>
      <c r="J456" s="35">
        <v>2854.6</v>
      </c>
      <c r="K456" s="35">
        <v>2896.42</v>
      </c>
      <c r="L456" s="35">
        <v>2770.56</v>
      </c>
      <c r="M456" s="53"/>
      <c r="N456" s="53"/>
      <c r="O456" s="53"/>
      <c r="P456" s="53"/>
      <c r="Q456" s="46"/>
      <c r="R456" s="46"/>
      <c r="S456" s="46"/>
      <c r="T456" s="46"/>
      <c r="U456" s="46"/>
      <c r="V456" s="229"/>
      <c r="W456" s="46"/>
      <c r="X456" s="212"/>
      <c r="Y456" s="98"/>
    </row>
    <row r="457" spans="1:31" ht="24.8" customHeight="1" thickBot="1" x14ac:dyDescent="0.4">
      <c r="A457" s="294"/>
      <c r="B457" s="42"/>
      <c r="C457" s="74" t="s">
        <v>199</v>
      </c>
      <c r="D457" s="81">
        <f t="shared" ref="D457:L457" si="148">IF(((D455="")*AND(D456="")),"",(D455-D456)*2)</f>
        <v>6453.3600000000006</v>
      </c>
      <c r="E457" s="81">
        <f t="shared" si="148"/>
        <v>6330.6200000000008</v>
      </c>
      <c r="F457" s="81">
        <f t="shared" si="148"/>
        <v>6247.22</v>
      </c>
      <c r="G457" s="81">
        <f t="shared" si="148"/>
        <v>6347.3</v>
      </c>
      <c r="H457" s="81">
        <f t="shared" si="148"/>
        <v>6602.5599999999995</v>
      </c>
      <c r="I457" s="81">
        <f t="shared" si="148"/>
        <v>6090.02</v>
      </c>
      <c r="J457" s="81">
        <f t="shared" si="148"/>
        <v>6291.5000000000009</v>
      </c>
      <c r="K457" s="81">
        <f t="shared" si="148"/>
        <v>6235.92</v>
      </c>
      <c r="L457" s="81">
        <f t="shared" si="148"/>
        <v>6268.5999999999995</v>
      </c>
      <c r="M457" s="81"/>
      <c r="N457" s="81"/>
      <c r="O457" s="81"/>
      <c r="P457" s="81" t="str">
        <f>IF(((P455="")*AND(P456="")),"",(P455-P456)*2)</f>
        <v/>
      </c>
      <c r="Q457" s="42"/>
      <c r="R457" s="42"/>
      <c r="S457" s="42"/>
      <c r="T457" s="42"/>
      <c r="U457" s="42"/>
      <c r="V457" s="230"/>
      <c r="W457" s="42"/>
      <c r="X457" s="212"/>
      <c r="Y457" s="97"/>
    </row>
    <row r="458" spans="1:31" ht="12.75" customHeight="1" x14ac:dyDescent="0.25">
      <c r="A458" s="92">
        <v>43140</v>
      </c>
      <c r="B458" s="55" t="s">
        <v>202</v>
      </c>
      <c r="C458" s="59" t="s">
        <v>201</v>
      </c>
      <c r="D458" s="35">
        <v>6703.28</v>
      </c>
      <c r="E458" s="35">
        <v>6906.4</v>
      </c>
      <c r="F458" s="35">
        <v>6623.56</v>
      </c>
      <c r="G458" s="35">
        <v>6685.79</v>
      </c>
      <c r="H458" s="35">
        <v>6816.91</v>
      </c>
      <c r="I458" s="35">
        <v>6754.22</v>
      </c>
      <c r="J458" s="35">
        <v>6745.04</v>
      </c>
      <c r="K458" s="35">
        <v>6672.25</v>
      </c>
      <c r="L458" s="35">
        <v>6704.65</v>
      </c>
      <c r="M458" s="35">
        <v>6799.54</v>
      </c>
      <c r="N458" s="35">
        <v>6989.31</v>
      </c>
      <c r="O458" s="35">
        <v>6780.5</v>
      </c>
      <c r="P458" s="35">
        <v>6881.57</v>
      </c>
      <c r="Q458" s="48">
        <f>IF((L459=""),"",MAX(D460:P460))</f>
        <v>5413.76</v>
      </c>
      <c r="R458" s="55">
        <f>IF(L459="","",MIN(D460:L460))</f>
        <v>5265.7600000000011</v>
      </c>
      <c r="S458" s="51">
        <f>IF((P460=""),"",AVERAGE(D460:P460))</f>
        <v>5330.4430769230767</v>
      </c>
      <c r="T458" s="51">
        <f>IF((L459=""),"",(Q458-R458)/(Q458+R458)*100)</f>
        <v>1.3858300747599057</v>
      </c>
      <c r="U458" s="55">
        <f>STDEV(D460:P460)</f>
        <v>51.499497632600807</v>
      </c>
      <c r="V458" s="231" t="str">
        <f>IF(P459="","",IF(T458&lt;2.7,IF(S458&gt;5150,IF(S458&lt;5600,"Pass","Fail"),"Fail"),"Fail"))</f>
        <v>Pass</v>
      </c>
      <c r="W458" s="55">
        <v>1159</v>
      </c>
      <c r="X458" s="212"/>
      <c r="Y458" s="94" t="s">
        <v>308</v>
      </c>
      <c r="Z458" s="251">
        <v>4470</v>
      </c>
      <c r="AA458" s="251">
        <v>6020</v>
      </c>
      <c r="AB458" s="251">
        <v>5150</v>
      </c>
      <c r="AC458" s="251">
        <v>5600</v>
      </c>
      <c r="AD458" s="67">
        <v>10</v>
      </c>
      <c r="AE458" s="252">
        <v>2.7</v>
      </c>
    </row>
    <row r="459" spans="1:31" ht="12.75" customHeight="1" x14ac:dyDescent="0.35">
      <c r="A459" s="294"/>
      <c r="B459" s="46"/>
      <c r="C459" s="54" t="s">
        <v>200</v>
      </c>
      <c r="D459" s="35">
        <v>4067.66</v>
      </c>
      <c r="E459" s="35">
        <v>4270.75</v>
      </c>
      <c r="F459" s="35">
        <v>3990.68</v>
      </c>
      <c r="G459" s="35">
        <v>3987.78</v>
      </c>
      <c r="H459" s="35">
        <v>4170.1899999999996</v>
      </c>
      <c r="I459" s="35">
        <v>4070.6</v>
      </c>
      <c r="J459" s="35">
        <v>4038.16</v>
      </c>
      <c r="K459" s="35">
        <v>3983.73</v>
      </c>
      <c r="L459" s="35">
        <v>4062.16</v>
      </c>
      <c r="M459" s="35">
        <v>4110.74</v>
      </c>
      <c r="N459" s="35">
        <v>4331.08</v>
      </c>
      <c r="O459" s="35">
        <v>4116.72</v>
      </c>
      <c r="P459" s="35">
        <v>4214.8900000000003</v>
      </c>
      <c r="Q459" s="46"/>
      <c r="R459" s="46"/>
      <c r="S459" s="46"/>
      <c r="T459" s="46"/>
      <c r="U459" s="46"/>
      <c r="V459" s="229"/>
      <c r="W459" s="46"/>
      <c r="X459" s="212"/>
      <c r="Y459" s="98"/>
    </row>
    <row r="460" spans="1:31" ht="23.95" customHeight="1" x14ac:dyDescent="0.35">
      <c r="A460" s="294"/>
      <c r="B460" s="78"/>
      <c r="C460" s="54" t="s">
        <v>199</v>
      </c>
      <c r="D460" s="93">
        <f t="shared" ref="D460:P460" si="149">IF(((D458="")*AND(D459="")),"",(D458-D459)*2)</f>
        <v>5271.24</v>
      </c>
      <c r="E460" s="93">
        <f t="shared" si="149"/>
        <v>5271.2999999999993</v>
      </c>
      <c r="F460" s="93">
        <f t="shared" si="149"/>
        <v>5265.7600000000011</v>
      </c>
      <c r="G460" s="93">
        <f t="shared" si="149"/>
        <v>5396.0199999999995</v>
      </c>
      <c r="H460" s="93">
        <f t="shared" si="149"/>
        <v>5293.4400000000005</v>
      </c>
      <c r="I460" s="93">
        <f t="shared" si="149"/>
        <v>5367.2400000000007</v>
      </c>
      <c r="J460" s="93">
        <f t="shared" si="149"/>
        <v>5413.76</v>
      </c>
      <c r="K460" s="93">
        <f t="shared" si="149"/>
        <v>5377.04</v>
      </c>
      <c r="L460" s="93">
        <f t="shared" si="149"/>
        <v>5284.98</v>
      </c>
      <c r="M460" s="93">
        <f t="shared" si="149"/>
        <v>5377.6</v>
      </c>
      <c r="N460" s="93">
        <f t="shared" si="149"/>
        <v>5316.4600000000009</v>
      </c>
      <c r="O460" s="93">
        <f t="shared" si="149"/>
        <v>5327.5599999999995</v>
      </c>
      <c r="P460" s="93">
        <f t="shared" si="149"/>
        <v>5333.3599999999988</v>
      </c>
      <c r="Q460" s="78"/>
      <c r="R460" s="78"/>
      <c r="S460" s="78"/>
      <c r="T460" s="46"/>
      <c r="U460" s="78"/>
      <c r="V460" s="232"/>
      <c r="W460" s="78"/>
      <c r="X460" s="212"/>
      <c r="Y460" s="98"/>
    </row>
    <row r="461" spans="1:31" ht="12.75" customHeight="1" x14ac:dyDescent="0.25">
      <c r="A461" s="92">
        <v>43140</v>
      </c>
      <c r="B461" s="48" t="s">
        <v>204</v>
      </c>
      <c r="C461" s="54" t="s">
        <v>201</v>
      </c>
      <c r="D461" s="35">
        <v>5847.05</v>
      </c>
      <c r="E461" s="35">
        <v>6006.85</v>
      </c>
      <c r="F461" s="35">
        <v>6037.39</v>
      </c>
      <c r="G461" s="35">
        <v>5997.15</v>
      </c>
      <c r="H461" s="35">
        <v>5765.99</v>
      </c>
      <c r="I461" s="35">
        <v>5776.23</v>
      </c>
      <c r="J461" s="35">
        <v>6008.07</v>
      </c>
      <c r="K461" s="35">
        <v>6033.05</v>
      </c>
      <c r="L461" s="35">
        <v>5897.19</v>
      </c>
      <c r="M461" s="53"/>
      <c r="N461" s="53"/>
      <c r="O461" s="53"/>
      <c r="P461" s="53"/>
      <c r="Q461" s="48">
        <f>IF((L462=""),"",MAX(D463:L463))</f>
        <v>6471.5400000000009</v>
      </c>
      <c r="R461" s="48">
        <f>IF(L462="","",MIN(D463:L463))</f>
        <v>6313.4399999999987</v>
      </c>
      <c r="S461" s="75">
        <f>IF((L463=""),"",AVERAGE(D463:L463))</f>
        <v>6418.2599999999993</v>
      </c>
      <c r="T461" s="50">
        <f>IF((L462=""),"",(Q461-R461)/(Q461+R461)*100)</f>
        <v>1.2366073314154749</v>
      </c>
      <c r="U461" s="48">
        <f>STDEV(D463:P463)</f>
        <v>51.220069308817443</v>
      </c>
      <c r="V461" s="228" t="str">
        <f>IF(L462="","",IF(T461&lt;9.8,IF(S461&gt;5100,IF(S461&lt;8300,"Pass","Fail"),"Fail"),"Fail"))</f>
        <v>Pass</v>
      </c>
      <c r="W461" s="46">
        <v>1159</v>
      </c>
      <c r="X461" s="212"/>
      <c r="Y461" s="98" t="s">
        <v>309</v>
      </c>
      <c r="Z461" s="37">
        <v>4955</v>
      </c>
      <c r="AA461" s="37">
        <v>9645</v>
      </c>
      <c r="AB461" s="37">
        <v>5100</v>
      </c>
      <c r="AC461" s="37">
        <v>8300</v>
      </c>
      <c r="AD461" s="67">
        <v>10</v>
      </c>
      <c r="AE461" s="67">
        <v>9.8000000000000007</v>
      </c>
    </row>
    <row r="462" spans="1:31" ht="12.75" customHeight="1" x14ac:dyDescent="0.35">
      <c r="A462" s="294"/>
      <c r="B462" s="46"/>
      <c r="C462" s="54" t="s">
        <v>200</v>
      </c>
      <c r="D462" s="35">
        <v>3718.25</v>
      </c>
      <c r="E462" s="35">
        <v>3849.67</v>
      </c>
      <c r="F462" s="35">
        <v>3886.91</v>
      </c>
      <c r="G462" s="35">
        <v>3843.87</v>
      </c>
      <c r="H462" s="35">
        <v>3628.47</v>
      </c>
      <c r="I462" s="35">
        <v>3650.57</v>
      </c>
      <c r="J462" s="35">
        <v>3858.01</v>
      </c>
      <c r="K462" s="35">
        <v>3885.73</v>
      </c>
      <c r="L462" s="35">
        <v>3792.71</v>
      </c>
      <c r="M462" s="53"/>
      <c r="N462" s="53"/>
      <c r="O462" s="53"/>
      <c r="P462" s="53"/>
      <c r="Q462" s="46"/>
      <c r="R462" s="46"/>
      <c r="S462" s="46"/>
      <c r="T462" s="46"/>
      <c r="U462" s="46"/>
      <c r="V462" s="229"/>
      <c r="W462" s="46"/>
      <c r="X462" s="212"/>
      <c r="Y462" s="98"/>
    </row>
    <row r="463" spans="1:31" ht="24.8" customHeight="1" thickBot="1" x14ac:dyDescent="0.4">
      <c r="A463" s="294"/>
      <c r="B463" s="42"/>
      <c r="C463" s="74" t="s">
        <v>199</v>
      </c>
      <c r="D463" s="81">
        <f t="shared" ref="D463:L463" si="150">IF(((D461="")*AND(D462="")),"",(D461-D462)*3)</f>
        <v>6386.4000000000005</v>
      </c>
      <c r="E463" s="81">
        <f t="shared" si="150"/>
        <v>6471.5400000000009</v>
      </c>
      <c r="F463" s="81">
        <f t="shared" si="150"/>
        <v>6451.4400000000014</v>
      </c>
      <c r="G463" s="81">
        <f t="shared" si="150"/>
        <v>6459.8399999999992</v>
      </c>
      <c r="H463" s="81">
        <f t="shared" si="150"/>
        <v>6412.5599999999995</v>
      </c>
      <c r="I463" s="81">
        <f t="shared" si="150"/>
        <v>6376.9799999999977</v>
      </c>
      <c r="J463" s="81">
        <f t="shared" si="150"/>
        <v>6450.1799999999985</v>
      </c>
      <c r="K463" s="81">
        <f t="shared" si="150"/>
        <v>6441.9600000000009</v>
      </c>
      <c r="L463" s="81">
        <f t="shared" si="150"/>
        <v>6313.4399999999987</v>
      </c>
      <c r="M463" s="81"/>
      <c r="N463" s="81"/>
      <c r="O463" s="81"/>
      <c r="P463" s="81" t="str">
        <f>IF(((P461="")*AND(P462="")),"",(P461-P462)*2)</f>
        <v/>
      </c>
      <c r="Q463" s="42"/>
      <c r="R463" s="42"/>
      <c r="S463" s="42"/>
      <c r="T463" s="42"/>
      <c r="U463" s="42"/>
      <c r="V463" s="230"/>
      <c r="W463" s="42"/>
      <c r="X463" s="212"/>
      <c r="Y463" s="97"/>
    </row>
    <row r="464" spans="1:31" ht="12.75" customHeight="1" x14ac:dyDescent="0.25">
      <c r="A464" s="92">
        <v>43144</v>
      </c>
      <c r="B464" s="55" t="s">
        <v>202</v>
      </c>
      <c r="C464" s="59" t="s">
        <v>201</v>
      </c>
      <c r="D464" s="35">
        <v>4067.66</v>
      </c>
      <c r="E464" s="35">
        <v>4270.75</v>
      </c>
      <c r="F464" s="35">
        <v>3990.68</v>
      </c>
      <c r="G464" s="35">
        <v>3987.78</v>
      </c>
      <c r="H464" s="35">
        <v>4170.1899999999996</v>
      </c>
      <c r="I464" s="35">
        <v>4070.6</v>
      </c>
      <c r="J464" s="35">
        <v>4038.16</v>
      </c>
      <c r="K464" s="35">
        <v>3983.73</v>
      </c>
      <c r="L464" s="35">
        <v>4062.16</v>
      </c>
      <c r="M464" s="35">
        <v>4110.74</v>
      </c>
      <c r="N464" s="35">
        <v>4331.08</v>
      </c>
      <c r="O464" s="35">
        <v>4116.72</v>
      </c>
      <c r="P464" s="35">
        <v>4214.8900000000003</v>
      </c>
      <c r="Q464" s="48">
        <f>IF((L465=""),"",MAX(D466:P466))</f>
        <v>5380.72</v>
      </c>
      <c r="R464" s="55">
        <f>IF(L465="","",MIN(D466:L466))</f>
        <v>5195.66</v>
      </c>
      <c r="S464" s="51">
        <f>IF((P466=""),"",AVERAGE(D466:P466))</f>
        <v>5273.1</v>
      </c>
      <c r="T464" s="51">
        <f>IF((L465=""),"",(Q464-R464)/(Q464+R464)*100)</f>
        <v>1.7497480234257883</v>
      </c>
      <c r="U464" s="55">
        <f>STDEV(D466:P466)</f>
        <v>54.483934023404395</v>
      </c>
      <c r="V464" s="231" t="str">
        <f>IF(P465="","",IF(T464&lt;2.7,IF(S464&gt;5150,IF(S464&lt;5600,"Pass","Fail"),"Fail"),"Fail"))</f>
        <v>Pass</v>
      </c>
      <c r="W464" s="55">
        <v>1428</v>
      </c>
      <c r="X464" s="212"/>
      <c r="Y464" s="94" t="s">
        <v>308</v>
      </c>
      <c r="Z464" s="251">
        <v>4470</v>
      </c>
      <c r="AA464" s="251">
        <v>6020</v>
      </c>
      <c r="AB464" s="251">
        <v>5150</v>
      </c>
      <c r="AC464" s="251">
        <v>5600</v>
      </c>
      <c r="AD464" s="67">
        <v>10</v>
      </c>
      <c r="AE464" s="252">
        <v>2.7</v>
      </c>
    </row>
    <row r="465" spans="1:31" ht="12.75" customHeight="1" x14ac:dyDescent="0.35">
      <c r="A465" s="294"/>
      <c r="B465" s="46"/>
      <c r="C465" s="54" t="s">
        <v>200</v>
      </c>
      <c r="D465" s="35">
        <v>1469.83</v>
      </c>
      <c r="E465" s="35">
        <v>1654.63</v>
      </c>
      <c r="F465" s="35">
        <v>1387.6</v>
      </c>
      <c r="G465" s="35">
        <v>1330.98</v>
      </c>
      <c r="H465" s="35">
        <v>1547.07</v>
      </c>
      <c r="I465" s="35">
        <v>1414.8</v>
      </c>
      <c r="J465" s="35">
        <v>1371.49</v>
      </c>
      <c r="K465" s="35">
        <v>1293.3699999999999</v>
      </c>
      <c r="L465" s="35">
        <v>1452.62</v>
      </c>
      <c r="M465" s="35">
        <v>1456.73</v>
      </c>
      <c r="N465" s="35">
        <v>1702.72</v>
      </c>
      <c r="O465" s="35">
        <v>1481.29</v>
      </c>
      <c r="P465" s="35">
        <v>1576.86</v>
      </c>
      <c r="Q465" s="46"/>
      <c r="R465" s="46"/>
      <c r="S465" s="46"/>
      <c r="T465" s="46"/>
      <c r="U465" s="46"/>
      <c r="V465" s="229"/>
      <c r="W465" s="46"/>
      <c r="X465" s="212"/>
      <c r="Y465" s="98"/>
    </row>
    <row r="466" spans="1:31" ht="23.95" customHeight="1" x14ac:dyDescent="0.35">
      <c r="A466" s="294"/>
      <c r="B466" s="78"/>
      <c r="C466" s="54" t="s">
        <v>199</v>
      </c>
      <c r="D466" s="93">
        <f t="shared" ref="D466:P466" si="151">IF(((D464="")*AND(D465="")),"",(D464-D465)*2)</f>
        <v>5195.66</v>
      </c>
      <c r="E466" s="93">
        <f t="shared" si="151"/>
        <v>5232.24</v>
      </c>
      <c r="F466" s="93">
        <f t="shared" si="151"/>
        <v>5206.16</v>
      </c>
      <c r="G466" s="93">
        <f t="shared" si="151"/>
        <v>5313.6</v>
      </c>
      <c r="H466" s="93">
        <f t="shared" si="151"/>
        <v>5246.24</v>
      </c>
      <c r="I466" s="93">
        <f t="shared" si="151"/>
        <v>5311.6</v>
      </c>
      <c r="J466" s="93">
        <f t="shared" si="151"/>
        <v>5333.34</v>
      </c>
      <c r="K466" s="93">
        <f t="shared" si="151"/>
        <v>5380.72</v>
      </c>
      <c r="L466" s="93">
        <f t="shared" si="151"/>
        <v>5219.08</v>
      </c>
      <c r="M466" s="93">
        <f t="shared" si="151"/>
        <v>5308.0199999999995</v>
      </c>
      <c r="N466" s="93">
        <f t="shared" si="151"/>
        <v>5256.7199999999993</v>
      </c>
      <c r="O466" s="93">
        <f t="shared" si="151"/>
        <v>5270.8600000000006</v>
      </c>
      <c r="P466" s="93">
        <f t="shared" si="151"/>
        <v>5276.0600000000013</v>
      </c>
      <c r="Q466" s="78"/>
      <c r="R466" s="78"/>
      <c r="S466" s="78"/>
      <c r="T466" s="46"/>
      <c r="U466" s="78"/>
      <c r="V466" s="232"/>
      <c r="W466" s="78"/>
      <c r="X466" s="212"/>
      <c r="Y466" s="98"/>
    </row>
    <row r="467" spans="1:31" ht="12.75" customHeight="1" x14ac:dyDescent="0.25">
      <c r="A467" s="92">
        <v>43144</v>
      </c>
      <c r="B467" s="48" t="s">
        <v>204</v>
      </c>
      <c r="C467" s="54" t="s">
        <v>201</v>
      </c>
      <c r="D467" s="35">
        <v>3718.25</v>
      </c>
      <c r="E467" s="35">
        <v>3849.67</v>
      </c>
      <c r="F467" s="35">
        <v>3886.91</v>
      </c>
      <c r="G467" s="35">
        <v>3843.87</v>
      </c>
      <c r="H467" s="35">
        <v>3628.47</v>
      </c>
      <c r="I467" s="35">
        <v>3650.57</v>
      </c>
      <c r="J467" s="35">
        <v>3858.01</v>
      </c>
      <c r="K467" s="35">
        <v>3885.73</v>
      </c>
      <c r="L467" s="35">
        <v>3792.71</v>
      </c>
      <c r="M467" s="53"/>
      <c r="N467" s="53"/>
      <c r="O467" s="53"/>
      <c r="P467" s="53"/>
      <c r="Q467" s="48">
        <f>IF((L468=""),"",MAX(D469:L469))</f>
        <v>6514.74</v>
      </c>
      <c r="R467" s="48">
        <f>IF(L468="","",MIN(D469:L469))</f>
        <v>6020.37</v>
      </c>
      <c r="S467" s="75">
        <f>IF((L469=""),"",AVERAGE(D469:L469))</f>
        <v>6176.506666666668</v>
      </c>
      <c r="T467" s="50">
        <f>IF((L468=""),"",(Q467-R467)/(Q467+R467)*100)</f>
        <v>3.9438824230501357</v>
      </c>
      <c r="U467" s="48">
        <f>STDEV(D469:P469)</f>
        <v>182.14037018190118</v>
      </c>
      <c r="V467" s="228" t="str">
        <f>IF(L468="","",IF(T467&lt;9.8,IF(S467&gt;5100,IF(S467&lt;8300,"Pass","Fail"),"Fail"),"Fail"))</f>
        <v>Pass</v>
      </c>
      <c r="W467" s="46">
        <v>1428</v>
      </c>
      <c r="X467" s="212"/>
      <c r="Y467" s="98" t="s">
        <v>309</v>
      </c>
      <c r="Z467" s="37">
        <v>4955</v>
      </c>
      <c r="AA467" s="37">
        <v>9645</v>
      </c>
      <c r="AB467" s="37">
        <v>5100</v>
      </c>
      <c r="AC467" s="37">
        <v>8300</v>
      </c>
      <c r="AD467" s="67">
        <v>10</v>
      </c>
      <c r="AE467" s="67">
        <v>9.8000000000000007</v>
      </c>
    </row>
    <row r="468" spans="1:31" ht="12.75" customHeight="1" x14ac:dyDescent="0.35">
      <c r="A468" s="294"/>
      <c r="B468" s="46"/>
      <c r="C468" s="54" t="s">
        <v>200</v>
      </c>
      <c r="D468" s="35">
        <v>1546.67</v>
      </c>
      <c r="E468" s="35">
        <v>1821.69</v>
      </c>
      <c r="F468" s="35">
        <v>1867.06</v>
      </c>
      <c r="G468" s="35">
        <v>1779.57</v>
      </c>
      <c r="H468" s="35">
        <v>1612.37</v>
      </c>
      <c r="I468" s="35">
        <v>1502.28</v>
      </c>
      <c r="J468" s="35">
        <v>1800.54</v>
      </c>
      <c r="K468" s="35">
        <v>1868.57</v>
      </c>
      <c r="L468" s="35">
        <v>1785.92</v>
      </c>
      <c r="M468" s="53"/>
      <c r="N468" s="53"/>
      <c r="O468" s="53"/>
      <c r="P468" s="53"/>
      <c r="Q468" s="46"/>
      <c r="R468" s="46"/>
      <c r="S468" s="46"/>
      <c r="T468" s="46"/>
      <c r="U468" s="46"/>
      <c r="V468" s="229"/>
      <c r="W468" s="46"/>
      <c r="X468" s="212"/>
      <c r="Y468" s="98"/>
    </row>
    <row r="469" spans="1:31" ht="24.8" customHeight="1" thickBot="1" x14ac:dyDescent="0.4">
      <c r="A469" s="294"/>
      <c r="B469" s="42"/>
      <c r="C469" s="74" t="s">
        <v>199</v>
      </c>
      <c r="D469" s="81">
        <f t="shared" ref="D469:L469" si="152">IF(((D467="")*AND(D468="")),"",(D467-D468)*3)</f>
        <v>6514.74</v>
      </c>
      <c r="E469" s="81">
        <f t="shared" si="152"/>
        <v>6083.9400000000005</v>
      </c>
      <c r="F469" s="81">
        <f t="shared" si="152"/>
        <v>6059.5499999999993</v>
      </c>
      <c r="G469" s="81">
        <f t="shared" si="152"/>
        <v>6192.9000000000005</v>
      </c>
      <c r="H469" s="81">
        <f t="shared" si="152"/>
        <v>6048.2999999999993</v>
      </c>
      <c r="I469" s="81">
        <f t="shared" si="152"/>
        <v>6444.87</v>
      </c>
      <c r="J469" s="81">
        <f t="shared" si="152"/>
        <v>6172.4100000000008</v>
      </c>
      <c r="K469" s="81">
        <f t="shared" si="152"/>
        <v>6051.4800000000005</v>
      </c>
      <c r="L469" s="81">
        <f t="shared" si="152"/>
        <v>6020.37</v>
      </c>
      <c r="M469" s="81"/>
      <c r="N469" s="81"/>
      <c r="O469" s="81"/>
      <c r="P469" s="81" t="str">
        <f>IF(((P467="")*AND(P468="")),"",(P467-P468)*2)</f>
        <v/>
      </c>
      <c r="Q469" s="42"/>
      <c r="R469" s="42"/>
      <c r="S469" s="42"/>
      <c r="T469" s="42"/>
      <c r="U469" s="42"/>
      <c r="V469" s="230"/>
      <c r="W469" s="42"/>
      <c r="X469" s="212"/>
      <c r="Y469" s="97"/>
    </row>
    <row r="470" spans="1:31" ht="12.75" customHeight="1" x14ac:dyDescent="0.25">
      <c r="A470" s="92">
        <v>43172</v>
      </c>
      <c r="B470" s="55" t="s">
        <v>202</v>
      </c>
      <c r="C470" s="59" t="s">
        <v>201</v>
      </c>
      <c r="D470" s="35">
        <v>6743.49</v>
      </c>
      <c r="E470" s="35">
        <v>6927.74</v>
      </c>
      <c r="F470" s="35">
        <v>6640.78</v>
      </c>
      <c r="G470" s="35">
        <v>6692.9</v>
      </c>
      <c r="H470" s="35">
        <v>6833.38</v>
      </c>
      <c r="I470" s="35">
        <v>6770.55</v>
      </c>
      <c r="J470" s="35">
        <v>6739.69</v>
      </c>
      <c r="K470" s="35">
        <v>6670.79</v>
      </c>
      <c r="L470" s="35">
        <v>6712.4</v>
      </c>
      <c r="M470" s="35">
        <v>6800</v>
      </c>
      <c r="N470" s="35">
        <v>6987.24</v>
      </c>
      <c r="O470" s="35">
        <v>6787.98</v>
      </c>
      <c r="P470" s="35">
        <v>6877.33</v>
      </c>
      <c r="Q470" s="48">
        <f>IF((L471=""),"",MAX(D472:P472))</f>
        <v>5417.079999999999</v>
      </c>
      <c r="R470" s="55">
        <f>IF(L471="","",MIN(D472:L472))</f>
        <v>5260.76</v>
      </c>
      <c r="S470" s="51">
        <f>IF((P472=""),"",AVERAGE(D472:P472))</f>
        <v>5334.0476923076922</v>
      </c>
      <c r="T470" s="51">
        <f>IF((L471=""),"",(Q470-R470)/(Q470+R470)*100)</f>
        <v>1.4639664950963753</v>
      </c>
      <c r="U470" s="55">
        <f>STDEV(D472:P472)</f>
        <v>55.334738659942076</v>
      </c>
      <c r="V470" s="231" t="str">
        <f>IF(P471="","",IF(T470&lt;2.7,IF(S470&gt;5150,IF(S470&lt;5600,"Pass","Fail"),"Fail"),"Fail"))</f>
        <v>Pass</v>
      </c>
      <c r="W470" s="55">
        <v>102</v>
      </c>
      <c r="X470" s="212"/>
      <c r="Y470" s="94" t="s">
        <v>308</v>
      </c>
      <c r="Z470" s="251">
        <v>4470</v>
      </c>
      <c r="AA470" s="251">
        <v>6020</v>
      </c>
      <c r="AB470" s="251">
        <v>5150</v>
      </c>
      <c r="AC470" s="251">
        <v>5600</v>
      </c>
      <c r="AD470" s="67">
        <v>10</v>
      </c>
      <c r="AE470" s="252">
        <v>2.7</v>
      </c>
    </row>
    <row r="471" spans="1:31" ht="12.75" customHeight="1" x14ac:dyDescent="0.35">
      <c r="A471" s="294"/>
      <c r="B471" s="46"/>
      <c r="C471" s="54" t="s">
        <v>200</v>
      </c>
      <c r="D471" s="35">
        <v>4113.1099999999997</v>
      </c>
      <c r="E471" s="35">
        <v>4290.87</v>
      </c>
      <c r="F471" s="35">
        <v>4006.96</v>
      </c>
      <c r="G471" s="35">
        <v>3995.63</v>
      </c>
      <c r="H471" s="35">
        <v>4188.54</v>
      </c>
      <c r="I471" s="35">
        <v>4087.87</v>
      </c>
      <c r="J471" s="35">
        <v>4031.15</v>
      </c>
      <c r="K471" s="35">
        <v>3969.38</v>
      </c>
      <c r="L471" s="35">
        <v>4068.96</v>
      </c>
      <c r="M471" s="35">
        <v>4107.75</v>
      </c>
      <c r="N471" s="35">
        <v>4327.83</v>
      </c>
      <c r="O471" s="35">
        <v>4118.8999999999996</v>
      </c>
      <c r="P471" s="35">
        <v>4206.01</v>
      </c>
      <c r="Q471" s="46"/>
      <c r="R471" s="46"/>
      <c r="S471" s="46"/>
      <c r="T471" s="46"/>
      <c r="U471" s="46"/>
      <c r="V471" s="229"/>
      <c r="W471" s="46"/>
      <c r="X471" s="212"/>
      <c r="Y471" s="98"/>
    </row>
    <row r="472" spans="1:31" ht="23.95" customHeight="1" x14ac:dyDescent="0.35">
      <c r="A472" s="294"/>
      <c r="B472" s="78"/>
      <c r="C472" s="54" t="s">
        <v>199</v>
      </c>
      <c r="D472" s="93">
        <f t="shared" ref="D472:P472" si="153">IF(((D470="")*AND(D471="")),"",(D470-D471)*2)</f>
        <v>5260.76</v>
      </c>
      <c r="E472" s="93">
        <f t="shared" si="153"/>
        <v>5273.74</v>
      </c>
      <c r="F472" s="93">
        <f t="shared" si="153"/>
        <v>5267.6399999999994</v>
      </c>
      <c r="G472" s="93">
        <f t="shared" si="153"/>
        <v>5394.5399999999991</v>
      </c>
      <c r="H472" s="93">
        <f t="shared" si="153"/>
        <v>5289.68</v>
      </c>
      <c r="I472" s="93">
        <f t="shared" si="153"/>
        <v>5365.3600000000006</v>
      </c>
      <c r="J472" s="93">
        <f t="shared" si="153"/>
        <v>5417.079999999999</v>
      </c>
      <c r="K472" s="93">
        <f t="shared" si="153"/>
        <v>5402.82</v>
      </c>
      <c r="L472" s="93">
        <f t="shared" si="153"/>
        <v>5286.8799999999992</v>
      </c>
      <c r="M472" s="93">
        <f t="shared" si="153"/>
        <v>5384.5</v>
      </c>
      <c r="N472" s="93">
        <f t="shared" si="153"/>
        <v>5318.82</v>
      </c>
      <c r="O472" s="93">
        <f t="shared" si="153"/>
        <v>5338.16</v>
      </c>
      <c r="P472" s="93">
        <f t="shared" si="153"/>
        <v>5342.6399999999994</v>
      </c>
      <c r="Q472" s="78"/>
      <c r="R472" s="78"/>
      <c r="S472" s="78"/>
      <c r="T472" s="46"/>
      <c r="U472" s="78"/>
      <c r="V472" s="232"/>
      <c r="W472" s="78"/>
      <c r="X472" s="212"/>
      <c r="Y472" s="98"/>
    </row>
    <row r="473" spans="1:31" ht="12.75" customHeight="1" x14ac:dyDescent="0.25">
      <c r="A473" s="92">
        <v>43172</v>
      </c>
      <c r="B473" s="48" t="s">
        <v>204</v>
      </c>
      <c r="C473" s="54" t="s">
        <v>201</v>
      </c>
      <c r="D473" s="35">
        <v>5846.25</v>
      </c>
      <c r="E473" s="35">
        <v>5996.4</v>
      </c>
      <c r="F473" s="35">
        <v>6025.98</v>
      </c>
      <c r="G473" s="35">
        <v>5978.21</v>
      </c>
      <c r="H473" s="35">
        <v>5761.69</v>
      </c>
      <c r="I473" s="35">
        <v>5793.69</v>
      </c>
      <c r="J473" s="35">
        <v>6006.58</v>
      </c>
      <c r="K473" s="35">
        <v>6024.16</v>
      </c>
      <c r="L473" s="35">
        <v>5924.27</v>
      </c>
      <c r="M473" s="53"/>
      <c r="N473" s="53"/>
      <c r="O473" s="53"/>
      <c r="P473" s="53"/>
      <c r="Q473" s="48">
        <f>IF((L474=""),"",MAX(D475:L475))</f>
        <v>6411.93</v>
      </c>
      <c r="R473" s="48">
        <f>IF(L474="","",MIN(D475:L475))</f>
        <v>6319.7999999999984</v>
      </c>
      <c r="S473" s="75">
        <f>IF((L475=""),"",AVERAGE(D475:L475))</f>
        <v>6366.2366666666667</v>
      </c>
      <c r="T473" s="50">
        <f>IF((L474=""),"",(Q473-R473)/(Q473+R473)*100)</f>
        <v>0.72362514756440743</v>
      </c>
      <c r="U473" s="48">
        <f>STDEV(D475:P475)</f>
        <v>32.328509476930748</v>
      </c>
      <c r="V473" s="228" t="str">
        <f>IF(L474="","",IF(T473&lt;9.8,IF(S473&gt;5100,IF(S473&lt;8300,"Pass","Fail"),"Fail"),"Fail"))</f>
        <v>Pass</v>
      </c>
      <c r="W473" s="46">
        <v>102</v>
      </c>
      <c r="X473" s="212"/>
      <c r="Y473" s="98" t="s">
        <v>309</v>
      </c>
      <c r="Z473" s="37">
        <v>4955</v>
      </c>
      <c r="AA473" s="37">
        <v>9645</v>
      </c>
      <c r="AB473" s="37">
        <v>5100</v>
      </c>
      <c r="AC473" s="37">
        <v>8300</v>
      </c>
      <c r="AD473" s="67">
        <v>10</v>
      </c>
      <c r="AE473" s="67">
        <v>9.8000000000000007</v>
      </c>
    </row>
    <row r="474" spans="1:31" ht="12.75" customHeight="1" x14ac:dyDescent="0.35">
      <c r="A474" s="294"/>
      <c r="B474" s="46"/>
      <c r="C474" s="54" t="s">
        <v>200</v>
      </c>
      <c r="D474" s="35">
        <v>3737.19</v>
      </c>
      <c r="E474" s="35">
        <v>3871.63</v>
      </c>
      <c r="F474" s="35">
        <v>3894.43</v>
      </c>
      <c r="G474" s="35">
        <v>3854.37</v>
      </c>
      <c r="H474" s="35">
        <v>3655.09</v>
      </c>
      <c r="I474" s="35">
        <v>3665.07</v>
      </c>
      <c r="J474" s="35">
        <v>3869.27</v>
      </c>
      <c r="K474" s="35">
        <v>3897.96</v>
      </c>
      <c r="L474" s="35">
        <v>3813.51</v>
      </c>
      <c r="M474" s="53"/>
      <c r="N474" s="53"/>
      <c r="O474" s="53"/>
      <c r="P474" s="53"/>
      <c r="Q474" s="46"/>
      <c r="R474" s="46"/>
      <c r="S474" s="46"/>
      <c r="T474" s="46"/>
      <c r="U474" s="46"/>
      <c r="V474" s="229"/>
      <c r="W474" s="46"/>
      <c r="X474" s="212"/>
      <c r="Y474" s="98"/>
    </row>
    <row r="475" spans="1:31" ht="24.8" customHeight="1" thickBot="1" x14ac:dyDescent="0.4">
      <c r="A475" s="294"/>
      <c r="B475" s="42"/>
      <c r="C475" s="74" t="s">
        <v>199</v>
      </c>
      <c r="D475" s="81">
        <f t="shared" ref="D475:L475" si="154">IF(((D473="")*AND(D474="")),"",(D473-D474)*3)</f>
        <v>6327.18</v>
      </c>
      <c r="E475" s="81">
        <f t="shared" si="154"/>
        <v>6374.3099999999986</v>
      </c>
      <c r="F475" s="81">
        <f t="shared" si="154"/>
        <v>6394.65</v>
      </c>
      <c r="G475" s="81">
        <f t="shared" si="154"/>
        <v>6371.52</v>
      </c>
      <c r="H475" s="81">
        <f t="shared" si="154"/>
        <v>6319.7999999999984</v>
      </c>
      <c r="I475" s="81">
        <f t="shared" si="154"/>
        <v>6385.8599999999988</v>
      </c>
      <c r="J475" s="81">
        <f t="shared" si="154"/>
        <v>6411.93</v>
      </c>
      <c r="K475" s="81">
        <f t="shared" si="154"/>
        <v>6378.5999999999995</v>
      </c>
      <c r="L475" s="81">
        <f t="shared" si="154"/>
        <v>6332.2800000000007</v>
      </c>
      <c r="M475" s="81"/>
      <c r="N475" s="81"/>
      <c r="O475" s="81"/>
      <c r="P475" s="81" t="str">
        <f>IF(((P473="")*AND(P474="")),"",(P473-P474)*2)</f>
        <v/>
      </c>
      <c r="Q475" s="42"/>
      <c r="R475" s="42"/>
      <c r="S475" s="42"/>
      <c r="T475" s="42"/>
      <c r="U475" s="42"/>
      <c r="V475" s="230"/>
      <c r="W475" s="42"/>
      <c r="X475" s="212"/>
      <c r="Y475" s="97"/>
    </row>
    <row r="476" spans="1:31" ht="12.75" customHeight="1" x14ac:dyDescent="0.25">
      <c r="A476" s="92">
        <v>43198</v>
      </c>
      <c r="B476" s="55" t="s">
        <v>202</v>
      </c>
      <c r="C476" s="59" t="s">
        <v>201</v>
      </c>
      <c r="D476" s="35">
        <v>4132.28</v>
      </c>
      <c r="E476" s="35">
        <v>4316.21</v>
      </c>
      <c r="F476" s="35">
        <v>4023.54</v>
      </c>
      <c r="G476" s="35">
        <v>4011</v>
      </c>
      <c r="H476" s="35">
        <v>4212.99</v>
      </c>
      <c r="I476" s="35">
        <v>4107.3599999999997</v>
      </c>
      <c r="J476" s="35">
        <v>4045.83</v>
      </c>
      <c r="K476" s="35">
        <v>3985.52</v>
      </c>
      <c r="L476" s="35">
        <v>4084.21</v>
      </c>
      <c r="M476" s="35">
        <v>4123.88</v>
      </c>
      <c r="N476" s="35">
        <v>4353.43</v>
      </c>
      <c r="O476" s="35">
        <v>4134.8100000000004</v>
      </c>
      <c r="P476" s="35">
        <v>4225.87</v>
      </c>
      <c r="Q476" s="48">
        <f>IF((L477=""),"",MAX(D478:P478))</f>
        <v>5538.12</v>
      </c>
      <c r="R476" s="55">
        <f>IF(L477="","",MIN(D478:L478))</f>
        <v>5372.4</v>
      </c>
      <c r="S476" s="51">
        <f>IF((P478=""),"",AVERAGE(D478:P478))</f>
        <v>5445.1784615384613</v>
      </c>
      <c r="T476" s="51">
        <f>IF((L477=""),"",(Q476-R476)/(Q476+R476)*100)</f>
        <v>1.5189010239658627</v>
      </c>
      <c r="U476" s="55">
        <f>STDEV(D478:P478)</f>
        <v>56.083997992022951</v>
      </c>
      <c r="V476" s="231" t="str">
        <f>IF(P477="","",IF(T476&lt;2.7,IF(S476&gt;5150,IF(S476&lt;5600,"Pass","Fail"),"Fail"),"Fail"))</f>
        <v>Pass</v>
      </c>
      <c r="W476" s="55">
        <v>121</v>
      </c>
      <c r="X476" s="212"/>
      <c r="Y476" s="95" t="s">
        <v>232</v>
      </c>
      <c r="Z476" s="251">
        <v>4470</v>
      </c>
      <c r="AA476" s="251">
        <v>6020</v>
      </c>
      <c r="AB476" s="251">
        <v>5150</v>
      </c>
      <c r="AC476" s="251">
        <v>5600</v>
      </c>
      <c r="AD476" s="67">
        <v>10</v>
      </c>
      <c r="AE476" s="252">
        <v>2.7</v>
      </c>
    </row>
    <row r="477" spans="1:31" ht="12.75" customHeight="1" x14ac:dyDescent="0.35">
      <c r="A477" s="294"/>
      <c r="B477" s="46"/>
      <c r="C477" s="54" t="s">
        <v>200</v>
      </c>
      <c r="D477" s="35">
        <v>1446.08</v>
      </c>
      <c r="E477" s="35">
        <v>1623.48</v>
      </c>
      <c r="F477" s="35">
        <v>1323.98</v>
      </c>
      <c r="G477" s="35">
        <v>1254.58</v>
      </c>
      <c r="H477" s="35">
        <v>1514.01</v>
      </c>
      <c r="I477" s="35">
        <v>1368.76</v>
      </c>
      <c r="J477" s="35">
        <v>1276.77</v>
      </c>
      <c r="K477" s="35">
        <v>1224.19</v>
      </c>
      <c r="L477" s="35">
        <v>1377.16</v>
      </c>
      <c r="M477" s="35">
        <v>1380.2</v>
      </c>
      <c r="N477" s="35">
        <v>1648.08</v>
      </c>
      <c r="O477" s="35">
        <v>1413.39</v>
      </c>
      <c r="P477" s="35">
        <v>1512.59</v>
      </c>
      <c r="Q477" s="46"/>
      <c r="R477" s="46"/>
      <c r="S477" s="46"/>
      <c r="T477" s="46"/>
      <c r="U477" s="46"/>
      <c r="V477" s="229"/>
      <c r="W477" s="46"/>
      <c r="X477" s="212"/>
      <c r="Y477" s="98"/>
    </row>
    <row r="478" spans="1:31" ht="23.95" customHeight="1" x14ac:dyDescent="0.35">
      <c r="A478" s="294"/>
      <c r="B478" s="78"/>
      <c r="C478" s="54" t="s">
        <v>199</v>
      </c>
      <c r="D478" s="93">
        <f t="shared" ref="D478:P478" si="155">IF(((D476="")*AND(D477="")),"",(D476-D477)*2)</f>
        <v>5372.4</v>
      </c>
      <c r="E478" s="93">
        <f t="shared" si="155"/>
        <v>5385.46</v>
      </c>
      <c r="F478" s="93">
        <f t="shared" si="155"/>
        <v>5399.12</v>
      </c>
      <c r="G478" s="93">
        <f t="shared" si="155"/>
        <v>5512.84</v>
      </c>
      <c r="H478" s="93">
        <f t="shared" si="155"/>
        <v>5397.9599999999991</v>
      </c>
      <c r="I478" s="93">
        <f t="shared" si="155"/>
        <v>5477.1999999999989</v>
      </c>
      <c r="J478" s="93">
        <f t="shared" si="155"/>
        <v>5538.12</v>
      </c>
      <c r="K478" s="93">
        <f t="shared" si="155"/>
        <v>5522.66</v>
      </c>
      <c r="L478" s="93">
        <f t="shared" si="155"/>
        <v>5414.1</v>
      </c>
      <c r="M478" s="93">
        <f t="shared" si="155"/>
        <v>5487.3600000000006</v>
      </c>
      <c r="N478" s="93">
        <f t="shared" si="155"/>
        <v>5410.7000000000007</v>
      </c>
      <c r="O478" s="93">
        <f t="shared" si="155"/>
        <v>5442.84</v>
      </c>
      <c r="P478" s="93">
        <f t="shared" si="155"/>
        <v>5426.5599999999995</v>
      </c>
      <c r="Q478" s="78"/>
      <c r="R478" s="78"/>
      <c r="S478" s="78"/>
      <c r="T478" s="46"/>
      <c r="U478" s="78"/>
      <c r="V478" s="232"/>
      <c r="W478" s="78"/>
      <c r="X478" s="212"/>
      <c r="Y478" s="98"/>
    </row>
    <row r="479" spans="1:31" ht="12.75" customHeight="1" x14ac:dyDescent="0.25">
      <c r="A479" s="92">
        <v>43198</v>
      </c>
      <c r="B479" s="48" t="s">
        <v>204</v>
      </c>
      <c r="C479" s="54" t="s">
        <v>201</v>
      </c>
      <c r="D479" s="35">
        <v>3733.39</v>
      </c>
      <c r="E479" s="35">
        <v>3866.54</v>
      </c>
      <c r="F479" s="35">
        <v>3887.52</v>
      </c>
      <c r="G479" s="35">
        <v>3845.82</v>
      </c>
      <c r="H479" s="35">
        <v>3657.63</v>
      </c>
      <c r="I479" s="35">
        <v>3664.98</v>
      </c>
      <c r="J479" s="35">
        <v>3863.71</v>
      </c>
      <c r="K479" s="35">
        <v>3896.69</v>
      </c>
      <c r="L479" s="35">
        <v>3803.07</v>
      </c>
      <c r="M479" s="53"/>
      <c r="N479" s="53"/>
      <c r="O479" s="53"/>
      <c r="P479" s="53"/>
      <c r="Q479" s="48">
        <f>IF((L480=""),"",MAX(D481:L481))</f>
        <v>7257.63</v>
      </c>
      <c r="R479" s="48">
        <f>IF(L480="","",MIN(D481:L481))</f>
        <v>6615.39</v>
      </c>
      <c r="S479" s="75">
        <f>IF((L481=""),"",AVERAGE(D481:L481))</f>
        <v>6908.6066666666666</v>
      </c>
      <c r="T479" s="50">
        <f>IF((L480=""),"",(Q479-R479)/(Q479+R479)*100)</f>
        <v>4.6294173871298376</v>
      </c>
      <c r="U479" s="48">
        <f>STDEV(D481:P481)</f>
        <v>218.50795551878642</v>
      </c>
      <c r="V479" s="228" t="str">
        <f>IF(L480="","",IF(T479&lt;9.8,IF(S479&gt;5100,IF(S479&lt;8300,"Pass","Fail"),"Fail"),"Fail"))</f>
        <v>Pass</v>
      </c>
      <c r="W479" s="46">
        <v>121</v>
      </c>
      <c r="X479" s="212"/>
      <c r="Y479" s="95" t="s">
        <v>232</v>
      </c>
      <c r="Z479" s="37">
        <v>4955</v>
      </c>
      <c r="AA479" s="37">
        <v>9645</v>
      </c>
      <c r="AB479" s="37">
        <v>5100</v>
      </c>
      <c r="AC479" s="37">
        <v>8300</v>
      </c>
      <c r="AD479" s="67">
        <v>10</v>
      </c>
      <c r="AE479" s="67">
        <v>9.8000000000000007</v>
      </c>
    </row>
    <row r="480" spans="1:31" ht="12.75" customHeight="1" x14ac:dyDescent="0.35">
      <c r="A480" s="294"/>
      <c r="B480" s="46"/>
      <c r="C480" s="54" t="s">
        <v>200</v>
      </c>
      <c r="D480" s="35">
        <v>1457.24</v>
      </c>
      <c r="E480" s="35">
        <v>1603.77</v>
      </c>
      <c r="F480" s="35">
        <v>1573.75</v>
      </c>
      <c r="G480" s="35">
        <v>1604.12</v>
      </c>
      <c r="H480" s="35">
        <v>1238.42</v>
      </c>
      <c r="I480" s="35">
        <v>1255.46</v>
      </c>
      <c r="J480" s="35">
        <v>1594.61</v>
      </c>
      <c r="K480" s="35">
        <v>1568.22</v>
      </c>
      <c r="L480" s="35">
        <v>1597.94</v>
      </c>
      <c r="M480" s="53"/>
      <c r="N480" s="53"/>
      <c r="O480" s="53"/>
      <c r="P480" s="53"/>
      <c r="Q480" s="46"/>
      <c r="R480" s="46"/>
      <c r="S480" s="46"/>
      <c r="T480" s="46"/>
      <c r="U480" s="46"/>
      <c r="V480" s="229"/>
      <c r="W480" s="46"/>
      <c r="X480" s="212"/>
      <c r="Y480" s="98"/>
    </row>
    <row r="481" spans="1:31" ht="24.8" customHeight="1" thickBot="1" x14ac:dyDescent="0.4">
      <c r="A481" s="294"/>
      <c r="B481" s="42"/>
      <c r="C481" s="74" t="s">
        <v>199</v>
      </c>
      <c r="D481" s="81">
        <f t="shared" ref="D481:L481" si="156">IF(((D479="")*AND(D480="")),"",(D479-D480)*3)</f>
        <v>6828.4499999999989</v>
      </c>
      <c r="E481" s="81">
        <f t="shared" si="156"/>
        <v>6788.3099999999995</v>
      </c>
      <c r="F481" s="81">
        <f t="shared" si="156"/>
        <v>6941.3099999999995</v>
      </c>
      <c r="G481" s="81">
        <f t="shared" si="156"/>
        <v>6725.1</v>
      </c>
      <c r="H481" s="81">
        <f t="shared" si="156"/>
        <v>7257.63</v>
      </c>
      <c r="I481" s="81">
        <f t="shared" si="156"/>
        <v>7228.5599999999995</v>
      </c>
      <c r="J481" s="81">
        <f t="shared" si="156"/>
        <v>6807.3000000000011</v>
      </c>
      <c r="K481" s="81">
        <f t="shared" si="156"/>
        <v>6985.4100000000008</v>
      </c>
      <c r="L481" s="81">
        <f t="shared" si="156"/>
        <v>6615.39</v>
      </c>
      <c r="M481" s="81"/>
      <c r="N481" s="81"/>
      <c r="O481" s="81"/>
      <c r="P481" s="81" t="str">
        <f>IF(((P479="")*AND(P480="")),"",(P479-P480)*2)</f>
        <v/>
      </c>
      <c r="Q481" s="42"/>
      <c r="R481" s="42"/>
      <c r="S481" s="42"/>
      <c r="T481" s="42"/>
      <c r="U481" s="42"/>
      <c r="V481" s="230"/>
      <c r="W481" s="42"/>
      <c r="X481" s="212"/>
      <c r="Y481" s="97"/>
    </row>
    <row r="482" spans="1:31" ht="12.75" customHeight="1" x14ac:dyDescent="0.25">
      <c r="A482" s="92">
        <v>43215</v>
      </c>
      <c r="B482" s="55" t="s">
        <v>202</v>
      </c>
      <c r="C482" s="59" t="s">
        <v>201</v>
      </c>
      <c r="D482" s="35">
        <v>6864.06</v>
      </c>
      <c r="E482" s="35">
        <v>7068.26</v>
      </c>
      <c r="F482" s="35">
        <v>6785.94</v>
      </c>
      <c r="G482" s="35">
        <v>6833.8</v>
      </c>
      <c r="H482" s="35">
        <v>6977.42</v>
      </c>
      <c r="I482" s="35">
        <v>6915.96</v>
      </c>
      <c r="J482" s="35">
        <v>6893.52</v>
      </c>
      <c r="K482" s="35">
        <v>6821.33</v>
      </c>
      <c r="L482" s="35">
        <v>6864.97</v>
      </c>
      <c r="M482" s="35">
        <v>6952.59</v>
      </c>
      <c r="N482" s="35">
        <v>7154.49</v>
      </c>
      <c r="O482" s="35">
        <v>6945.31</v>
      </c>
      <c r="P482" s="35">
        <v>7057.04</v>
      </c>
      <c r="Q482" s="48">
        <f>IF((L483=""),"",MAX(D484:P484))</f>
        <v>5349.8017241379312</v>
      </c>
      <c r="R482" s="55">
        <f>IF(L483="","",MIN(D484:L484))</f>
        <v>5118.5172413793098</v>
      </c>
      <c r="S482" s="51">
        <f>IF((P484=""),"",AVERAGE(D484:P484))</f>
        <v>5277.4416445623347</v>
      </c>
      <c r="T482" s="51">
        <f>IF((L483=""),"",(Q482-R482)/(Q482+R482)*100)</f>
        <v>2.2093755790253908</v>
      </c>
      <c r="U482" s="55">
        <f>STDEV(D484:P484)</f>
        <v>66.939221190229034</v>
      </c>
      <c r="V482" s="231" t="str">
        <f>IF(P483="","",IF(T482&lt;2.7,IF(S482&gt;5150,IF(S482&lt;5600,"Pass","Fail"),"Fail"),"Fail"))</f>
        <v>Pass</v>
      </c>
      <c r="W482" s="55">
        <v>121</v>
      </c>
      <c r="X482" s="212"/>
      <c r="Y482" s="94" t="s">
        <v>231</v>
      </c>
      <c r="Z482" s="251">
        <v>4470</v>
      </c>
      <c r="AA482" s="251">
        <v>6020</v>
      </c>
      <c r="AB482" s="251">
        <v>5150</v>
      </c>
      <c r="AC482" s="251">
        <v>5600</v>
      </c>
      <c r="AD482" s="67">
        <v>10</v>
      </c>
      <c r="AE482" s="252">
        <v>2.7</v>
      </c>
    </row>
    <row r="483" spans="1:31" ht="12.75" customHeight="1" x14ac:dyDescent="0.35">
      <c r="A483" s="294"/>
      <c r="B483" s="46"/>
      <c r="C483" s="54" t="s">
        <v>200</v>
      </c>
      <c r="D483" s="35">
        <v>4841.87</v>
      </c>
      <c r="E483" s="35">
        <v>5018.3999999999996</v>
      </c>
      <c r="F483" s="35">
        <v>4806.78</v>
      </c>
      <c r="G483" s="35">
        <v>4792.6000000000004</v>
      </c>
      <c r="H483" s="35">
        <v>4916.6000000000004</v>
      </c>
      <c r="I483" s="35">
        <v>4847.37</v>
      </c>
      <c r="J483" s="35">
        <v>4848.5</v>
      </c>
      <c r="K483" s="35">
        <v>4775.83</v>
      </c>
      <c r="L483" s="35">
        <v>4864</v>
      </c>
      <c r="M483" s="35">
        <v>4891.2299999999996</v>
      </c>
      <c r="N483" s="35">
        <v>5094.3599999999997</v>
      </c>
      <c r="O483" s="35">
        <v>4907.38</v>
      </c>
      <c r="P483" s="35">
        <v>5001.83</v>
      </c>
      <c r="Q483" s="46"/>
      <c r="R483" s="46"/>
      <c r="S483" s="46"/>
      <c r="T483" s="46"/>
      <c r="U483" s="46"/>
      <c r="V483" s="229"/>
      <c r="W483" s="46"/>
      <c r="X483" s="212"/>
      <c r="Y483" s="98"/>
    </row>
    <row r="484" spans="1:31" ht="23.95" customHeight="1" x14ac:dyDescent="0.35">
      <c r="A484" s="294"/>
      <c r="B484" s="78"/>
      <c r="C484" s="54" t="s">
        <v>199</v>
      </c>
      <c r="D484" s="93">
        <f t="shared" ref="D484:P484" si="157">IF(((D482="")*AND(D483="")),"",(D482-D483)*60/23.2)</f>
        <v>5229.8017241379321</v>
      </c>
      <c r="E484" s="93">
        <f t="shared" si="157"/>
        <v>5301.362068965519</v>
      </c>
      <c r="F484" s="93">
        <f t="shared" si="157"/>
        <v>5118.5172413793098</v>
      </c>
      <c r="G484" s="93">
        <f t="shared" si="157"/>
        <v>5278.9655172413786</v>
      </c>
      <c r="H484" s="93">
        <f t="shared" si="157"/>
        <v>5329.7068965517237</v>
      </c>
      <c r="I484" s="93">
        <f t="shared" si="157"/>
        <v>5349.8017241379312</v>
      </c>
      <c r="J484" s="93">
        <f t="shared" si="157"/>
        <v>5288.8448275862083</v>
      </c>
      <c r="K484" s="93">
        <f t="shared" si="157"/>
        <v>5290.0862068965516</v>
      </c>
      <c r="L484" s="93">
        <f t="shared" si="157"/>
        <v>5174.9224137931042</v>
      </c>
      <c r="M484" s="93">
        <f t="shared" si="157"/>
        <v>5331.1034482758641</v>
      </c>
      <c r="N484" s="93">
        <f t="shared" si="157"/>
        <v>5327.9224137931042</v>
      </c>
      <c r="O484" s="93">
        <f t="shared" si="157"/>
        <v>5270.5086206896558</v>
      </c>
      <c r="P484" s="93">
        <f t="shared" si="157"/>
        <v>5315.1982758620697</v>
      </c>
      <c r="Q484" s="78"/>
      <c r="R484" s="78"/>
      <c r="S484" s="78"/>
      <c r="T484" s="46"/>
      <c r="U484" s="78"/>
      <c r="V484" s="232"/>
      <c r="W484" s="78"/>
      <c r="X484" s="212"/>
      <c r="Y484" s="98"/>
    </row>
    <row r="485" spans="1:31" ht="12.75" customHeight="1" x14ac:dyDescent="0.25">
      <c r="A485" s="92">
        <v>43215</v>
      </c>
      <c r="B485" s="48" t="s">
        <v>204</v>
      </c>
      <c r="C485" s="54" t="s">
        <v>201</v>
      </c>
      <c r="D485" s="35">
        <v>5849.09</v>
      </c>
      <c r="E485" s="35">
        <v>5987.08</v>
      </c>
      <c r="F485" s="35">
        <v>6023.58</v>
      </c>
      <c r="G485" s="35">
        <v>5968.42</v>
      </c>
      <c r="H485" s="35">
        <v>5940.87</v>
      </c>
      <c r="I485" s="35">
        <v>5796.76</v>
      </c>
      <c r="J485" s="35">
        <v>5995.93</v>
      </c>
      <c r="K485" s="35">
        <v>6017.51</v>
      </c>
      <c r="L485" s="35">
        <v>5888.59</v>
      </c>
      <c r="M485" s="53"/>
      <c r="N485" s="53"/>
      <c r="O485" s="53"/>
      <c r="P485" s="53"/>
      <c r="Q485" s="48">
        <f>IF((L486=""),"",MAX(D487:L487))</f>
        <v>7144.5599999999995</v>
      </c>
      <c r="R485" s="48">
        <f>IF(L486="","",MIN(D487:L487))</f>
        <v>5642.61</v>
      </c>
      <c r="S485" s="75">
        <f>IF((L487=""),"",AVERAGE(D487:L487))</f>
        <v>6160.626666666667</v>
      </c>
      <c r="T485" s="50">
        <f>IF((L486=""),"",(Q485-R485)/(Q485+R485)*100)</f>
        <v>11.745757661781301</v>
      </c>
      <c r="U485" s="48">
        <f>STDEV(D487:P487)</f>
        <v>518.34521146625809</v>
      </c>
      <c r="V485" s="228" t="str">
        <f>IF(L486="","",IF(T485&lt;9.8,IF(S485&gt;5100,IF(S485&lt;8300,"Pass","Fail"),"Fail"),"Fail"))</f>
        <v>Fail</v>
      </c>
      <c r="W485" s="46"/>
      <c r="X485" s="212"/>
      <c r="Y485" s="98"/>
      <c r="Z485" s="37">
        <v>4955</v>
      </c>
      <c r="AA485" s="37">
        <v>9645</v>
      </c>
      <c r="AB485" s="37">
        <v>5100</v>
      </c>
      <c r="AC485" s="37">
        <v>8300</v>
      </c>
      <c r="AD485" s="67">
        <v>10</v>
      </c>
      <c r="AE485" s="67">
        <v>9.8000000000000007</v>
      </c>
    </row>
    <row r="486" spans="1:31" ht="12.75" customHeight="1" x14ac:dyDescent="0.35">
      <c r="A486" s="294"/>
      <c r="B486" s="46"/>
      <c r="C486" s="54" t="s">
        <v>200</v>
      </c>
      <c r="D486" s="35">
        <v>3739.12</v>
      </c>
      <c r="E486" s="35">
        <v>4106.21</v>
      </c>
      <c r="F486" s="35">
        <v>4110.72</v>
      </c>
      <c r="G486" s="35">
        <v>3986.82</v>
      </c>
      <c r="H486" s="35">
        <v>3559.35</v>
      </c>
      <c r="I486" s="35">
        <v>3529.59</v>
      </c>
      <c r="J486" s="35">
        <v>3996.91</v>
      </c>
      <c r="K486" s="35">
        <v>4121.07</v>
      </c>
      <c r="L486" s="35">
        <v>3836.16</v>
      </c>
      <c r="M486" s="53"/>
      <c r="N486" s="53"/>
      <c r="O486" s="53"/>
      <c r="P486" s="53"/>
      <c r="Q486" s="46"/>
      <c r="R486" s="46"/>
      <c r="S486" s="46"/>
      <c r="T486" s="46"/>
      <c r="U486" s="46"/>
      <c r="V486" s="229"/>
      <c r="W486" s="46"/>
      <c r="X486" s="212"/>
      <c r="Y486" s="98"/>
    </row>
    <row r="487" spans="1:31" ht="24.8" customHeight="1" thickBot="1" x14ac:dyDescent="0.4">
      <c r="A487" s="294"/>
      <c r="B487" s="42"/>
      <c r="C487" s="74" t="s">
        <v>199</v>
      </c>
      <c r="D487" s="81">
        <f t="shared" ref="D487:L487" si="158">IF(((D485="")*AND(D486="")),"",(D485-D486)*3)</f>
        <v>6329.9100000000008</v>
      </c>
      <c r="E487" s="81">
        <f t="shared" si="158"/>
        <v>5642.61</v>
      </c>
      <c r="F487" s="81">
        <f t="shared" si="158"/>
        <v>5738.579999999999</v>
      </c>
      <c r="G487" s="81">
        <f t="shared" si="158"/>
        <v>5944.7999999999993</v>
      </c>
      <c r="H487" s="81">
        <f t="shared" si="158"/>
        <v>7144.5599999999995</v>
      </c>
      <c r="I487" s="81">
        <f t="shared" si="158"/>
        <v>6801.51</v>
      </c>
      <c r="J487" s="81">
        <f t="shared" si="158"/>
        <v>5997.0600000000013</v>
      </c>
      <c r="K487" s="81">
        <f t="shared" si="158"/>
        <v>5689.3200000000015</v>
      </c>
      <c r="L487" s="81">
        <f t="shared" si="158"/>
        <v>6157.2900000000009</v>
      </c>
      <c r="M487" s="81"/>
      <c r="N487" s="81"/>
      <c r="O487" s="81"/>
      <c r="P487" s="81" t="str">
        <f>IF(((P485="")*AND(P486="")),"",(P485-P486)*2)</f>
        <v/>
      </c>
      <c r="Q487" s="42"/>
      <c r="R487" s="42"/>
      <c r="S487" s="42"/>
      <c r="T487" s="42"/>
      <c r="U487" s="42"/>
      <c r="V487" s="230"/>
      <c r="W487" s="42"/>
      <c r="X487" s="212"/>
      <c r="Y487" s="97"/>
    </row>
    <row r="488" spans="1:31" ht="12.75" customHeight="1" x14ac:dyDescent="0.25">
      <c r="A488" s="96">
        <v>43294</v>
      </c>
      <c r="B488" s="55" t="s">
        <v>202</v>
      </c>
      <c r="C488" s="59" t="s">
        <v>201</v>
      </c>
      <c r="D488" s="35">
        <v>4196.25</v>
      </c>
      <c r="E488" s="35">
        <v>4437.93</v>
      </c>
      <c r="F488" s="35">
        <v>4071.65</v>
      </c>
      <c r="G488" s="35">
        <v>4087.73</v>
      </c>
      <c r="H488" s="35">
        <v>4343.3500000000004</v>
      </c>
      <c r="I488" s="35">
        <v>4233.99</v>
      </c>
      <c r="J488" s="35">
        <v>4135.37</v>
      </c>
      <c r="K488" s="35">
        <v>4053.73</v>
      </c>
      <c r="L488" s="35">
        <v>4123.8900000000003</v>
      </c>
      <c r="M488" s="35">
        <v>4212.49</v>
      </c>
      <c r="N488" s="35">
        <v>4510.67</v>
      </c>
      <c r="O488" s="35">
        <v>4207.03</v>
      </c>
      <c r="P488" s="35">
        <v>4361.67</v>
      </c>
      <c r="Q488" s="48">
        <f>IF((L489=""),"",MAX(D490:P490))</f>
        <v>5772.08</v>
      </c>
      <c r="R488" s="55">
        <f>IF(L489="","",MIN(D490:L490))</f>
        <v>5569.2</v>
      </c>
      <c r="S488" s="51">
        <f>IF((P490=""),"",AVERAGE(D490:P490))</f>
        <v>5655.2630769230764</v>
      </c>
      <c r="T488" s="51">
        <f>IF((L489=""),"",(Q488-R488)/(Q488+R488)*100)</f>
        <v>1.7888633381769972</v>
      </c>
      <c r="U488" s="55">
        <f>STDEV(D490:P490)</f>
        <v>71.584892654876725</v>
      </c>
      <c r="V488" s="231" t="str">
        <f>IF(P489="","",IF(T488&lt;2.7,IF(S488&gt;5150,IF(S488&lt;5600,"Pass","Fail"),"Fail"),"Fail"))</f>
        <v>Fail</v>
      </c>
      <c r="W488" s="55">
        <v>1335</v>
      </c>
      <c r="X488" s="212"/>
      <c r="Y488" s="95" t="s">
        <v>230</v>
      </c>
      <c r="Z488" s="251">
        <v>4470</v>
      </c>
      <c r="AA488" s="251">
        <v>6020</v>
      </c>
      <c r="AB488" s="251">
        <v>5150</v>
      </c>
      <c r="AC488" s="251">
        <v>5600</v>
      </c>
      <c r="AD488" s="67">
        <v>10</v>
      </c>
      <c r="AE488" s="252">
        <v>2.7</v>
      </c>
    </row>
    <row r="489" spans="1:31" ht="12.75" customHeight="1" x14ac:dyDescent="0.35">
      <c r="A489" s="294"/>
      <c r="B489" s="46"/>
      <c r="C489" s="54" t="s">
        <v>200</v>
      </c>
      <c r="D489" s="35">
        <v>1411.65</v>
      </c>
      <c r="E489" s="35">
        <v>1648.13</v>
      </c>
      <c r="F489" s="35">
        <v>1268.8</v>
      </c>
      <c r="G489" s="35">
        <v>1225.1300000000001</v>
      </c>
      <c r="H489" s="35">
        <v>1551.52</v>
      </c>
      <c r="I489" s="35">
        <v>1389</v>
      </c>
      <c r="J489" s="35">
        <v>1249.33</v>
      </c>
      <c r="K489" s="35">
        <v>1179.3699999999999</v>
      </c>
      <c r="L489" s="35">
        <v>1310.42</v>
      </c>
      <c r="M489" s="35">
        <v>1341.4</v>
      </c>
      <c r="N489" s="35">
        <v>1708.06</v>
      </c>
      <c r="O489" s="35">
        <v>1380.77</v>
      </c>
      <c r="P489" s="35">
        <v>1552.96</v>
      </c>
      <c r="Q489" s="46"/>
      <c r="R489" s="46"/>
      <c r="S489" s="46"/>
      <c r="T489" s="46"/>
      <c r="U489" s="46"/>
      <c r="V489" s="229"/>
      <c r="W489" s="46"/>
      <c r="X489" s="212"/>
      <c r="Y489" s="98"/>
    </row>
    <row r="490" spans="1:31" ht="23.95" customHeight="1" x14ac:dyDescent="0.35">
      <c r="A490" s="294"/>
      <c r="B490" s="78"/>
      <c r="C490" s="54" t="s">
        <v>199</v>
      </c>
      <c r="D490" s="93">
        <f t="shared" ref="D490:P490" si="159">IF(((D488="")*AND(D489="")),"",(D488-D489)*2)</f>
        <v>5569.2</v>
      </c>
      <c r="E490" s="93">
        <f t="shared" si="159"/>
        <v>5579.6</v>
      </c>
      <c r="F490" s="93">
        <f t="shared" si="159"/>
        <v>5605.7000000000007</v>
      </c>
      <c r="G490" s="93">
        <f t="shared" si="159"/>
        <v>5725.2</v>
      </c>
      <c r="H490" s="93">
        <f t="shared" si="159"/>
        <v>5583.6600000000008</v>
      </c>
      <c r="I490" s="93">
        <f t="shared" si="159"/>
        <v>5689.98</v>
      </c>
      <c r="J490" s="93">
        <f t="shared" si="159"/>
        <v>5772.08</v>
      </c>
      <c r="K490" s="93">
        <f t="shared" si="159"/>
        <v>5748.72</v>
      </c>
      <c r="L490" s="93">
        <f t="shared" si="159"/>
        <v>5626.9400000000005</v>
      </c>
      <c r="M490" s="93">
        <f t="shared" si="159"/>
        <v>5742.1799999999994</v>
      </c>
      <c r="N490" s="93">
        <f t="shared" si="159"/>
        <v>5605.22</v>
      </c>
      <c r="O490" s="93">
        <f t="shared" si="159"/>
        <v>5652.5199999999995</v>
      </c>
      <c r="P490" s="93">
        <f t="shared" si="159"/>
        <v>5617.42</v>
      </c>
      <c r="Q490" s="78"/>
      <c r="R490" s="78"/>
      <c r="S490" s="78"/>
      <c r="T490" s="46"/>
      <c r="U490" s="78"/>
      <c r="V490" s="232"/>
      <c r="W490" s="78"/>
      <c r="X490" s="212"/>
      <c r="Y490" s="98"/>
    </row>
    <row r="491" spans="1:31" ht="12.75" customHeight="1" x14ac:dyDescent="0.25">
      <c r="A491" s="96">
        <v>43294</v>
      </c>
      <c r="B491" s="48" t="s">
        <v>204</v>
      </c>
      <c r="C491" s="54" t="s">
        <v>201</v>
      </c>
      <c r="D491" s="35">
        <v>4019.53</v>
      </c>
      <c r="E491" s="35">
        <v>4090.95</v>
      </c>
      <c r="F491" s="35">
        <v>4137.7299999999996</v>
      </c>
      <c r="G491" s="35">
        <v>4113.7299999999996</v>
      </c>
      <c r="H491" s="35">
        <v>4098.33</v>
      </c>
      <c r="I491" s="35">
        <v>3966.93</v>
      </c>
      <c r="J491" s="35">
        <v>4099.2</v>
      </c>
      <c r="K491" s="35">
        <v>4121.72</v>
      </c>
      <c r="L491" s="35">
        <v>3958.42</v>
      </c>
      <c r="M491" s="53"/>
      <c r="N491" s="53"/>
      <c r="O491" s="53"/>
      <c r="P491" s="53"/>
      <c r="Q491" s="48">
        <f>IF((L492=""),"",MAX(D493:L493))</f>
        <v>7571.37</v>
      </c>
      <c r="R491" s="48">
        <f>IF(L492="","",MIN(D493:L493))</f>
        <v>7199.579999999999</v>
      </c>
      <c r="S491" s="75">
        <f>IF((L493=""),"",AVERAGE(D493:L493))</f>
        <v>7470.2966666666662</v>
      </c>
      <c r="T491" s="50">
        <f>IF((L492=""),"",(Q491-R491)/(Q491+R491)*100)</f>
        <v>2.5170351263798256</v>
      </c>
      <c r="U491" s="48">
        <f>STDEV(D493:P493)</f>
        <v>137.43670534104066</v>
      </c>
      <c r="V491" s="228" t="str">
        <f>IF(L492="","",IF(T491&lt;9.8,IF(S491&gt;5100,IF(S491&lt;8300,"Pass","Fail"),"Fail"),"Fail"))</f>
        <v>Pass</v>
      </c>
      <c r="W491" s="46">
        <v>1335</v>
      </c>
      <c r="X491" s="212"/>
      <c r="Y491" s="98" t="s">
        <v>230</v>
      </c>
      <c r="Z491" s="37">
        <v>4955</v>
      </c>
      <c r="AA491" s="37">
        <v>9645</v>
      </c>
      <c r="AB491" s="37">
        <v>5100</v>
      </c>
      <c r="AC491" s="37">
        <v>8300</v>
      </c>
      <c r="AD491" s="67">
        <v>10</v>
      </c>
      <c r="AE491" s="67">
        <v>9.8000000000000007</v>
      </c>
    </row>
    <row r="492" spans="1:31" ht="12.75" customHeight="1" x14ac:dyDescent="0.35">
      <c r="A492" s="294"/>
      <c r="B492" s="46"/>
      <c r="C492" s="54" t="s">
        <v>200</v>
      </c>
      <c r="D492" s="35">
        <v>1529.17</v>
      </c>
      <c r="E492" s="35">
        <v>1584.27</v>
      </c>
      <c r="F492" s="35">
        <v>1614.98</v>
      </c>
      <c r="G492" s="35">
        <v>1604.87</v>
      </c>
      <c r="H492" s="35">
        <v>1574.54</v>
      </c>
      <c r="I492" s="35">
        <v>1567.07</v>
      </c>
      <c r="J492" s="35">
        <v>1580.03</v>
      </c>
      <c r="K492" s="35">
        <v>1606.5</v>
      </c>
      <c r="L492" s="35">
        <v>1534.22</v>
      </c>
      <c r="M492" s="53"/>
      <c r="N492" s="53"/>
      <c r="O492" s="53"/>
      <c r="P492" s="53"/>
      <c r="Q492" s="46"/>
      <c r="R492" s="46"/>
      <c r="S492" s="46"/>
      <c r="T492" s="46"/>
      <c r="U492" s="46"/>
      <c r="V492" s="229"/>
      <c r="W492" s="46"/>
      <c r="X492" s="212"/>
      <c r="Y492" s="98"/>
    </row>
    <row r="493" spans="1:31" ht="24.8" customHeight="1" thickBot="1" x14ac:dyDescent="0.4">
      <c r="A493" s="294"/>
      <c r="B493" s="42"/>
      <c r="C493" s="74" t="s">
        <v>199</v>
      </c>
      <c r="D493" s="81">
        <f t="shared" ref="D493:L493" si="160">IF(((D491="")*AND(D492="")),"",(D491-D492)*3)</f>
        <v>7471.08</v>
      </c>
      <c r="E493" s="81">
        <f t="shared" si="160"/>
        <v>7520.0399999999991</v>
      </c>
      <c r="F493" s="81">
        <f t="shared" si="160"/>
        <v>7568.2499999999982</v>
      </c>
      <c r="G493" s="81">
        <f t="shared" si="160"/>
        <v>7526.579999999999</v>
      </c>
      <c r="H493" s="81">
        <f t="shared" si="160"/>
        <v>7571.37</v>
      </c>
      <c r="I493" s="81">
        <f t="shared" si="160"/>
        <v>7199.579999999999</v>
      </c>
      <c r="J493" s="81">
        <f t="shared" si="160"/>
        <v>7557.51</v>
      </c>
      <c r="K493" s="81">
        <f t="shared" si="160"/>
        <v>7545.6600000000008</v>
      </c>
      <c r="L493" s="81">
        <f t="shared" si="160"/>
        <v>7272.5999999999995</v>
      </c>
      <c r="M493" s="81"/>
      <c r="N493" s="81"/>
      <c r="O493" s="81"/>
      <c r="P493" s="81" t="str">
        <f>IF(((P491="")*AND(P492="")),"",(P491-P492)*2)</f>
        <v/>
      </c>
      <c r="Q493" s="42"/>
      <c r="R493" s="42"/>
      <c r="S493" s="42"/>
      <c r="T493" s="42"/>
      <c r="U493" s="42"/>
      <c r="V493" s="230"/>
      <c r="W493" s="42"/>
      <c r="X493" s="212"/>
      <c r="Y493" s="97"/>
    </row>
    <row r="494" spans="1:31" ht="12.75" customHeight="1" x14ac:dyDescent="0.25">
      <c r="A494" s="96">
        <v>43296</v>
      </c>
      <c r="B494" s="55" t="s">
        <v>202</v>
      </c>
      <c r="C494" s="59" t="s">
        <v>201</v>
      </c>
      <c r="D494" s="35">
        <v>6876.19</v>
      </c>
      <c r="E494" s="35">
        <v>7091.09</v>
      </c>
      <c r="F494" s="35">
        <v>6797.25</v>
      </c>
      <c r="G494" s="35">
        <v>6844.47</v>
      </c>
      <c r="H494" s="35">
        <v>7005.48</v>
      </c>
      <c r="I494" s="35">
        <v>6930.94</v>
      </c>
      <c r="J494" s="35">
        <v>6905.12</v>
      </c>
      <c r="K494" s="35">
        <v>6837.8</v>
      </c>
      <c r="L494" s="35">
        <v>6879.84</v>
      </c>
      <c r="M494" s="35">
        <v>6964.86</v>
      </c>
      <c r="N494" s="35">
        <v>7179.93</v>
      </c>
      <c r="O494" s="35">
        <v>6960.63</v>
      </c>
      <c r="P494" s="35">
        <v>7076.66</v>
      </c>
      <c r="Q494" s="48">
        <f>IF((L495=""),"",MAX(D496:P496))</f>
        <v>5721.68</v>
      </c>
      <c r="R494" s="55">
        <f>IF(L495="","",MIN(D496:L496))</f>
        <v>5516.8399999999983</v>
      </c>
      <c r="S494" s="51">
        <f>IF((P496=""),"",AVERAGE(D496:P496))</f>
        <v>5602.1107692307705</v>
      </c>
      <c r="T494" s="51">
        <f>IF((L495=""),"",(Q494-R494)/(Q494+R494)*100)</f>
        <v>1.8226599231927512</v>
      </c>
      <c r="U494" s="55">
        <f>STDEV(D496:P496)</f>
        <v>71.604041606315747</v>
      </c>
      <c r="V494" s="231" t="str">
        <f>IF(P495="","",IF(T494&lt;2.7,IF(S494&gt;5150,IF(S494&lt;5600,"Pass","Fail"),"Fail"),"Fail"))</f>
        <v>Fail</v>
      </c>
      <c r="W494" s="55">
        <v>74</v>
      </c>
      <c r="X494" s="212"/>
      <c r="Y494" s="95" t="s">
        <v>229</v>
      </c>
      <c r="Z494" s="251">
        <v>4470</v>
      </c>
      <c r="AA494" s="251">
        <v>6020</v>
      </c>
      <c r="AB494" s="251">
        <v>5150</v>
      </c>
      <c r="AC494" s="251">
        <v>5600</v>
      </c>
      <c r="AD494" s="67">
        <v>10</v>
      </c>
      <c r="AE494" s="252">
        <v>2.7</v>
      </c>
    </row>
    <row r="495" spans="1:31" ht="16.100000000000001" x14ac:dyDescent="0.35">
      <c r="A495" s="294"/>
      <c r="B495" s="46"/>
      <c r="C495" s="54" t="s">
        <v>200</v>
      </c>
      <c r="D495" s="35">
        <v>4117.7700000000004</v>
      </c>
      <c r="E495" s="35">
        <v>4329.84</v>
      </c>
      <c r="F495" s="35">
        <v>4019.51</v>
      </c>
      <c r="G495" s="35">
        <v>4006.77</v>
      </c>
      <c r="H495" s="35">
        <v>4239.99</v>
      </c>
      <c r="I495" s="35">
        <v>4114.16</v>
      </c>
      <c r="J495" s="35">
        <v>4066.35</v>
      </c>
      <c r="K495" s="35">
        <v>3976.96</v>
      </c>
      <c r="L495" s="35">
        <v>4093.03</v>
      </c>
      <c r="M495" s="35">
        <v>4114.71</v>
      </c>
      <c r="N495" s="35">
        <v>4404.79</v>
      </c>
      <c r="O495" s="35">
        <v>4159.76</v>
      </c>
      <c r="P495" s="35">
        <v>4292.8999999999996</v>
      </c>
      <c r="Q495" s="46"/>
      <c r="R495" s="46"/>
      <c r="S495" s="46"/>
      <c r="T495" s="46"/>
      <c r="U495" s="46"/>
      <c r="V495" s="229"/>
      <c r="W495" s="46"/>
      <c r="X495" s="212"/>
      <c r="Y495" s="98"/>
    </row>
    <row r="496" spans="1:31" ht="22.15" x14ac:dyDescent="0.35">
      <c r="A496" s="294"/>
      <c r="B496" s="78"/>
      <c r="C496" s="54" t="s">
        <v>199</v>
      </c>
      <c r="D496" s="93">
        <f t="shared" ref="D496:P496" si="161">IF(((D494="")*AND(D495="")),"",(D494-D495)*2)</f>
        <v>5516.8399999999983</v>
      </c>
      <c r="E496" s="93">
        <f t="shared" si="161"/>
        <v>5522.5</v>
      </c>
      <c r="F496" s="93">
        <f t="shared" si="161"/>
        <v>5555.48</v>
      </c>
      <c r="G496" s="93">
        <f t="shared" si="161"/>
        <v>5675.4000000000005</v>
      </c>
      <c r="H496" s="93">
        <f t="shared" si="161"/>
        <v>5530.98</v>
      </c>
      <c r="I496" s="93">
        <f t="shared" si="161"/>
        <v>5633.5599999999995</v>
      </c>
      <c r="J496" s="93">
        <f t="shared" si="161"/>
        <v>5677.54</v>
      </c>
      <c r="K496" s="93">
        <f t="shared" si="161"/>
        <v>5721.68</v>
      </c>
      <c r="L496" s="93">
        <f t="shared" si="161"/>
        <v>5573.62</v>
      </c>
      <c r="M496" s="93">
        <f t="shared" si="161"/>
        <v>5700.2999999999993</v>
      </c>
      <c r="N496" s="93">
        <f t="shared" si="161"/>
        <v>5550.2800000000007</v>
      </c>
      <c r="O496" s="93">
        <f t="shared" si="161"/>
        <v>5601.74</v>
      </c>
      <c r="P496" s="93">
        <f t="shared" si="161"/>
        <v>5567.52</v>
      </c>
      <c r="Q496" s="78"/>
      <c r="R496" s="78"/>
      <c r="S496" s="78"/>
      <c r="T496" s="46"/>
      <c r="U496" s="78"/>
      <c r="V496" s="232"/>
      <c r="W496" s="78"/>
      <c r="X496" s="212"/>
      <c r="Y496" s="98"/>
    </row>
    <row r="497" spans="1:31" ht="12.75" customHeight="1" x14ac:dyDescent="0.25">
      <c r="A497" s="96">
        <v>43296</v>
      </c>
      <c r="B497" s="48" t="s">
        <v>204</v>
      </c>
      <c r="C497" s="54" t="s">
        <v>201</v>
      </c>
      <c r="D497" s="35">
        <v>5985.57</v>
      </c>
      <c r="E497" s="35">
        <v>6099.74</v>
      </c>
      <c r="F497" s="35">
        <v>6133.99</v>
      </c>
      <c r="G497" s="35">
        <v>6072.97</v>
      </c>
      <c r="H497" s="35">
        <v>5972.51</v>
      </c>
      <c r="I497" s="35">
        <v>5929.71</v>
      </c>
      <c r="J497" s="35">
        <v>6084.1</v>
      </c>
      <c r="K497" s="35">
        <v>6134.12</v>
      </c>
      <c r="L497" s="35">
        <v>5939.77</v>
      </c>
      <c r="M497" s="53"/>
      <c r="N497" s="53"/>
      <c r="O497" s="53"/>
      <c r="P497" s="53"/>
      <c r="Q497" s="48">
        <f>IF((L498=""),"",MAX(D499:L499))</f>
        <v>8125.32</v>
      </c>
      <c r="R497" s="48">
        <f>IF(L498="","",MIN(D499:L499))</f>
        <v>7083.8700000000008</v>
      </c>
      <c r="S497" s="75">
        <f>IF((L499=""),"",AVERAGE(D499:L499))</f>
        <v>7366.5233333333326</v>
      </c>
      <c r="T497" s="50">
        <f>IF((L498=""),"",(Q497-R497)/(Q497+R497)*100)</f>
        <v>6.8475046994613056</v>
      </c>
      <c r="U497" s="48">
        <f>STDEV(D499:P499)</f>
        <v>324.39945264287951</v>
      </c>
      <c r="V497" s="228" t="str">
        <f>IF(L498="","",IF(T497&lt;9.8,IF(S497&gt;5100,IF(S497&lt;8300,"Pass","Fail"),"Fail"),"Fail"))</f>
        <v>Pass</v>
      </c>
      <c r="W497" s="46">
        <v>74</v>
      </c>
      <c r="X497" s="212"/>
      <c r="Y497" s="98" t="s">
        <v>229</v>
      </c>
      <c r="Z497" s="37">
        <v>4955</v>
      </c>
      <c r="AA497" s="37">
        <v>9645</v>
      </c>
      <c r="AB497" s="37">
        <v>5100</v>
      </c>
      <c r="AC497" s="37">
        <v>8300</v>
      </c>
      <c r="AD497" s="67">
        <v>10</v>
      </c>
      <c r="AE497" s="67">
        <v>9.8000000000000007</v>
      </c>
    </row>
    <row r="498" spans="1:31" ht="16.100000000000001" x14ac:dyDescent="0.35">
      <c r="A498" s="294"/>
      <c r="B498" s="46"/>
      <c r="C498" s="54" t="s">
        <v>200</v>
      </c>
      <c r="D498" s="35">
        <v>3595.78</v>
      </c>
      <c r="E498" s="35">
        <v>3694.44</v>
      </c>
      <c r="F498" s="35">
        <v>3699.05</v>
      </c>
      <c r="G498" s="35">
        <v>3673.98</v>
      </c>
      <c r="H498" s="35">
        <v>3424.57</v>
      </c>
      <c r="I498" s="35">
        <v>3221.27</v>
      </c>
      <c r="J498" s="35">
        <v>3657.68</v>
      </c>
      <c r="K498" s="35">
        <v>3707.66</v>
      </c>
      <c r="L498" s="35">
        <v>3578.48</v>
      </c>
      <c r="M498" s="53"/>
      <c r="N498" s="53"/>
      <c r="O498" s="53"/>
      <c r="P498" s="53"/>
      <c r="Q498" s="46"/>
      <c r="R498" s="46"/>
      <c r="S498" s="46"/>
      <c r="T498" s="46"/>
      <c r="U498" s="46"/>
      <c r="V498" s="229"/>
      <c r="W498" s="46"/>
      <c r="X498" s="212"/>
      <c r="Y498" s="98"/>
    </row>
    <row r="499" spans="1:31" ht="22.75" thickBot="1" x14ac:dyDescent="0.4">
      <c r="A499" s="294"/>
      <c r="B499" s="42"/>
      <c r="C499" s="74" t="s">
        <v>199</v>
      </c>
      <c r="D499" s="81">
        <f t="shared" ref="D499:L499" si="162">IF(((D497="")*AND(D498="")),"",(D497-D498)*3)</f>
        <v>7169.369999999999</v>
      </c>
      <c r="E499" s="81">
        <f t="shared" si="162"/>
        <v>7215.9</v>
      </c>
      <c r="F499" s="81">
        <f t="shared" si="162"/>
        <v>7304.8199999999988</v>
      </c>
      <c r="G499" s="81">
        <f t="shared" si="162"/>
        <v>7196.9700000000012</v>
      </c>
      <c r="H499" s="81">
        <f t="shared" si="162"/>
        <v>7643.82</v>
      </c>
      <c r="I499" s="81">
        <f t="shared" si="162"/>
        <v>8125.32</v>
      </c>
      <c r="J499" s="81">
        <f t="shared" si="162"/>
        <v>7279.260000000002</v>
      </c>
      <c r="K499" s="81">
        <f t="shared" si="162"/>
        <v>7279.38</v>
      </c>
      <c r="L499" s="81">
        <f t="shared" si="162"/>
        <v>7083.8700000000008</v>
      </c>
      <c r="M499" s="81"/>
      <c r="N499" s="81"/>
      <c r="O499" s="81"/>
      <c r="P499" s="81" t="str">
        <f>IF(((P497="")*AND(P498="")),"",(P497-P498)*2)</f>
        <v/>
      </c>
      <c r="Q499" s="42"/>
      <c r="R499" s="42"/>
      <c r="S499" s="42"/>
      <c r="T499" s="42"/>
      <c r="U499" s="42"/>
      <c r="V499" s="230"/>
      <c r="W499" s="42"/>
      <c r="X499" s="212"/>
      <c r="Y499" s="97"/>
    </row>
    <row r="500" spans="1:31" ht="12.75" customHeight="1" x14ac:dyDescent="0.25">
      <c r="A500" s="87">
        <v>43304</v>
      </c>
      <c r="B500" s="55" t="s">
        <v>202</v>
      </c>
      <c r="C500" s="59" t="s">
        <v>201</v>
      </c>
      <c r="D500" s="35">
        <v>6756.5</v>
      </c>
      <c r="E500" s="35">
        <v>6966.71</v>
      </c>
      <c r="F500" s="35">
        <v>6680.13</v>
      </c>
      <c r="G500" s="35">
        <v>6741.2</v>
      </c>
      <c r="H500" s="35">
        <v>6866.71</v>
      </c>
      <c r="I500" s="35">
        <v>6811.07</v>
      </c>
      <c r="J500" s="35">
        <v>6803.66</v>
      </c>
      <c r="K500" s="35">
        <v>6735.02</v>
      </c>
      <c r="L500" s="35">
        <v>6762.63</v>
      </c>
      <c r="M500" s="35">
        <v>6857.09</v>
      </c>
      <c r="N500" s="35">
        <v>7052.07</v>
      </c>
      <c r="O500" s="35">
        <v>6840.46</v>
      </c>
      <c r="P500" s="35">
        <v>6946.1</v>
      </c>
      <c r="Q500" s="48">
        <f>IF((L501=""),"",MAX(D502:P502))</f>
        <v>5570.66</v>
      </c>
      <c r="R500" s="55">
        <f>IF(L501="","",MIN(D502:L502))</f>
        <v>5436.44</v>
      </c>
      <c r="S500" s="51">
        <f>IF((P502=""),"",AVERAGE(D502:P502))</f>
        <v>5495.4015384615386</v>
      </c>
      <c r="T500" s="51">
        <f>IF((L501=""),"",(Q500-R500)/(Q500+R500)*100)</f>
        <v>1.2193947542949577</v>
      </c>
      <c r="U500" s="55">
        <f>STDEV(D502:P502)</f>
        <v>49.713502834768853</v>
      </c>
      <c r="V500" s="231" t="str">
        <f>IF(P501="","",IF(T500&lt;2.7,IF(S500&gt;5150,IF(S500&lt;5600,"Pass","Fail"),"Fail"),"Fail"))</f>
        <v>Pass</v>
      </c>
      <c r="W500" s="55">
        <v>121</v>
      </c>
      <c r="X500" s="212"/>
      <c r="Y500" s="277"/>
      <c r="Z500" s="251">
        <v>4470</v>
      </c>
      <c r="AA500" s="251">
        <v>6020</v>
      </c>
      <c r="AB500" s="251">
        <v>5150</v>
      </c>
      <c r="AC500" s="251">
        <v>5600</v>
      </c>
      <c r="AD500" s="67">
        <v>10</v>
      </c>
      <c r="AE500" s="252">
        <v>2.7</v>
      </c>
    </row>
    <row r="501" spans="1:31" ht="16.100000000000001" x14ac:dyDescent="0.35">
      <c r="A501" s="294"/>
      <c r="B501" s="46"/>
      <c r="C501" s="54" t="s">
        <v>200</v>
      </c>
      <c r="D501" s="35">
        <v>4038.28</v>
      </c>
      <c r="E501" s="35">
        <v>4236.3500000000004</v>
      </c>
      <c r="F501" s="35">
        <v>3961.38</v>
      </c>
      <c r="G501" s="35">
        <v>3963.37</v>
      </c>
      <c r="H501" s="35">
        <v>4125.3900000000003</v>
      </c>
      <c r="I501" s="35">
        <v>4046.32</v>
      </c>
      <c r="J501" s="35">
        <v>4018.33</v>
      </c>
      <c r="K501" s="35">
        <v>3952.76</v>
      </c>
      <c r="L501" s="35">
        <v>4039.12</v>
      </c>
      <c r="M501" s="35">
        <v>4086.32</v>
      </c>
      <c r="N501" s="35">
        <v>4314.88</v>
      </c>
      <c r="O501" s="35">
        <v>4104.6000000000004</v>
      </c>
      <c r="P501" s="35">
        <v>4212.1400000000003</v>
      </c>
      <c r="Q501" s="46"/>
      <c r="R501" s="46"/>
      <c r="S501" s="46"/>
      <c r="T501" s="46"/>
      <c r="U501" s="46"/>
      <c r="V501" s="229"/>
      <c r="W501" s="46"/>
      <c r="X501" s="212"/>
      <c r="Y501" s="274"/>
    </row>
    <row r="502" spans="1:31" ht="22.15" x14ac:dyDescent="0.35">
      <c r="A502" s="294"/>
      <c r="B502" s="78"/>
      <c r="C502" s="54" t="s">
        <v>199</v>
      </c>
      <c r="D502" s="93">
        <f t="shared" ref="D502:P502" si="163">IF(((D500="")*AND(D501="")),"",(D500-D501)*2)</f>
        <v>5436.44</v>
      </c>
      <c r="E502" s="93">
        <f t="shared" si="163"/>
        <v>5460.7199999999993</v>
      </c>
      <c r="F502" s="93">
        <f t="shared" si="163"/>
        <v>5437.5</v>
      </c>
      <c r="G502" s="93">
        <f t="shared" si="163"/>
        <v>5555.66</v>
      </c>
      <c r="H502" s="93">
        <f t="shared" si="163"/>
        <v>5482.6399999999994</v>
      </c>
      <c r="I502" s="93">
        <f t="shared" si="163"/>
        <v>5529.4999999999991</v>
      </c>
      <c r="J502" s="93">
        <f t="shared" si="163"/>
        <v>5570.66</v>
      </c>
      <c r="K502" s="93">
        <f t="shared" si="163"/>
        <v>5564.52</v>
      </c>
      <c r="L502" s="93">
        <f t="shared" si="163"/>
        <v>5447.02</v>
      </c>
      <c r="M502" s="93">
        <f t="shared" si="163"/>
        <v>5541.54</v>
      </c>
      <c r="N502" s="93">
        <f t="shared" si="163"/>
        <v>5474.3799999999992</v>
      </c>
      <c r="O502" s="93">
        <f t="shared" si="163"/>
        <v>5471.7199999999993</v>
      </c>
      <c r="P502" s="93">
        <f t="shared" si="163"/>
        <v>5467.92</v>
      </c>
      <c r="Q502" s="78"/>
      <c r="R502" s="78"/>
      <c r="S502" s="78"/>
      <c r="T502" s="46"/>
      <c r="U502" s="78"/>
      <c r="V502" s="232"/>
      <c r="W502" s="78"/>
      <c r="X502" s="212"/>
      <c r="Y502" s="274"/>
    </row>
    <row r="503" spans="1:31" ht="12.75" customHeight="1" x14ac:dyDescent="0.25">
      <c r="A503" s="87">
        <v>43304</v>
      </c>
      <c r="B503" s="48" t="s">
        <v>204</v>
      </c>
      <c r="C503" s="54" t="s">
        <v>201</v>
      </c>
      <c r="D503" s="35">
        <v>5939.68</v>
      </c>
      <c r="E503" s="35">
        <v>6147.27</v>
      </c>
      <c r="F503" s="35">
        <v>6195.45</v>
      </c>
      <c r="G503" s="35">
        <v>6136.35</v>
      </c>
      <c r="H503" s="35">
        <v>5996.84</v>
      </c>
      <c r="I503" s="35">
        <v>5911.67</v>
      </c>
      <c r="J503" s="35">
        <v>6108.69</v>
      </c>
      <c r="K503" s="35">
        <v>6200.42</v>
      </c>
      <c r="L503" s="35">
        <v>5948.43</v>
      </c>
      <c r="M503" s="53"/>
      <c r="N503" s="53"/>
      <c r="O503" s="53"/>
      <c r="P503" s="53"/>
      <c r="Q503" s="48">
        <f>IF((L504=""),"",MAX(D505:L505))</f>
        <v>8101.38</v>
      </c>
      <c r="R503" s="48">
        <f>IF(L504="","",MIN(D505:L505))</f>
        <v>7155.420000000001</v>
      </c>
      <c r="S503" s="75">
        <f>IF((L505=""),"",AVERAGE(D505:L505))</f>
        <v>7460.5933333333342</v>
      </c>
      <c r="T503" s="50">
        <f>IF((L504=""),"",(Q503-R503)/(Q503+R503)*100)</f>
        <v>6.2002516910492309</v>
      </c>
      <c r="U503" s="48">
        <f>STDEV(D505:P505)</f>
        <v>272.62924169098221</v>
      </c>
      <c r="V503" s="228" t="str">
        <f>IF(L504="","",IF(T503&lt;9.8,IF(S503&gt;5100,IF(S503&lt;8300,"Pass","Fail"),"Fail"),"Fail"))</f>
        <v>Pass</v>
      </c>
      <c r="W503" s="46">
        <v>121</v>
      </c>
      <c r="X503" s="212"/>
      <c r="Y503" s="274"/>
      <c r="Z503" s="37">
        <v>4955</v>
      </c>
      <c r="AA503" s="37">
        <v>9645</v>
      </c>
      <c r="AB503" s="37">
        <v>5100</v>
      </c>
      <c r="AC503" s="37">
        <v>8300</v>
      </c>
      <c r="AD503" s="67">
        <v>10</v>
      </c>
      <c r="AE503" s="67">
        <v>9.8000000000000007</v>
      </c>
    </row>
    <row r="504" spans="1:31" ht="16.100000000000001" x14ac:dyDescent="0.35">
      <c r="A504" s="294"/>
      <c r="B504" s="46"/>
      <c r="C504" s="54" t="s">
        <v>200</v>
      </c>
      <c r="D504" s="35">
        <v>3401.71</v>
      </c>
      <c r="E504" s="35">
        <v>3679.84</v>
      </c>
      <c r="F504" s="35">
        <v>3706.92</v>
      </c>
      <c r="G504" s="35">
        <v>3688.8</v>
      </c>
      <c r="H504" s="35">
        <v>3566.87</v>
      </c>
      <c r="I504" s="35">
        <v>3211.21</v>
      </c>
      <c r="J504" s="35">
        <v>3670.01</v>
      </c>
      <c r="K504" s="35">
        <v>3714.37</v>
      </c>
      <c r="L504" s="35">
        <v>3563.29</v>
      </c>
      <c r="M504" s="53"/>
      <c r="N504" s="53"/>
      <c r="O504" s="53"/>
      <c r="P504" s="53"/>
      <c r="Q504" s="46"/>
      <c r="R504" s="46"/>
      <c r="S504" s="46"/>
      <c r="T504" s="46"/>
      <c r="U504" s="46"/>
      <c r="V504" s="229"/>
      <c r="W504" s="46"/>
      <c r="X504" s="212"/>
      <c r="Y504" s="274"/>
      <c r="AD504" s="67"/>
      <c r="AE504" s="67"/>
    </row>
    <row r="505" spans="1:31" ht="22.75" thickBot="1" x14ac:dyDescent="0.4">
      <c r="A505" s="294"/>
      <c r="B505" s="42"/>
      <c r="C505" s="74" t="s">
        <v>199</v>
      </c>
      <c r="D505" s="81">
        <f t="shared" ref="D505:L505" si="164">IF(((D503="")*AND(D504="")),"",(D503-D504)*3)</f>
        <v>7613.9100000000008</v>
      </c>
      <c r="E505" s="81">
        <f t="shared" si="164"/>
        <v>7402.2900000000009</v>
      </c>
      <c r="F505" s="81">
        <f t="shared" si="164"/>
        <v>7465.5899999999992</v>
      </c>
      <c r="G505" s="81">
        <f t="shared" si="164"/>
        <v>7342.6500000000005</v>
      </c>
      <c r="H505" s="81">
        <f t="shared" si="164"/>
        <v>7289.9100000000008</v>
      </c>
      <c r="I505" s="81">
        <f t="shared" si="164"/>
        <v>8101.38</v>
      </c>
      <c r="J505" s="81">
        <f t="shared" si="164"/>
        <v>7316.0399999999981</v>
      </c>
      <c r="K505" s="81">
        <f t="shared" si="164"/>
        <v>7458.1500000000005</v>
      </c>
      <c r="L505" s="81">
        <f t="shared" si="164"/>
        <v>7155.420000000001</v>
      </c>
      <c r="M505" s="81"/>
      <c r="N505" s="81"/>
      <c r="O505" s="81"/>
      <c r="P505" s="81" t="str">
        <f>IF(((P503="")*AND(P504="")),"",(P503-P504)*2)</f>
        <v/>
      </c>
      <c r="Q505" s="42"/>
      <c r="R505" s="42"/>
      <c r="S505" s="42"/>
      <c r="T505" s="42"/>
      <c r="U505" s="42"/>
      <c r="V505" s="230"/>
      <c r="W505" s="42"/>
      <c r="X505" s="212"/>
      <c r="Y505" s="278"/>
      <c r="AD505" s="67"/>
      <c r="AE505" s="67"/>
    </row>
    <row r="506" spans="1:31" ht="12.75" customHeight="1" x14ac:dyDescent="0.25">
      <c r="A506" s="87">
        <v>43311</v>
      </c>
      <c r="B506" s="55" t="s">
        <v>202</v>
      </c>
      <c r="C506" s="59" t="s">
        <v>201</v>
      </c>
      <c r="D506" s="35">
        <v>4049.4</v>
      </c>
      <c r="E506" s="35">
        <v>4249.84</v>
      </c>
      <c r="F506" s="35">
        <v>3971.13</v>
      </c>
      <c r="G506" s="35">
        <v>3972.78</v>
      </c>
      <c r="H506" s="35">
        <v>4138.2700000000004</v>
      </c>
      <c r="I506" s="35">
        <v>4057.38</v>
      </c>
      <c r="J506" s="35">
        <v>4027.95</v>
      </c>
      <c r="K506" s="35">
        <v>3962.25</v>
      </c>
      <c r="L506" s="35">
        <v>4048.84</v>
      </c>
      <c r="M506" s="35">
        <v>4096.8900000000003</v>
      </c>
      <c r="N506" s="35">
        <v>4328.91</v>
      </c>
      <c r="O506" s="35">
        <v>4114.84</v>
      </c>
      <c r="P506" s="35">
        <v>4224.2700000000004</v>
      </c>
      <c r="Q506" s="48">
        <f>IF((L507=""),"",MAX(D508:P508))</f>
        <v>5558.28</v>
      </c>
      <c r="R506" s="55">
        <f>IF(L507="","",MIN(D508:L508))</f>
        <v>5420.58</v>
      </c>
      <c r="S506" s="51">
        <f>IF((P508=""),"",AVERAGE(D508:P508))</f>
        <v>5475.3676923076919</v>
      </c>
      <c r="T506" s="51">
        <f>IF((L507=""),"",(Q506-R506)/(Q506+R506)*100)</f>
        <v>1.2542285811095124</v>
      </c>
      <c r="U506" s="55">
        <f>STDEV(D508:P508)</f>
        <v>48.237454699615135</v>
      </c>
      <c r="V506" s="231" t="str">
        <f>IF(P507="","",IF(T506&lt;2.7,IF(S506&gt;5150,IF(S506&lt;5600,"Pass","Fail"),"Fail"),"Fail"))</f>
        <v>Pass</v>
      </c>
      <c r="W506" s="55">
        <v>1428</v>
      </c>
      <c r="X506" s="212"/>
      <c r="Y506" s="277"/>
      <c r="Z506" s="251">
        <v>4470</v>
      </c>
      <c r="AA506" s="251">
        <v>6020</v>
      </c>
      <c r="AB506" s="251">
        <v>5150</v>
      </c>
      <c r="AC506" s="251">
        <v>5600</v>
      </c>
      <c r="AD506" s="67">
        <v>10</v>
      </c>
      <c r="AE506" s="252">
        <v>2.7</v>
      </c>
    </row>
    <row r="507" spans="1:31" ht="16.100000000000001" x14ac:dyDescent="0.35">
      <c r="A507" s="294"/>
      <c r="B507" s="46"/>
      <c r="C507" s="54" t="s">
        <v>200</v>
      </c>
      <c r="D507" s="35">
        <v>1339.11</v>
      </c>
      <c r="E507" s="35">
        <v>1532.33</v>
      </c>
      <c r="F507" s="35">
        <v>1259.33</v>
      </c>
      <c r="G507" s="35">
        <v>1210.17</v>
      </c>
      <c r="H507" s="35">
        <v>1417.69</v>
      </c>
      <c r="I507" s="35">
        <v>1297.73</v>
      </c>
      <c r="J507" s="35">
        <v>1248.81</v>
      </c>
      <c r="K507" s="35">
        <v>1195.8</v>
      </c>
      <c r="L507" s="35">
        <v>1329.58</v>
      </c>
      <c r="M507" s="35">
        <v>1336.16</v>
      </c>
      <c r="N507" s="35">
        <v>1603.31</v>
      </c>
      <c r="O507" s="35">
        <v>1384.28</v>
      </c>
      <c r="P507" s="35">
        <v>1498.56</v>
      </c>
      <c r="Q507" s="46"/>
      <c r="R507" s="46"/>
      <c r="S507" s="46"/>
      <c r="T507" s="46"/>
      <c r="U507" s="46"/>
      <c r="V507" s="229"/>
      <c r="W507" s="46"/>
      <c r="X507" s="212"/>
      <c r="Y507" s="274"/>
    </row>
    <row r="508" spans="1:31" ht="22.15" x14ac:dyDescent="0.35">
      <c r="A508" s="294"/>
      <c r="B508" s="78"/>
      <c r="C508" s="54" t="s">
        <v>199</v>
      </c>
      <c r="D508" s="93">
        <f t="shared" ref="D508:P508" si="165">IF(((D506="")*AND(D507="")),"",(D506-D507)*2)</f>
        <v>5420.58</v>
      </c>
      <c r="E508" s="93">
        <f t="shared" si="165"/>
        <v>5435.02</v>
      </c>
      <c r="F508" s="93">
        <f t="shared" si="165"/>
        <v>5423.6</v>
      </c>
      <c r="G508" s="93">
        <f t="shared" si="165"/>
        <v>5525.22</v>
      </c>
      <c r="H508" s="93">
        <f t="shared" si="165"/>
        <v>5441.1600000000008</v>
      </c>
      <c r="I508" s="93">
        <f t="shared" si="165"/>
        <v>5519.3</v>
      </c>
      <c r="J508" s="93">
        <f t="shared" si="165"/>
        <v>5558.28</v>
      </c>
      <c r="K508" s="93">
        <f t="shared" si="165"/>
        <v>5532.9</v>
      </c>
      <c r="L508" s="93">
        <f t="shared" si="165"/>
        <v>5438.52</v>
      </c>
      <c r="M508" s="93">
        <f t="shared" si="165"/>
        <v>5521.4600000000009</v>
      </c>
      <c r="N508" s="93">
        <f t="shared" si="165"/>
        <v>5451.2</v>
      </c>
      <c r="O508" s="93">
        <f t="shared" si="165"/>
        <v>5461.1200000000008</v>
      </c>
      <c r="P508" s="93">
        <f t="shared" si="165"/>
        <v>5451.420000000001</v>
      </c>
      <c r="Q508" s="78"/>
      <c r="R508" s="78"/>
      <c r="S508" s="78"/>
      <c r="T508" s="46"/>
      <c r="U508" s="78"/>
      <c r="V508" s="232"/>
      <c r="W508" s="78"/>
      <c r="X508" s="212"/>
      <c r="Y508" s="274"/>
    </row>
    <row r="509" spans="1:31" ht="12.75" customHeight="1" x14ac:dyDescent="0.25">
      <c r="A509" s="87">
        <v>43311</v>
      </c>
      <c r="B509" s="48" t="s">
        <v>204</v>
      </c>
      <c r="C509" s="54" t="s">
        <v>201</v>
      </c>
      <c r="D509" s="35">
        <v>3400.37</v>
      </c>
      <c r="E509" s="35">
        <v>3678.97</v>
      </c>
      <c r="F509" s="35">
        <v>3702.22</v>
      </c>
      <c r="G509" s="35">
        <v>3681.57</v>
      </c>
      <c r="H509" s="35">
        <v>3567.2</v>
      </c>
      <c r="I509" s="35">
        <v>3211.95</v>
      </c>
      <c r="J509" s="35">
        <v>3669.86</v>
      </c>
      <c r="K509" s="35">
        <v>3712.55</v>
      </c>
      <c r="L509" s="35">
        <v>3571.21</v>
      </c>
      <c r="M509" s="53"/>
      <c r="N509" s="53"/>
      <c r="O509" s="53"/>
      <c r="P509" s="53"/>
      <c r="Q509" s="48">
        <f>IF((L510=""),"",MAX(D511:L511))</f>
        <v>7009.829999999999</v>
      </c>
      <c r="R509" s="48">
        <f>IF(L510="","",MIN(D511:L511))</f>
        <v>6658.170000000001</v>
      </c>
      <c r="S509" s="75">
        <f>IF((L511=""),"",AVERAGE(D511:L511))</f>
        <v>6768.8266666666659</v>
      </c>
      <c r="T509" s="50">
        <f>IF((L510=""),"",(Q509-R509)/(Q509+R509)*100)</f>
        <v>2.5728709394205298</v>
      </c>
      <c r="U509" s="48">
        <f>STDEV(D511:P511)</f>
        <v>114.23149237403807</v>
      </c>
      <c r="V509" s="228" t="str">
        <f>IF(L510="","",IF(T509&lt;9.8,IF(S509&gt;5100,IF(S509&lt;8300,"Pass","Fail"),"Fail"),"Fail"))</f>
        <v>Pass</v>
      </c>
      <c r="W509" s="46">
        <v>1428</v>
      </c>
      <c r="X509" s="212"/>
      <c r="Y509" s="274"/>
      <c r="Z509" s="37">
        <v>4955</v>
      </c>
      <c r="AA509" s="37">
        <v>9645</v>
      </c>
      <c r="AB509" s="37">
        <v>5100</v>
      </c>
      <c r="AC509" s="37">
        <v>8300</v>
      </c>
      <c r="AD509" s="67">
        <v>10</v>
      </c>
      <c r="AE509" s="67">
        <v>9.8000000000000007</v>
      </c>
    </row>
    <row r="510" spans="1:31" ht="16.100000000000001" x14ac:dyDescent="0.35">
      <c r="A510" s="294"/>
      <c r="B510" s="46"/>
      <c r="C510" s="54" t="s">
        <v>200</v>
      </c>
      <c r="D510" s="35">
        <v>1142.83</v>
      </c>
      <c r="E510" s="35">
        <v>1437.53</v>
      </c>
      <c r="F510" s="35">
        <v>1478.23</v>
      </c>
      <c r="G510" s="35">
        <v>1460.05</v>
      </c>
      <c r="H510" s="35">
        <v>1230.5899999999999</v>
      </c>
      <c r="I510" s="35">
        <v>922.03</v>
      </c>
      <c r="J510" s="35">
        <v>1421.17</v>
      </c>
      <c r="K510" s="35">
        <v>1493.16</v>
      </c>
      <c r="L510" s="35">
        <v>1303.83</v>
      </c>
      <c r="M510" s="53"/>
      <c r="N510" s="53"/>
      <c r="O510" s="53"/>
      <c r="P510" s="53"/>
      <c r="Q510" s="46"/>
      <c r="R510" s="46"/>
      <c r="S510" s="46"/>
      <c r="T510" s="46"/>
      <c r="U510" s="46"/>
      <c r="V510" s="229"/>
      <c r="W510" s="46"/>
      <c r="X510" s="212"/>
      <c r="Y510" s="274"/>
    </row>
    <row r="511" spans="1:31" ht="22.75" thickBot="1" x14ac:dyDescent="0.4">
      <c r="A511" s="294"/>
      <c r="B511" s="42"/>
      <c r="C511" s="74" t="s">
        <v>199</v>
      </c>
      <c r="D511" s="81">
        <f t="shared" ref="D511:L511" si="166">IF(((D509="")*AND(D510="")),"",(D509-D510)*3)</f>
        <v>6772.62</v>
      </c>
      <c r="E511" s="81">
        <f t="shared" si="166"/>
        <v>6724.3199999999988</v>
      </c>
      <c r="F511" s="81">
        <f t="shared" si="166"/>
        <v>6671.9699999999993</v>
      </c>
      <c r="G511" s="81">
        <f t="shared" si="166"/>
        <v>6664.5600000000013</v>
      </c>
      <c r="H511" s="81">
        <f t="shared" si="166"/>
        <v>7009.829999999999</v>
      </c>
      <c r="I511" s="81">
        <f t="shared" si="166"/>
        <v>6869.76</v>
      </c>
      <c r="J511" s="81">
        <f t="shared" si="166"/>
        <v>6746.07</v>
      </c>
      <c r="K511" s="81">
        <f t="shared" si="166"/>
        <v>6658.170000000001</v>
      </c>
      <c r="L511" s="81">
        <f t="shared" si="166"/>
        <v>6802.14</v>
      </c>
      <c r="M511" s="81"/>
      <c r="N511" s="81"/>
      <c r="O511" s="81"/>
      <c r="P511" s="81" t="str">
        <f>IF(((P509="")*AND(P510="")),"",(P509-P510)*2)</f>
        <v/>
      </c>
      <c r="Q511" s="42"/>
      <c r="R511" s="42"/>
      <c r="S511" s="42"/>
      <c r="T511" s="42"/>
      <c r="U511" s="42"/>
      <c r="V511" s="230"/>
      <c r="W511" s="42"/>
      <c r="X511" s="212"/>
      <c r="Y511" s="278"/>
    </row>
    <row r="512" spans="1:31" ht="12.75" customHeight="1" x14ac:dyDescent="0.25">
      <c r="A512" s="87">
        <v>43319</v>
      </c>
      <c r="B512" s="55" t="s">
        <v>202</v>
      </c>
      <c r="C512" s="59" t="s">
        <v>201</v>
      </c>
      <c r="D512" s="35">
        <v>6783.36</v>
      </c>
      <c r="E512" s="35">
        <v>6986.89</v>
      </c>
      <c r="F512" s="35">
        <v>6696.2</v>
      </c>
      <c r="G512" s="35">
        <v>6732.79</v>
      </c>
      <c r="H512" s="35">
        <v>6892.05</v>
      </c>
      <c r="I512" s="35">
        <v>6812.59</v>
      </c>
      <c r="J512" s="35">
        <v>6778.67</v>
      </c>
      <c r="K512" s="35">
        <v>6739.09</v>
      </c>
      <c r="L512" s="35">
        <v>6766.72</v>
      </c>
      <c r="M512" s="35">
        <v>6853.29</v>
      </c>
      <c r="N512" s="35">
        <v>7026</v>
      </c>
      <c r="O512" s="35">
        <v>6846.05</v>
      </c>
      <c r="P512" s="35">
        <v>6936.34</v>
      </c>
      <c r="Q512" s="48">
        <f>IF((L513=""),"",MAX(D514:P514))</f>
        <v>5527.88</v>
      </c>
      <c r="R512" s="55">
        <f>IF(L513="","",MIN(D514:L514))</f>
        <v>5391.7199999999993</v>
      </c>
      <c r="S512" s="51">
        <f>IF((P514=""),"",AVERAGE(D514:P514))</f>
        <v>5455.376923076923</v>
      </c>
      <c r="T512" s="51">
        <f>IF((L513=""),"",(Q512-R512)/(Q512+R512)*100)</f>
        <v>1.2469321220557601</v>
      </c>
      <c r="U512" s="55">
        <f>STDEV(D514:P514)</f>
        <v>46.559071329623066</v>
      </c>
      <c r="V512" s="231" t="str">
        <f>IF(P513="","",IF(T512&lt;2.7,IF(S512&gt;5150,IF(S512&lt;5600,"Pass","Fail"),"Fail"),"Fail"))</f>
        <v>Pass</v>
      </c>
      <c r="W512" s="55">
        <v>1340</v>
      </c>
      <c r="X512" s="212"/>
      <c r="Y512" s="273"/>
      <c r="Z512" s="251">
        <v>4470</v>
      </c>
      <c r="AA512" s="251">
        <v>6020</v>
      </c>
      <c r="AB512" s="251">
        <v>5150</v>
      </c>
      <c r="AC512" s="251">
        <v>5600</v>
      </c>
      <c r="AD512" s="67">
        <v>10</v>
      </c>
      <c r="AE512" s="252">
        <v>2.7</v>
      </c>
    </row>
    <row r="513" spans="1:31" ht="16.100000000000001" x14ac:dyDescent="0.35">
      <c r="A513" s="294"/>
      <c r="B513" s="46"/>
      <c r="C513" s="54" t="s">
        <v>200</v>
      </c>
      <c r="D513" s="35">
        <v>4087.5</v>
      </c>
      <c r="E513" s="35">
        <v>4279.37</v>
      </c>
      <c r="F513" s="35">
        <v>3995.92</v>
      </c>
      <c r="G513" s="35">
        <v>3981.89</v>
      </c>
      <c r="H513" s="35">
        <v>4171.01</v>
      </c>
      <c r="I513" s="35">
        <v>4068.91</v>
      </c>
      <c r="J513" s="35">
        <v>4014.73</v>
      </c>
      <c r="K513" s="35">
        <v>3983.62</v>
      </c>
      <c r="L513" s="35">
        <v>4060.85</v>
      </c>
      <c r="M513" s="35">
        <v>4098.09</v>
      </c>
      <c r="N513" s="35">
        <v>4305.78</v>
      </c>
      <c r="O513" s="35">
        <v>4125.83</v>
      </c>
      <c r="P513" s="35">
        <v>4216.59</v>
      </c>
      <c r="Q513" s="46"/>
      <c r="R513" s="46"/>
      <c r="S513" s="46"/>
      <c r="T513" s="46"/>
      <c r="U513" s="46"/>
      <c r="V513" s="229"/>
      <c r="W513" s="46"/>
      <c r="X513" s="213"/>
      <c r="Y513" s="275"/>
    </row>
    <row r="514" spans="1:31" ht="22.15" x14ac:dyDescent="0.35">
      <c r="A514" s="294"/>
      <c r="B514" s="78"/>
      <c r="C514" s="54" t="s">
        <v>199</v>
      </c>
      <c r="D514" s="93">
        <f t="shared" ref="D514:P514" si="167">IF(((D512="")*AND(D513="")),"",(D512-D513)*2)</f>
        <v>5391.7199999999993</v>
      </c>
      <c r="E514" s="93">
        <f t="shared" si="167"/>
        <v>5415.0400000000009</v>
      </c>
      <c r="F514" s="93">
        <f t="shared" si="167"/>
        <v>5400.5599999999995</v>
      </c>
      <c r="G514" s="93">
        <f t="shared" si="167"/>
        <v>5501.8</v>
      </c>
      <c r="H514" s="93">
        <f t="shared" si="167"/>
        <v>5442.08</v>
      </c>
      <c r="I514" s="93">
        <f t="shared" si="167"/>
        <v>5487.3600000000006</v>
      </c>
      <c r="J514" s="93">
        <f t="shared" si="167"/>
        <v>5527.88</v>
      </c>
      <c r="K514" s="93">
        <f t="shared" si="167"/>
        <v>5510.9400000000005</v>
      </c>
      <c r="L514" s="93">
        <f t="shared" si="167"/>
        <v>5411.7400000000007</v>
      </c>
      <c r="M514" s="93">
        <f t="shared" si="167"/>
        <v>5510.4</v>
      </c>
      <c r="N514" s="93">
        <f t="shared" si="167"/>
        <v>5440.4400000000005</v>
      </c>
      <c r="O514" s="93">
        <f t="shared" si="167"/>
        <v>5440.4400000000005</v>
      </c>
      <c r="P514" s="93">
        <f t="shared" si="167"/>
        <v>5439.5</v>
      </c>
      <c r="Q514" s="78"/>
      <c r="R514" s="78"/>
      <c r="S514" s="78"/>
      <c r="T514" s="46"/>
      <c r="U514" s="78"/>
      <c r="V514" s="232"/>
      <c r="W514" s="78"/>
      <c r="X514" s="213"/>
      <c r="Y514" s="275"/>
    </row>
    <row r="515" spans="1:31" ht="12.75" customHeight="1" x14ac:dyDescent="0.25">
      <c r="A515" s="87">
        <v>43319</v>
      </c>
      <c r="B515" s="48" t="s">
        <v>204</v>
      </c>
      <c r="C515" s="54" t="s">
        <v>201</v>
      </c>
      <c r="D515" s="35">
        <v>5968.16</v>
      </c>
      <c r="E515" s="35">
        <v>5951.85</v>
      </c>
      <c r="F515" s="35">
        <v>6240.47</v>
      </c>
      <c r="G515" s="35">
        <v>6167.8</v>
      </c>
      <c r="H515" s="35">
        <v>6418.78</v>
      </c>
      <c r="I515" s="35">
        <v>6335</v>
      </c>
      <c r="J515" s="35">
        <v>6186.25</v>
      </c>
      <c r="K515" s="35">
        <v>6155.23</v>
      </c>
      <c r="L515" s="35">
        <v>6373.59</v>
      </c>
      <c r="M515" s="53"/>
      <c r="N515" s="53"/>
      <c r="O515" s="53"/>
      <c r="P515" s="53"/>
      <c r="Q515" s="48">
        <f>IF((L516=""),"",MAX(D517:L517))</f>
        <v>8457.2999999999993</v>
      </c>
      <c r="R515" s="48">
        <f>IF(L516="","",MIN(D517:L517))</f>
        <v>7031.52</v>
      </c>
      <c r="S515" s="75">
        <f>IF((L517=""),"",AVERAGE(D517:L517))</f>
        <v>7776.8199999999988</v>
      </c>
      <c r="T515" s="50">
        <f>IF((L516=""),"",(Q515-R515)/(Q515+R515)*100)</f>
        <v>9.205220281467529</v>
      </c>
      <c r="U515" s="48">
        <f>STDEV(D517:P517)</f>
        <v>482.47649463471248</v>
      </c>
      <c r="V515" s="228" t="str">
        <f>IF(L516="","",IF(T515&lt;9.8,IF(S515&gt;5100,IF(S515&lt;8300,"Pass","Fail"),"Fail"),"Fail"))</f>
        <v>Pass</v>
      </c>
      <c r="W515" s="46">
        <v>1340</v>
      </c>
      <c r="X515" s="213"/>
      <c r="Y515" s="275"/>
      <c r="Z515" s="37">
        <v>4955</v>
      </c>
      <c r="AA515" s="37">
        <v>9645</v>
      </c>
      <c r="AB515" s="37">
        <v>5100</v>
      </c>
      <c r="AC515" s="37">
        <v>8300</v>
      </c>
      <c r="AD515" s="67">
        <v>10</v>
      </c>
      <c r="AE515" s="67">
        <v>9.8000000000000007</v>
      </c>
    </row>
    <row r="516" spans="1:31" ht="16.100000000000001" x14ac:dyDescent="0.35">
      <c r="A516" s="294"/>
      <c r="B516" s="46"/>
      <c r="C516" s="54" t="s">
        <v>200</v>
      </c>
      <c r="D516" s="35">
        <v>3547.85</v>
      </c>
      <c r="E516" s="35">
        <v>3608.01</v>
      </c>
      <c r="F516" s="35">
        <v>3644.91</v>
      </c>
      <c r="G516" s="35">
        <v>3610.84</v>
      </c>
      <c r="H516" s="35">
        <v>3599.68</v>
      </c>
      <c r="I516" s="35">
        <v>3592.21</v>
      </c>
      <c r="J516" s="35">
        <v>3610.73</v>
      </c>
      <c r="K516" s="35">
        <v>3650.77</v>
      </c>
      <c r="L516" s="35">
        <v>3601.67</v>
      </c>
      <c r="M516" s="53"/>
      <c r="N516" s="53"/>
      <c r="O516" s="53"/>
      <c r="P516" s="53"/>
      <c r="Q516" s="46"/>
      <c r="R516" s="46"/>
      <c r="S516" s="46"/>
      <c r="T516" s="46"/>
      <c r="U516" s="46"/>
      <c r="V516" s="229"/>
      <c r="W516" s="46"/>
      <c r="X516" s="213"/>
      <c r="Y516" s="275"/>
    </row>
    <row r="517" spans="1:31" ht="22.75" thickBot="1" x14ac:dyDescent="0.4">
      <c r="A517" s="294"/>
      <c r="B517" s="42"/>
      <c r="C517" s="74" t="s">
        <v>199</v>
      </c>
      <c r="D517" s="81">
        <f t="shared" ref="D517:L517" si="168">IF(((D515="")*AND(D516="")),"",(D515-D516)*3)</f>
        <v>7260.93</v>
      </c>
      <c r="E517" s="81">
        <f t="shared" si="168"/>
        <v>7031.52</v>
      </c>
      <c r="F517" s="81">
        <f t="shared" si="168"/>
        <v>7786.6800000000012</v>
      </c>
      <c r="G517" s="81">
        <f t="shared" si="168"/>
        <v>7670.88</v>
      </c>
      <c r="H517" s="81">
        <f t="shared" si="168"/>
        <v>8457.2999999999993</v>
      </c>
      <c r="I517" s="81">
        <f t="shared" si="168"/>
        <v>8228.369999999999</v>
      </c>
      <c r="J517" s="81">
        <f t="shared" si="168"/>
        <v>7726.5599999999995</v>
      </c>
      <c r="K517" s="81">
        <f t="shared" si="168"/>
        <v>7513.3799999999992</v>
      </c>
      <c r="L517" s="81">
        <f t="shared" si="168"/>
        <v>8315.76</v>
      </c>
      <c r="M517" s="81"/>
      <c r="N517" s="81"/>
      <c r="O517" s="81"/>
      <c r="P517" s="81" t="str">
        <f>IF(((P515="")*AND(P516="")),"",(P515-P516)*2)</f>
        <v/>
      </c>
      <c r="Q517" s="42"/>
      <c r="R517" s="42"/>
      <c r="S517" s="42"/>
      <c r="T517" s="42"/>
      <c r="U517" s="42"/>
      <c r="V517" s="230"/>
      <c r="W517" s="42"/>
      <c r="X517" s="213"/>
      <c r="Y517" s="276"/>
    </row>
    <row r="518" spans="1:31" ht="12.75" customHeight="1" x14ac:dyDescent="0.25">
      <c r="A518" s="87">
        <v>43319</v>
      </c>
      <c r="B518" s="55" t="s">
        <v>202</v>
      </c>
      <c r="C518" s="59" t="s">
        <v>201</v>
      </c>
      <c r="D518" s="35">
        <v>4087</v>
      </c>
      <c r="E518" s="35">
        <v>4279</v>
      </c>
      <c r="F518" s="35">
        <v>3993</v>
      </c>
      <c r="G518" s="35">
        <v>3981</v>
      </c>
      <c r="H518" s="64">
        <v>4171</v>
      </c>
      <c r="I518" s="64">
        <v>4068</v>
      </c>
      <c r="J518" s="64">
        <v>4014</v>
      </c>
      <c r="K518" s="64">
        <v>3983</v>
      </c>
      <c r="L518" s="64">
        <v>4060</v>
      </c>
      <c r="M518" s="64">
        <v>4098</v>
      </c>
      <c r="N518" s="64">
        <v>4305</v>
      </c>
      <c r="O518" s="64">
        <v>4125</v>
      </c>
      <c r="P518" s="64">
        <v>4215</v>
      </c>
      <c r="Q518" s="48">
        <f>IF((L519=""),"",MAX(D520:P520))</f>
        <v>5572</v>
      </c>
      <c r="R518" s="55">
        <f>IF(L519="","",MIN(D520:L520))</f>
        <v>5438</v>
      </c>
      <c r="S518" s="51">
        <f>IF((P520=""),"",AVERAGE(D520:P520))</f>
        <v>5503.0769230769229</v>
      </c>
      <c r="T518" s="51">
        <f>IF((L519=""),"",(Q518-R518)/(Q518+R518)*100)</f>
        <v>1.2170753860127157</v>
      </c>
      <c r="U518" s="55">
        <f>STDEV(D520:P520)</f>
        <v>47.107079330785545</v>
      </c>
      <c r="V518" s="231" t="str">
        <f>IF(P519="","",IF(T518&lt;2.7,IF(S518&gt;5150,IF(S518&lt;5600,"Pass","Fail"),"Fail"),"Fail"))</f>
        <v>Pass</v>
      </c>
      <c r="W518" s="55">
        <v>1340</v>
      </c>
      <c r="X518" s="212"/>
      <c r="Y518" s="273"/>
      <c r="Z518" s="251">
        <v>4470</v>
      </c>
      <c r="AA518" s="251">
        <v>6020</v>
      </c>
      <c r="AB518" s="251">
        <v>5150</v>
      </c>
      <c r="AC518" s="251">
        <v>5600</v>
      </c>
      <c r="AD518" s="67">
        <v>10</v>
      </c>
      <c r="AE518" s="252">
        <v>2.7</v>
      </c>
    </row>
    <row r="519" spans="1:31" ht="16.100000000000001" x14ac:dyDescent="0.35">
      <c r="A519" s="294"/>
      <c r="B519" s="46"/>
      <c r="C519" s="54" t="s">
        <v>200</v>
      </c>
      <c r="D519" s="35">
        <v>1368</v>
      </c>
      <c r="E519" s="35">
        <v>1552</v>
      </c>
      <c r="F519" s="35">
        <v>1270</v>
      </c>
      <c r="G519" s="35">
        <v>1213</v>
      </c>
      <c r="H519" s="35">
        <v>1431</v>
      </c>
      <c r="I519" s="64">
        <v>1293</v>
      </c>
      <c r="J519" s="64">
        <v>1228</v>
      </c>
      <c r="K519" s="64">
        <v>1209</v>
      </c>
      <c r="L519" s="64">
        <v>1327</v>
      </c>
      <c r="M519" s="64">
        <v>1313</v>
      </c>
      <c r="N519" s="64">
        <v>1559</v>
      </c>
      <c r="O519" s="64">
        <v>1378</v>
      </c>
      <c r="P519" s="64">
        <v>1468</v>
      </c>
      <c r="Q519" s="46"/>
      <c r="R519" s="46"/>
      <c r="S519" s="46"/>
      <c r="T519" s="46"/>
      <c r="U519" s="46"/>
      <c r="V519" s="229"/>
      <c r="W519" s="46"/>
      <c r="X519" s="212"/>
      <c r="Y519" s="274"/>
    </row>
    <row r="520" spans="1:31" ht="22.15" x14ac:dyDescent="0.35">
      <c r="A520" s="294"/>
      <c r="B520" s="78"/>
      <c r="C520" s="54" t="s">
        <v>199</v>
      </c>
      <c r="D520" s="93">
        <f t="shared" ref="D520:P520" si="169">IF(((D518="")*AND(D519="")),"",(D518-D519)*2)</f>
        <v>5438</v>
      </c>
      <c r="E520" s="93">
        <f t="shared" si="169"/>
        <v>5454</v>
      </c>
      <c r="F520" s="93">
        <f t="shared" si="169"/>
        <v>5446</v>
      </c>
      <c r="G520" s="93">
        <f t="shared" si="169"/>
        <v>5536</v>
      </c>
      <c r="H520" s="93">
        <f t="shared" si="169"/>
        <v>5480</v>
      </c>
      <c r="I520" s="93">
        <f t="shared" si="169"/>
        <v>5550</v>
      </c>
      <c r="J520" s="93">
        <f t="shared" si="169"/>
        <v>5572</v>
      </c>
      <c r="K520" s="93">
        <f t="shared" si="169"/>
        <v>5548</v>
      </c>
      <c r="L520" s="93">
        <f t="shared" si="169"/>
        <v>5466</v>
      </c>
      <c r="M520" s="93">
        <f t="shared" si="169"/>
        <v>5570</v>
      </c>
      <c r="N520" s="93">
        <f t="shared" si="169"/>
        <v>5492</v>
      </c>
      <c r="O520" s="93">
        <f t="shared" si="169"/>
        <v>5494</v>
      </c>
      <c r="P520" s="93">
        <f t="shared" si="169"/>
        <v>5494</v>
      </c>
      <c r="Q520" s="78"/>
      <c r="R520" s="78"/>
      <c r="S520" s="78"/>
      <c r="T520" s="46"/>
      <c r="U520" s="78"/>
      <c r="V520" s="232"/>
      <c r="W520" s="78"/>
      <c r="X520" s="212"/>
      <c r="Y520" s="274"/>
    </row>
    <row r="521" spans="1:31" ht="12.75" customHeight="1" x14ac:dyDescent="0.25">
      <c r="A521" s="87">
        <v>43319</v>
      </c>
      <c r="B521" s="48" t="s">
        <v>204</v>
      </c>
      <c r="C521" s="54" t="s">
        <v>201</v>
      </c>
      <c r="D521" s="35">
        <v>3547</v>
      </c>
      <c r="E521" s="35">
        <v>3638</v>
      </c>
      <c r="F521" s="35">
        <v>3644</v>
      </c>
      <c r="G521" s="35">
        <v>3610</v>
      </c>
      <c r="H521" s="35">
        <v>3369</v>
      </c>
      <c r="I521" s="64">
        <v>3172</v>
      </c>
      <c r="J521" s="64">
        <v>3610</v>
      </c>
      <c r="K521" s="53">
        <v>3650</v>
      </c>
      <c r="L521" s="53">
        <v>3501</v>
      </c>
      <c r="M521" s="53"/>
      <c r="N521" s="53"/>
      <c r="O521" s="53"/>
      <c r="P521" s="53"/>
      <c r="Q521" s="48">
        <f>IF((L522=""),"",MAX(D523:L523))</f>
        <v>6870</v>
      </c>
      <c r="R521" s="48">
        <f>IF(L522="","",MIN(D523:L523))</f>
        <v>6642</v>
      </c>
      <c r="S521" s="75">
        <f>IF((L523=""),"",AVERAGE(D523:L523))</f>
        <v>6778.333333333333</v>
      </c>
      <c r="T521" s="50">
        <f>IF((L522=""),"",(Q521-R521)/(Q521+R521)*100)</f>
        <v>1.6873889875666075</v>
      </c>
      <c r="U521" s="48">
        <f>STDEV(D523:P523)</f>
        <v>78.547756174189985</v>
      </c>
      <c r="V521" s="228" t="str">
        <f>IF(L522="","",IF(T521&lt;9.8,IF(S521&gt;5100,IF(S521&lt;8300,"Pass","Fail"),"Fail"),"Fail"))</f>
        <v>Pass</v>
      </c>
      <c r="W521" s="46">
        <v>1340</v>
      </c>
      <c r="X521" s="213"/>
      <c r="Y521" s="207"/>
      <c r="Z521" s="37">
        <v>4955</v>
      </c>
      <c r="AA521" s="37">
        <v>9645</v>
      </c>
      <c r="AB521" s="37">
        <v>5100</v>
      </c>
      <c r="AC521" s="37">
        <v>8300</v>
      </c>
      <c r="AD521" s="67">
        <v>10</v>
      </c>
      <c r="AE521" s="67">
        <v>9.8000000000000007</v>
      </c>
    </row>
    <row r="522" spans="1:31" ht="16.100000000000001" x14ac:dyDescent="0.35">
      <c r="A522" s="294"/>
      <c r="B522" s="46"/>
      <c r="C522" s="54" t="s">
        <v>200</v>
      </c>
      <c r="D522" s="35">
        <v>1257</v>
      </c>
      <c r="E522" s="35">
        <v>1398</v>
      </c>
      <c r="F522" s="35">
        <v>1391</v>
      </c>
      <c r="G522" s="35">
        <v>1326</v>
      </c>
      <c r="H522" s="35">
        <v>1084</v>
      </c>
      <c r="I522" s="64">
        <v>912</v>
      </c>
      <c r="J522" s="64">
        <v>1336</v>
      </c>
      <c r="K522" s="64">
        <v>1436</v>
      </c>
      <c r="L522" s="64">
        <v>1266</v>
      </c>
      <c r="M522" s="53"/>
      <c r="N522" s="53"/>
      <c r="O522" s="53"/>
      <c r="P522" s="53"/>
      <c r="Q522" s="46"/>
      <c r="R522" s="46"/>
      <c r="S522" s="46"/>
      <c r="T522" s="46"/>
      <c r="U522" s="46"/>
      <c r="V522" s="229"/>
      <c r="W522" s="46"/>
      <c r="X522" s="213"/>
      <c r="Y522" s="207"/>
    </row>
    <row r="523" spans="1:31" ht="22.75" thickBot="1" x14ac:dyDescent="0.4">
      <c r="A523" s="294"/>
      <c r="B523" s="46"/>
      <c r="C523" s="48" t="s">
        <v>199</v>
      </c>
      <c r="D523" s="52">
        <f t="shared" ref="D523:L523" si="170">IF(((D521="")*AND(D522="")),"",(D521-D522)*3)</f>
        <v>6870</v>
      </c>
      <c r="E523" s="52">
        <f t="shared" si="170"/>
        <v>6720</v>
      </c>
      <c r="F523" s="52">
        <f t="shared" si="170"/>
        <v>6759</v>
      </c>
      <c r="G523" s="52">
        <f t="shared" si="170"/>
        <v>6852</v>
      </c>
      <c r="H523" s="52">
        <f t="shared" si="170"/>
        <v>6855</v>
      </c>
      <c r="I523" s="52">
        <f t="shared" si="170"/>
        <v>6780</v>
      </c>
      <c r="J523" s="52">
        <f t="shared" si="170"/>
        <v>6822</v>
      </c>
      <c r="K523" s="52">
        <f t="shared" si="170"/>
        <v>6642</v>
      </c>
      <c r="L523" s="52">
        <f t="shared" si="170"/>
        <v>6705</v>
      </c>
      <c r="M523" s="52"/>
      <c r="N523" s="52"/>
      <c r="O523" s="52"/>
      <c r="P523" s="52" t="str">
        <f>IF(((P521="")*AND(P522="")),"",(P521-P522)*2)</f>
        <v/>
      </c>
      <c r="Q523" s="46"/>
      <c r="R523" s="46"/>
      <c r="S523" s="46"/>
      <c r="T523" s="46"/>
      <c r="U523" s="46"/>
      <c r="V523" s="229"/>
      <c r="W523" s="46"/>
      <c r="X523" s="213"/>
      <c r="Y523" s="207"/>
    </row>
    <row r="524" spans="1:31" ht="12.75" customHeight="1" x14ac:dyDescent="0.25">
      <c r="A524" s="92">
        <v>43319</v>
      </c>
      <c r="B524" s="48" t="s">
        <v>202</v>
      </c>
      <c r="C524" s="48" t="s">
        <v>201</v>
      </c>
      <c r="D524" s="91">
        <v>6904</v>
      </c>
      <c r="E524" s="91">
        <v>7106</v>
      </c>
      <c r="F524" s="91">
        <v>6813</v>
      </c>
      <c r="G524" s="91">
        <v>6848</v>
      </c>
      <c r="H524" s="90">
        <v>7011</v>
      </c>
      <c r="I524" s="90">
        <v>6928</v>
      </c>
      <c r="J524" s="90">
        <v>6893</v>
      </c>
      <c r="K524" s="90">
        <v>6852</v>
      </c>
      <c r="L524" s="90">
        <v>6883</v>
      </c>
      <c r="M524" s="90">
        <v>6969</v>
      </c>
      <c r="N524" s="90">
        <v>7142</v>
      </c>
      <c r="O524" s="90">
        <v>6964</v>
      </c>
      <c r="P524" s="90">
        <v>7057</v>
      </c>
      <c r="Q524" s="48">
        <f>IF((L525=""),"",MAX(D526:P526))</f>
        <v>5500</v>
      </c>
      <c r="R524" s="48">
        <f>IF(L525="","",MIN(D526:L526))</f>
        <v>5384</v>
      </c>
      <c r="S524" s="51">
        <f>IF((P526=""),"",AVERAGE(D526:P526))</f>
        <v>5440.3076923076924</v>
      </c>
      <c r="T524" s="50">
        <f>IF((L525=""),"",(Q524-R524)/(Q524+R524)*100)</f>
        <v>1.065784638000735</v>
      </c>
      <c r="U524" s="48">
        <f>STDEV(D526:P526)</f>
        <v>41.189368805118917</v>
      </c>
      <c r="V524" s="228" t="str">
        <f>IF(P525="","",IF(T524&lt;2.7,IF(S524&gt;5150,IF(S524&lt;5600,"Pass","Fail"),"Fail"),"Fail"))</f>
        <v>Pass</v>
      </c>
      <c r="W524" s="48">
        <v>121</v>
      </c>
      <c r="X524" s="212"/>
      <c r="Y524" s="279"/>
      <c r="Z524" s="251">
        <v>4470</v>
      </c>
      <c r="AA524" s="251">
        <v>6020</v>
      </c>
      <c r="AB524" s="251">
        <v>5150</v>
      </c>
      <c r="AC524" s="251">
        <v>5600</v>
      </c>
      <c r="AD524" s="67">
        <v>10</v>
      </c>
      <c r="AE524" s="252">
        <v>2.7</v>
      </c>
    </row>
    <row r="525" spans="1:31" ht="16.100000000000001" x14ac:dyDescent="0.35">
      <c r="A525" s="294"/>
      <c r="B525" s="46"/>
      <c r="C525" s="46" t="s">
        <v>200</v>
      </c>
      <c r="D525" s="89">
        <v>4212</v>
      </c>
      <c r="E525" s="89">
        <v>4404</v>
      </c>
      <c r="F525" s="89">
        <v>4118</v>
      </c>
      <c r="G525" s="89">
        <v>4112</v>
      </c>
      <c r="H525" s="89">
        <v>4296</v>
      </c>
      <c r="I525" s="88">
        <v>4191</v>
      </c>
      <c r="J525" s="88">
        <v>4149</v>
      </c>
      <c r="K525" s="88">
        <v>4104</v>
      </c>
      <c r="L525" s="88">
        <v>4184</v>
      </c>
      <c r="M525" s="88">
        <v>4219</v>
      </c>
      <c r="N525" s="88">
        <v>4427</v>
      </c>
      <c r="O525" s="88">
        <v>4249</v>
      </c>
      <c r="P525" s="88">
        <v>4343</v>
      </c>
      <c r="Q525" s="46"/>
      <c r="R525" s="46"/>
      <c r="S525" s="46"/>
      <c r="T525" s="46"/>
      <c r="U525" s="46"/>
      <c r="V525" s="229"/>
      <c r="W525" s="46"/>
      <c r="X525" s="212"/>
      <c r="Y525" s="280"/>
    </row>
    <row r="526" spans="1:31" ht="22.15" x14ac:dyDescent="0.35">
      <c r="A526" s="294"/>
      <c r="B526" s="78"/>
      <c r="C526" s="78" t="s">
        <v>199</v>
      </c>
      <c r="D526" s="83">
        <f t="shared" ref="D526:P526" si="171">IF(((D524="")*AND(D525="")),"",(D524-D525)*2)</f>
        <v>5384</v>
      </c>
      <c r="E526" s="83">
        <f t="shared" si="171"/>
        <v>5404</v>
      </c>
      <c r="F526" s="83">
        <f t="shared" si="171"/>
        <v>5390</v>
      </c>
      <c r="G526" s="83">
        <f t="shared" si="171"/>
        <v>5472</v>
      </c>
      <c r="H526" s="83">
        <f t="shared" si="171"/>
        <v>5430</v>
      </c>
      <c r="I526" s="83">
        <f t="shared" si="171"/>
        <v>5474</v>
      </c>
      <c r="J526" s="83">
        <f t="shared" si="171"/>
        <v>5488</v>
      </c>
      <c r="K526" s="83">
        <f t="shared" si="171"/>
        <v>5496</v>
      </c>
      <c r="L526" s="83">
        <f t="shared" si="171"/>
        <v>5398</v>
      </c>
      <c r="M526" s="83">
        <f t="shared" si="171"/>
        <v>5500</v>
      </c>
      <c r="N526" s="83">
        <f t="shared" si="171"/>
        <v>5430</v>
      </c>
      <c r="O526" s="83">
        <f t="shared" si="171"/>
        <v>5430</v>
      </c>
      <c r="P526" s="83">
        <f t="shared" si="171"/>
        <v>5428</v>
      </c>
      <c r="Q526" s="78"/>
      <c r="R526" s="78"/>
      <c r="S526" s="78"/>
      <c r="T526" s="78"/>
      <c r="U526" s="78"/>
      <c r="V526" s="232"/>
      <c r="W526" s="78"/>
      <c r="X526" s="212"/>
      <c r="Y526" s="281"/>
    </row>
    <row r="527" spans="1:31" ht="12.75" customHeight="1" x14ac:dyDescent="0.25">
      <c r="A527" s="87">
        <v>43342</v>
      </c>
      <c r="B527" s="48" t="s">
        <v>204</v>
      </c>
      <c r="C527" s="54" t="s">
        <v>201</v>
      </c>
      <c r="D527" s="35">
        <v>6041.27</v>
      </c>
      <c r="E527" s="35">
        <v>6027.69</v>
      </c>
      <c r="F527" s="35">
        <v>6263.28</v>
      </c>
      <c r="G527" s="35">
        <v>6122.38</v>
      </c>
      <c r="H527" s="35">
        <v>6416.59</v>
      </c>
      <c r="I527" s="35">
        <v>6302.09</v>
      </c>
      <c r="J527" s="35">
        <v>6278.52</v>
      </c>
      <c r="K527" s="35">
        <v>6170.85</v>
      </c>
      <c r="L527" s="35">
        <v>6375.58</v>
      </c>
      <c r="M527" s="53"/>
      <c r="N527" s="53"/>
      <c r="O527" s="53"/>
      <c r="P527" s="53"/>
      <c r="Q527" s="48">
        <f>IF((L528=""),"",MAX(D529:L529))</f>
        <v>7462.4700000000012</v>
      </c>
      <c r="R527" s="48">
        <f>IF(L528="","",MIN(D529:L529))</f>
        <v>6779.5800000000017</v>
      </c>
      <c r="S527" s="75">
        <f>IF((L529=""),"",AVERAGE(D529:L529))</f>
        <v>7071.0466666666671</v>
      </c>
      <c r="T527" s="50">
        <f>IF((L528=""),"",(Q527-R527)/(Q527+R527)*100)</f>
        <v>4.7948855677377855</v>
      </c>
      <c r="U527" s="48">
        <f>STDEV(D529:P529)</f>
        <v>216.2614532805141</v>
      </c>
      <c r="V527" s="228" t="str">
        <f>IF(L528="","",IF(T527&lt;9.8,IF(S527&gt;5100,IF(S527&lt;8300,"Pass","Fail"),"Fail"),"Fail"))</f>
        <v>Pass</v>
      </c>
      <c r="W527" s="46">
        <v>1335</v>
      </c>
      <c r="X527" s="213"/>
      <c r="Y527" s="207"/>
      <c r="Z527" s="37">
        <v>4955</v>
      </c>
      <c r="AA527" s="37">
        <v>9645</v>
      </c>
      <c r="AB527" s="37">
        <v>5100</v>
      </c>
      <c r="AC527" s="37">
        <v>8300</v>
      </c>
      <c r="AD527" s="67">
        <v>10</v>
      </c>
      <c r="AE527" s="67">
        <v>9.8000000000000007</v>
      </c>
    </row>
    <row r="528" spans="1:31" ht="16.100000000000001" x14ac:dyDescent="0.35">
      <c r="A528" s="294"/>
      <c r="B528" s="46"/>
      <c r="C528" s="54" t="s">
        <v>200</v>
      </c>
      <c r="D528" s="35">
        <v>3661.79</v>
      </c>
      <c r="E528" s="35">
        <v>3661.79</v>
      </c>
      <c r="F528" s="35">
        <v>3918.35</v>
      </c>
      <c r="G528" s="35">
        <v>3683.36</v>
      </c>
      <c r="H528" s="35">
        <v>4085.61</v>
      </c>
      <c r="I528" s="35">
        <v>4022.65</v>
      </c>
      <c r="J528" s="35">
        <v>4018.66</v>
      </c>
      <c r="K528" s="35">
        <v>3683.36</v>
      </c>
      <c r="L528" s="35">
        <v>4049.54</v>
      </c>
      <c r="M528" s="53"/>
      <c r="N528" s="53"/>
      <c r="O528" s="53"/>
      <c r="P528" s="53"/>
      <c r="Q528" s="46"/>
      <c r="R528" s="46"/>
      <c r="S528" s="46"/>
      <c r="T528" s="46"/>
      <c r="U528" s="46"/>
      <c r="V528" s="229"/>
      <c r="W528" s="46"/>
      <c r="X528" s="213"/>
      <c r="Y528" s="207"/>
    </row>
    <row r="529" spans="1:31" ht="22.75" thickBot="1" x14ac:dyDescent="0.4">
      <c r="A529" s="294"/>
      <c r="B529" s="46"/>
      <c r="C529" s="48" t="s">
        <v>199</v>
      </c>
      <c r="D529" s="52">
        <f t="shared" ref="D529:L529" si="172">IF(((D527="")*AND(D528="")),"",(D527-D528)*3)</f>
        <v>7138.4400000000014</v>
      </c>
      <c r="E529" s="52">
        <f t="shared" si="172"/>
        <v>7097.6999999999989</v>
      </c>
      <c r="F529" s="52">
        <f t="shared" si="172"/>
        <v>7034.7899999999991</v>
      </c>
      <c r="G529" s="52">
        <f t="shared" si="172"/>
        <v>7317.0599999999995</v>
      </c>
      <c r="H529" s="52">
        <f t="shared" si="172"/>
        <v>6992.9400000000005</v>
      </c>
      <c r="I529" s="52">
        <f t="shared" si="172"/>
        <v>6838.32</v>
      </c>
      <c r="J529" s="52">
        <f t="shared" si="172"/>
        <v>6779.5800000000017</v>
      </c>
      <c r="K529" s="52">
        <f t="shared" si="172"/>
        <v>7462.4700000000012</v>
      </c>
      <c r="L529" s="52">
        <f t="shared" si="172"/>
        <v>6978.12</v>
      </c>
      <c r="M529" s="52"/>
      <c r="N529" s="52"/>
      <c r="O529" s="52"/>
      <c r="P529" s="52" t="str">
        <f>IF(((P527="")*AND(P528="")),"",(P527-P528)*2)</f>
        <v/>
      </c>
      <c r="Q529" s="46"/>
      <c r="R529" s="46"/>
      <c r="S529" s="46"/>
      <c r="T529" s="46"/>
      <c r="U529" s="46"/>
      <c r="V529" s="229"/>
      <c r="W529" s="46"/>
      <c r="X529" s="213"/>
      <c r="Y529" s="207"/>
    </row>
    <row r="530" spans="1:31" ht="12.75" customHeight="1" x14ac:dyDescent="0.25">
      <c r="A530" s="87">
        <v>43342</v>
      </c>
      <c r="B530" s="48" t="s">
        <v>202</v>
      </c>
      <c r="C530" s="48" t="s">
        <v>201</v>
      </c>
      <c r="D530" s="35">
        <v>4222.54</v>
      </c>
      <c r="E530" s="35">
        <v>4416.46</v>
      </c>
      <c r="F530" s="35">
        <v>4128.49</v>
      </c>
      <c r="G530" s="35">
        <v>4122.26</v>
      </c>
      <c r="H530" s="35">
        <v>4308.78</v>
      </c>
      <c r="I530" s="35">
        <v>4202.3500000000004</v>
      </c>
      <c r="J530" s="35">
        <v>4159.26</v>
      </c>
      <c r="K530" s="35">
        <v>4114.3100000000004</v>
      </c>
      <c r="L530" s="35">
        <v>4194.58</v>
      </c>
      <c r="M530" s="35">
        <v>4230.2</v>
      </c>
      <c r="N530" s="35">
        <v>4439.42</v>
      </c>
      <c r="O530" s="35">
        <v>4260.43</v>
      </c>
      <c r="P530" s="35">
        <v>4355.5200000000004</v>
      </c>
      <c r="Q530" s="48">
        <f>IF((L531=""),"",MAX(D532:P532))</f>
        <v>5608.4400000000005</v>
      </c>
      <c r="R530" s="48">
        <f>IF(L531="","",MIN(D532:L532))</f>
        <v>5466.7999999999993</v>
      </c>
      <c r="S530" s="51">
        <f>IF((P532=""),"",AVERAGE(D532:P532))</f>
        <v>5535.5092307692312</v>
      </c>
      <c r="T530" s="50">
        <f>IF((L531=""),"",(Q530-R530)/(Q530+R530)*100)</f>
        <v>1.2788887644872819</v>
      </c>
      <c r="U530" s="48">
        <f>STDEV(D532:P532)</f>
        <v>47.744882179758392</v>
      </c>
      <c r="V530" s="228" t="str">
        <f>IF(P531="","",IF(T530&lt;2.7,IF(S530&gt;5150,IF(S530&lt;5600,"Pass","Fail"),"Fail"),"Fail"))</f>
        <v>Pass</v>
      </c>
      <c r="W530" s="48">
        <v>1335</v>
      </c>
      <c r="X530" s="212"/>
      <c r="Y530" s="279"/>
      <c r="Z530" s="251">
        <v>4470</v>
      </c>
      <c r="AA530" s="251">
        <v>6020</v>
      </c>
      <c r="AB530" s="251">
        <v>5150</v>
      </c>
      <c r="AC530" s="251">
        <v>5600</v>
      </c>
      <c r="AD530" s="67">
        <v>10</v>
      </c>
      <c r="AE530" s="252">
        <v>2.7</v>
      </c>
    </row>
    <row r="531" spans="1:31" ht="16.100000000000001" x14ac:dyDescent="0.35">
      <c r="A531" s="294"/>
      <c r="B531" s="46"/>
      <c r="C531" s="46" t="s">
        <v>200</v>
      </c>
      <c r="D531" s="35">
        <v>1489.14</v>
      </c>
      <c r="E531" s="35">
        <v>1669.63</v>
      </c>
      <c r="F531" s="35">
        <v>1385.26</v>
      </c>
      <c r="G531" s="35">
        <v>1333.06</v>
      </c>
      <c r="H531" s="35">
        <v>1556.83</v>
      </c>
      <c r="I531" s="35">
        <v>1415</v>
      </c>
      <c r="J531" s="35">
        <v>1362.17</v>
      </c>
      <c r="K531" s="35">
        <v>1310.0899999999999</v>
      </c>
      <c r="L531" s="35">
        <v>1448.97</v>
      </c>
      <c r="M531" s="35">
        <v>1435.02</v>
      </c>
      <c r="N531" s="35">
        <v>1676.17</v>
      </c>
      <c r="O531" s="35">
        <v>1498.3</v>
      </c>
      <c r="P531" s="35">
        <v>1594.15</v>
      </c>
      <c r="Q531" s="46"/>
      <c r="R531" s="46"/>
      <c r="S531" s="46"/>
      <c r="T531" s="46"/>
      <c r="U531" s="46"/>
      <c r="V531" s="229"/>
      <c r="W531" s="46"/>
      <c r="X531" s="212"/>
      <c r="Y531" s="280"/>
    </row>
    <row r="532" spans="1:31" ht="22.15" x14ac:dyDescent="0.35">
      <c r="A532" s="294"/>
      <c r="B532" s="78"/>
      <c r="C532" s="78" t="s">
        <v>199</v>
      </c>
      <c r="D532" s="83">
        <f t="shared" ref="D532:P532" si="173">IF(((D530="")*AND(D531="")),"",(D530-D531)*2)</f>
        <v>5466.7999999999993</v>
      </c>
      <c r="E532" s="83">
        <f t="shared" si="173"/>
        <v>5493.66</v>
      </c>
      <c r="F532" s="83">
        <f t="shared" si="173"/>
        <v>5486.4599999999991</v>
      </c>
      <c r="G532" s="83">
        <f t="shared" si="173"/>
        <v>5578.4000000000005</v>
      </c>
      <c r="H532" s="83">
        <f t="shared" si="173"/>
        <v>5503.9</v>
      </c>
      <c r="I532" s="83">
        <f t="shared" si="173"/>
        <v>5574.7000000000007</v>
      </c>
      <c r="J532" s="83">
        <f t="shared" si="173"/>
        <v>5594.18</v>
      </c>
      <c r="K532" s="83">
        <f t="shared" si="173"/>
        <v>5608.4400000000005</v>
      </c>
      <c r="L532" s="83">
        <f t="shared" si="173"/>
        <v>5491.2199999999993</v>
      </c>
      <c r="M532" s="83">
        <f t="shared" si="173"/>
        <v>5590.36</v>
      </c>
      <c r="N532" s="83">
        <f t="shared" si="173"/>
        <v>5526.5</v>
      </c>
      <c r="O532" s="83">
        <f t="shared" si="173"/>
        <v>5524.26</v>
      </c>
      <c r="P532" s="83">
        <f t="shared" si="173"/>
        <v>5522.7400000000007</v>
      </c>
      <c r="Q532" s="78"/>
      <c r="R532" s="78"/>
      <c r="S532" s="78"/>
      <c r="T532" s="78"/>
      <c r="U532" s="78"/>
      <c r="V532" s="232"/>
      <c r="W532" s="78"/>
      <c r="X532" s="212"/>
      <c r="Y532" s="281"/>
    </row>
    <row r="533" spans="1:31" ht="12.75" customHeight="1" x14ac:dyDescent="0.25">
      <c r="A533" s="87">
        <v>43347</v>
      </c>
      <c r="B533" s="48" t="s">
        <v>204</v>
      </c>
      <c r="C533" s="54" t="s">
        <v>201</v>
      </c>
      <c r="D533" s="35">
        <v>6041.27</v>
      </c>
      <c r="E533" s="35">
        <v>6027.69</v>
      </c>
      <c r="F533" s="35">
        <v>6263.28</v>
      </c>
      <c r="G533" s="35">
        <v>6122.38</v>
      </c>
      <c r="H533" s="35">
        <v>6416.59</v>
      </c>
      <c r="I533" s="35">
        <v>6302.09</v>
      </c>
      <c r="J533" s="35">
        <v>6278.52</v>
      </c>
      <c r="K533" s="35">
        <v>6170.85</v>
      </c>
      <c r="L533" s="35">
        <v>6375.58</v>
      </c>
      <c r="M533" s="53"/>
      <c r="N533" s="53"/>
      <c r="O533" s="53"/>
      <c r="P533" s="53"/>
      <c r="Q533" s="48">
        <f>IF((L534=""),"",MAX(D535:L535))</f>
        <v>7462.4700000000012</v>
      </c>
      <c r="R533" s="48">
        <f>IF(L534="","",MIN(D535:L535))</f>
        <v>6779.5800000000017</v>
      </c>
      <c r="S533" s="75">
        <f>IF((L535=""),"",AVERAGE(D535:L535))</f>
        <v>7071.0466666666671</v>
      </c>
      <c r="T533" s="50">
        <f>IF((L534=""),"",(Q533-R533)/(Q533+R533)*100)</f>
        <v>4.7948855677377855</v>
      </c>
      <c r="U533" s="48">
        <f>STDEV(D535:P535)</f>
        <v>216.2614532805141</v>
      </c>
      <c r="V533" s="228" t="str">
        <f>IF(L534="","",IF(T533&lt;9.8,IF(S533&gt;5100,IF(S533&lt;8300,"Pass","Fail"),"Fail"),"Fail"))</f>
        <v>Pass</v>
      </c>
      <c r="W533" s="46">
        <v>1335</v>
      </c>
      <c r="Z533" s="37">
        <v>4955</v>
      </c>
      <c r="AA533" s="37">
        <v>9645</v>
      </c>
      <c r="AB533" s="37">
        <v>5100</v>
      </c>
      <c r="AC533" s="37">
        <v>8300</v>
      </c>
      <c r="AD533" s="67">
        <v>10</v>
      </c>
      <c r="AE533" s="67">
        <v>9.8000000000000007</v>
      </c>
    </row>
    <row r="534" spans="1:31" ht="16.100000000000001" x14ac:dyDescent="0.35">
      <c r="A534" s="294"/>
      <c r="B534" s="46"/>
      <c r="C534" s="54" t="s">
        <v>200</v>
      </c>
      <c r="D534" s="35">
        <v>3661.79</v>
      </c>
      <c r="E534" s="35">
        <v>3661.79</v>
      </c>
      <c r="F534" s="35">
        <v>3918.35</v>
      </c>
      <c r="G534" s="35">
        <v>3683.36</v>
      </c>
      <c r="H534" s="35">
        <v>4085.61</v>
      </c>
      <c r="I534" s="35">
        <v>4022.65</v>
      </c>
      <c r="J534" s="35">
        <v>4018.66</v>
      </c>
      <c r="K534" s="35">
        <v>3683.36</v>
      </c>
      <c r="L534" s="35">
        <v>4049.54</v>
      </c>
      <c r="M534" s="53"/>
      <c r="N534" s="53"/>
      <c r="O534" s="53"/>
      <c r="P534" s="53"/>
      <c r="Q534" s="46"/>
      <c r="R534" s="46"/>
      <c r="S534" s="46"/>
      <c r="T534" s="46"/>
      <c r="U534" s="46"/>
      <c r="V534" s="229"/>
      <c r="W534" s="46"/>
    </row>
    <row r="535" spans="1:31" ht="22.75" thickBot="1" x14ac:dyDescent="0.4">
      <c r="A535" s="294"/>
      <c r="B535" s="46"/>
      <c r="C535" s="48" t="s">
        <v>199</v>
      </c>
      <c r="D535" s="52">
        <f t="shared" ref="D535:L535" si="174">IF(((D533="")*AND(D534="")),"",(D533-D534)*3)</f>
        <v>7138.4400000000014</v>
      </c>
      <c r="E535" s="52">
        <f t="shared" si="174"/>
        <v>7097.6999999999989</v>
      </c>
      <c r="F535" s="52">
        <f t="shared" si="174"/>
        <v>7034.7899999999991</v>
      </c>
      <c r="G535" s="52">
        <f t="shared" si="174"/>
        <v>7317.0599999999995</v>
      </c>
      <c r="H535" s="52">
        <f t="shared" si="174"/>
        <v>6992.9400000000005</v>
      </c>
      <c r="I535" s="52">
        <f t="shared" si="174"/>
        <v>6838.32</v>
      </c>
      <c r="J535" s="52">
        <f t="shared" si="174"/>
        <v>6779.5800000000017</v>
      </c>
      <c r="K535" s="52">
        <f t="shared" si="174"/>
        <v>7462.4700000000012</v>
      </c>
      <c r="L535" s="52">
        <f t="shared" si="174"/>
        <v>6978.12</v>
      </c>
      <c r="M535" s="52"/>
      <c r="N535" s="52"/>
      <c r="O535" s="52"/>
      <c r="P535" s="52" t="str">
        <f>IF(((P533="")*AND(P534="")),"",(P533-P534)*2)</f>
        <v/>
      </c>
      <c r="Q535" s="46"/>
      <c r="R535" s="46"/>
      <c r="S535" s="46"/>
      <c r="T535" s="46"/>
      <c r="U535" s="46"/>
      <c r="V535" s="229"/>
      <c r="W535" s="46"/>
    </row>
    <row r="536" spans="1:31" ht="12.75" customHeight="1" x14ac:dyDescent="0.25">
      <c r="A536" s="87">
        <v>43347</v>
      </c>
      <c r="B536" s="48" t="s">
        <v>202</v>
      </c>
      <c r="C536" s="48" t="s">
        <v>201</v>
      </c>
      <c r="D536" s="35">
        <v>6900.47</v>
      </c>
      <c r="E536" s="35">
        <v>7103.04</v>
      </c>
      <c r="F536" s="35">
        <v>6808.1</v>
      </c>
      <c r="G536" s="35">
        <v>6844.01</v>
      </c>
      <c r="H536" s="35">
        <v>7008.12</v>
      </c>
      <c r="I536" s="35">
        <v>6925.08</v>
      </c>
      <c r="J536" s="35">
        <v>6889.02</v>
      </c>
      <c r="K536" s="35">
        <v>6847.57</v>
      </c>
      <c r="L536" s="35">
        <v>6875.63</v>
      </c>
      <c r="M536" s="35">
        <v>6962.77</v>
      </c>
      <c r="N536" s="35">
        <v>7135.97</v>
      </c>
      <c r="O536" s="35">
        <v>6953.86</v>
      </c>
      <c r="P536" s="35">
        <v>7046.49</v>
      </c>
      <c r="Q536" s="48">
        <f>IF((L537=""),"",MAX(D538:P538))</f>
        <v>5512.2</v>
      </c>
      <c r="R536" s="48">
        <f>IF(L537="","",MIN(D538:L538))</f>
        <v>5411.1200000000008</v>
      </c>
      <c r="S536" s="51">
        <f>IF((P538=""),"",AVERAGE(D538:P538))</f>
        <v>5457.373846153846</v>
      </c>
      <c r="T536" s="50">
        <f>IF((L537=""),"",(Q536-R536)/(Q536+R536)*100)</f>
        <v>0.92535968917873879</v>
      </c>
      <c r="U536" s="48">
        <f>STDEV(D538:P538)</f>
        <v>40.556513151088097</v>
      </c>
      <c r="V536" s="228" t="str">
        <f>IF(P537="","",IF(T536&lt;2.7,IF(S536&gt;5150,IF(S536&lt;5600,"Pass","Fail"),"Fail"),"Fail"))</f>
        <v>Pass</v>
      </c>
      <c r="W536" s="48">
        <v>1335</v>
      </c>
      <c r="Z536" s="251">
        <v>4470</v>
      </c>
      <c r="AA536" s="251">
        <v>6020</v>
      </c>
      <c r="AB536" s="251">
        <v>5150</v>
      </c>
      <c r="AC536" s="251">
        <v>5600</v>
      </c>
      <c r="AD536" s="67">
        <v>10</v>
      </c>
      <c r="AE536" s="252">
        <v>2.7</v>
      </c>
    </row>
    <row r="537" spans="1:31" ht="16.100000000000001" x14ac:dyDescent="0.35">
      <c r="A537" s="294"/>
      <c r="B537" s="46"/>
      <c r="C537" s="46" t="s">
        <v>200</v>
      </c>
      <c r="D537" s="35">
        <v>4194.91</v>
      </c>
      <c r="E537" s="35">
        <v>4391.59</v>
      </c>
      <c r="F537" s="35">
        <v>4102.1000000000004</v>
      </c>
      <c r="G537" s="35">
        <v>4093.75</v>
      </c>
      <c r="H537" s="35">
        <v>4287.09</v>
      </c>
      <c r="I537" s="35">
        <v>4179.4399999999996</v>
      </c>
      <c r="J537" s="35">
        <v>4135.49</v>
      </c>
      <c r="K537" s="35">
        <v>4091.47</v>
      </c>
      <c r="L537" s="35">
        <v>4168.1400000000003</v>
      </c>
      <c r="M537" s="35">
        <v>4207.09</v>
      </c>
      <c r="N537" s="35">
        <v>4417.29</v>
      </c>
      <c r="O537" s="35">
        <v>4231.72</v>
      </c>
      <c r="P537" s="35">
        <v>4327.12</v>
      </c>
      <c r="Q537" s="46"/>
      <c r="R537" s="46"/>
      <c r="S537" s="46"/>
      <c r="T537" s="46"/>
      <c r="U537" s="46"/>
      <c r="V537" s="229"/>
      <c r="W537" s="46"/>
    </row>
    <row r="538" spans="1:31" ht="22.15" x14ac:dyDescent="0.35">
      <c r="A538" s="294"/>
      <c r="B538" s="78"/>
      <c r="C538" s="78" t="s">
        <v>199</v>
      </c>
      <c r="D538" s="83">
        <f t="shared" ref="D538:P538" si="175">IF(((D536="")*AND(D537="")),"",(D536-D537)*2)</f>
        <v>5411.1200000000008</v>
      </c>
      <c r="E538" s="83">
        <f t="shared" si="175"/>
        <v>5422.9</v>
      </c>
      <c r="F538" s="83">
        <f t="shared" si="175"/>
        <v>5412</v>
      </c>
      <c r="G538" s="83">
        <f t="shared" si="175"/>
        <v>5500.52</v>
      </c>
      <c r="H538" s="83">
        <f t="shared" si="175"/>
        <v>5442.0599999999995</v>
      </c>
      <c r="I538" s="83">
        <f t="shared" si="175"/>
        <v>5491.2800000000007</v>
      </c>
      <c r="J538" s="83">
        <f t="shared" si="175"/>
        <v>5507.0600000000013</v>
      </c>
      <c r="K538" s="83">
        <f t="shared" si="175"/>
        <v>5512.2</v>
      </c>
      <c r="L538" s="83">
        <f t="shared" si="175"/>
        <v>5414.98</v>
      </c>
      <c r="M538" s="83">
        <f t="shared" si="175"/>
        <v>5511.3600000000006</v>
      </c>
      <c r="N538" s="83">
        <f t="shared" si="175"/>
        <v>5437.3600000000006</v>
      </c>
      <c r="O538" s="83">
        <f t="shared" si="175"/>
        <v>5444.2799999999988</v>
      </c>
      <c r="P538" s="83">
        <f t="shared" si="175"/>
        <v>5438.74</v>
      </c>
      <c r="Q538" s="78"/>
      <c r="R538" s="78"/>
      <c r="S538" s="78"/>
      <c r="T538" s="78"/>
      <c r="U538" s="78"/>
      <c r="V538" s="232"/>
      <c r="W538" s="78"/>
    </row>
    <row r="539" spans="1:31" ht="12.75" customHeight="1" x14ac:dyDescent="0.25">
      <c r="A539" s="87">
        <v>43350</v>
      </c>
      <c r="B539" s="48" t="s">
        <v>204</v>
      </c>
      <c r="C539" s="54" t="s">
        <v>201</v>
      </c>
      <c r="D539" s="35">
        <v>5814.28</v>
      </c>
      <c r="E539" s="35">
        <v>5994.02</v>
      </c>
      <c r="F539" s="35">
        <v>6365.78</v>
      </c>
      <c r="G539" s="35">
        <v>6125.41</v>
      </c>
      <c r="H539" s="35">
        <v>6335.07</v>
      </c>
      <c r="I539" s="35">
        <v>6380.67</v>
      </c>
      <c r="J539" s="35">
        <v>6199</v>
      </c>
      <c r="K539" s="35">
        <v>6249.19</v>
      </c>
      <c r="L539" s="35">
        <v>6354.84</v>
      </c>
      <c r="M539" s="53"/>
      <c r="N539" s="53"/>
      <c r="O539" s="53"/>
      <c r="P539" s="53"/>
      <c r="Q539" s="48">
        <f>IF((L540=""),"",MAX(D541:L541))</f>
        <v>7384.4999999999982</v>
      </c>
      <c r="R539" s="48">
        <f>IF(L540="","",MIN(D541:L541))</f>
        <v>6096.840000000002</v>
      </c>
      <c r="S539" s="75">
        <f>IF((L541=""),"",AVERAGE(D541:L541))</f>
        <v>6764.6366666666663</v>
      </c>
      <c r="T539" s="50">
        <f>IF((L540=""),"",(Q539-R539)/(Q539+R539)*100)</f>
        <v>9.5514244133001327</v>
      </c>
      <c r="U539" s="48">
        <f>STDEV(D541:P541)</f>
        <v>485.76086997616369</v>
      </c>
      <c r="V539" s="228" t="str">
        <f>IF(L540="","",IF(T539&lt;9.8,IF(S539&gt;5100,IF(S539&lt;8300,"Pass","Fail"),"Fail"),"Fail"))</f>
        <v>Pass</v>
      </c>
      <c r="W539" s="46">
        <v>1335</v>
      </c>
      <c r="Z539" s="37">
        <v>4955</v>
      </c>
      <c r="AA539" s="37">
        <v>9645</v>
      </c>
      <c r="AB539" s="37">
        <v>5100</v>
      </c>
      <c r="AC539" s="37">
        <v>8300</v>
      </c>
      <c r="AD539" s="67">
        <v>10</v>
      </c>
      <c r="AE539" s="67">
        <v>9.8000000000000007</v>
      </c>
    </row>
    <row r="540" spans="1:31" ht="16.100000000000001" x14ac:dyDescent="0.35">
      <c r="A540" s="294"/>
      <c r="B540" s="46"/>
      <c r="C540" s="54" t="s">
        <v>200</v>
      </c>
      <c r="D540" s="35">
        <v>3352.78</v>
      </c>
      <c r="E540" s="35">
        <v>3961.74</v>
      </c>
      <c r="F540" s="35">
        <v>4098.24</v>
      </c>
      <c r="G540" s="35">
        <v>4060.66</v>
      </c>
      <c r="H540" s="35">
        <v>3939.7</v>
      </c>
      <c r="I540" s="35">
        <v>4323.0600000000004</v>
      </c>
      <c r="J540" s="35">
        <v>3856.05</v>
      </c>
      <c r="K540" s="35">
        <v>3884.62</v>
      </c>
      <c r="L540" s="35">
        <v>4047.5</v>
      </c>
      <c r="M540" s="53"/>
      <c r="N540" s="53"/>
      <c r="O540" s="53"/>
      <c r="P540" s="53"/>
      <c r="Q540" s="46"/>
      <c r="R540" s="46"/>
      <c r="S540" s="46"/>
      <c r="T540" s="46"/>
      <c r="U540" s="46"/>
      <c r="V540" s="229"/>
      <c r="W540" s="46"/>
    </row>
    <row r="541" spans="1:31" ht="22.75" thickBot="1" x14ac:dyDescent="0.4">
      <c r="A541" s="294"/>
      <c r="B541" s="46"/>
      <c r="C541" s="48" t="s">
        <v>199</v>
      </c>
      <c r="D541" s="52">
        <f t="shared" ref="D541:L541" si="176">IF(((D539="")*AND(D540="")),"",(D539-D540)*3)</f>
        <v>7384.4999999999982</v>
      </c>
      <c r="E541" s="52">
        <f t="shared" si="176"/>
        <v>6096.840000000002</v>
      </c>
      <c r="F541" s="52">
        <f t="shared" si="176"/>
        <v>6802.62</v>
      </c>
      <c r="G541" s="52">
        <f t="shared" si="176"/>
        <v>6194.25</v>
      </c>
      <c r="H541" s="52">
        <f t="shared" si="176"/>
        <v>7186.11</v>
      </c>
      <c r="I541" s="52">
        <f t="shared" si="176"/>
        <v>6172.829999999999</v>
      </c>
      <c r="J541" s="52">
        <f t="shared" si="176"/>
        <v>7028.8499999999995</v>
      </c>
      <c r="K541" s="52">
        <f t="shared" si="176"/>
        <v>7093.7099999999991</v>
      </c>
      <c r="L541" s="52">
        <f t="shared" si="176"/>
        <v>6922.02</v>
      </c>
      <c r="M541" s="52"/>
      <c r="N541" s="52"/>
      <c r="O541" s="52"/>
      <c r="P541" s="52" t="str">
        <f>IF(((P539="")*AND(P540="")),"",(P539-P540)*2)</f>
        <v/>
      </c>
      <c r="Q541" s="46"/>
      <c r="R541" s="46"/>
      <c r="S541" s="46"/>
      <c r="T541" s="46"/>
      <c r="U541" s="46"/>
      <c r="V541" s="229"/>
      <c r="W541" s="46"/>
    </row>
    <row r="542" spans="1:31" ht="12.75" customHeight="1" x14ac:dyDescent="0.25">
      <c r="A542" s="87">
        <v>43350</v>
      </c>
      <c r="B542" s="48" t="s">
        <v>202</v>
      </c>
      <c r="C542" s="48" t="s">
        <v>201</v>
      </c>
      <c r="D542" s="35">
        <v>4204.1099999999997</v>
      </c>
      <c r="E542" s="35">
        <v>4402.37</v>
      </c>
      <c r="F542" s="35">
        <v>4110.4799999999996</v>
      </c>
      <c r="G542" s="35">
        <v>4101.82</v>
      </c>
      <c r="H542" s="35">
        <v>4297.24</v>
      </c>
      <c r="I542" s="35">
        <v>4188.4799999999996</v>
      </c>
      <c r="J542" s="35">
        <v>4143.67</v>
      </c>
      <c r="K542" s="35">
        <v>4099.46</v>
      </c>
      <c r="L542" s="35">
        <v>4176.62</v>
      </c>
      <c r="M542" s="35">
        <v>4215.8900000000003</v>
      </c>
      <c r="N542" s="35">
        <v>4427.79</v>
      </c>
      <c r="O542" s="35">
        <v>4240.6499999999996</v>
      </c>
      <c r="P542" s="35">
        <v>4336.72</v>
      </c>
      <c r="Q542" s="48">
        <f>IF((L543=""),"",MAX(D544:P544))</f>
        <v>5563.9400000000005</v>
      </c>
      <c r="R542" s="48">
        <f>IF(L543="","",MIN(D544:L544))</f>
        <v>5432.8599999999988</v>
      </c>
      <c r="S542" s="51">
        <f>IF((P544=""),"",AVERAGE(D544:P544))</f>
        <v>5500.5276923076926</v>
      </c>
      <c r="T542" s="50">
        <f>IF((L543=""),"",(Q542-R542)/(Q542+R542)*100)</f>
        <v>1.1919831223628852</v>
      </c>
      <c r="U542" s="48">
        <f>STDEV(D544:P544)</f>
        <v>44.85056338439307</v>
      </c>
      <c r="V542" s="228" t="str">
        <f>IF(P543="","",IF(T542&lt;2.7,IF(S542&gt;5150,IF(S542&lt;5600,"Pass","Fail"),"Fail"),"Fail"))</f>
        <v>Pass</v>
      </c>
      <c r="W542" s="48">
        <v>1335</v>
      </c>
      <c r="Z542" s="251">
        <v>4470</v>
      </c>
      <c r="AA542" s="251">
        <v>6020</v>
      </c>
      <c r="AB542" s="251">
        <v>5150</v>
      </c>
      <c r="AC542" s="251">
        <v>5600</v>
      </c>
      <c r="AD542" s="67">
        <v>10</v>
      </c>
      <c r="AE542" s="252">
        <v>2.7</v>
      </c>
    </row>
    <row r="543" spans="1:31" ht="16.100000000000001" x14ac:dyDescent="0.35">
      <c r="A543" s="294"/>
      <c r="B543" s="46"/>
      <c r="C543" s="46" t="s">
        <v>200</v>
      </c>
      <c r="D543" s="35">
        <v>1487.68</v>
      </c>
      <c r="E543" s="35">
        <v>1671.46</v>
      </c>
      <c r="F543" s="35">
        <v>1387.76</v>
      </c>
      <c r="G543" s="35">
        <v>1329.47</v>
      </c>
      <c r="H543" s="35">
        <v>1552.22</v>
      </c>
      <c r="I543" s="35">
        <v>1419.17</v>
      </c>
      <c r="J543" s="35">
        <v>1368.22</v>
      </c>
      <c r="K543" s="35">
        <v>1317.49</v>
      </c>
      <c r="L543" s="35">
        <v>1451.37</v>
      </c>
      <c r="M543" s="35">
        <v>1442.06</v>
      </c>
      <c r="N543" s="35">
        <v>1678.02</v>
      </c>
      <c r="O543" s="35">
        <v>1497.27</v>
      </c>
      <c r="P543" s="35">
        <v>1589.68</v>
      </c>
      <c r="Q543" s="46"/>
      <c r="R543" s="46"/>
      <c r="S543" s="46"/>
      <c r="T543" s="46"/>
      <c r="U543" s="46"/>
      <c r="V543" s="229"/>
      <c r="W543" s="46"/>
    </row>
    <row r="544" spans="1:31" ht="22.15" x14ac:dyDescent="0.35">
      <c r="A544" s="294"/>
      <c r="B544" s="78"/>
      <c r="C544" s="78" t="s">
        <v>199</v>
      </c>
      <c r="D544" s="83">
        <f t="shared" ref="D544:P544" si="177">IF(((D542="")*AND(D543="")),"",(D542-D543)*2)</f>
        <v>5432.8599999999988</v>
      </c>
      <c r="E544" s="83">
        <f t="shared" si="177"/>
        <v>5461.82</v>
      </c>
      <c r="F544" s="83">
        <f t="shared" si="177"/>
        <v>5445.4399999999987</v>
      </c>
      <c r="G544" s="83">
        <f t="shared" si="177"/>
        <v>5544.6999999999989</v>
      </c>
      <c r="H544" s="83">
        <f t="shared" si="177"/>
        <v>5490.0399999999991</v>
      </c>
      <c r="I544" s="83">
        <f t="shared" si="177"/>
        <v>5538.619999999999</v>
      </c>
      <c r="J544" s="83">
        <f t="shared" si="177"/>
        <v>5550.9</v>
      </c>
      <c r="K544" s="83">
        <f t="shared" si="177"/>
        <v>5563.9400000000005</v>
      </c>
      <c r="L544" s="83">
        <f t="shared" si="177"/>
        <v>5450.5</v>
      </c>
      <c r="M544" s="83">
        <f t="shared" si="177"/>
        <v>5547.6600000000008</v>
      </c>
      <c r="N544" s="83">
        <f t="shared" si="177"/>
        <v>5499.54</v>
      </c>
      <c r="O544" s="83">
        <f t="shared" si="177"/>
        <v>5486.7599999999993</v>
      </c>
      <c r="P544" s="83">
        <f t="shared" si="177"/>
        <v>5494.08</v>
      </c>
      <c r="Q544" s="78"/>
      <c r="R544" s="78"/>
      <c r="S544" s="78"/>
      <c r="T544" s="78"/>
      <c r="U544" s="78"/>
      <c r="V544" s="232"/>
      <c r="W544" s="78"/>
    </row>
    <row r="545" spans="1:31" ht="12.75" customHeight="1" x14ac:dyDescent="0.25">
      <c r="A545" s="87">
        <v>43356</v>
      </c>
      <c r="B545" s="48" t="s">
        <v>204</v>
      </c>
      <c r="C545" s="54" t="s">
        <v>201</v>
      </c>
      <c r="D545" s="35">
        <v>6008.8</v>
      </c>
      <c r="E545" s="35">
        <v>5993.13</v>
      </c>
      <c r="F545" s="35">
        <v>6270.94</v>
      </c>
      <c r="G545" s="35">
        <v>6002.62</v>
      </c>
      <c r="H545" s="35">
        <v>6438.9</v>
      </c>
      <c r="I545" s="35">
        <v>6387.59</v>
      </c>
      <c r="J545" s="35">
        <v>6074.24</v>
      </c>
      <c r="K545" s="35">
        <v>6131.07</v>
      </c>
      <c r="L545" s="35">
        <v>6309.55</v>
      </c>
      <c r="M545" s="53"/>
      <c r="N545" s="53"/>
      <c r="O545" s="53"/>
      <c r="P545" s="53"/>
      <c r="Q545" s="48">
        <f>IF((L546=""),"",MAX(D547:L547))</f>
        <v>8281.2599999999984</v>
      </c>
      <c r="R545" s="48">
        <f>IF(L546="","",MIN(D547:L547))</f>
        <v>6846.87</v>
      </c>
      <c r="S545" s="75">
        <f>IF((L547=""),"",AVERAGE(D547:L547))</f>
        <v>7550.993333333332</v>
      </c>
      <c r="T545" s="50">
        <f>IF((L546=""),"",(Q545-R545)/(Q545+R545)*100)</f>
        <v>9.4816081035792177</v>
      </c>
      <c r="U545" s="48">
        <f>STDEV(D547:P547)</f>
        <v>437.75907452044879</v>
      </c>
      <c r="V545" s="228" t="str">
        <f>IF(L546="","",IF(T545&lt;9.8,IF(S545&gt;5100,IF(S545&lt;8300,"Pass","Fail"),"Fail"),"Fail"))</f>
        <v>Pass</v>
      </c>
      <c r="W545" s="46">
        <v>1335</v>
      </c>
      <c r="Z545" s="37">
        <v>4955</v>
      </c>
      <c r="AA545" s="37">
        <v>9645</v>
      </c>
      <c r="AB545" s="37">
        <v>5100</v>
      </c>
      <c r="AC545" s="37">
        <v>8300</v>
      </c>
      <c r="AD545" s="67">
        <v>10</v>
      </c>
      <c r="AE545" s="67">
        <v>9.8000000000000007</v>
      </c>
    </row>
    <row r="546" spans="1:31" ht="16.100000000000001" x14ac:dyDescent="0.35">
      <c r="A546" s="294"/>
      <c r="B546" s="46"/>
      <c r="C546" s="54" t="s">
        <v>200</v>
      </c>
      <c r="D546" s="35">
        <v>3618.36</v>
      </c>
      <c r="E546" s="35">
        <v>3710.84</v>
      </c>
      <c r="F546" s="35">
        <v>3722.95</v>
      </c>
      <c r="G546" s="35">
        <v>3533.6</v>
      </c>
      <c r="H546" s="35">
        <v>3678.48</v>
      </c>
      <c r="I546" s="35">
        <v>3724.21</v>
      </c>
      <c r="J546" s="35">
        <v>3630.18</v>
      </c>
      <c r="K546" s="35">
        <v>3646.97</v>
      </c>
      <c r="L546" s="35">
        <v>3698.27</v>
      </c>
      <c r="M546" s="53"/>
      <c r="N546" s="53"/>
      <c r="O546" s="53"/>
      <c r="P546" s="53"/>
      <c r="Q546" s="46"/>
      <c r="R546" s="46"/>
      <c r="S546" s="46"/>
      <c r="T546" s="46"/>
      <c r="U546" s="46"/>
      <c r="V546" s="229"/>
      <c r="W546" s="46"/>
    </row>
    <row r="547" spans="1:31" ht="22.75" thickBot="1" x14ac:dyDescent="0.4">
      <c r="A547" s="294"/>
      <c r="B547" s="46"/>
      <c r="C547" s="48" t="s">
        <v>199</v>
      </c>
      <c r="D547" s="52">
        <f t="shared" ref="D547:L547" si="178">IF(((D545="")*AND(D546="")),"",(D545-D546)*3)</f>
        <v>7171.32</v>
      </c>
      <c r="E547" s="52">
        <f t="shared" si="178"/>
        <v>6846.87</v>
      </c>
      <c r="F547" s="52">
        <f t="shared" si="178"/>
        <v>7643.9699999999993</v>
      </c>
      <c r="G547" s="52">
        <f t="shared" si="178"/>
        <v>7407.0599999999995</v>
      </c>
      <c r="H547" s="52">
        <f t="shared" si="178"/>
        <v>8281.2599999999984</v>
      </c>
      <c r="I547" s="52">
        <f t="shared" si="178"/>
        <v>7990.14</v>
      </c>
      <c r="J547" s="52">
        <f t="shared" si="178"/>
        <v>7332.18</v>
      </c>
      <c r="K547" s="52">
        <f t="shared" si="178"/>
        <v>7452.2999999999993</v>
      </c>
      <c r="L547" s="52">
        <f t="shared" si="178"/>
        <v>7833.84</v>
      </c>
      <c r="M547" s="52"/>
      <c r="N547" s="52"/>
      <c r="O547" s="52"/>
      <c r="P547" s="52" t="str">
        <f>IF(((P545="")*AND(P546="")),"",(P545-P546)*2)</f>
        <v/>
      </c>
      <c r="Q547" s="46"/>
      <c r="R547" s="46"/>
      <c r="S547" s="46"/>
      <c r="T547" s="46"/>
      <c r="U547" s="46"/>
      <c r="V547" s="229"/>
      <c r="W547" s="46"/>
    </row>
    <row r="548" spans="1:31" ht="12.75" customHeight="1" x14ac:dyDescent="0.25">
      <c r="A548" s="87">
        <v>43356</v>
      </c>
      <c r="B548" s="48" t="s">
        <v>202</v>
      </c>
      <c r="C548" s="48" t="s">
        <v>201</v>
      </c>
      <c r="D548" s="35">
        <v>4118.01</v>
      </c>
      <c r="E548" s="35">
        <v>4292.26</v>
      </c>
      <c r="F548" s="35">
        <v>3998.41</v>
      </c>
      <c r="G548" s="35">
        <v>3985.36</v>
      </c>
      <c r="H548" s="35">
        <v>4182.95</v>
      </c>
      <c r="I548" s="35">
        <v>4072.9</v>
      </c>
      <c r="J548" s="35">
        <v>4010.78</v>
      </c>
      <c r="K548" s="35">
        <v>3974.89</v>
      </c>
      <c r="L548" s="35">
        <v>4053.65</v>
      </c>
      <c r="M548" s="35">
        <v>4085.78</v>
      </c>
      <c r="N548" s="35">
        <v>4280.1000000000004</v>
      </c>
      <c r="O548" s="35">
        <v>4113.05</v>
      </c>
      <c r="P548" s="35">
        <v>4176.84</v>
      </c>
      <c r="Q548" s="48">
        <f>IF((L549=""),"",MAX(D550:P550))</f>
        <v>5816.66</v>
      </c>
      <c r="R548" s="48">
        <f>IF(L549="","",MIN(D550:L550))</f>
        <v>5613.68</v>
      </c>
      <c r="S548" s="51">
        <f>IF((P550=""),"",AVERAGE(D550:P550))</f>
        <v>5710.1753846153861</v>
      </c>
      <c r="T548" s="50">
        <f>IF((L549=""),"",(Q548-R548)/(Q548+R548)*100)</f>
        <v>1.7758001949198323</v>
      </c>
      <c r="U548" s="48">
        <f>STDEV(D550:P550)</f>
        <v>73.0262802712585</v>
      </c>
      <c r="V548" s="228" t="str">
        <f>IF(P549="","",IF(T548&lt;2.7,IF(S548&gt;5150,IF(S548&lt;5600,"Pass","Fail"),"Fail"),"Fail"))</f>
        <v>Fail</v>
      </c>
      <c r="W548" s="48">
        <v>1335</v>
      </c>
      <c r="Z548" s="251">
        <v>4470</v>
      </c>
      <c r="AA548" s="251">
        <v>6020</v>
      </c>
      <c r="AB548" s="251">
        <v>5150</v>
      </c>
      <c r="AC548" s="251">
        <v>5600</v>
      </c>
      <c r="AD548" s="67">
        <v>10</v>
      </c>
      <c r="AE548" s="252">
        <v>2.7</v>
      </c>
    </row>
    <row r="549" spans="1:31" ht="16.100000000000001" x14ac:dyDescent="0.35">
      <c r="A549" s="294"/>
      <c r="B549" s="46"/>
      <c r="C549" s="46" t="s">
        <v>200</v>
      </c>
      <c r="D549" s="35">
        <v>1311.17</v>
      </c>
      <c r="E549" s="35">
        <v>1479.9</v>
      </c>
      <c r="F549" s="35">
        <v>1187.1099999999999</v>
      </c>
      <c r="G549" s="35">
        <v>1100.07</v>
      </c>
      <c r="H549" s="35">
        <v>1360.68</v>
      </c>
      <c r="I549" s="35">
        <v>1210.23</v>
      </c>
      <c r="J549" s="35">
        <v>1102.45</v>
      </c>
      <c r="K549" s="35">
        <v>1068.56</v>
      </c>
      <c r="L549" s="35">
        <v>1220.93</v>
      </c>
      <c r="M549" s="35">
        <v>1189.57</v>
      </c>
      <c r="N549" s="35">
        <v>1434.64</v>
      </c>
      <c r="O549" s="35">
        <v>1248.22</v>
      </c>
      <c r="P549" s="35">
        <v>1315.31</v>
      </c>
      <c r="Q549" s="46"/>
      <c r="R549" s="46"/>
      <c r="S549" s="46"/>
      <c r="T549" s="46"/>
      <c r="U549" s="46"/>
      <c r="V549" s="229"/>
      <c r="W549" s="46"/>
    </row>
    <row r="550" spans="1:31" ht="22.75" thickBot="1" x14ac:dyDescent="0.4">
      <c r="A550" s="294"/>
      <c r="B550" s="78"/>
      <c r="C550" s="78" t="s">
        <v>199</v>
      </c>
      <c r="D550" s="83">
        <f t="shared" ref="D550:P550" si="179">IF(((D548="")*AND(D549="")),"",(D548-D549)*2)</f>
        <v>5613.68</v>
      </c>
      <c r="E550" s="83">
        <f t="shared" si="179"/>
        <v>5624.72</v>
      </c>
      <c r="F550" s="83">
        <f t="shared" si="179"/>
        <v>5622.6</v>
      </c>
      <c r="G550" s="83">
        <f t="shared" si="179"/>
        <v>5770.58</v>
      </c>
      <c r="H550" s="83">
        <f t="shared" si="179"/>
        <v>5644.5399999999991</v>
      </c>
      <c r="I550" s="83">
        <f t="shared" si="179"/>
        <v>5725.34</v>
      </c>
      <c r="J550" s="83">
        <f t="shared" si="179"/>
        <v>5816.66</v>
      </c>
      <c r="K550" s="83">
        <f t="shared" si="179"/>
        <v>5812.66</v>
      </c>
      <c r="L550" s="83">
        <f t="shared" si="179"/>
        <v>5665.4400000000005</v>
      </c>
      <c r="M550" s="83">
        <f t="shared" si="179"/>
        <v>5792.42</v>
      </c>
      <c r="N550" s="83">
        <f t="shared" si="179"/>
        <v>5690.92</v>
      </c>
      <c r="O550" s="83">
        <f t="shared" si="179"/>
        <v>5729.66</v>
      </c>
      <c r="P550" s="83">
        <f t="shared" si="179"/>
        <v>5723.06</v>
      </c>
      <c r="Q550" s="78"/>
      <c r="R550" s="78"/>
      <c r="S550" s="78"/>
      <c r="T550" s="78"/>
      <c r="U550" s="78"/>
      <c r="V550" s="232"/>
      <c r="W550" s="78"/>
    </row>
    <row r="551" spans="1:31" ht="12.75" customHeight="1" x14ac:dyDescent="0.25">
      <c r="A551" s="87">
        <v>43357</v>
      </c>
      <c r="B551" s="48" t="s">
        <v>202</v>
      </c>
      <c r="C551" s="48" t="s">
        <v>201</v>
      </c>
      <c r="D551" s="35">
        <v>6787.68</v>
      </c>
      <c r="E551" s="35">
        <v>6980.94</v>
      </c>
      <c r="F551" s="35">
        <v>6692.12</v>
      </c>
      <c r="G551" s="35">
        <v>6745.14</v>
      </c>
      <c r="H551" s="35">
        <v>6879.66</v>
      </c>
      <c r="I551" s="35">
        <v>6812.37</v>
      </c>
      <c r="J551" s="35">
        <v>6794.83</v>
      </c>
      <c r="K551" s="35">
        <v>6753.25</v>
      </c>
      <c r="L551" s="35">
        <v>6767.86</v>
      </c>
      <c r="M551" s="35">
        <v>6866.85</v>
      </c>
      <c r="N551" s="35">
        <v>7014.16</v>
      </c>
      <c r="O551" s="35">
        <v>6851.68</v>
      </c>
      <c r="P551" s="35">
        <v>6924.01</v>
      </c>
      <c r="Q551" s="48">
        <f>IF((L552=""),"",MAX(D553:P553))</f>
        <v>5693.16</v>
      </c>
      <c r="R551" s="48">
        <f>IF(L552="","",MIN(D553:L553))</f>
        <v>5505.380000000001</v>
      </c>
      <c r="S551" s="51">
        <f>IF((P553=""),"",AVERAGE(D553:P553))</f>
        <v>5600.3507692307703</v>
      </c>
      <c r="T551" s="50">
        <f>IF((L552=""),"",(Q551-R551)/(Q551+R551)*100)</f>
        <v>1.6768257290682431</v>
      </c>
      <c r="U551" s="48">
        <f>STDEV(D553:P553)</f>
        <v>64.177747761138548</v>
      </c>
      <c r="V551" s="228" t="str">
        <f>IF(P552="","",IF(T551&lt;2.7,IF(S551&gt;5150,IF(S551&lt;5600,"Pass","Fail"),"Fail"),"Fail"))</f>
        <v>Fail</v>
      </c>
      <c r="W551" s="48">
        <v>121</v>
      </c>
      <c r="Z551" s="251">
        <v>4470</v>
      </c>
      <c r="AA551" s="251">
        <v>6020</v>
      </c>
      <c r="AB551" s="251">
        <v>5150</v>
      </c>
      <c r="AC551" s="251">
        <v>5600</v>
      </c>
      <c r="AD551" s="67">
        <v>10</v>
      </c>
      <c r="AE551" s="252">
        <v>2.7</v>
      </c>
    </row>
    <row r="552" spans="1:31" ht="16.100000000000001" x14ac:dyDescent="0.35">
      <c r="A552" s="294"/>
      <c r="B552" s="46"/>
      <c r="C552" s="46" t="s">
        <v>200</v>
      </c>
      <c r="D552" s="35">
        <v>4034.99</v>
      </c>
      <c r="E552" s="35">
        <v>4217.99</v>
      </c>
      <c r="F552" s="35">
        <v>3926.96</v>
      </c>
      <c r="G552" s="35">
        <v>3917.86</v>
      </c>
      <c r="H552" s="35">
        <v>4104.8100000000004</v>
      </c>
      <c r="I552" s="35">
        <v>3998.29</v>
      </c>
      <c r="J552" s="35">
        <v>3948.25</v>
      </c>
      <c r="K552" s="35">
        <v>3913.74</v>
      </c>
      <c r="L552" s="35">
        <v>3989.98</v>
      </c>
      <c r="M552" s="35">
        <v>4026.3</v>
      </c>
      <c r="N552" s="35">
        <v>4221.7299999999996</v>
      </c>
      <c r="O552" s="35">
        <v>4046.9</v>
      </c>
      <c r="P552" s="35">
        <v>4120.47</v>
      </c>
      <c r="Q552" s="46"/>
      <c r="R552" s="46"/>
      <c r="S552" s="46"/>
      <c r="T552" s="46"/>
      <c r="U552" s="46"/>
      <c r="V552" s="229"/>
      <c r="W552" s="46"/>
    </row>
    <row r="553" spans="1:31" ht="22.15" x14ac:dyDescent="0.35">
      <c r="A553" s="294"/>
      <c r="B553" s="78"/>
      <c r="C553" s="78" t="s">
        <v>199</v>
      </c>
      <c r="D553" s="83">
        <f t="shared" ref="D553:P553" si="180">IF(((D551="")*AND(D552="")),"",(D551-D552)*2)</f>
        <v>5505.380000000001</v>
      </c>
      <c r="E553" s="83">
        <f t="shared" si="180"/>
        <v>5525.9</v>
      </c>
      <c r="F553" s="83">
        <f t="shared" si="180"/>
        <v>5530.32</v>
      </c>
      <c r="G553" s="83">
        <f t="shared" si="180"/>
        <v>5654.56</v>
      </c>
      <c r="H553" s="83">
        <f t="shared" si="180"/>
        <v>5549.6999999999989</v>
      </c>
      <c r="I553" s="83">
        <f t="shared" si="180"/>
        <v>5628.16</v>
      </c>
      <c r="J553" s="83">
        <f t="shared" si="180"/>
        <v>5693.16</v>
      </c>
      <c r="K553" s="83">
        <f t="shared" si="180"/>
        <v>5679.02</v>
      </c>
      <c r="L553" s="83">
        <f t="shared" si="180"/>
        <v>5555.7599999999993</v>
      </c>
      <c r="M553" s="83">
        <f t="shared" si="180"/>
        <v>5681.1</v>
      </c>
      <c r="N553" s="83">
        <f t="shared" si="180"/>
        <v>5584.8600000000006</v>
      </c>
      <c r="O553" s="83">
        <f t="shared" si="180"/>
        <v>5609.56</v>
      </c>
      <c r="P553" s="83">
        <f t="shared" si="180"/>
        <v>5607.08</v>
      </c>
      <c r="Q553" s="78"/>
      <c r="R553" s="78"/>
      <c r="S553" s="78"/>
      <c r="T553" s="78"/>
      <c r="U553" s="78"/>
      <c r="V553" s="232"/>
      <c r="W553" s="78"/>
    </row>
    <row r="554" spans="1:31" ht="12.75" customHeight="1" x14ac:dyDescent="0.25">
      <c r="A554" s="87">
        <v>43362</v>
      </c>
      <c r="B554" s="48" t="s">
        <v>204</v>
      </c>
      <c r="C554" s="54" t="s">
        <v>201</v>
      </c>
      <c r="D554" s="35">
        <v>3618.36</v>
      </c>
      <c r="E554" s="35">
        <v>3710.84</v>
      </c>
      <c r="F554" s="35">
        <v>3722.95</v>
      </c>
      <c r="G554" s="35">
        <v>3533.6</v>
      </c>
      <c r="H554" s="35">
        <v>3678.48</v>
      </c>
      <c r="I554" s="35">
        <v>3724.21</v>
      </c>
      <c r="J554" s="35">
        <v>3630.18</v>
      </c>
      <c r="K554" s="35">
        <v>3646.97</v>
      </c>
      <c r="L554" s="35">
        <v>3698.27</v>
      </c>
      <c r="M554" s="53"/>
      <c r="N554" s="53"/>
      <c r="O554" s="53"/>
      <c r="P554" s="53"/>
      <c r="Q554" s="48">
        <f>IF((L555=""),"",MAX(D556:L556))</f>
        <v>7803</v>
      </c>
      <c r="R554" s="48">
        <f>IF(L555="","",MIN(D556:L556))</f>
        <v>6499.92</v>
      </c>
      <c r="S554" s="75">
        <f>IF((L556=""),"",AVERAGE(D556:L556))</f>
        <v>6772.1033333333326</v>
      </c>
      <c r="T554" s="50">
        <f>IF((L555=""),"",(Q554-R554)/(Q554+R554)*100)</f>
        <v>9.1105872087657627</v>
      </c>
      <c r="U554" s="48">
        <f>STDEV(D556:P556)</f>
        <v>397.83279807602577</v>
      </c>
      <c r="V554" s="228" t="str">
        <f>IF(L555="","",IF(T554&lt;9.8,IF(S554&gt;5100,IF(S554&lt;8300,"Pass","Fail"),"Fail"),"Fail"))</f>
        <v>Pass</v>
      </c>
      <c r="W554" s="46" t="s">
        <v>163</v>
      </c>
      <c r="Z554" s="37">
        <v>4955</v>
      </c>
      <c r="AA554" s="37">
        <v>9645</v>
      </c>
      <c r="AB554" s="37">
        <v>5100</v>
      </c>
      <c r="AC554" s="37">
        <v>8300</v>
      </c>
      <c r="AD554" s="67">
        <v>10</v>
      </c>
      <c r="AE554" s="67">
        <v>9.8000000000000007</v>
      </c>
    </row>
    <row r="555" spans="1:31" ht="16.100000000000001" x14ac:dyDescent="0.35">
      <c r="A555" s="294"/>
      <c r="B555" s="46"/>
      <c r="C555" s="54" t="s">
        <v>200</v>
      </c>
      <c r="D555" s="35">
        <v>1397.39</v>
      </c>
      <c r="E555" s="35">
        <v>1530.04</v>
      </c>
      <c r="F555" s="35">
        <v>1504.16</v>
      </c>
      <c r="G555" s="35">
        <v>932.6</v>
      </c>
      <c r="H555" s="35">
        <v>1451.2</v>
      </c>
      <c r="I555" s="35">
        <v>1525.45</v>
      </c>
      <c r="J555" s="35">
        <v>1463.54</v>
      </c>
      <c r="K555" s="35">
        <v>1370.69</v>
      </c>
      <c r="L555" s="35">
        <v>1472.48</v>
      </c>
      <c r="M555" s="53"/>
      <c r="N555" s="53"/>
      <c r="O555" s="53"/>
      <c r="P555" s="53"/>
      <c r="Q555" s="46"/>
      <c r="R555" s="46"/>
      <c r="S555" s="46"/>
      <c r="T555" s="46"/>
      <c r="U555" s="46"/>
      <c r="V555" s="229"/>
      <c r="W555" s="46"/>
    </row>
    <row r="556" spans="1:31" ht="22.75" thickBot="1" x14ac:dyDescent="0.4">
      <c r="A556" s="294"/>
      <c r="B556" s="46"/>
      <c r="C556" s="48" t="s">
        <v>199</v>
      </c>
      <c r="D556" s="52">
        <f t="shared" ref="D556:L556" si="181">IF(((D554="")*AND(D555="")),"",(D554-D555)*3)</f>
        <v>6662.9100000000008</v>
      </c>
      <c r="E556" s="52">
        <f t="shared" si="181"/>
        <v>6542.4000000000005</v>
      </c>
      <c r="F556" s="52">
        <f t="shared" si="181"/>
        <v>6656.37</v>
      </c>
      <c r="G556" s="52">
        <f t="shared" si="181"/>
        <v>7803</v>
      </c>
      <c r="H556" s="52">
        <f t="shared" si="181"/>
        <v>6681.8399999999992</v>
      </c>
      <c r="I556" s="52">
        <f t="shared" si="181"/>
        <v>6596.2800000000007</v>
      </c>
      <c r="J556" s="52">
        <f t="shared" si="181"/>
        <v>6499.92</v>
      </c>
      <c r="K556" s="52">
        <f t="shared" si="181"/>
        <v>6828.8399999999992</v>
      </c>
      <c r="L556" s="52">
        <f t="shared" si="181"/>
        <v>6677.37</v>
      </c>
      <c r="M556" s="52"/>
      <c r="N556" s="52"/>
      <c r="O556" s="52"/>
      <c r="P556" s="52" t="str">
        <f>IF(((P554="")*AND(P555="")),"",(P554-P555)*2)</f>
        <v/>
      </c>
      <c r="Q556" s="46"/>
      <c r="R556" s="46"/>
      <c r="S556" s="46"/>
      <c r="T556" s="46"/>
      <c r="U556" s="46"/>
      <c r="V556" s="229"/>
      <c r="W556" s="46"/>
    </row>
    <row r="557" spans="1:31" ht="12.75" customHeight="1" x14ac:dyDescent="0.25">
      <c r="A557" s="87">
        <v>43362</v>
      </c>
      <c r="B557" s="48" t="s">
        <v>202</v>
      </c>
      <c r="C557" s="48" t="s">
        <v>201</v>
      </c>
      <c r="D557" s="35">
        <v>4034.99</v>
      </c>
      <c r="E557" s="35">
        <v>4217.99</v>
      </c>
      <c r="F557" s="35">
        <v>3926.96</v>
      </c>
      <c r="G557" s="35">
        <v>3917.86</v>
      </c>
      <c r="H557" s="35">
        <v>4104.8100000000004</v>
      </c>
      <c r="I557" s="35">
        <v>3998.29</v>
      </c>
      <c r="J557" s="35">
        <v>3948.25</v>
      </c>
      <c r="K557" s="35">
        <v>3913.74</v>
      </c>
      <c r="L557" s="35">
        <v>3989.98</v>
      </c>
      <c r="M557" s="35">
        <v>4026.3</v>
      </c>
      <c r="N557" s="35">
        <v>4221.7299999999996</v>
      </c>
      <c r="O557" s="35">
        <v>4046.9</v>
      </c>
      <c r="P557" s="35">
        <v>4120.47</v>
      </c>
      <c r="Q557" s="48">
        <f>IF((L558=""),"",MAX(D559:P559))</f>
        <v>5657.48</v>
      </c>
      <c r="R557" s="48">
        <f>IF(L558="","",MIN(D559:L559))</f>
        <v>5490.82</v>
      </c>
      <c r="S557" s="51">
        <f>IF((P559=""),"",AVERAGE(D559:P559))</f>
        <v>5575.1630769230769</v>
      </c>
      <c r="T557" s="50">
        <f>IF((L558=""),"",(Q557-R557)/(Q557+R557)*100)</f>
        <v>1.4949364477095151</v>
      </c>
      <c r="U557" s="48">
        <f>STDEV(D559:P559)</f>
        <v>59.796605726498143</v>
      </c>
      <c r="V557" s="228" t="str">
        <f>IF(P558="","",IF(T557&lt;2.7,IF(S557&gt;5150,IF(S557&lt;5600,"Pass","Fail"),"Fail"),"Fail"))</f>
        <v>Pass</v>
      </c>
      <c r="W557" s="48" t="s">
        <v>163</v>
      </c>
      <c r="Z557" s="251">
        <v>4470</v>
      </c>
      <c r="AA557" s="251">
        <v>6020</v>
      </c>
      <c r="AB557" s="251">
        <v>5150</v>
      </c>
      <c r="AC557" s="251">
        <v>5600</v>
      </c>
      <c r="AD557" s="67">
        <v>10</v>
      </c>
      <c r="AE557" s="252">
        <v>2.7</v>
      </c>
    </row>
    <row r="558" spans="1:31" ht="16.100000000000001" x14ac:dyDescent="0.35">
      <c r="A558" s="294"/>
      <c r="B558" s="46"/>
      <c r="C558" s="46" t="s">
        <v>200</v>
      </c>
      <c r="D558" s="35">
        <v>1288.67</v>
      </c>
      <c r="E558" s="35">
        <v>1465.72</v>
      </c>
      <c r="F558" s="35">
        <v>1181.55</v>
      </c>
      <c r="G558" s="35">
        <v>1107.83</v>
      </c>
      <c r="H558" s="35">
        <v>1340.03</v>
      </c>
      <c r="I558" s="35">
        <v>1201.4100000000001</v>
      </c>
      <c r="J558" s="35">
        <v>1119.51</v>
      </c>
      <c r="K558" s="35">
        <v>1090.0999999999999</v>
      </c>
      <c r="L558" s="35">
        <v>1224.98</v>
      </c>
      <c r="M558" s="35">
        <v>1205.23</v>
      </c>
      <c r="N558" s="35">
        <v>1435.03</v>
      </c>
      <c r="O558" s="35">
        <v>1250.03</v>
      </c>
      <c r="P558" s="35">
        <v>1319.62</v>
      </c>
      <c r="Q558" s="46"/>
      <c r="R558" s="46"/>
      <c r="S558" s="46"/>
      <c r="T558" s="46"/>
      <c r="U558" s="46"/>
      <c r="V558" s="229"/>
      <c r="W558" s="46"/>
    </row>
    <row r="559" spans="1:31" ht="22.15" x14ac:dyDescent="0.35">
      <c r="A559" s="294"/>
      <c r="B559" s="78"/>
      <c r="C559" s="78" t="s">
        <v>199</v>
      </c>
      <c r="D559" s="83">
        <f t="shared" ref="D559:P559" si="182">IF(((D557="")*AND(D558="")),"",(D557-D558)*2)</f>
        <v>5492.6399999999994</v>
      </c>
      <c r="E559" s="83">
        <f t="shared" si="182"/>
        <v>5504.5399999999991</v>
      </c>
      <c r="F559" s="83">
        <f t="shared" si="182"/>
        <v>5490.82</v>
      </c>
      <c r="G559" s="83">
        <f t="shared" si="182"/>
        <v>5620.06</v>
      </c>
      <c r="H559" s="83">
        <f t="shared" si="182"/>
        <v>5529.5600000000013</v>
      </c>
      <c r="I559" s="83">
        <f t="shared" si="182"/>
        <v>5593.76</v>
      </c>
      <c r="J559" s="83">
        <f t="shared" si="182"/>
        <v>5657.48</v>
      </c>
      <c r="K559" s="83">
        <f t="shared" si="182"/>
        <v>5647.28</v>
      </c>
      <c r="L559" s="83">
        <f t="shared" si="182"/>
        <v>5530</v>
      </c>
      <c r="M559" s="83">
        <f t="shared" si="182"/>
        <v>5642.14</v>
      </c>
      <c r="N559" s="83">
        <f t="shared" si="182"/>
        <v>5573.4</v>
      </c>
      <c r="O559" s="83">
        <f t="shared" si="182"/>
        <v>5593.74</v>
      </c>
      <c r="P559" s="83">
        <f t="shared" si="182"/>
        <v>5601.7000000000007</v>
      </c>
      <c r="Q559" s="78"/>
      <c r="R559" s="78"/>
      <c r="S559" s="78"/>
      <c r="T559" s="78"/>
      <c r="U559" s="78"/>
      <c r="V559" s="232"/>
      <c r="W559" s="78"/>
    </row>
    <row r="560" spans="1:31" ht="12.75" customHeight="1" x14ac:dyDescent="0.25">
      <c r="A560" s="87">
        <v>43362</v>
      </c>
      <c r="B560" s="48" t="s">
        <v>204</v>
      </c>
      <c r="C560" s="54" t="s">
        <v>201</v>
      </c>
      <c r="D560" s="35">
        <v>5945</v>
      </c>
      <c r="E560" s="35">
        <v>6061.14</v>
      </c>
      <c r="F560" s="35">
        <v>6106.15</v>
      </c>
      <c r="G560" s="35">
        <v>6043</v>
      </c>
      <c r="H560" s="35">
        <v>6032.46</v>
      </c>
      <c r="I560" s="35">
        <v>6116.86</v>
      </c>
      <c r="J560" s="35">
        <v>5952.71</v>
      </c>
      <c r="K560" s="35">
        <v>6041.16</v>
      </c>
      <c r="L560" s="35">
        <v>6090.35</v>
      </c>
      <c r="M560" s="53"/>
      <c r="N560" s="53"/>
      <c r="O560" s="53"/>
      <c r="P560" s="53"/>
      <c r="Q560" s="48">
        <f>IF((L561=""),"",MAX(D562:L562))</f>
        <v>7143.2999999999984</v>
      </c>
      <c r="R560" s="48">
        <f>IF(L561="","",MIN(D562:L562))</f>
        <v>6930.0300000000007</v>
      </c>
      <c r="S560" s="75">
        <f>IF((L562=""),"",AVERAGE(D562:L562))</f>
        <v>7069.6099999999988</v>
      </c>
      <c r="T560" s="50">
        <f>IF((L561=""),"",(Q560-R560)/(Q560+R560)*100)</f>
        <v>1.5154195915252306</v>
      </c>
      <c r="U560" s="48">
        <f>STDEV(D562:P562)</f>
        <v>66.565573872685462</v>
      </c>
      <c r="V560" s="228" t="str">
        <f>IF(L561="","",IF(T560&lt;9.8,IF(S560&gt;5100,IF(S560&lt;8300,"Pass","Fail"),"Fail"),"Fail"))</f>
        <v>Pass</v>
      </c>
      <c r="W560" s="46" t="s">
        <v>163</v>
      </c>
      <c r="Z560" s="37">
        <v>4955</v>
      </c>
      <c r="AA560" s="37">
        <v>9645</v>
      </c>
      <c r="AB560" s="37">
        <v>5100</v>
      </c>
      <c r="AC560" s="37">
        <v>8300</v>
      </c>
      <c r="AD560" s="67">
        <v>10</v>
      </c>
      <c r="AE560" s="67">
        <v>9.8000000000000007</v>
      </c>
    </row>
    <row r="561" spans="1:31" ht="16.100000000000001" x14ac:dyDescent="0.35">
      <c r="A561" s="294"/>
      <c r="B561" s="46"/>
      <c r="C561" s="54" t="s">
        <v>200</v>
      </c>
      <c r="D561" s="35">
        <v>3570.9</v>
      </c>
      <c r="E561" s="35">
        <v>3703.38</v>
      </c>
      <c r="F561" s="35">
        <v>3730.83</v>
      </c>
      <c r="G561" s="35">
        <v>3686</v>
      </c>
      <c r="H561" s="35">
        <v>3687.25</v>
      </c>
      <c r="I561" s="35">
        <v>3735.76</v>
      </c>
      <c r="J561" s="35">
        <v>3642.7</v>
      </c>
      <c r="K561" s="35">
        <v>3700.56</v>
      </c>
      <c r="L561" s="35">
        <v>3722.62</v>
      </c>
      <c r="M561" s="53"/>
      <c r="N561" s="53"/>
      <c r="O561" s="53"/>
      <c r="P561" s="53"/>
      <c r="Q561" s="46"/>
      <c r="R561" s="46"/>
      <c r="S561" s="46"/>
      <c r="T561" s="46"/>
      <c r="U561" s="46"/>
      <c r="V561" s="229"/>
      <c r="W561" s="46"/>
    </row>
    <row r="562" spans="1:31" ht="22.75" thickBot="1" x14ac:dyDescent="0.4">
      <c r="A562" s="294"/>
      <c r="B562" s="46"/>
      <c r="C562" s="48" t="s">
        <v>199</v>
      </c>
      <c r="D562" s="52">
        <f t="shared" ref="D562:L562" si="183">IF(((D560="")*AND(D561="")),"",(D560-D561)*3)</f>
        <v>7122.2999999999993</v>
      </c>
      <c r="E562" s="52">
        <f t="shared" si="183"/>
        <v>7073.2800000000007</v>
      </c>
      <c r="F562" s="52">
        <f t="shared" si="183"/>
        <v>7125.9599999999991</v>
      </c>
      <c r="G562" s="52">
        <f t="shared" si="183"/>
        <v>7071</v>
      </c>
      <c r="H562" s="52">
        <f t="shared" si="183"/>
        <v>7035.63</v>
      </c>
      <c r="I562" s="52">
        <f t="shared" si="183"/>
        <v>7143.2999999999984</v>
      </c>
      <c r="J562" s="52">
        <f t="shared" si="183"/>
        <v>6930.0300000000007</v>
      </c>
      <c r="K562" s="52">
        <f t="shared" si="183"/>
        <v>7021.7999999999993</v>
      </c>
      <c r="L562" s="52">
        <f t="shared" si="183"/>
        <v>7103.1900000000014</v>
      </c>
      <c r="M562" s="52"/>
      <c r="N562" s="52"/>
      <c r="O562" s="52"/>
      <c r="P562" s="52" t="str">
        <f>IF(((P560="")*AND(P561="")),"",(P560-P561)*2)</f>
        <v/>
      </c>
      <c r="Q562" s="46"/>
      <c r="R562" s="46"/>
      <c r="S562" s="46"/>
      <c r="T562" s="46"/>
      <c r="U562" s="46"/>
      <c r="V562" s="229"/>
      <c r="W562" s="46"/>
    </row>
    <row r="563" spans="1:31" ht="12.75" customHeight="1" x14ac:dyDescent="0.25">
      <c r="A563" s="87">
        <v>43362</v>
      </c>
      <c r="B563" s="48" t="s">
        <v>202</v>
      </c>
      <c r="C563" s="48" t="s">
        <v>201</v>
      </c>
      <c r="D563" s="35">
        <v>6769.62</v>
      </c>
      <c r="E563" s="35">
        <v>6967.41</v>
      </c>
      <c r="F563" s="35">
        <v>6683.12</v>
      </c>
      <c r="G563" s="35">
        <v>6733.74</v>
      </c>
      <c r="H563" s="35">
        <v>6858.92</v>
      </c>
      <c r="I563" s="35">
        <v>6795.72</v>
      </c>
      <c r="J563" s="35">
        <v>6783.49</v>
      </c>
      <c r="K563" s="35">
        <v>6744.44</v>
      </c>
      <c r="L563" s="35">
        <v>6756.23</v>
      </c>
      <c r="M563" s="35">
        <v>6854.87</v>
      </c>
      <c r="N563" s="35">
        <v>7003.49</v>
      </c>
      <c r="O563" s="35">
        <v>6836.48</v>
      </c>
      <c r="P563" s="35">
        <v>6915.93</v>
      </c>
      <c r="Q563" s="48">
        <f>IF((L564=""),"",MAX(D565:P565))</f>
        <v>5650.04</v>
      </c>
      <c r="R563" s="48">
        <f>IF(L564="","",MIN(D565:L565))</f>
        <v>5442.62</v>
      </c>
      <c r="S563" s="51">
        <f>IF((P565=""),"",AVERAGE(D565:P565))</f>
        <v>5550.2307692307695</v>
      </c>
      <c r="T563" s="50">
        <f>IF((L564=""),"",(Q563-R563)/(Q563+R563)*100)</f>
        <v>1.8698851312489526</v>
      </c>
      <c r="U563" s="48">
        <f>STDEV(D565:P565)</f>
        <v>72.310829348207733</v>
      </c>
      <c r="V563" s="228" t="str">
        <f>IF(P564="","",IF(T563&lt;2.7,IF(S563&gt;5150,IF(S563&lt;5600,"Pass","Fail"),"Fail"),"Fail"))</f>
        <v>Pass</v>
      </c>
      <c r="W563" s="46" t="s">
        <v>163</v>
      </c>
      <c r="Z563" s="251">
        <v>4470</v>
      </c>
      <c r="AA563" s="251">
        <v>6020</v>
      </c>
      <c r="AB563" s="251">
        <v>5150</v>
      </c>
      <c r="AC563" s="251">
        <v>5600</v>
      </c>
      <c r="AD563" s="67">
        <v>10</v>
      </c>
      <c r="AE563" s="252">
        <v>2.7</v>
      </c>
    </row>
    <row r="564" spans="1:31" ht="16.100000000000001" x14ac:dyDescent="0.35">
      <c r="A564" s="294"/>
      <c r="B564" s="46"/>
      <c r="C564" s="46" t="s">
        <v>200</v>
      </c>
      <c r="D564" s="35">
        <v>4048.31</v>
      </c>
      <c r="E564" s="35">
        <v>4239.79</v>
      </c>
      <c r="F564" s="35">
        <v>3941.65</v>
      </c>
      <c r="G564" s="35">
        <v>3928.8</v>
      </c>
      <c r="H564" s="35">
        <v>4117.78</v>
      </c>
      <c r="I564" s="35">
        <v>4007.32</v>
      </c>
      <c r="J564" s="35">
        <v>3958.47</v>
      </c>
      <c r="K564" s="35">
        <v>3924.42</v>
      </c>
      <c r="L564" s="35">
        <v>3999.71</v>
      </c>
      <c r="M564" s="35">
        <v>4033.51</v>
      </c>
      <c r="N564" s="35">
        <v>4238.22</v>
      </c>
      <c r="O564" s="35">
        <v>4052.75</v>
      </c>
      <c r="P564" s="35">
        <v>4136.2299999999996</v>
      </c>
      <c r="Q564" s="46"/>
      <c r="R564" s="46"/>
      <c r="S564" s="46"/>
      <c r="T564" s="46"/>
      <c r="U564" s="46"/>
      <c r="V564" s="229"/>
      <c r="W564" s="46"/>
    </row>
    <row r="565" spans="1:31" ht="22.15" x14ac:dyDescent="0.35">
      <c r="A565" s="294"/>
      <c r="B565" s="78"/>
      <c r="C565" s="78" t="s">
        <v>199</v>
      </c>
      <c r="D565" s="83">
        <f t="shared" ref="D565:P565" si="184">IF(((D563="")*AND(D564="")),"",(D563-D564)*2)</f>
        <v>5442.62</v>
      </c>
      <c r="E565" s="83">
        <f t="shared" si="184"/>
        <v>5455.24</v>
      </c>
      <c r="F565" s="83">
        <f t="shared" si="184"/>
        <v>5482.94</v>
      </c>
      <c r="G565" s="83">
        <f t="shared" si="184"/>
        <v>5609.8799999999992</v>
      </c>
      <c r="H565" s="83">
        <f t="shared" si="184"/>
        <v>5482.2800000000007</v>
      </c>
      <c r="I565" s="83">
        <f t="shared" si="184"/>
        <v>5576.8</v>
      </c>
      <c r="J565" s="83">
        <f t="shared" si="184"/>
        <v>5650.04</v>
      </c>
      <c r="K565" s="83">
        <f t="shared" si="184"/>
        <v>5640.0399999999991</v>
      </c>
      <c r="L565" s="83">
        <f t="shared" si="184"/>
        <v>5513.0399999999991</v>
      </c>
      <c r="M565" s="83">
        <f t="shared" si="184"/>
        <v>5642.7199999999993</v>
      </c>
      <c r="N565" s="83">
        <f t="shared" si="184"/>
        <v>5530.5399999999991</v>
      </c>
      <c r="O565" s="83">
        <f t="shared" si="184"/>
        <v>5567.4599999999991</v>
      </c>
      <c r="P565" s="83">
        <f t="shared" si="184"/>
        <v>5559.4000000000015</v>
      </c>
      <c r="Q565" s="78"/>
      <c r="R565" s="78"/>
      <c r="S565" s="78"/>
      <c r="T565" s="78"/>
      <c r="U565" s="78"/>
      <c r="V565" s="232"/>
      <c r="W565" s="78"/>
    </row>
    <row r="566" spans="1:31" ht="12.75" customHeight="1" x14ac:dyDescent="0.25">
      <c r="A566" s="87">
        <v>43368</v>
      </c>
      <c r="B566" s="48" t="s">
        <v>204</v>
      </c>
      <c r="C566" s="54" t="s">
        <v>201</v>
      </c>
      <c r="D566" s="35">
        <v>6080.11</v>
      </c>
      <c r="E566" s="35">
        <v>6237.54</v>
      </c>
      <c r="F566" s="35">
        <v>6272.48</v>
      </c>
      <c r="G566" s="35">
        <v>6186.5</v>
      </c>
      <c r="H566" s="35">
        <v>6063.49</v>
      </c>
      <c r="I566" s="35">
        <v>6041.6</v>
      </c>
      <c r="J566" s="35">
        <v>6214.02</v>
      </c>
      <c r="K566" s="35">
        <v>6274.05</v>
      </c>
      <c r="L566" s="35">
        <v>5988.47</v>
      </c>
      <c r="M566" s="53"/>
      <c r="N566" s="53"/>
      <c r="O566" s="53"/>
      <c r="P566" s="53"/>
      <c r="Q566" s="48">
        <f>IF((L567=""),"",MAX(D568:L568))</f>
        <v>7660.9500000000007</v>
      </c>
      <c r="R566" s="48">
        <f>IF(L567="","",MIN(D568:L568))</f>
        <v>6641.9700000000012</v>
      </c>
      <c r="S566" s="75">
        <f>IF((L568=""),"",AVERAGE(D568:L568))</f>
        <v>7176.12</v>
      </c>
      <c r="T566" s="50">
        <f>IF((L567=""),"",(Q566-R566)/(Q566+R566)*100)</f>
        <v>7.1242795177488185</v>
      </c>
      <c r="U566" s="48">
        <f>STDEV(D568:P568)</f>
        <v>361.70277113950891</v>
      </c>
      <c r="V566" s="228" t="str">
        <f>IF(L567="","",IF(T566&lt;9.8,IF(S566&gt;5100,IF(S566&lt;8300,"Pass","Fail"),"Fail"),"Fail"))</f>
        <v>Pass</v>
      </c>
      <c r="W566" s="46">
        <v>1340</v>
      </c>
      <c r="Z566" s="37">
        <v>4955</v>
      </c>
      <c r="AA566" s="37">
        <v>9645</v>
      </c>
      <c r="AB566" s="37">
        <v>5100</v>
      </c>
      <c r="AC566" s="37">
        <v>8300</v>
      </c>
      <c r="AD566" s="67">
        <v>10</v>
      </c>
      <c r="AE566" s="67">
        <v>9.8000000000000007</v>
      </c>
    </row>
    <row r="567" spans="1:31" ht="16.100000000000001" x14ac:dyDescent="0.35">
      <c r="A567" s="294"/>
      <c r="B567" s="46"/>
      <c r="C567" s="54" t="s">
        <v>200</v>
      </c>
      <c r="D567" s="35">
        <v>3705.88</v>
      </c>
      <c r="E567" s="35">
        <v>3785.48</v>
      </c>
      <c r="F567" s="35">
        <v>3810.92</v>
      </c>
      <c r="G567" s="35">
        <v>3757.98</v>
      </c>
      <c r="H567" s="35">
        <v>3760.43</v>
      </c>
      <c r="I567" s="35">
        <v>3811.59</v>
      </c>
      <c r="J567" s="35">
        <v>3702.74</v>
      </c>
      <c r="K567" s="35">
        <v>3720.4</v>
      </c>
      <c r="L567" s="35">
        <v>3774.48</v>
      </c>
      <c r="M567" s="53"/>
      <c r="N567" s="53"/>
      <c r="O567" s="53"/>
      <c r="P567" s="53"/>
      <c r="Q567" s="46"/>
      <c r="R567" s="46"/>
      <c r="S567" s="46"/>
      <c r="T567" s="46"/>
      <c r="U567" s="46"/>
      <c r="V567" s="229"/>
      <c r="W567" s="46"/>
    </row>
    <row r="568" spans="1:31" ht="22.75" thickBot="1" x14ac:dyDescent="0.4">
      <c r="A568" s="294"/>
      <c r="B568" s="46"/>
      <c r="C568" s="48" t="s">
        <v>199</v>
      </c>
      <c r="D568" s="52">
        <f t="shared" ref="D568:L568" si="185">IF(((D566="")*AND(D567="")),"",(D566-D567)*3)</f>
        <v>7122.6899999999987</v>
      </c>
      <c r="E568" s="52">
        <f t="shared" si="185"/>
        <v>7356.18</v>
      </c>
      <c r="F568" s="52">
        <f t="shared" si="185"/>
        <v>7384.6799999999985</v>
      </c>
      <c r="G568" s="52">
        <f t="shared" si="185"/>
        <v>7285.5599999999995</v>
      </c>
      <c r="H568" s="52">
        <f t="shared" si="185"/>
        <v>6909.18</v>
      </c>
      <c r="I568" s="52">
        <f t="shared" si="185"/>
        <v>6690.0300000000007</v>
      </c>
      <c r="J568" s="52">
        <f t="shared" si="185"/>
        <v>7533.840000000002</v>
      </c>
      <c r="K568" s="52">
        <f t="shared" si="185"/>
        <v>7660.9500000000007</v>
      </c>
      <c r="L568" s="52">
        <f t="shared" si="185"/>
        <v>6641.9700000000012</v>
      </c>
      <c r="M568" s="52"/>
      <c r="N568" s="52"/>
      <c r="O568" s="52"/>
      <c r="P568" s="52" t="str">
        <f>IF(((P566="")*AND(P567="")),"",(P566-P567)*2)</f>
        <v/>
      </c>
      <c r="Q568" s="46"/>
      <c r="R568" s="46"/>
      <c r="S568" s="46"/>
      <c r="T568" s="46"/>
      <c r="U568" s="46"/>
      <c r="V568" s="229"/>
      <c r="W568" s="46"/>
    </row>
    <row r="569" spans="1:31" ht="12.75" customHeight="1" x14ac:dyDescent="0.25">
      <c r="A569" s="87">
        <v>43368</v>
      </c>
      <c r="B569" s="48" t="s">
        <v>202</v>
      </c>
      <c r="C569" s="48" t="s">
        <v>201</v>
      </c>
      <c r="D569" s="35">
        <v>6775.39</v>
      </c>
      <c r="E569" s="35">
        <v>6984</v>
      </c>
      <c r="F569" s="35">
        <v>6684.83</v>
      </c>
      <c r="G569" s="35">
        <v>6726.8</v>
      </c>
      <c r="H569" s="35">
        <v>6891.55</v>
      </c>
      <c r="I569" s="35">
        <v>6810.45</v>
      </c>
      <c r="J569" s="35">
        <v>6774.81</v>
      </c>
      <c r="K569" s="35">
        <v>6729.66</v>
      </c>
      <c r="L569" s="35">
        <v>6757.02</v>
      </c>
      <c r="M569" s="35">
        <v>6848.05</v>
      </c>
      <c r="N569" s="35">
        <v>7035.79</v>
      </c>
      <c r="O569" s="35">
        <v>6839.93</v>
      </c>
      <c r="P569" s="35">
        <v>6940.11</v>
      </c>
      <c r="Q569" s="48">
        <f>IF((L570=""),"",MAX(D571:P571))</f>
        <v>5528.1200000000008</v>
      </c>
      <c r="R569" s="48">
        <f>IF(L570="","",MIN(D571:L571))</f>
        <v>5377.380000000001</v>
      </c>
      <c r="S569" s="51">
        <f>IF((P571=""),"",AVERAGE(D571:P571))</f>
        <v>5451.6292307692302</v>
      </c>
      <c r="T569" s="50">
        <f>IF((L570=""),"",(Q569-R569)/(Q569+R569)*100)</f>
        <v>1.3822383201137018</v>
      </c>
      <c r="U569" s="48">
        <f>STDEV(D571:P571)</f>
        <v>51.154882865916427</v>
      </c>
      <c r="V569" s="228" t="str">
        <f>IF(P570="","",IF(T569&lt;2.7,IF(S569&gt;5150,IF(S569&lt;5600,"Pass","Fail"),"Fail"),"Fail"))</f>
        <v>Pass</v>
      </c>
      <c r="W569" s="48" t="s">
        <v>163</v>
      </c>
      <c r="Z569" s="251">
        <v>4470</v>
      </c>
      <c r="AA569" s="251">
        <v>6020</v>
      </c>
      <c r="AB569" s="251">
        <v>5150</v>
      </c>
      <c r="AC569" s="251">
        <v>5600</v>
      </c>
      <c r="AD569" s="67">
        <v>10</v>
      </c>
      <c r="AE569" s="252">
        <v>2.7</v>
      </c>
    </row>
    <row r="570" spans="1:31" ht="16.100000000000001" x14ac:dyDescent="0.35">
      <c r="A570" s="294"/>
      <c r="B570" s="46"/>
      <c r="C570" s="46" t="s">
        <v>200</v>
      </c>
      <c r="D570" s="35">
        <v>4086.7</v>
      </c>
      <c r="E570" s="35">
        <v>4285.33</v>
      </c>
      <c r="F570" s="35">
        <v>3989.38</v>
      </c>
      <c r="G570" s="35">
        <v>3979.55</v>
      </c>
      <c r="H570" s="35">
        <v>4180.68</v>
      </c>
      <c r="I570" s="35">
        <v>4070.3</v>
      </c>
      <c r="J570" s="35">
        <v>4010.75</v>
      </c>
      <c r="K570" s="35">
        <v>3973.44</v>
      </c>
      <c r="L570" s="35">
        <v>4051.97</v>
      </c>
      <c r="M570" s="35">
        <v>4089.75</v>
      </c>
      <c r="N570" s="35">
        <v>4317.13</v>
      </c>
      <c r="O570" s="35">
        <v>4113.68</v>
      </c>
      <c r="P570" s="35">
        <v>4214.1400000000003</v>
      </c>
      <c r="Q570" s="46"/>
      <c r="R570" s="46"/>
      <c r="S570" s="46"/>
      <c r="T570" s="46"/>
      <c r="U570" s="46"/>
      <c r="V570" s="229"/>
      <c r="W570" s="46"/>
    </row>
    <row r="571" spans="1:31" ht="22.15" x14ac:dyDescent="0.35">
      <c r="A571" s="294"/>
      <c r="B571" s="78"/>
      <c r="C571" s="78" t="s">
        <v>199</v>
      </c>
      <c r="D571" s="83">
        <f t="shared" ref="D571:P571" si="186">IF(((D569="")*AND(D570="")),"",(D569-D570)*2)</f>
        <v>5377.380000000001</v>
      </c>
      <c r="E571" s="83">
        <f t="shared" si="186"/>
        <v>5397.34</v>
      </c>
      <c r="F571" s="83">
        <f t="shared" si="186"/>
        <v>5390.9</v>
      </c>
      <c r="G571" s="83">
        <f t="shared" si="186"/>
        <v>5494.5</v>
      </c>
      <c r="H571" s="83">
        <f t="shared" si="186"/>
        <v>5421.74</v>
      </c>
      <c r="I571" s="83">
        <f t="shared" si="186"/>
        <v>5480.2999999999993</v>
      </c>
      <c r="J571" s="83">
        <f t="shared" si="186"/>
        <v>5528.1200000000008</v>
      </c>
      <c r="K571" s="83">
        <f t="shared" si="186"/>
        <v>5512.44</v>
      </c>
      <c r="L571" s="83">
        <f t="shared" si="186"/>
        <v>5410.1000000000013</v>
      </c>
      <c r="M571" s="83">
        <f t="shared" si="186"/>
        <v>5516.6</v>
      </c>
      <c r="N571" s="83">
        <f t="shared" si="186"/>
        <v>5437.32</v>
      </c>
      <c r="O571" s="83">
        <f t="shared" si="186"/>
        <v>5452.5</v>
      </c>
      <c r="P571" s="83">
        <f t="shared" si="186"/>
        <v>5451.9399999999987</v>
      </c>
      <c r="Q571" s="78"/>
      <c r="R571" s="78"/>
      <c r="S571" s="78"/>
      <c r="T571" s="78"/>
      <c r="U571" s="78"/>
      <c r="V571" s="232"/>
      <c r="W571" s="78"/>
    </row>
    <row r="572" spans="1:31" ht="12.75" customHeight="1" x14ac:dyDescent="0.25">
      <c r="A572" s="87">
        <v>43378</v>
      </c>
      <c r="B572" s="48" t="s">
        <v>204</v>
      </c>
      <c r="C572" s="54" t="s">
        <v>201</v>
      </c>
      <c r="D572" s="35">
        <v>3705.88</v>
      </c>
      <c r="E572" s="35">
        <v>3785.48</v>
      </c>
      <c r="F572" s="35">
        <v>3810.92</v>
      </c>
      <c r="G572" s="35">
        <v>3757.98</v>
      </c>
      <c r="H572" s="35">
        <v>3760.43</v>
      </c>
      <c r="I572" s="35">
        <v>3811.59</v>
      </c>
      <c r="J572" s="35">
        <v>3702.74</v>
      </c>
      <c r="K572" s="35">
        <v>3720.4</v>
      </c>
      <c r="L572" s="35">
        <v>3774.48</v>
      </c>
      <c r="M572" s="53"/>
      <c r="N572" s="53"/>
      <c r="O572" s="53"/>
      <c r="P572" s="53"/>
      <c r="Q572" s="48">
        <f>IF((L573=""),"",MAX(D574:L574))</f>
        <v>8158.74</v>
      </c>
      <c r="R572" s="48">
        <f>IF(L573="","",MIN(D574:L574))</f>
        <v>6791.82</v>
      </c>
      <c r="S572" s="75">
        <f>IF((L574=""),"",AVERAGE(D574:L574))</f>
        <v>7058.9533333333338</v>
      </c>
      <c r="T572" s="50">
        <f>IF((L573=""),"",(Q572-R572)/(Q572+R572)*100)</f>
        <v>9.1429351141361934</v>
      </c>
      <c r="U572" s="48">
        <f>STDEV(D574:P574)</f>
        <v>422.57186447987749</v>
      </c>
      <c r="V572" s="228" t="str">
        <f>IF(L573="","",IF(T572&lt;9.8,IF(S572&gt;5100,IF(S572&lt;8300,"Pass","Fail"),"Fail"),"Fail"))</f>
        <v>Pass</v>
      </c>
      <c r="W572" s="46">
        <v>1340</v>
      </c>
      <c r="X572" s="38" t="s">
        <v>228</v>
      </c>
      <c r="Z572" s="37">
        <v>4955</v>
      </c>
      <c r="AA572" s="37">
        <v>9645</v>
      </c>
      <c r="AB572" s="37">
        <v>5100</v>
      </c>
      <c r="AC572" s="37">
        <v>8300</v>
      </c>
      <c r="AD572" s="67">
        <v>10</v>
      </c>
      <c r="AE572" s="67">
        <v>9.8000000000000007</v>
      </c>
    </row>
    <row r="573" spans="1:31" ht="16.100000000000001" x14ac:dyDescent="0.35">
      <c r="A573" s="294"/>
      <c r="B573" s="46"/>
      <c r="C573" s="54" t="s">
        <v>200</v>
      </c>
      <c r="D573" s="35">
        <v>1372.2</v>
      </c>
      <c r="E573" s="35">
        <v>1521.54</v>
      </c>
      <c r="F573" s="35">
        <v>1520.07</v>
      </c>
      <c r="G573" s="35">
        <v>1038.4000000000001</v>
      </c>
      <c r="H573" s="35">
        <v>1441.04</v>
      </c>
      <c r="I573" s="35">
        <v>1533.12</v>
      </c>
      <c r="J573" s="35">
        <v>1411.56</v>
      </c>
      <c r="K573" s="35">
        <v>1354.75</v>
      </c>
      <c r="L573" s="35">
        <v>1460.36</v>
      </c>
      <c r="M573" s="53"/>
      <c r="N573" s="53"/>
      <c r="O573" s="53"/>
      <c r="P573" s="53"/>
      <c r="Q573" s="46"/>
      <c r="R573" s="46"/>
      <c r="S573" s="46"/>
      <c r="T573" s="46"/>
      <c r="U573" s="46"/>
      <c r="V573" s="229"/>
      <c r="W573" s="46"/>
    </row>
    <row r="574" spans="1:31" ht="22.75" thickBot="1" x14ac:dyDescent="0.4">
      <c r="A574" s="294"/>
      <c r="B574" s="46"/>
      <c r="C574" s="48" t="s">
        <v>199</v>
      </c>
      <c r="D574" s="52">
        <f t="shared" ref="D574:L574" si="187">IF(((D572="")*AND(D573="")),"",(D572-D573)*3)</f>
        <v>7001.0400000000009</v>
      </c>
      <c r="E574" s="52">
        <f t="shared" si="187"/>
        <v>6791.82</v>
      </c>
      <c r="F574" s="52">
        <f t="shared" si="187"/>
        <v>6872.5500000000011</v>
      </c>
      <c r="G574" s="52">
        <f t="shared" si="187"/>
        <v>8158.74</v>
      </c>
      <c r="H574" s="52">
        <f t="shared" si="187"/>
        <v>6958.17</v>
      </c>
      <c r="I574" s="52">
        <f t="shared" si="187"/>
        <v>6835.4100000000008</v>
      </c>
      <c r="J574" s="52">
        <f t="shared" si="187"/>
        <v>6873.5399999999991</v>
      </c>
      <c r="K574" s="52">
        <f t="shared" si="187"/>
        <v>7096.9500000000007</v>
      </c>
      <c r="L574" s="52">
        <f t="shared" si="187"/>
        <v>6942.36</v>
      </c>
      <c r="M574" s="52"/>
      <c r="N574" s="52"/>
      <c r="O574" s="52"/>
      <c r="P574" s="52" t="str">
        <f>IF(((P572="")*AND(P573="")),"",(P572-P573)*2)</f>
        <v/>
      </c>
      <c r="Q574" s="46"/>
      <c r="R574" s="46"/>
      <c r="S574" s="46"/>
      <c r="T574" s="46"/>
      <c r="U574" s="46"/>
      <c r="V574" s="229"/>
      <c r="W574" s="46"/>
    </row>
    <row r="575" spans="1:31" ht="12.75" customHeight="1" x14ac:dyDescent="0.25">
      <c r="A575" s="87">
        <v>43378</v>
      </c>
      <c r="B575" s="48" t="s">
        <v>202</v>
      </c>
      <c r="C575" s="48" t="s">
        <v>201</v>
      </c>
      <c r="D575" s="35">
        <v>4086.7</v>
      </c>
      <c r="E575" s="35">
        <v>4285.33</v>
      </c>
      <c r="F575" s="35">
        <v>3989.38</v>
      </c>
      <c r="G575" s="35">
        <v>3979.55</v>
      </c>
      <c r="H575" s="35">
        <v>4180.68</v>
      </c>
      <c r="I575" s="35">
        <v>4070.3</v>
      </c>
      <c r="J575" s="35">
        <v>4010.75</v>
      </c>
      <c r="K575" s="35">
        <v>3973.44</v>
      </c>
      <c r="L575" s="35">
        <v>4051.97</v>
      </c>
      <c r="M575" s="35">
        <v>4089.75</v>
      </c>
      <c r="N575" s="35">
        <v>4317.13</v>
      </c>
      <c r="O575" s="35">
        <v>4113.68</v>
      </c>
      <c r="P575" s="35">
        <v>4214.1400000000003</v>
      </c>
      <c r="Q575" s="48">
        <f>IF((L576=""),"",MAX(D577:P577))</f>
        <v>5605.04</v>
      </c>
      <c r="R575" s="48">
        <f>IF(L576="","",MIN(D577:L577))</f>
        <v>5440.94</v>
      </c>
      <c r="S575" s="51">
        <f>IF((P577=""),"",AVERAGE(D577:P577))</f>
        <v>5523.0492307692311</v>
      </c>
      <c r="T575" s="50">
        <f>IF((L576=""),"",(Q575-R575)/(Q575+R575)*100)</f>
        <v>1.4856083389613268</v>
      </c>
      <c r="U575" s="48">
        <f>STDEV(D577:P577)</f>
        <v>53.571745423238795</v>
      </c>
      <c r="V575" s="228" t="str">
        <f>IF(P576="","",IF(T575&lt;2.7,IF(S575&gt;5150,IF(S575&lt;5600,"Pass","Fail"),"Fail"),"Fail"))</f>
        <v>Pass</v>
      </c>
      <c r="W575" s="48" t="s">
        <v>163</v>
      </c>
      <c r="X575" s="38" t="s">
        <v>228</v>
      </c>
      <c r="Z575" s="251">
        <v>4470</v>
      </c>
      <c r="AA575" s="251">
        <v>6020</v>
      </c>
      <c r="AB575" s="251">
        <v>5150</v>
      </c>
      <c r="AC575" s="251">
        <v>5600</v>
      </c>
      <c r="AD575" s="67">
        <v>10</v>
      </c>
      <c r="AE575" s="252">
        <v>2.7</v>
      </c>
    </row>
    <row r="576" spans="1:31" ht="16.100000000000001" x14ac:dyDescent="0.35">
      <c r="A576" s="294"/>
      <c r="B576" s="46"/>
      <c r="C576" s="46" t="s">
        <v>200</v>
      </c>
      <c r="D576" s="35">
        <v>1366.23</v>
      </c>
      <c r="E576" s="35">
        <v>1558.41</v>
      </c>
      <c r="F576" s="35">
        <v>1259.31</v>
      </c>
      <c r="G576" s="35">
        <v>1206.71</v>
      </c>
      <c r="H576" s="35">
        <v>1437.6</v>
      </c>
      <c r="I576" s="35">
        <v>1286.8</v>
      </c>
      <c r="J576" s="35">
        <v>1214.05</v>
      </c>
      <c r="K576" s="35">
        <v>1188.54</v>
      </c>
      <c r="L576" s="35">
        <v>1305.3599999999999</v>
      </c>
      <c r="M576" s="35">
        <v>1287.23</v>
      </c>
      <c r="N576" s="35">
        <v>1560.17</v>
      </c>
      <c r="O576" s="35">
        <v>1344.6</v>
      </c>
      <c r="P576" s="35">
        <v>1447.97</v>
      </c>
      <c r="Q576" s="46"/>
      <c r="R576" s="46"/>
      <c r="S576" s="46"/>
      <c r="T576" s="46"/>
      <c r="U576" s="46"/>
      <c r="V576" s="229"/>
      <c r="W576" s="46"/>
    </row>
    <row r="577" spans="1:31" ht="22.15" x14ac:dyDescent="0.35">
      <c r="A577" s="294"/>
      <c r="B577" s="78"/>
      <c r="C577" s="78" t="s">
        <v>199</v>
      </c>
      <c r="D577" s="83">
        <f t="shared" ref="D577:P577" si="188">IF(((D575="")*AND(D576="")),"",(D575-D576)*2)</f>
        <v>5440.94</v>
      </c>
      <c r="E577" s="83">
        <f t="shared" si="188"/>
        <v>5453.84</v>
      </c>
      <c r="F577" s="83">
        <f t="shared" si="188"/>
        <v>5460.14</v>
      </c>
      <c r="G577" s="83">
        <f t="shared" si="188"/>
        <v>5545.68</v>
      </c>
      <c r="H577" s="83">
        <f t="shared" si="188"/>
        <v>5486.1600000000008</v>
      </c>
      <c r="I577" s="83">
        <f t="shared" si="188"/>
        <v>5567</v>
      </c>
      <c r="J577" s="83">
        <f t="shared" si="188"/>
        <v>5593.4</v>
      </c>
      <c r="K577" s="83">
        <f t="shared" si="188"/>
        <v>5569.8</v>
      </c>
      <c r="L577" s="83">
        <f t="shared" si="188"/>
        <v>5493.2199999999993</v>
      </c>
      <c r="M577" s="83">
        <f t="shared" si="188"/>
        <v>5605.04</v>
      </c>
      <c r="N577" s="83">
        <f t="shared" si="188"/>
        <v>5513.92</v>
      </c>
      <c r="O577" s="83">
        <f t="shared" si="188"/>
        <v>5538.1600000000008</v>
      </c>
      <c r="P577" s="83">
        <f t="shared" si="188"/>
        <v>5532.34</v>
      </c>
      <c r="Q577" s="78"/>
      <c r="R577" s="78"/>
      <c r="S577" s="78"/>
      <c r="T577" s="78"/>
      <c r="U577" s="78"/>
      <c r="V577" s="232"/>
      <c r="W577" s="78"/>
    </row>
    <row r="578" spans="1:31" ht="12.75" customHeight="1" x14ac:dyDescent="0.25">
      <c r="A578" s="87">
        <v>43382</v>
      </c>
      <c r="B578" s="48" t="s">
        <v>204</v>
      </c>
      <c r="C578" s="54" t="s">
        <v>201</v>
      </c>
      <c r="D578" s="35">
        <v>5981.93</v>
      </c>
      <c r="E578" s="35">
        <v>6240.64</v>
      </c>
      <c r="F578" s="35">
        <v>6277.56</v>
      </c>
      <c r="G578" s="35">
        <v>6172</v>
      </c>
      <c r="H578" s="35">
        <v>6148.52</v>
      </c>
      <c r="I578" s="35">
        <v>6297.98</v>
      </c>
      <c r="J578" s="35">
        <v>6021.24</v>
      </c>
      <c r="K578" s="35">
        <v>6163.37</v>
      </c>
      <c r="L578" s="35">
        <v>6252.47</v>
      </c>
      <c r="M578" s="53"/>
      <c r="N578" s="53"/>
      <c r="O578" s="53"/>
      <c r="P578" s="53"/>
      <c r="Q578" s="48">
        <f>IF((L579=""),"",MAX(D580:L580))</f>
        <v>7787.2800000000007</v>
      </c>
      <c r="R578" s="48">
        <f>IF(L579="","",MIN(D580:L580))</f>
        <v>7281.42</v>
      </c>
      <c r="S578" s="75">
        <f>IF((L580=""),"",AVERAGE(D580:L580))</f>
        <v>7527.8666666666668</v>
      </c>
      <c r="T578" s="50">
        <f>IF((L579=""),"",(Q578-R578)/(Q578+R578)*100)</f>
        <v>3.3570248262955702</v>
      </c>
      <c r="U578" s="48">
        <f>STDEV(D580:P580)</f>
        <v>153.8900767593542</v>
      </c>
      <c r="V578" s="228" t="str">
        <f>IF(L579="","",IF(T578&lt;9.8,IF(S578&gt;5100,IF(S578&lt;8300,"Pass","Fail"),"Fail"),"Fail"))</f>
        <v>Pass</v>
      </c>
      <c r="W578" s="46">
        <v>1340</v>
      </c>
      <c r="Z578" s="37">
        <v>4955</v>
      </c>
      <c r="AA578" s="37">
        <v>9645</v>
      </c>
      <c r="AB578" s="37">
        <v>5100</v>
      </c>
      <c r="AC578" s="37">
        <v>8300</v>
      </c>
      <c r="AD578" s="67">
        <v>10</v>
      </c>
      <c r="AE578" s="67">
        <v>9.8000000000000007</v>
      </c>
    </row>
    <row r="579" spans="1:31" ht="16.100000000000001" x14ac:dyDescent="0.35">
      <c r="A579" s="294"/>
      <c r="B579" s="46"/>
      <c r="C579" s="54" t="s">
        <v>200</v>
      </c>
      <c r="D579" s="35">
        <v>3386.17</v>
      </c>
      <c r="E579" s="35">
        <v>3728.7</v>
      </c>
      <c r="F579" s="35">
        <v>3743</v>
      </c>
      <c r="G579" s="35">
        <v>3663</v>
      </c>
      <c r="H579" s="35">
        <v>3691.97</v>
      </c>
      <c r="I579" s="35">
        <v>3747.76</v>
      </c>
      <c r="J579" s="35">
        <v>3594.1</v>
      </c>
      <c r="K579" s="35">
        <v>3691.72</v>
      </c>
      <c r="L579" s="35">
        <v>3725.69</v>
      </c>
      <c r="M579" s="53"/>
      <c r="N579" s="53"/>
      <c r="O579" s="53"/>
      <c r="P579" s="53"/>
      <c r="Q579" s="46"/>
      <c r="R579" s="46"/>
      <c r="S579" s="46"/>
      <c r="T579" s="46"/>
      <c r="U579" s="46"/>
      <c r="V579" s="229"/>
      <c r="W579" s="46"/>
    </row>
    <row r="580" spans="1:31" ht="22.75" thickBot="1" x14ac:dyDescent="0.4">
      <c r="A580" s="294"/>
      <c r="B580" s="46"/>
      <c r="C580" s="48" t="s">
        <v>199</v>
      </c>
      <c r="D580" s="52">
        <f t="shared" ref="D580:L580" si="189">IF(((D578="")*AND(D579="")),"",(D578-D579)*3)</f>
        <v>7787.2800000000007</v>
      </c>
      <c r="E580" s="52">
        <f t="shared" si="189"/>
        <v>7535.8200000000015</v>
      </c>
      <c r="F580" s="52">
        <f t="shared" si="189"/>
        <v>7603.6800000000012</v>
      </c>
      <c r="G580" s="52">
        <f t="shared" si="189"/>
        <v>7527</v>
      </c>
      <c r="H580" s="52">
        <f t="shared" si="189"/>
        <v>7369.6500000000015</v>
      </c>
      <c r="I580" s="52">
        <f t="shared" si="189"/>
        <v>7650.659999999998</v>
      </c>
      <c r="J580" s="52">
        <f t="shared" si="189"/>
        <v>7281.42</v>
      </c>
      <c r="K580" s="52">
        <f t="shared" si="189"/>
        <v>7414.9500000000007</v>
      </c>
      <c r="L580" s="52">
        <f t="shared" si="189"/>
        <v>7580.34</v>
      </c>
      <c r="M580" s="52"/>
      <c r="N580" s="52"/>
      <c r="O580" s="52"/>
      <c r="P580" s="52" t="str">
        <f>IF(((P578="")*AND(P579="")),"",(P578-P579)*2)</f>
        <v/>
      </c>
      <c r="Q580" s="46"/>
      <c r="R580" s="46"/>
      <c r="S580" s="46"/>
      <c r="T580" s="46"/>
      <c r="U580" s="46"/>
      <c r="V580" s="229"/>
      <c r="W580" s="46"/>
    </row>
    <row r="581" spans="1:31" ht="12.75" customHeight="1" x14ac:dyDescent="0.25">
      <c r="A581" s="87">
        <v>43382</v>
      </c>
      <c r="B581" s="48" t="s">
        <v>202</v>
      </c>
      <c r="C581" s="48" t="s">
        <v>201</v>
      </c>
      <c r="D581" s="35">
        <v>6892.36</v>
      </c>
      <c r="E581" s="35">
        <v>7102.94</v>
      </c>
      <c r="F581" s="35">
        <v>6801.25</v>
      </c>
      <c r="G581" s="35">
        <v>6843.73</v>
      </c>
      <c r="H581" s="35">
        <v>7021.43</v>
      </c>
      <c r="I581" s="35">
        <v>6932.91</v>
      </c>
      <c r="J581" s="35">
        <v>6892.21</v>
      </c>
      <c r="K581" s="35">
        <v>6845.61</v>
      </c>
      <c r="L581" s="35">
        <v>6872.38</v>
      </c>
      <c r="M581" s="35">
        <v>6966.64</v>
      </c>
      <c r="N581" s="35">
        <v>7155.97</v>
      </c>
      <c r="O581" s="35">
        <v>6954.82</v>
      </c>
      <c r="P581" s="35">
        <v>7058.02</v>
      </c>
      <c r="Q581" s="48">
        <f>IF((L582=""),"",MAX(D583:P583))</f>
        <v>5562.84</v>
      </c>
      <c r="R581" s="48">
        <f>IF(L582="","",MIN(D583:L583))</f>
        <v>5402.0399999999991</v>
      </c>
      <c r="S581" s="51">
        <f>IF((P583=""),"",AVERAGE(D583:P583))</f>
        <v>5484.1507692307696</v>
      </c>
      <c r="T581" s="50">
        <f>IF((L582=""),"",(Q581-R581)/(Q581+R581)*100)</f>
        <v>1.4665003173769444</v>
      </c>
      <c r="U581" s="48">
        <f>STDEV(D583:P583)</f>
        <v>55.534454539732778</v>
      </c>
      <c r="V581" s="228" t="str">
        <f>IF(P582="","",IF(T581&lt;2.7,IF(S581&gt;5150,IF(S581&lt;5600,"Pass","Fail"),"Fail"),"Fail"))</f>
        <v>Pass</v>
      </c>
      <c r="W581" s="48">
        <v>1340</v>
      </c>
      <c r="Z581" s="251">
        <v>4470</v>
      </c>
      <c r="AA581" s="251">
        <v>6020</v>
      </c>
      <c r="AB581" s="251">
        <v>5150</v>
      </c>
      <c r="AC581" s="251">
        <v>5600</v>
      </c>
      <c r="AD581" s="67">
        <v>10</v>
      </c>
      <c r="AE581" s="252">
        <v>2.7</v>
      </c>
    </row>
    <row r="582" spans="1:31" ht="16.100000000000001" x14ac:dyDescent="0.35">
      <c r="A582" s="294"/>
      <c r="B582" s="46"/>
      <c r="C582" s="46" t="s">
        <v>200</v>
      </c>
      <c r="D582" s="35">
        <v>4191.34</v>
      </c>
      <c r="E582" s="35">
        <v>4394.95</v>
      </c>
      <c r="F582" s="35">
        <v>4087.77</v>
      </c>
      <c r="G582" s="35">
        <v>4079.53</v>
      </c>
      <c r="H582" s="35">
        <v>4301.26</v>
      </c>
      <c r="I582" s="35">
        <v>4176.8999999999996</v>
      </c>
      <c r="J582" s="35">
        <v>4117.32</v>
      </c>
      <c r="K582" s="35">
        <v>4066.3</v>
      </c>
      <c r="L582" s="35">
        <v>4147.51</v>
      </c>
      <c r="M582" s="35">
        <v>4185.22</v>
      </c>
      <c r="N582" s="35">
        <v>4423.1000000000004</v>
      </c>
      <c r="O582" s="35">
        <v>4207.22</v>
      </c>
      <c r="P582" s="35">
        <v>4314.87</v>
      </c>
      <c r="Q582" s="46"/>
      <c r="R582" s="46"/>
      <c r="S582" s="46"/>
      <c r="T582" s="46"/>
      <c r="U582" s="46"/>
      <c r="V582" s="229"/>
      <c r="W582" s="46"/>
    </row>
    <row r="583" spans="1:31" ht="22.15" x14ac:dyDescent="0.35">
      <c r="A583" s="294"/>
      <c r="B583" s="78"/>
      <c r="C583" s="78" t="s">
        <v>199</v>
      </c>
      <c r="D583" s="83">
        <f t="shared" ref="D583:P583" si="190">IF(((D581="")*AND(D582="")),"",(D581-D582)*2)</f>
        <v>5402.0399999999991</v>
      </c>
      <c r="E583" s="83">
        <f t="shared" si="190"/>
        <v>5415.98</v>
      </c>
      <c r="F583" s="83">
        <f t="shared" si="190"/>
        <v>5426.96</v>
      </c>
      <c r="G583" s="83">
        <f t="shared" si="190"/>
        <v>5528.3999999999987</v>
      </c>
      <c r="H583" s="83">
        <f t="shared" si="190"/>
        <v>5440.34</v>
      </c>
      <c r="I583" s="83">
        <f t="shared" si="190"/>
        <v>5512.02</v>
      </c>
      <c r="J583" s="83">
        <f t="shared" si="190"/>
        <v>5549.7800000000007</v>
      </c>
      <c r="K583" s="83">
        <f t="shared" si="190"/>
        <v>5558.619999999999</v>
      </c>
      <c r="L583" s="83">
        <f t="shared" si="190"/>
        <v>5449.74</v>
      </c>
      <c r="M583" s="83">
        <f t="shared" si="190"/>
        <v>5562.84</v>
      </c>
      <c r="N583" s="83">
        <f t="shared" si="190"/>
        <v>5465.74</v>
      </c>
      <c r="O583" s="83">
        <f t="shared" si="190"/>
        <v>5495.1999999999989</v>
      </c>
      <c r="P583" s="83">
        <f t="shared" si="190"/>
        <v>5486.3000000000011</v>
      </c>
      <c r="Q583" s="78"/>
      <c r="R583" s="78"/>
      <c r="S583" s="78"/>
      <c r="T583" s="78"/>
      <c r="U583" s="78"/>
      <c r="V583" s="232"/>
      <c r="W583" s="78"/>
    </row>
    <row r="584" spans="1:31" ht="12.75" customHeight="1" x14ac:dyDescent="0.25">
      <c r="A584" s="87">
        <v>43391</v>
      </c>
      <c r="B584" s="48" t="s">
        <v>204</v>
      </c>
      <c r="C584" s="54" t="s">
        <v>201</v>
      </c>
      <c r="D584" s="35">
        <v>5949.54</v>
      </c>
      <c r="E584" s="35">
        <v>6103.15</v>
      </c>
      <c r="F584" s="35">
        <v>6149.36</v>
      </c>
      <c r="G584" s="35">
        <v>6081.41</v>
      </c>
      <c r="H584" s="35">
        <v>5956.24</v>
      </c>
      <c r="I584" s="35">
        <v>5886.86</v>
      </c>
      <c r="J584" s="35">
        <v>6088.58</v>
      </c>
      <c r="K584" s="35">
        <v>6138.41</v>
      </c>
      <c r="L584" s="35">
        <v>5886.77</v>
      </c>
      <c r="M584" s="53"/>
      <c r="N584" s="53"/>
      <c r="O584" s="53"/>
      <c r="P584" s="53"/>
      <c r="Q584" s="48">
        <f>IF((L585=""),"",MAX(D586:L586))</f>
        <v>7355.61</v>
      </c>
      <c r="R584" s="48">
        <f>IF(L585="","",MIN(D586:L586))</f>
        <v>6310.23</v>
      </c>
      <c r="S584" s="75">
        <f>IF((L586=""),"",AVERAGE(D586:L586))</f>
        <v>6931.64</v>
      </c>
      <c r="T584" s="50">
        <f>IF((L585=""),"",(Q584-R584)/(Q584+R584)*100)</f>
        <v>7.6495846578036915</v>
      </c>
      <c r="U584" s="48">
        <f>STDEV(D586:P586)</f>
        <v>383.28162286365836</v>
      </c>
      <c r="V584" s="228" t="str">
        <f>IF(L585="","",IF(T584&lt;9.8,IF(S584&gt;5100,IF(S584&lt;8300,"Pass","Fail"),"Fail"),"Fail"))</f>
        <v>Pass</v>
      </c>
      <c r="W584" s="46">
        <v>1159</v>
      </c>
      <c r="Z584" s="37">
        <v>4955</v>
      </c>
      <c r="AA584" s="37">
        <v>9645</v>
      </c>
      <c r="AB584" s="37">
        <v>5100</v>
      </c>
      <c r="AC584" s="37">
        <v>8300</v>
      </c>
      <c r="AD584" s="67">
        <v>10</v>
      </c>
      <c r="AE584" s="67">
        <v>9.8000000000000007</v>
      </c>
    </row>
    <row r="585" spans="1:31" ht="16.100000000000001" x14ac:dyDescent="0.35">
      <c r="A585" s="294"/>
      <c r="B585" s="46"/>
      <c r="C585" s="54" t="s">
        <v>200</v>
      </c>
      <c r="D585" s="35">
        <v>3627.8</v>
      </c>
      <c r="E585" s="35">
        <v>3751.58</v>
      </c>
      <c r="F585" s="35">
        <v>3781.57</v>
      </c>
      <c r="G585" s="35">
        <v>3679.65</v>
      </c>
      <c r="H585" s="35">
        <v>3731.88</v>
      </c>
      <c r="I585" s="35">
        <v>3783.45</v>
      </c>
      <c r="J585" s="35">
        <v>3651.23</v>
      </c>
      <c r="K585" s="35">
        <v>3686.54</v>
      </c>
      <c r="L585" s="35">
        <v>3751.7</v>
      </c>
      <c r="M585" s="53"/>
      <c r="N585" s="53"/>
      <c r="O585" s="53"/>
      <c r="P585" s="53"/>
      <c r="Q585" s="46"/>
      <c r="R585" s="46"/>
      <c r="S585" s="46"/>
      <c r="T585" s="46"/>
      <c r="U585" s="46"/>
      <c r="V585" s="229"/>
      <c r="W585" s="46"/>
    </row>
    <row r="586" spans="1:31" ht="22.75" thickBot="1" x14ac:dyDescent="0.4">
      <c r="A586" s="294"/>
      <c r="B586" s="46"/>
      <c r="C586" s="48" t="s">
        <v>199</v>
      </c>
      <c r="D586" s="52">
        <f t="shared" ref="D586:L586" si="191">IF(((D584="")*AND(D585="")),"",(D584-D585)*3)</f>
        <v>6965.2199999999993</v>
      </c>
      <c r="E586" s="52">
        <f t="shared" si="191"/>
        <v>7054.7099999999991</v>
      </c>
      <c r="F586" s="52">
        <f t="shared" si="191"/>
        <v>7103.369999999999</v>
      </c>
      <c r="G586" s="52">
        <f t="shared" si="191"/>
        <v>7205.2799999999988</v>
      </c>
      <c r="H586" s="52">
        <f t="shared" si="191"/>
        <v>6673.079999999999</v>
      </c>
      <c r="I586" s="52">
        <f t="shared" si="191"/>
        <v>6310.23</v>
      </c>
      <c r="J586" s="52">
        <f t="shared" si="191"/>
        <v>7312.0499999999993</v>
      </c>
      <c r="K586" s="52">
        <f t="shared" si="191"/>
        <v>7355.61</v>
      </c>
      <c r="L586" s="52">
        <f t="shared" si="191"/>
        <v>6405.2100000000019</v>
      </c>
      <c r="M586" s="52"/>
      <c r="N586" s="52"/>
      <c r="O586" s="52"/>
      <c r="P586" s="52" t="str">
        <f>IF(((P584="")*AND(P585="")),"",(P584-P585)*2)</f>
        <v/>
      </c>
      <c r="Q586" s="46"/>
      <c r="R586" s="46"/>
      <c r="S586" s="46"/>
      <c r="T586" s="46"/>
      <c r="U586" s="46"/>
      <c r="V586" s="229"/>
      <c r="W586" s="46"/>
    </row>
    <row r="587" spans="1:31" ht="12.75" customHeight="1" x14ac:dyDescent="0.25">
      <c r="A587" s="87">
        <v>43391</v>
      </c>
      <c r="B587" s="48" t="s">
        <v>202</v>
      </c>
      <c r="C587" s="48" t="s">
        <v>201</v>
      </c>
      <c r="D587" s="35">
        <v>6761.93</v>
      </c>
      <c r="E587" s="35">
        <v>6967.16</v>
      </c>
      <c r="F587" s="35">
        <v>6680.38</v>
      </c>
      <c r="G587" s="35">
        <v>6734.24</v>
      </c>
      <c r="H587" s="35">
        <v>6868.13</v>
      </c>
      <c r="I587" s="35">
        <v>6800.83</v>
      </c>
      <c r="J587" s="35">
        <v>6786.86</v>
      </c>
      <c r="K587" s="35">
        <v>6744.83</v>
      </c>
      <c r="L587" s="35">
        <v>6757.45</v>
      </c>
      <c r="M587" s="35">
        <v>6858.24</v>
      </c>
      <c r="N587" s="35">
        <v>7021.47</v>
      </c>
      <c r="O587" s="35">
        <v>6838.99</v>
      </c>
      <c r="P587" s="35">
        <v>6927.05</v>
      </c>
      <c r="Q587" s="48">
        <f>IF((L588=""),"",MAX(D589:P589))</f>
        <v>5495.0599999999995</v>
      </c>
      <c r="R587" s="48">
        <f>IF(L588="","",MIN(D589:L589))</f>
        <v>5360.6200000000008</v>
      </c>
      <c r="S587" s="51">
        <f>IF((P589=""),"",AVERAGE(D589:P589))</f>
        <v>5425.043076923077</v>
      </c>
      <c r="T587" s="50">
        <f>IF((L588=""),"",(Q587-R587)/(Q587+R587)*100)</f>
        <v>1.238430020044794</v>
      </c>
      <c r="U587" s="48">
        <f>STDEV(D589:P589)</f>
        <v>47.513108960337505</v>
      </c>
      <c r="V587" s="228" t="str">
        <f>IF(P588="","",IF(T587&lt;2.7,IF(S587&gt;5150,IF(S587&lt;5600,"Pass","Fail"),"Fail"),"Fail"))</f>
        <v>Pass</v>
      </c>
      <c r="W587" s="48">
        <v>1159</v>
      </c>
      <c r="Z587" s="251">
        <v>4470</v>
      </c>
      <c r="AA587" s="251">
        <v>6020</v>
      </c>
      <c r="AB587" s="251">
        <v>5150</v>
      </c>
      <c r="AC587" s="251">
        <v>5600</v>
      </c>
      <c r="AD587" s="67">
        <v>10</v>
      </c>
      <c r="AE587" s="252">
        <v>2.7</v>
      </c>
    </row>
    <row r="588" spans="1:31" ht="16.100000000000001" x14ac:dyDescent="0.35">
      <c r="A588" s="294"/>
      <c r="B588" s="46"/>
      <c r="C588" s="46" t="s">
        <v>200</v>
      </c>
      <c r="D588" s="35">
        <v>4081.62</v>
      </c>
      <c r="E588" s="35">
        <v>4279.43</v>
      </c>
      <c r="F588" s="35">
        <v>3995.73</v>
      </c>
      <c r="G588" s="35">
        <v>4001.81</v>
      </c>
      <c r="H588" s="35">
        <v>4171.2299999999996</v>
      </c>
      <c r="I588" s="35">
        <v>4073.76</v>
      </c>
      <c r="J588" s="35">
        <v>4039.33</v>
      </c>
      <c r="K588" s="35">
        <v>4002.68</v>
      </c>
      <c r="L588" s="35">
        <v>4064.84</v>
      </c>
      <c r="M588" s="35">
        <v>4115.17</v>
      </c>
      <c r="N588" s="35">
        <v>4316.47</v>
      </c>
      <c r="O588" s="35">
        <v>4126.96</v>
      </c>
      <c r="P588" s="35">
        <v>4215.75</v>
      </c>
      <c r="Q588" s="46"/>
      <c r="R588" s="46"/>
      <c r="S588" s="46"/>
      <c r="T588" s="46"/>
      <c r="U588" s="46"/>
      <c r="V588" s="229"/>
      <c r="W588" s="46"/>
    </row>
    <row r="589" spans="1:31" ht="22.15" x14ac:dyDescent="0.35">
      <c r="A589" s="294"/>
      <c r="B589" s="78"/>
      <c r="C589" s="78" t="s">
        <v>199</v>
      </c>
      <c r="D589" s="83">
        <f t="shared" ref="D589:P589" si="192">IF(((D587="")*AND(D588="")),"",(D587-D588)*2)</f>
        <v>5360.6200000000008</v>
      </c>
      <c r="E589" s="83">
        <f t="shared" si="192"/>
        <v>5375.4599999999991</v>
      </c>
      <c r="F589" s="83">
        <f t="shared" si="192"/>
        <v>5369.3</v>
      </c>
      <c r="G589" s="83">
        <f t="shared" si="192"/>
        <v>5464.86</v>
      </c>
      <c r="H589" s="83">
        <f t="shared" si="192"/>
        <v>5393.8000000000011</v>
      </c>
      <c r="I589" s="83">
        <f t="shared" si="192"/>
        <v>5454.1399999999994</v>
      </c>
      <c r="J589" s="83">
        <f t="shared" si="192"/>
        <v>5495.0599999999995</v>
      </c>
      <c r="K589" s="83">
        <f t="shared" si="192"/>
        <v>5484.3</v>
      </c>
      <c r="L589" s="83">
        <f t="shared" si="192"/>
        <v>5385.2199999999993</v>
      </c>
      <c r="M589" s="83">
        <f t="shared" si="192"/>
        <v>5486.1399999999994</v>
      </c>
      <c r="N589" s="83">
        <f t="shared" si="192"/>
        <v>5410</v>
      </c>
      <c r="O589" s="83">
        <f t="shared" si="192"/>
        <v>5424.0599999999995</v>
      </c>
      <c r="P589" s="83">
        <f t="shared" si="192"/>
        <v>5422.6</v>
      </c>
      <c r="Q589" s="78"/>
      <c r="R589" s="78"/>
      <c r="S589" s="78"/>
      <c r="T589" s="78"/>
      <c r="U589" s="78"/>
      <c r="V589" s="232"/>
      <c r="W589" s="78"/>
    </row>
    <row r="590" spans="1:31" ht="12.75" customHeight="1" x14ac:dyDescent="0.25">
      <c r="A590" s="87">
        <v>43396</v>
      </c>
      <c r="B590" s="48" t="s">
        <v>204</v>
      </c>
      <c r="C590" s="54" t="s">
        <v>201</v>
      </c>
      <c r="D590" s="35">
        <v>5849.95</v>
      </c>
      <c r="E590" s="35">
        <v>6104.21</v>
      </c>
      <c r="F590" s="35">
        <v>6181.15</v>
      </c>
      <c r="G590" s="35">
        <v>5876.35</v>
      </c>
      <c r="H590" s="35">
        <v>6100.36</v>
      </c>
      <c r="I590" s="35">
        <v>6152.96</v>
      </c>
      <c r="J590" s="35">
        <v>5945.47</v>
      </c>
      <c r="K590" s="35">
        <v>6045.29</v>
      </c>
      <c r="L590" s="35">
        <v>6193.35</v>
      </c>
      <c r="M590" s="53"/>
      <c r="N590" s="53"/>
      <c r="O590" s="53"/>
      <c r="P590" s="53"/>
      <c r="Q590" s="48">
        <f>IF((L591=""),"",MAX(D592:L592))</f>
        <v>7234.4699999999993</v>
      </c>
      <c r="R590" s="48">
        <f>IF(L591="","",MIN(D592:L592))</f>
        <v>6054.510000000002</v>
      </c>
      <c r="S590" s="75">
        <f>IF((L592=""),"",AVERAGE(D592:L592))</f>
        <v>6876.83</v>
      </c>
      <c r="T590" s="50">
        <f>IF((L591=""),"",(Q590-R590)/(Q590+R590)*100)</f>
        <v>8.8792367811524837</v>
      </c>
      <c r="U590" s="48">
        <f>STDEV(D592:P592)</f>
        <v>336.19412294089778</v>
      </c>
      <c r="V590" s="228" t="str">
        <f>IF(L591="","",IF(T590&lt;9.8,IF(S590&gt;5100,IF(S590&lt;8300,"Pass","Fail"),"Fail"),"Fail"))</f>
        <v>Pass</v>
      </c>
      <c r="W590" s="46">
        <v>1159</v>
      </c>
      <c r="X590" s="38" t="s">
        <v>227</v>
      </c>
      <c r="Z590" s="37">
        <v>4955</v>
      </c>
      <c r="AA590" s="37">
        <v>9645</v>
      </c>
      <c r="AB590" s="37">
        <v>5100</v>
      </c>
      <c r="AC590" s="37">
        <v>8300</v>
      </c>
      <c r="AD590" s="67">
        <v>10</v>
      </c>
      <c r="AE590" s="67">
        <v>9.8000000000000007</v>
      </c>
    </row>
    <row r="591" spans="1:31" ht="16.100000000000001" x14ac:dyDescent="0.35">
      <c r="A591" s="294"/>
      <c r="B591" s="46"/>
      <c r="C591" s="54" t="s">
        <v>200</v>
      </c>
      <c r="D591" s="35">
        <v>3438.46</v>
      </c>
      <c r="E591" s="35">
        <v>3801.75</v>
      </c>
      <c r="F591" s="35">
        <v>3832.46</v>
      </c>
      <c r="G591" s="35">
        <v>3858.18</v>
      </c>
      <c r="H591" s="35">
        <v>3802.28</v>
      </c>
      <c r="I591" s="35">
        <v>3821.48</v>
      </c>
      <c r="J591" s="35">
        <v>3690.72</v>
      </c>
      <c r="K591" s="35">
        <v>3740.81</v>
      </c>
      <c r="L591" s="35">
        <v>3832.46</v>
      </c>
      <c r="M591" s="53"/>
      <c r="N591" s="53"/>
      <c r="O591" s="53"/>
      <c r="P591" s="53"/>
      <c r="Q591" s="46"/>
      <c r="R591" s="46"/>
      <c r="S591" s="46"/>
      <c r="T591" s="46"/>
      <c r="U591" s="46"/>
      <c r="V591" s="229"/>
      <c r="W591" s="46"/>
    </row>
    <row r="592" spans="1:31" ht="22.75" thickBot="1" x14ac:dyDescent="0.4">
      <c r="A592" s="294"/>
      <c r="B592" s="46"/>
      <c r="C592" s="48" t="s">
        <v>199</v>
      </c>
      <c r="D592" s="52">
        <f t="shared" ref="D592:L592" si="193">IF(((D590="")*AND(D591="")),"",(D590-D591)*3)</f>
        <v>7234.4699999999993</v>
      </c>
      <c r="E592" s="52">
        <f t="shared" si="193"/>
        <v>6907.38</v>
      </c>
      <c r="F592" s="52">
        <f t="shared" si="193"/>
        <v>7046.0699999999988</v>
      </c>
      <c r="G592" s="52">
        <f t="shared" si="193"/>
        <v>6054.510000000002</v>
      </c>
      <c r="H592" s="52">
        <f t="shared" si="193"/>
        <v>6894.239999999998</v>
      </c>
      <c r="I592" s="52">
        <f t="shared" si="193"/>
        <v>6994.4400000000005</v>
      </c>
      <c r="J592" s="52">
        <f t="shared" si="193"/>
        <v>6764.2500000000018</v>
      </c>
      <c r="K592" s="52">
        <f t="shared" si="193"/>
        <v>6913.4400000000005</v>
      </c>
      <c r="L592" s="52">
        <f t="shared" si="193"/>
        <v>7082.670000000001</v>
      </c>
      <c r="M592" s="52"/>
      <c r="N592" s="52"/>
      <c r="O592" s="52"/>
      <c r="P592" s="52" t="str">
        <f>IF(((P590="")*AND(P591="")),"",(P590-P591)*2)</f>
        <v/>
      </c>
      <c r="Q592" s="46"/>
      <c r="R592" s="46"/>
      <c r="S592" s="46"/>
      <c r="T592" s="46"/>
      <c r="U592" s="46"/>
      <c r="V592" s="229"/>
      <c r="W592" s="46"/>
    </row>
    <row r="593" spans="1:31" ht="12.75" customHeight="1" x14ac:dyDescent="0.25">
      <c r="A593" s="87">
        <v>43396</v>
      </c>
      <c r="B593" s="48" t="s">
        <v>202</v>
      </c>
      <c r="C593" s="48" t="s">
        <v>201</v>
      </c>
      <c r="D593" s="35">
        <v>4088.56</v>
      </c>
      <c r="E593" s="35">
        <v>4288.32</v>
      </c>
      <c r="F593" s="35">
        <v>4001.96</v>
      </c>
      <c r="G593" s="35">
        <v>4007.82</v>
      </c>
      <c r="H593" s="35">
        <v>4180.08</v>
      </c>
      <c r="I593" s="35">
        <v>4080.83</v>
      </c>
      <c r="J593" s="35">
        <v>4045.48</v>
      </c>
      <c r="K593" s="35">
        <v>4008.7</v>
      </c>
      <c r="L593" s="35">
        <v>4071.32</v>
      </c>
      <c r="M593" s="35">
        <v>4121.88</v>
      </c>
      <c r="N593" s="35">
        <v>4325.54</v>
      </c>
      <c r="O593" s="35">
        <v>4133.74</v>
      </c>
      <c r="P593" s="35">
        <v>4223.62</v>
      </c>
      <c r="Q593" s="48">
        <f>IF((L594=""),"",MAX(D595:P595))</f>
        <v>5541.2800000000007</v>
      </c>
      <c r="R593" s="48">
        <f>IF(L594="","",MIN(D595:L595))</f>
        <v>5401.74</v>
      </c>
      <c r="S593" s="51">
        <f>IF((P595=""),"",AVERAGE(D595:P595))</f>
        <v>5465.2415384615388</v>
      </c>
      <c r="T593" s="50">
        <f>IF((L594=""),"",(Q593-R593)/(Q593+R593)*100)</f>
        <v>1.2751507353545994</v>
      </c>
      <c r="U593" s="48">
        <f>STDEV(D595:P595)</f>
        <v>48.513614901069218</v>
      </c>
      <c r="V593" s="228" t="str">
        <f>IF(P594="","",IF(T593&lt;2.7,IF(S593&gt;5150,IF(S593&lt;5600,"Pass","Fail"),"Fail"),"Fail"))</f>
        <v>Pass</v>
      </c>
      <c r="W593" s="48">
        <v>1159</v>
      </c>
      <c r="X593" s="38" t="s">
        <v>227</v>
      </c>
      <c r="Z593" s="251">
        <v>4470</v>
      </c>
      <c r="AA593" s="251">
        <v>6020</v>
      </c>
      <c r="AB593" s="251">
        <v>5150</v>
      </c>
      <c r="AC593" s="251">
        <v>5600</v>
      </c>
      <c r="AD593" s="67">
        <v>10</v>
      </c>
      <c r="AE593" s="252">
        <v>2.7</v>
      </c>
    </row>
    <row r="594" spans="1:31" ht="16.100000000000001" x14ac:dyDescent="0.35">
      <c r="A594" s="294"/>
      <c r="B594" s="46"/>
      <c r="C594" s="46" t="s">
        <v>200</v>
      </c>
      <c r="D594" s="35">
        <v>1387.69</v>
      </c>
      <c r="E594" s="35">
        <v>1581.52</v>
      </c>
      <c r="F594" s="35">
        <v>1294.98</v>
      </c>
      <c r="G594" s="35">
        <v>1255.3900000000001</v>
      </c>
      <c r="H594" s="35">
        <v>1465.23</v>
      </c>
      <c r="I594" s="35">
        <v>1327.93</v>
      </c>
      <c r="J594" s="35">
        <v>1274.8399999999999</v>
      </c>
      <c r="K594" s="35">
        <v>1246.83</v>
      </c>
      <c r="L594" s="35">
        <v>1358.28</v>
      </c>
      <c r="M594" s="35">
        <v>1360.63</v>
      </c>
      <c r="N594" s="35">
        <v>1602.08</v>
      </c>
      <c r="O594" s="35">
        <v>1403.4</v>
      </c>
      <c r="P594" s="35">
        <v>1494.98</v>
      </c>
      <c r="Q594" s="46"/>
      <c r="R594" s="46"/>
      <c r="S594" s="46"/>
      <c r="T594" s="46"/>
      <c r="U594" s="46"/>
      <c r="V594" s="229"/>
      <c r="W594" s="46"/>
    </row>
    <row r="595" spans="1:31" ht="22.15" x14ac:dyDescent="0.35">
      <c r="A595" s="294"/>
      <c r="B595" s="78"/>
      <c r="C595" s="78" t="s">
        <v>199</v>
      </c>
      <c r="D595" s="83">
        <f t="shared" ref="D595:P595" si="194">IF(((D593="")*AND(D594="")),"",(D593-D594)*2)</f>
        <v>5401.74</v>
      </c>
      <c r="E595" s="83">
        <f t="shared" si="194"/>
        <v>5413.5999999999995</v>
      </c>
      <c r="F595" s="83">
        <f t="shared" si="194"/>
        <v>5413.96</v>
      </c>
      <c r="G595" s="83">
        <f t="shared" si="194"/>
        <v>5504.8600000000006</v>
      </c>
      <c r="H595" s="83">
        <f t="shared" si="194"/>
        <v>5429.7</v>
      </c>
      <c r="I595" s="83">
        <f t="shared" si="194"/>
        <v>5505.7999999999993</v>
      </c>
      <c r="J595" s="83">
        <f t="shared" si="194"/>
        <v>5541.2800000000007</v>
      </c>
      <c r="K595" s="83">
        <f t="shared" si="194"/>
        <v>5523.74</v>
      </c>
      <c r="L595" s="83">
        <f t="shared" si="194"/>
        <v>5426.08</v>
      </c>
      <c r="M595" s="83">
        <f t="shared" si="194"/>
        <v>5522.5</v>
      </c>
      <c r="N595" s="83">
        <f t="shared" si="194"/>
        <v>5446.92</v>
      </c>
      <c r="O595" s="83">
        <f t="shared" si="194"/>
        <v>5460.6799999999994</v>
      </c>
      <c r="P595" s="83">
        <f t="shared" si="194"/>
        <v>5457.28</v>
      </c>
      <c r="Q595" s="78"/>
      <c r="R595" s="78"/>
      <c r="S595" s="78"/>
      <c r="T595" s="78"/>
      <c r="U595" s="78"/>
      <c r="V595" s="232"/>
      <c r="W595" s="78"/>
    </row>
    <row r="596" spans="1:31" ht="12.75" customHeight="1" x14ac:dyDescent="0.25">
      <c r="A596" s="87">
        <v>43403</v>
      </c>
      <c r="B596" s="48" t="s">
        <v>204</v>
      </c>
      <c r="C596" s="54" t="s">
        <v>201</v>
      </c>
      <c r="D596" s="35">
        <v>3623.41</v>
      </c>
      <c r="E596" s="35">
        <v>3741.34</v>
      </c>
      <c r="F596" s="35">
        <v>3772.61</v>
      </c>
      <c r="G596" s="35">
        <v>3646.73</v>
      </c>
      <c r="H596" s="35">
        <v>3723.53</v>
      </c>
      <c r="I596" s="35">
        <v>3769.49</v>
      </c>
      <c r="J596" s="35">
        <v>3646.73</v>
      </c>
      <c r="K596" s="35">
        <v>3680.63</v>
      </c>
      <c r="L596" s="35">
        <v>3741.49</v>
      </c>
      <c r="M596" s="53"/>
      <c r="N596" s="53"/>
      <c r="O596" s="53"/>
      <c r="P596" s="53"/>
      <c r="Q596" s="48">
        <f>IF((L597=""),"",MAX(D598:L598))</f>
        <v>7872.8399999999992</v>
      </c>
      <c r="R596" s="48">
        <f>IF(L597="","",MIN(D598:L598))</f>
        <v>6522.48</v>
      </c>
      <c r="S596" s="75">
        <f>IF((L598=""),"",AVERAGE(D598:L598))</f>
        <v>6828.68</v>
      </c>
      <c r="T596" s="50">
        <f>IF((L597=""),"",(Q596-R596)/(Q596+R596)*100)</f>
        <v>9.3805486783204515</v>
      </c>
      <c r="U596" s="48">
        <f>STDEV(D598:P598)</f>
        <v>428.47099989380831</v>
      </c>
      <c r="V596" s="228" t="str">
        <f>IF(L597="","",IF(T596&lt;9.8,IF(S596&gt;5100,IF(S596&lt;8300,"Pass","Fail"),"Fail"),"Fail"))</f>
        <v>Pass</v>
      </c>
      <c r="W596" s="46">
        <v>1335</v>
      </c>
      <c r="X596" s="38" t="s">
        <v>226</v>
      </c>
      <c r="Z596" s="37">
        <v>4955</v>
      </c>
      <c r="AA596" s="37">
        <v>9645</v>
      </c>
      <c r="AB596" s="37">
        <v>5100</v>
      </c>
      <c r="AC596" s="37">
        <v>8300</v>
      </c>
      <c r="AD596" s="67">
        <v>10</v>
      </c>
      <c r="AE596" s="67">
        <v>9.8000000000000007</v>
      </c>
    </row>
    <row r="597" spans="1:31" ht="16.100000000000001" x14ac:dyDescent="0.35">
      <c r="A597" s="294"/>
      <c r="B597" s="46"/>
      <c r="C597" s="54" t="s">
        <v>200</v>
      </c>
      <c r="D597" s="35">
        <v>1262.69</v>
      </c>
      <c r="E597" s="35">
        <v>1552.05</v>
      </c>
      <c r="F597" s="35">
        <v>1585.69</v>
      </c>
      <c r="G597" s="35">
        <v>1022.45</v>
      </c>
      <c r="H597" s="35">
        <v>1503.7</v>
      </c>
      <c r="I597" s="35">
        <v>1595.33</v>
      </c>
      <c r="J597" s="35">
        <v>1397.53</v>
      </c>
      <c r="K597" s="35">
        <v>1404.18</v>
      </c>
      <c r="L597" s="35">
        <v>1536.3</v>
      </c>
      <c r="M597" s="53"/>
      <c r="N597" s="53"/>
      <c r="O597" s="53"/>
      <c r="P597" s="53"/>
      <c r="Q597" s="46"/>
      <c r="R597" s="46"/>
      <c r="S597" s="46"/>
      <c r="T597" s="46"/>
      <c r="U597" s="46"/>
      <c r="V597" s="229"/>
      <c r="W597" s="46"/>
    </row>
    <row r="598" spans="1:31" ht="22.75" thickBot="1" x14ac:dyDescent="0.4">
      <c r="A598" s="294"/>
      <c r="B598" s="46"/>
      <c r="C598" s="48" t="s">
        <v>199</v>
      </c>
      <c r="D598" s="52">
        <f t="shared" ref="D598:L598" si="195">IF(((D596="")*AND(D597="")),"",(D596-D597)*3)</f>
        <v>7082.16</v>
      </c>
      <c r="E598" s="52">
        <f t="shared" si="195"/>
        <v>6567.87</v>
      </c>
      <c r="F598" s="52">
        <f t="shared" si="195"/>
        <v>6560.76</v>
      </c>
      <c r="G598" s="52">
        <f t="shared" si="195"/>
        <v>7872.8399999999992</v>
      </c>
      <c r="H598" s="52">
        <f t="shared" si="195"/>
        <v>6659.49</v>
      </c>
      <c r="I598" s="52">
        <f t="shared" si="195"/>
        <v>6522.48</v>
      </c>
      <c r="J598" s="52">
        <f t="shared" si="195"/>
        <v>6747.5999999999995</v>
      </c>
      <c r="K598" s="52">
        <f t="shared" si="195"/>
        <v>6829.3499999999995</v>
      </c>
      <c r="L598" s="52">
        <f t="shared" si="195"/>
        <v>6615.5699999999988</v>
      </c>
      <c r="M598" s="52"/>
      <c r="N598" s="52"/>
      <c r="O598" s="52"/>
      <c r="P598" s="52" t="str">
        <f>IF(((P596="")*AND(P597="")),"",(P596-P597)*2)</f>
        <v/>
      </c>
      <c r="Q598" s="46"/>
      <c r="R598" s="46"/>
      <c r="S598" s="46"/>
      <c r="T598" s="46"/>
      <c r="U598" s="46"/>
      <c r="V598" s="229"/>
      <c r="W598" s="46"/>
    </row>
    <row r="599" spans="1:31" ht="12.75" customHeight="1" x14ac:dyDescent="0.25">
      <c r="A599" s="87">
        <v>43403</v>
      </c>
      <c r="B599" s="48" t="s">
        <v>202</v>
      </c>
      <c r="C599" s="48" t="s">
        <v>201</v>
      </c>
      <c r="D599" s="35">
        <v>6532.79</v>
      </c>
      <c r="E599" s="35">
        <v>6629.23</v>
      </c>
      <c r="F599" s="35">
        <v>6559.08</v>
      </c>
      <c r="G599" s="35">
        <v>6602.02</v>
      </c>
      <c r="H599" s="35">
        <v>6454.43</v>
      </c>
      <c r="I599" s="35">
        <v>6551.79</v>
      </c>
      <c r="J599" s="35">
        <v>6618.97</v>
      </c>
      <c r="K599" s="35">
        <v>6547.09</v>
      </c>
      <c r="L599" s="35">
        <v>6588.73</v>
      </c>
      <c r="M599" s="35">
        <v>6622.17</v>
      </c>
      <c r="N599" s="35">
        <v>6675.37</v>
      </c>
      <c r="O599" s="35">
        <v>6592.62</v>
      </c>
      <c r="P599" s="35">
        <v>6479.62</v>
      </c>
      <c r="Q599" s="48">
        <f>IF((L600=""),"",MAX(D601:P601))</f>
        <v>5371.24</v>
      </c>
      <c r="R599" s="48">
        <f>IF(L600="","",MIN(D601:L601))</f>
        <v>5267.0599999999995</v>
      </c>
      <c r="S599" s="51">
        <f>IF((P601=""),"",AVERAGE(D601:P601))</f>
        <v>5330.9461538461528</v>
      </c>
      <c r="T599" s="50">
        <f>IF((L600=""),"",(Q599-R599)/(Q599+R599)*100)</f>
        <v>0.97929180414164196</v>
      </c>
      <c r="U599" s="48">
        <f>STDEV(D601:P601)</f>
        <v>36.429130637092804</v>
      </c>
      <c r="V599" s="228" t="str">
        <f>IF(P600="","",IF(T599&lt;2.7,IF(S599&gt;5150,IF(S599&lt;5600,"Pass","Fail"),"Fail"),"Fail"))</f>
        <v>Pass</v>
      </c>
      <c r="W599" s="48">
        <v>1335</v>
      </c>
      <c r="X599" s="38" t="s">
        <v>226</v>
      </c>
      <c r="Z599" s="251">
        <v>4470</v>
      </c>
      <c r="AA599" s="251">
        <v>6020</v>
      </c>
      <c r="AB599" s="251">
        <v>5150</v>
      </c>
      <c r="AC599" s="251">
        <v>5600</v>
      </c>
      <c r="AD599" s="67">
        <v>10</v>
      </c>
      <c r="AE599" s="252">
        <v>2.7</v>
      </c>
    </row>
    <row r="600" spans="1:31" ht="16.100000000000001" x14ac:dyDescent="0.35">
      <c r="A600" s="294"/>
      <c r="B600" s="46"/>
      <c r="C600" s="46" t="s">
        <v>200</v>
      </c>
      <c r="D600" s="35">
        <v>3895.44</v>
      </c>
      <c r="E600" s="35">
        <v>3963.04</v>
      </c>
      <c r="F600" s="35">
        <v>3925.55</v>
      </c>
      <c r="G600" s="35">
        <v>3937.56</v>
      </c>
      <c r="H600" s="35">
        <v>3774.38</v>
      </c>
      <c r="I600" s="35">
        <v>3866.17</v>
      </c>
      <c r="J600" s="35">
        <v>3943.37</v>
      </c>
      <c r="K600" s="35">
        <v>3868.15</v>
      </c>
      <c r="L600" s="35">
        <v>3949.22</v>
      </c>
      <c r="M600" s="35">
        <v>3937.16</v>
      </c>
      <c r="N600" s="35">
        <v>3996.4</v>
      </c>
      <c r="O600" s="35">
        <v>3932.45</v>
      </c>
      <c r="P600" s="35">
        <v>3813.87</v>
      </c>
      <c r="Q600" s="46"/>
      <c r="R600" s="46"/>
      <c r="S600" s="46"/>
      <c r="T600" s="46"/>
      <c r="U600" s="46"/>
      <c r="V600" s="229"/>
      <c r="W600" s="46"/>
    </row>
    <row r="601" spans="1:31" ht="22.15" x14ac:dyDescent="0.35">
      <c r="A601" s="294"/>
      <c r="B601" s="78"/>
      <c r="C601" s="78" t="s">
        <v>199</v>
      </c>
      <c r="D601" s="83">
        <f t="shared" ref="D601:P601" si="196">IF(((D599="")*AND(D600="")),"",(D599-D600)*2)</f>
        <v>5274.7</v>
      </c>
      <c r="E601" s="83">
        <f t="shared" si="196"/>
        <v>5332.3799999999992</v>
      </c>
      <c r="F601" s="83">
        <f t="shared" si="196"/>
        <v>5267.0599999999995</v>
      </c>
      <c r="G601" s="83">
        <f t="shared" si="196"/>
        <v>5328.920000000001</v>
      </c>
      <c r="H601" s="83">
        <f t="shared" si="196"/>
        <v>5360.1</v>
      </c>
      <c r="I601" s="83">
        <f t="shared" si="196"/>
        <v>5371.24</v>
      </c>
      <c r="J601" s="83">
        <f t="shared" si="196"/>
        <v>5351.2000000000007</v>
      </c>
      <c r="K601" s="83">
        <f t="shared" si="196"/>
        <v>5357.88</v>
      </c>
      <c r="L601" s="83">
        <f t="shared" si="196"/>
        <v>5279.0199999999995</v>
      </c>
      <c r="M601" s="83">
        <f t="shared" si="196"/>
        <v>5370.02</v>
      </c>
      <c r="N601" s="83">
        <f t="shared" si="196"/>
        <v>5357.94</v>
      </c>
      <c r="O601" s="83">
        <f t="shared" si="196"/>
        <v>5320.34</v>
      </c>
      <c r="P601" s="83">
        <f t="shared" si="196"/>
        <v>5331.5</v>
      </c>
      <c r="Q601" s="78"/>
      <c r="R601" s="78"/>
      <c r="S601" s="78"/>
      <c r="T601" s="78"/>
      <c r="U601" s="78"/>
      <c r="V601" s="232"/>
      <c r="W601" s="78"/>
    </row>
    <row r="602" spans="1:31" ht="12.75" customHeight="1" x14ac:dyDescent="0.25">
      <c r="A602" s="87">
        <v>43409</v>
      </c>
      <c r="B602" s="48" t="s">
        <v>204</v>
      </c>
      <c r="C602" s="54" t="s">
        <v>201</v>
      </c>
      <c r="D602" s="35">
        <v>5863.61</v>
      </c>
      <c r="E602" s="35">
        <v>6125.35</v>
      </c>
      <c r="F602" s="35">
        <v>6144.95</v>
      </c>
      <c r="G602" s="35">
        <v>6074</v>
      </c>
      <c r="H602" s="35">
        <v>6085.47</v>
      </c>
      <c r="I602" s="35">
        <v>6160.08</v>
      </c>
      <c r="J602" s="35">
        <v>6011.24</v>
      </c>
      <c r="K602" s="35">
        <v>6053.22</v>
      </c>
      <c r="L602" s="35">
        <v>6151.13</v>
      </c>
      <c r="M602" s="53"/>
      <c r="N602" s="53"/>
      <c r="O602" s="53"/>
      <c r="P602" s="53"/>
      <c r="Q602" s="48">
        <f>IF((L603=""),"",MAX(D604:L604))</f>
        <v>7824.7499999999982</v>
      </c>
      <c r="R602" s="48">
        <f>IF(L603="","",MIN(D604:L604))</f>
        <v>7052.8799999999992</v>
      </c>
      <c r="S602" s="75">
        <f>IF((L604=""),"",AVERAGE(D604:L604))</f>
        <v>7315.7766666666657</v>
      </c>
      <c r="T602" s="50">
        <f>IF((L603=""),"",(Q602-R602)/(Q602+R602)*100)</f>
        <v>5.1881247214778101</v>
      </c>
      <c r="U602" s="48">
        <f>STDEV(D604:P604)</f>
        <v>216.01862043583128</v>
      </c>
      <c r="V602" s="228" t="str">
        <f>IF(L603="","",IF(T602&lt;9.8,IF(S602&gt;5100,IF(S602&lt;8300,"Pass","Fail"),"Fail"),"Fail"))</f>
        <v>Pass</v>
      </c>
      <c r="W602" s="46">
        <v>1340</v>
      </c>
      <c r="Z602" s="37">
        <v>4955</v>
      </c>
      <c r="AA602" s="37">
        <v>9645</v>
      </c>
      <c r="AB602" s="37">
        <v>5100</v>
      </c>
      <c r="AC602" s="37">
        <v>8300</v>
      </c>
      <c r="AD602" s="67">
        <v>10</v>
      </c>
      <c r="AE602" s="67">
        <v>9.8000000000000007</v>
      </c>
    </row>
    <row r="603" spans="1:31" ht="16.100000000000001" x14ac:dyDescent="0.35">
      <c r="A603" s="294"/>
      <c r="B603" s="46"/>
      <c r="C603" s="54" t="s">
        <v>200</v>
      </c>
      <c r="D603" s="35">
        <v>3255.36</v>
      </c>
      <c r="E603" s="35">
        <v>3707.23</v>
      </c>
      <c r="F603" s="35">
        <v>3716.66</v>
      </c>
      <c r="G603" s="35">
        <v>3597.78</v>
      </c>
      <c r="H603" s="35">
        <v>3680.51</v>
      </c>
      <c r="I603" s="35">
        <v>3730.11</v>
      </c>
      <c r="J603" s="35">
        <v>3660.28</v>
      </c>
      <c r="K603" s="35">
        <v>3657.72</v>
      </c>
      <c r="L603" s="35">
        <v>3716.07</v>
      </c>
      <c r="M603" s="53"/>
      <c r="N603" s="53"/>
      <c r="O603" s="53"/>
      <c r="P603" s="53"/>
      <c r="Q603" s="46"/>
      <c r="R603" s="46"/>
      <c r="S603" s="46"/>
      <c r="T603" s="46"/>
      <c r="U603" s="46"/>
      <c r="V603" s="229"/>
      <c r="W603" s="46"/>
    </row>
    <row r="604" spans="1:31" ht="22.75" thickBot="1" x14ac:dyDescent="0.4">
      <c r="A604" s="294"/>
      <c r="B604" s="46"/>
      <c r="C604" s="48" t="s">
        <v>199</v>
      </c>
      <c r="D604" s="52">
        <f t="shared" ref="D604:L604" si="197">IF(((D602="")*AND(D603="")),"",(D602-D603)*3)</f>
        <v>7824.7499999999982</v>
      </c>
      <c r="E604" s="52">
        <f t="shared" si="197"/>
        <v>7254.3600000000006</v>
      </c>
      <c r="F604" s="52">
        <f t="shared" si="197"/>
        <v>7284.87</v>
      </c>
      <c r="G604" s="52">
        <f t="shared" si="197"/>
        <v>7428.66</v>
      </c>
      <c r="H604" s="52">
        <f t="shared" si="197"/>
        <v>7214.88</v>
      </c>
      <c r="I604" s="52">
        <f t="shared" si="197"/>
        <v>7289.91</v>
      </c>
      <c r="J604" s="52">
        <f t="shared" si="197"/>
        <v>7052.8799999999992</v>
      </c>
      <c r="K604" s="52">
        <f t="shared" si="197"/>
        <v>7186.5000000000018</v>
      </c>
      <c r="L604" s="52">
        <f t="shared" si="197"/>
        <v>7305.18</v>
      </c>
      <c r="M604" s="52"/>
      <c r="N604" s="52"/>
      <c r="O604" s="52"/>
      <c r="P604" s="52" t="str">
        <f>IF(((P602="")*AND(P603="")),"",(P602-P603)*2)</f>
        <v/>
      </c>
      <c r="Q604" s="46"/>
      <c r="R604" s="46"/>
      <c r="S604" s="46"/>
      <c r="T604" s="46"/>
      <c r="U604" s="46"/>
      <c r="V604" s="229"/>
      <c r="W604" s="46"/>
    </row>
    <row r="605" spans="1:31" ht="12.75" customHeight="1" x14ac:dyDescent="0.25">
      <c r="A605" s="87">
        <v>43409</v>
      </c>
      <c r="B605" s="48" t="s">
        <v>202</v>
      </c>
      <c r="C605" s="48" t="s">
        <v>201</v>
      </c>
      <c r="D605" s="35">
        <v>6670.67</v>
      </c>
      <c r="E605" s="35">
        <v>6767.9</v>
      </c>
      <c r="F605" s="35">
        <v>6664.26</v>
      </c>
      <c r="G605" s="35">
        <v>6688.79</v>
      </c>
      <c r="H605" s="35">
        <v>6589.12</v>
      </c>
      <c r="I605" s="35">
        <v>6649.7</v>
      </c>
      <c r="J605" s="35">
        <v>6713.58</v>
      </c>
      <c r="K605" s="35">
        <v>6656.47</v>
      </c>
      <c r="L605" s="35">
        <v>6685.5</v>
      </c>
      <c r="M605" s="35">
        <v>6711.56</v>
      </c>
      <c r="N605" s="35">
        <v>6826.74</v>
      </c>
      <c r="O605" s="35">
        <v>6682.91</v>
      </c>
      <c r="P605" s="35">
        <v>6604.95</v>
      </c>
      <c r="Q605" s="48">
        <f>IF((L606=""),"",MAX(D607:P607))</f>
        <v>5405.880000000001</v>
      </c>
      <c r="R605" s="48">
        <f>IF(L606="","",MIN(D607:L607))</f>
        <v>5307.7400000000007</v>
      </c>
      <c r="S605" s="51">
        <f>IF((P607=""),"",AVERAGE(D607:P607))</f>
        <v>5365.3923076923074</v>
      </c>
      <c r="T605" s="50">
        <f>IF((L606=""),"",(Q605-R605)/(Q605+R605)*100)</f>
        <v>0.91603024934616228</v>
      </c>
      <c r="U605" s="48">
        <f>STDEV(D607:P607)</f>
        <v>33.608562935122592</v>
      </c>
      <c r="V605" s="228" t="str">
        <f>IF(P606="","",IF(T605&lt;2.7,IF(S605&gt;5150,IF(S605&lt;5600,"Pass","Fail"),"Fail"),"Fail"))</f>
        <v>Pass</v>
      </c>
      <c r="W605" s="48">
        <v>1340</v>
      </c>
      <c r="Z605" s="251">
        <v>4470</v>
      </c>
      <c r="AA605" s="251">
        <v>6020</v>
      </c>
      <c r="AB605" s="251">
        <v>5150</v>
      </c>
      <c r="AC605" s="251">
        <v>5600</v>
      </c>
      <c r="AD605" s="67">
        <v>10</v>
      </c>
      <c r="AE605" s="252">
        <v>2.7</v>
      </c>
    </row>
    <row r="606" spans="1:31" ht="16.100000000000001" x14ac:dyDescent="0.35">
      <c r="A606" s="294"/>
      <c r="B606" s="46"/>
      <c r="C606" s="46" t="s">
        <v>200</v>
      </c>
      <c r="D606" s="35">
        <v>4014.04</v>
      </c>
      <c r="E606" s="35">
        <v>4089.12</v>
      </c>
      <c r="F606" s="35">
        <v>4010.39</v>
      </c>
      <c r="G606" s="35">
        <v>4009.14</v>
      </c>
      <c r="H606" s="35">
        <v>3895.18</v>
      </c>
      <c r="I606" s="35">
        <v>3948.23</v>
      </c>
      <c r="J606" s="35">
        <v>4022</v>
      </c>
      <c r="K606" s="35">
        <v>3960.15</v>
      </c>
      <c r="L606" s="35">
        <v>4026.45</v>
      </c>
      <c r="M606" s="35">
        <v>4008.62</v>
      </c>
      <c r="N606" s="35">
        <v>4133.45</v>
      </c>
      <c r="O606" s="35">
        <v>4002.8</v>
      </c>
      <c r="P606" s="35">
        <v>3917.53</v>
      </c>
      <c r="Q606" s="46"/>
      <c r="R606" s="46"/>
      <c r="S606" s="46"/>
      <c r="T606" s="46"/>
      <c r="U606" s="46"/>
      <c r="V606" s="229"/>
      <c r="W606" s="46"/>
    </row>
    <row r="607" spans="1:31" ht="22.75" thickBot="1" x14ac:dyDescent="0.4">
      <c r="A607" s="294"/>
      <c r="B607" s="46"/>
      <c r="C607" s="46" t="s">
        <v>199</v>
      </c>
      <c r="D607" s="77">
        <f t="shared" ref="D607:P607" si="198">IF(((D605="")*AND(D606="")),"",(D605-D606)*2)</f>
        <v>5313.26</v>
      </c>
      <c r="E607" s="77">
        <f t="shared" si="198"/>
        <v>5357.5599999999995</v>
      </c>
      <c r="F607" s="77">
        <f t="shared" si="198"/>
        <v>5307.7400000000007</v>
      </c>
      <c r="G607" s="77">
        <f t="shared" si="198"/>
        <v>5359.3</v>
      </c>
      <c r="H607" s="77">
        <f t="shared" si="198"/>
        <v>5387.88</v>
      </c>
      <c r="I607" s="77">
        <f t="shared" si="198"/>
        <v>5402.94</v>
      </c>
      <c r="J607" s="77">
        <f t="shared" si="198"/>
        <v>5383.16</v>
      </c>
      <c r="K607" s="77">
        <f t="shared" si="198"/>
        <v>5392.64</v>
      </c>
      <c r="L607" s="77">
        <f t="shared" si="198"/>
        <v>5318.1</v>
      </c>
      <c r="M607" s="77">
        <f t="shared" si="198"/>
        <v>5405.880000000001</v>
      </c>
      <c r="N607" s="77">
        <f t="shared" si="198"/>
        <v>5386.58</v>
      </c>
      <c r="O607" s="77">
        <f t="shared" si="198"/>
        <v>5360.2199999999993</v>
      </c>
      <c r="P607" s="77">
        <f t="shared" si="198"/>
        <v>5374.8399999999992</v>
      </c>
      <c r="Q607" s="46"/>
      <c r="R607" s="46"/>
      <c r="S607" s="46"/>
      <c r="T607" s="46"/>
      <c r="U607" s="46"/>
      <c r="V607" s="229"/>
      <c r="W607" s="46"/>
    </row>
    <row r="608" spans="1:31" ht="12.75" customHeight="1" x14ac:dyDescent="0.25">
      <c r="A608" s="65">
        <v>43424</v>
      </c>
      <c r="B608" s="55" t="s">
        <v>204</v>
      </c>
      <c r="C608" s="59" t="s">
        <v>201</v>
      </c>
      <c r="D608" s="85">
        <v>3253.02</v>
      </c>
      <c r="E608" s="85">
        <v>3698.35</v>
      </c>
      <c r="F608" s="85">
        <v>3707.04</v>
      </c>
      <c r="G608" s="85">
        <v>3617.38</v>
      </c>
      <c r="H608" s="85">
        <v>3672.2</v>
      </c>
      <c r="I608" s="85">
        <v>3716.11</v>
      </c>
      <c r="J608" s="85">
        <v>3655.12</v>
      </c>
      <c r="K608" s="85">
        <v>3651.82</v>
      </c>
      <c r="L608" s="85">
        <v>3708.79</v>
      </c>
      <c r="M608" s="58"/>
      <c r="N608" s="58"/>
      <c r="O608" s="58"/>
      <c r="P608" s="58"/>
      <c r="Q608" s="55">
        <f>IF((L609=""),"",MAX(D610:L610))</f>
        <v>6809.01</v>
      </c>
      <c r="R608" s="55">
        <f>IF(L609="","",MIN(D610:L610))</f>
        <v>6385.59</v>
      </c>
      <c r="S608" s="57">
        <f>IF((L610=""),"",AVERAGE(D610:L610))</f>
        <v>6628.4433333333327</v>
      </c>
      <c r="T608" s="51">
        <f>IF((L609=""),"",(Q608-R608)/(Q608+R608)*100)</f>
        <v>3.2090400618434822</v>
      </c>
      <c r="U608" s="55">
        <f>STDEV(D610:P610)</f>
        <v>131.67137084423479</v>
      </c>
      <c r="V608" s="231" t="str">
        <f>IF(L609="","",IF(T608&lt;9.8,IF(S608&gt;5100,IF(S608&lt;8300,"Pass","Fail"),"Fail"),"Fail"))</f>
        <v>Pass</v>
      </c>
      <c r="W608" s="55">
        <v>121</v>
      </c>
      <c r="X608" s="72" t="s">
        <v>225</v>
      </c>
      <c r="Z608" s="37">
        <v>4955</v>
      </c>
      <c r="AA608" s="37">
        <v>9645</v>
      </c>
      <c r="AB608" s="37">
        <v>5100</v>
      </c>
      <c r="AC608" s="37">
        <v>8300</v>
      </c>
      <c r="AD608" s="67">
        <v>10</v>
      </c>
      <c r="AE608" s="67">
        <v>9.8000000000000007</v>
      </c>
    </row>
    <row r="609" spans="1:31" ht="16.100000000000001" x14ac:dyDescent="0.35">
      <c r="A609" s="294"/>
      <c r="B609" s="46"/>
      <c r="C609" s="54" t="s">
        <v>200</v>
      </c>
      <c r="D609" s="84">
        <v>1032.82</v>
      </c>
      <c r="E609" s="84">
        <v>1488.11</v>
      </c>
      <c r="F609" s="84">
        <v>1490.65</v>
      </c>
      <c r="G609" s="84">
        <v>1488.85</v>
      </c>
      <c r="H609" s="84">
        <v>1410.15</v>
      </c>
      <c r="I609" s="84">
        <v>1535.24</v>
      </c>
      <c r="J609" s="84">
        <v>1481.5</v>
      </c>
      <c r="K609" s="84">
        <v>1382.15</v>
      </c>
      <c r="L609" s="84">
        <v>1485.03</v>
      </c>
      <c r="M609" s="53"/>
      <c r="N609" s="53"/>
      <c r="O609" s="53"/>
      <c r="P609" s="53"/>
      <c r="Q609" s="46"/>
      <c r="R609" s="46"/>
      <c r="S609" s="46"/>
      <c r="T609" s="46"/>
      <c r="U609" s="46"/>
      <c r="V609" s="229"/>
      <c r="W609" s="46"/>
      <c r="X609" s="71"/>
    </row>
    <row r="610" spans="1:31" ht="22.75" thickBot="1" x14ac:dyDescent="0.4">
      <c r="A610" s="294"/>
      <c r="B610" s="46"/>
      <c r="C610" s="48" t="s">
        <v>199</v>
      </c>
      <c r="D610" s="52">
        <f t="shared" ref="D610:L610" si="199">IF(((D608="")*AND(D609="")),"",(D608-D609)*3)</f>
        <v>6660.5999999999995</v>
      </c>
      <c r="E610" s="52">
        <f t="shared" si="199"/>
        <v>6630.7199999999993</v>
      </c>
      <c r="F610" s="52">
        <f t="shared" si="199"/>
        <v>6649.17</v>
      </c>
      <c r="G610" s="52">
        <f t="shared" si="199"/>
        <v>6385.59</v>
      </c>
      <c r="H610" s="52">
        <f t="shared" si="199"/>
        <v>6786.15</v>
      </c>
      <c r="I610" s="52">
        <f t="shared" si="199"/>
        <v>6542.61</v>
      </c>
      <c r="J610" s="52">
        <f t="shared" si="199"/>
        <v>6520.86</v>
      </c>
      <c r="K610" s="52">
        <f t="shared" si="199"/>
        <v>6809.01</v>
      </c>
      <c r="L610" s="52">
        <f t="shared" si="199"/>
        <v>6671.2800000000007</v>
      </c>
      <c r="M610" s="52"/>
      <c r="N610" s="52"/>
      <c r="O610" s="52"/>
      <c r="P610" s="52" t="str">
        <f>IF(((P608="")*AND(P609="")),"",(P608-P609)*2)</f>
        <v/>
      </c>
      <c r="Q610" s="46"/>
      <c r="R610" s="46"/>
      <c r="S610" s="46"/>
      <c r="T610" s="46"/>
      <c r="U610" s="46"/>
      <c r="V610" s="229"/>
      <c r="W610" s="46"/>
      <c r="X610" s="71"/>
    </row>
    <row r="611" spans="1:31" ht="12.75" customHeight="1" x14ac:dyDescent="0.25">
      <c r="A611" s="79">
        <v>43424</v>
      </c>
      <c r="B611" s="48" t="s">
        <v>202</v>
      </c>
      <c r="C611" s="48" t="s">
        <v>201</v>
      </c>
      <c r="D611" s="84">
        <v>4025.87</v>
      </c>
      <c r="E611" s="84">
        <v>4101.12</v>
      </c>
      <c r="F611" s="84">
        <v>4021.82</v>
      </c>
      <c r="G611" s="84">
        <v>4020.21</v>
      </c>
      <c r="H611" s="84">
        <v>3905.71</v>
      </c>
      <c r="I611" s="84">
        <v>3958.4</v>
      </c>
      <c r="J611" s="84">
        <v>4032.71</v>
      </c>
      <c r="K611" s="84">
        <v>3970</v>
      </c>
      <c r="L611" s="84">
        <v>4037.23</v>
      </c>
      <c r="M611" s="84">
        <v>4019.08</v>
      </c>
      <c r="N611" s="84">
        <v>4145.09</v>
      </c>
      <c r="O611" s="84">
        <v>4013.14</v>
      </c>
      <c r="P611" s="84">
        <v>3927.48</v>
      </c>
      <c r="Q611" s="48">
        <f>IF((L612=""),"",MAX(D613:P613))</f>
        <v>5473.52</v>
      </c>
      <c r="R611" s="48">
        <f>IF(L612="","",MIN(D613:L613))</f>
        <v>5313.1</v>
      </c>
      <c r="S611" s="51">
        <f>IF((P613=""),"",AVERAGE(D613:P613))</f>
        <v>5388.6353846153843</v>
      </c>
      <c r="T611" s="50">
        <f>IF((L612=""),"",(Q611-R611)/(Q611+R611)*100)</f>
        <v>1.4872128618603424</v>
      </c>
      <c r="U611" s="48">
        <f>STDEV(D613:P613)</f>
        <v>50.378043599598854</v>
      </c>
      <c r="V611" s="228" t="str">
        <f>IF(P612="","",IF(T611&lt;2.7,IF(S611&gt;5150,IF(S611&lt;5600,"Pass","Fail"),"Fail"),"Fail"))</f>
        <v>Pass</v>
      </c>
      <c r="W611" s="48">
        <v>121</v>
      </c>
      <c r="X611" s="71" t="s">
        <v>225</v>
      </c>
      <c r="Z611" s="251">
        <v>4470</v>
      </c>
      <c r="AA611" s="251">
        <v>6020</v>
      </c>
      <c r="AB611" s="251">
        <v>5150</v>
      </c>
      <c r="AC611" s="251">
        <v>5600</v>
      </c>
      <c r="AD611" s="67">
        <v>10</v>
      </c>
      <c r="AE611" s="252">
        <v>2.7</v>
      </c>
    </row>
    <row r="612" spans="1:31" ht="16.100000000000001" x14ac:dyDescent="0.35">
      <c r="A612" s="294"/>
      <c r="B612" s="46"/>
      <c r="C612" s="46" t="s">
        <v>200</v>
      </c>
      <c r="D612" s="84">
        <v>1363.97</v>
      </c>
      <c r="E612" s="84">
        <v>1414.27</v>
      </c>
      <c r="F612" s="84">
        <v>1365.27</v>
      </c>
      <c r="G612" s="84">
        <v>1338.05</v>
      </c>
      <c r="H612" s="84">
        <v>1168.95</v>
      </c>
      <c r="I612" s="84">
        <v>1232.44</v>
      </c>
      <c r="J612" s="84">
        <v>1337.55</v>
      </c>
      <c r="K612" s="84">
        <v>1264.24</v>
      </c>
      <c r="L612" s="84">
        <v>1373.3</v>
      </c>
      <c r="M612" s="84">
        <v>1317.8</v>
      </c>
      <c r="N612" s="84">
        <v>1439.33</v>
      </c>
      <c r="O612" s="84">
        <v>1330.82</v>
      </c>
      <c r="P612" s="84">
        <v>1205.74</v>
      </c>
      <c r="Q612" s="46"/>
      <c r="R612" s="46"/>
      <c r="S612" s="46"/>
      <c r="T612" s="46"/>
      <c r="U612" s="46"/>
      <c r="V612" s="229"/>
      <c r="W612" s="46"/>
      <c r="X612" s="71"/>
    </row>
    <row r="613" spans="1:31" ht="22.75" thickBot="1" x14ac:dyDescent="0.4">
      <c r="A613" s="294"/>
      <c r="B613" s="42"/>
      <c r="C613" s="42" t="s">
        <v>199</v>
      </c>
      <c r="D613" s="44">
        <f t="shared" ref="D613:P613" si="200">IF(((D611="")*AND(D612="")),"",(D611-D612)*2)</f>
        <v>5323.7999999999993</v>
      </c>
      <c r="E613" s="44">
        <f t="shared" si="200"/>
        <v>5373.7</v>
      </c>
      <c r="F613" s="44">
        <f t="shared" si="200"/>
        <v>5313.1</v>
      </c>
      <c r="G613" s="44">
        <f t="shared" si="200"/>
        <v>5364.32</v>
      </c>
      <c r="H613" s="44">
        <f t="shared" si="200"/>
        <v>5473.52</v>
      </c>
      <c r="I613" s="44">
        <f t="shared" si="200"/>
        <v>5451.92</v>
      </c>
      <c r="J613" s="44">
        <f t="shared" si="200"/>
        <v>5390.32</v>
      </c>
      <c r="K613" s="44">
        <f t="shared" si="200"/>
        <v>5411.52</v>
      </c>
      <c r="L613" s="44">
        <f t="shared" si="200"/>
        <v>5327.8600000000006</v>
      </c>
      <c r="M613" s="44">
        <f t="shared" si="200"/>
        <v>5402.5599999999995</v>
      </c>
      <c r="N613" s="44">
        <f t="shared" si="200"/>
        <v>5411.52</v>
      </c>
      <c r="O613" s="44">
        <f t="shared" si="200"/>
        <v>5364.6399999999994</v>
      </c>
      <c r="P613" s="44">
        <f t="shared" si="200"/>
        <v>5443.48</v>
      </c>
      <c r="Q613" s="42"/>
      <c r="R613" s="42"/>
      <c r="S613" s="42"/>
      <c r="T613" s="42"/>
      <c r="U613" s="42"/>
      <c r="V613" s="230"/>
      <c r="W613" s="42"/>
      <c r="X613" s="70"/>
    </row>
    <row r="614" spans="1:31" ht="12.75" customHeight="1" x14ac:dyDescent="0.25">
      <c r="A614" s="65">
        <v>43430</v>
      </c>
      <c r="B614" s="55" t="s">
        <v>202</v>
      </c>
      <c r="C614" s="55" t="s">
        <v>201</v>
      </c>
      <c r="D614" s="35">
        <v>6687.74</v>
      </c>
      <c r="E614" s="35">
        <v>6806.67</v>
      </c>
      <c r="F614" s="35">
        <v>6650.92</v>
      </c>
      <c r="G614" s="35">
        <v>6686.51</v>
      </c>
      <c r="H614" s="35">
        <v>6633.52</v>
      </c>
      <c r="I614" s="35">
        <v>6666.63</v>
      </c>
      <c r="J614" s="35">
        <v>6709.58</v>
      </c>
      <c r="K614" s="35">
        <v>6649.86</v>
      </c>
      <c r="L614" s="35">
        <v>6659.69</v>
      </c>
      <c r="M614" s="35">
        <v>6696.91</v>
      </c>
      <c r="N614" s="35">
        <v>6856.59</v>
      </c>
      <c r="O614" s="35">
        <v>6652.6</v>
      </c>
      <c r="P614" s="35">
        <v>6597.31</v>
      </c>
      <c r="Q614" s="48">
        <f>IF((L615=""),"",MAX(D616:P616))</f>
        <v>5414.2599999999993</v>
      </c>
      <c r="R614" s="48">
        <f>IF(L615="","",MIN(D616:L616))</f>
        <v>5321.26</v>
      </c>
      <c r="S614" s="51">
        <f>IF((P616=""),"",AVERAGE(D616:P616))</f>
        <v>5373.0292307692298</v>
      </c>
      <c r="T614" s="50">
        <f>IF((L615=""),"",(Q614-R614)/(Q614+R614)*100)</f>
        <v>0.86628314231633941</v>
      </c>
      <c r="U614" s="48">
        <f>STDEV(D616:P616)</f>
        <v>30.685294648940758</v>
      </c>
      <c r="V614" s="228" t="str">
        <f>IF(P615="","",IF(T614&lt;2.7,IF(S614&gt;5150,IF(S614&lt;5600,"Pass","Fail"),"Fail"),"Fail"))</f>
        <v>Pass</v>
      </c>
      <c r="W614" s="48">
        <v>1340</v>
      </c>
      <c r="X614" s="80"/>
      <c r="Z614" s="251">
        <v>4470</v>
      </c>
      <c r="AA614" s="251">
        <v>6020</v>
      </c>
      <c r="AB614" s="251">
        <v>5150</v>
      </c>
      <c r="AC614" s="251">
        <v>5600</v>
      </c>
      <c r="AD614" s="67">
        <v>10</v>
      </c>
      <c r="AE614" s="252">
        <v>2.7</v>
      </c>
    </row>
    <row r="615" spans="1:31" ht="16.100000000000001" x14ac:dyDescent="0.35">
      <c r="A615" s="294"/>
      <c r="B615" s="46"/>
      <c r="C615" s="46" t="s">
        <v>200</v>
      </c>
      <c r="D615" s="35">
        <v>4022.65</v>
      </c>
      <c r="E615" s="35">
        <v>4120.5600000000004</v>
      </c>
      <c r="F615" s="35">
        <v>3990.29</v>
      </c>
      <c r="G615" s="35">
        <v>4001.41</v>
      </c>
      <c r="H615" s="35">
        <v>3950.13</v>
      </c>
      <c r="I615" s="35">
        <v>3963.96</v>
      </c>
      <c r="J615" s="35">
        <v>4012.5</v>
      </c>
      <c r="K615" s="35">
        <v>3949.58</v>
      </c>
      <c r="L615" s="35">
        <v>3997.09</v>
      </c>
      <c r="M615" s="35">
        <v>3989.78</v>
      </c>
      <c r="N615" s="35">
        <v>4160.63</v>
      </c>
      <c r="O615" s="35">
        <v>3966.42</v>
      </c>
      <c r="P615" s="35">
        <v>3904.84</v>
      </c>
      <c r="Q615" s="46"/>
      <c r="R615" s="46"/>
      <c r="S615" s="46"/>
      <c r="T615" s="46"/>
      <c r="U615" s="46"/>
      <c r="V615" s="229"/>
      <c r="W615" s="46"/>
      <c r="X615" s="207"/>
    </row>
    <row r="616" spans="1:31" ht="22.15" x14ac:dyDescent="0.35">
      <c r="A616" s="294"/>
      <c r="B616" s="78"/>
      <c r="C616" s="78" t="s">
        <v>199</v>
      </c>
      <c r="D616" s="77">
        <f t="shared" ref="D616:P616" si="201">IF(((D614="")*AND(D615="")),"",(D614-D615)*2)</f>
        <v>5330.1799999999994</v>
      </c>
      <c r="E616" s="77">
        <f t="shared" si="201"/>
        <v>5372.2199999999993</v>
      </c>
      <c r="F616" s="77">
        <f t="shared" si="201"/>
        <v>5321.26</v>
      </c>
      <c r="G616" s="77">
        <f t="shared" si="201"/>
        <v>5370.2000000000007</v>
      </c>
      <c r="H616" s="77">
        <f t="shared" si="201"/>
        <v>5366.7800000000007</v>
      </c>
      <c r="I616" s="77">
        <f t="shared" si="201"/>
        <v>5405.34</v>
      </c>
      <c r="J616" s="77">
        <f t="shared" si="201"/>
        <v>5394.16</v>
      </c>
      <c r="K616" s="77">
        <f t="shared" si="201"/>
        <v>5400.5599999999995</v>
      </c>
      <c r="L616" s="77">
        <f t="shared" si="201"/>
        <v>5325.1999999999989</v>
      </c>
      <c r="M616" s="77">
        <f t="shared" si="201"/>
        <v>5414.2599999999993</v>
      </c>
      <c r="N616" s="77">
        <f t="shared" si="201"/>
        <v>5391.92</v>
      </c>
      <c r="O616" s="77">
        <f t="shared" si="201"/>
        <v>5372.3600000000006</v>
      </c>
      <c r="P616" s="77">
        <f t="shared" si="201"/>
        <v>5384.9400000000005</v>
      </c>
      <c r="Q616" s="46"/>
      <c r="R616" s="46"/>
      <c r="S616" s="46"/>
      <c r="T616" s="46"/>
      <c r="U616" s="46"/>
      <c r="V616" s="229"/>
      <c r="W616" s="46"/>
      <c r="X616" s="207"/>
    </row>
    <row r="617" spans="1:31" ht="12.75" customHeight="1" x14ac:dyDescent="0.25">
      <c r="A617" s="79">
        <v>43430</v>
      </c>
      <c r="B617" s="48" t="s">
        <v>204</v>
      </c>
      <c r="C617" s="54" t="s">
        <v>201</v>
      </c>
      <c r="D617" s="35">
        <v>5965.84</v>
      </c>
      <c r="E617" s="35">
        <v>6083.65</v>
      </c>
      <c r="F617" s="35">
        <v>6137.2</v>
      </c>
      <c r="G617" s="35">
        <v>6081</v>
      </c>
      <c r="H617" s="35">
        <v>6096.07</v>
      </c>
      <c r="I617" s="35">
        <v>6151.94</v>
      </c>
      <c r="J617" s="35">
        <v>6036.17</v>
      </c>
      <c r="K617" s="35">
        <v>6046.72</v>
      </c>
      <c r="L617" s="35">
        <v>6131.11</v>
      </c>
      <c r="M617" s="53"/>
      <c r="N617" s="53"/>
      <c r="O617" s="53"/>
      <c r="P617" s="53"/>
      <c r="Q617" s="48">
        <f>IF((L618=""),"",MAX(D619:L619))</f>
        <v>7213.7100000000009</v>
      </c>
      <c r="R617" s="48">
        <f>IF(L618="","",MIN(D619:L619))</f>
        <v>6800.1600000000008</v>
      </c>
      <c r="S617" s="75">
        <f>IF((L619=""),"",AVERAGE(D619:L619))</f>
        <v>7002.7566666666671</v>
      </c>
      <c r="T617" s="50">
        <f>IF((L618=""),"",(Q617-R617)/(Q617+R617)*100)</f>
        <v>2.9510049686489177</v>
      </c>
      <c r="U617" s="48">
        <f>STDEV(D619:P619)</f>
        <v>114.76195014027947</v>
      </c>
      <c r="V617" s="228" t="str">
        <f>IF(L618="","",IF(T617&lt;9.8,IF(S617&gt;5100,IF(S617&lt;8300,"Pass","Fail"),"Fail"),"Fail"))</f>
        <v>Pass</v>
      </c>
      <c r="W617" s="46">
        <v>1340</v>
      </c>
      <c r="X617" s="207"/>
      <c r="Z617" s="37">
        <v>4955</v>
      </c>
      <c r="AA617" s="37">
        <v>9645</v>
      </c>
      <c r="AB617" s="37">
        <v>5100</v>
      </c>
      <c r="AC617" s="37">
        <v>8300</v>
      </c>
      <c r="AD617" s="67">
        <v>10</v>
      </c>
      <c r="AE617" s="67">
        <v>9.8000000000000007</v>
      </c>
    </row>
    <row r="618" spans="1:31" ht="16.100000000000001" x14ac:dyDescent="0.35">
      <c r="A618" s="294"/>
      <c r="B618" s="46"/>
      <c r="C618" s="54" t="s">
        <v>200</v>
      </c>
      <c r="D618" s="35">
        <v>3603.78</v>
      </c>
      <c r="E618" s="35">
        <v>3757.26</v>
      </c>
      <c r="F618" s="35">
        <v>3791.35</v>
      </c>
      <c r="G618" s="35">
        <v>3676.43</v>
      </c>
      <c r="H618" s="35">
        <v>3768.26</v>
      </c>
      <c r="I618" s="35">
        <v>3810.54</v>
      </c>
      <c r="J618" s="35">
        <v>3769.45</v>
      </c>
      <c r="K618" s="35">
        <v>3746.2</v>
      </c>
      <c r="L618" s="35">
        <v>3798.16</v>
      </c>
      <c r="M618" s="53"/>
      <c r="N618" s="53"/>
      <c r="O618" s="53"/>
      <c r="P618" s="53"/>
      <c r="Q618" s="46"/>
      <c r="R618" s="46"/>
      <c r="S618" s="46"/>
      <c r="T618" s="46"/>
      <c r="U618" s="46"/>
      <c r="V618" s="229"/>
      <c r="W618" s="46"/>
      <c r="X618" s="207"/>
    </row>
    <row r="619" spans="1:31" ht="22.75" thickBot="1" x14ac:dyDescent="0.4">
      <c r="A619" s="294"/>
      <c r="B619" s="42"/>
      <c r="C619" s="74" t="s">
        <v>199</v>
      </c>
      <c r="D619" s="52">
        <f t="shared" ref="D619:L619" si="202">IF(((D617="")*AND(D618="")),"",(D617-D618)*3)</f>
        <v>7086.18</v>
      </c>
      <c r="E619" s="52">
        <f t="shared" si="202"/>
        <v>6979.1699999999983</v>
      </c>
      <c r="F619" s="52">
        <f t="shared" si="202"/>
        <v>7037.5499999999993</v>
      </c>
      <c r="G619" s="52">
        <f t="shared" si="202"/>
        <v>7213.7100000000009</v>
      </c>
      <c r="H619" s="52">
        <f t="shared" si="202"/>
        <v>6983.4299999999985</v>
      </c>
      <c r="I619" s="52">
        <f t="shared" si="202"/>
        <v>7024.1999999999989</v>
      </c>
      <c r="J619" s="52">
        <f t="shared" si="202"/>
        <v>6800.1600000000008</v>
      </c>
      <c r="K619" s="52">
        <f t="shared" si="202"/>
        <v>6901.5600000000013</v>
      </c>
      <c r="L619" s="52">
        <f t="shared" si="202"/>
        <v>6998.8499999999995</v>
      </c>
      <c r="M619" s="52"/>
      <c r="N619" s="52"/>
      <c r="O619" s="52"/>
      <c r="P619" s="52" t="str">
        <f>IF(((P617="")*AND(P618="")),"",(P617-P618)*2)</f>
        <v/>
      </c>
      <c r="Q619" s="46"/>
      <c r="R619" s="46"/>
      <c r="S619" s="46"/>
      <c r="T619" s="46"/>
      <c r="U619" s="46"/>
      <c r="V619" s="229"/>
      <c r="W619" s="46"/>
      <c r="X619" s="217"/>
    </row>
    <row r="620" spans="1:31" ht="12.75" customHeight="1" x14ac:dyDescent="0.25">
      <c r="A620" s="65">
        <v>43432</v>
      </c>
      <c r="B620" s="55" t="s">
        <v>202</v>
      </c>
      <c r="C620" s="55" t="s">
        <v>201</v>
      </c>
      <c r="D620" s="35">
        <v>6865.9</v>
      </c>
      <c r="E620" s="35">
        <v>6979.12</v>
      </c>
      <c r="F620" s="35">
        <v>6831.94</v>
      </c>
      <c r="G620" s="35">
        <v>6870.1</v>
      </c>
      <c r="H620" s="35">
        <v>6787.82</v>
      </c>
      <c r="I620" s="35">
        <v>6831.11</v>
      </c>
      <c r="J620" s="35">
        <v>6897.33</v>
      </c>
      <c r="K620" s="35">
        <v>6844.52</v>
      </c>
      <c r="L620" s="35">
        <v>6847.02</v>
      </c>
      <c r="M620" s="35">
        <v>6880.87</v>
      </c>
      <c r="N620" s="35">
        <v>7033.6</v>
      </c>
      <c r="O620" s="35">
        <v>6836.33</v>
      </c>
      <c r="P620" s="35">
        <v>6766.03</v>
      </c>
      <c r="Q620" s="48">
        <f>IF((L621=""),"",MAX(D622:P622))</f>
        <v>5569.96</v>
      </c>
      <c r="R620" s="48">
        <f>IF(L621="","",MIN(D622:L622))</f>
        <v>5441.34</v>
      </c>
      <c r="S620" s="51">
        <f>IF((P622=""),"",AVERAGE(D622:P622))</f>
        <v>5505.7830769230777</v>
      </c>
      <c r="T620" s="50">
        <f>IF((L621=""),"",(Q620-R620)/(Q620+R620)*100)</f>
        <v>1.1680727979439294</v>
      </c>
      <c r="U620" s="48">
        <f>STDEV(D622:P622)</f>
        <v>40.716921827133724</v>
      </c>
      <c r="V620" s="228" t="str">
        <f>IF(P621="","",IF(T620&lt;2.7,IF(S620&gt;5150,IF(S620&lt;5600,"Pass","Fail"),"Fail"),"Fail"))</f>
        <v>Pass</v>
      </c>
      <c r="W620" s="48">
        <v>74</v>
      </c>
      <c r="X620" s="80"/>
      <c r="Z620" s="251">
        <v>4470</v>
      </c>
      <c r="AA620" s="251">
        <v>6020</v>
      </c>
      <c r="AB620" s="251">
        <v>5150</v>
      </c>
      <c r="AC620" s="251">
        <v>5600</v>
      </c>
      <c r="AD620" s="67">
        <v>10</v>
      </c>
      <c r="AE620" s="252">
        <v>2.7</v>
      </c>
    </row>
    <row r="621" spans="1:31" ht="16.100000000000001" x14ac:dyDescent="0.35">
      <c r="A621" s="294"/>
      <c r="B621" s="46"/>
      <c r="C621" s="46" t="s">
        <v>200</v>
      </c>
      <c r="D621" s="35">
        <v>4145.2299999999996</v>
      </c>
      <c r="E621" s="35">
        <v>4241.82</v>
      </c>
      <c r="F621" s="35">
        <v>4109.79</v>
      </c>
      <c r="G621" s="35">
        <v>4113.78</v>
      </c>
      <c r="H621" s="35">
        <v>4035.95</v>
      </c>
      <c r="I621" s="35">
        <v>4063.35</v>
      </c>
      <c r="J621" s="35">
        <v>4126.75</v>
      </c>
      <c r="K621" s="35">
        <v>4068.21</v>
      </c>
      <c r="L621" s="35">
        <v>4117.57</v>
      </c>
      <c r="M621" s="35">
        <v>4095.89</v>
      </c>
      <c r="N621" s="35">
        <v>4276.72</v>
      </c>
      <c r="O621" s="35">
        <v>4083.45</v>
      </c>
      <c r="P621" s="35">
        <v>4005.59</v>
      </c>
      <c r="Q621" s="46"/>
      <c r="R621" s="46"/>
      <c r="S621" s="46"/>
      <c r="T621" s="46"/>
      <c r="U621" s="46"/>
      <c r="V621" s="229"/>
      <c r="W621" s="46"/>
      <c r="X621" s="207"/>
    </row>
    <row r="622" spans="1:31" ht="22.15" x14ac:dyDescent="0.35">
      <c r="A622" s="294"/>
      <c r="B622" s="78"/>
      <c r="C622" s="78" t="s">
        <v>199</v>
      </c>
      <c r="D622" s="77">
        <f t="shared" ref="D622:P622" si="203">IF(((D620="")*AND(D621="")),"",(D620-D621)*2)</f>
        <v>5441.34</v>
      </c>
      <c r="E622" s="77">
        <f t="shared" si="203"/>
        <v>5474.6</v>
      </c>
      <c r="F622" s="77">
        <f t="shared" si="203"/>
        <v>5444.2999999999993</v>
      </c>
      <c r="G622" s="77">
        <f t="shared" si="203"/>
        <v>5512.6400000000012</v>
      </c>
      <c r="H622" s="77">
        <f t="shared" si="203"/>
        <v>5503.74</v>
      </c>
      <c r="I622" s="77">
        <f t="shared" si="203"/>
        <v>5535.5199999999995</v>
      </c>
      <c r="J622" s="77">
        <f t="shared" si="203"/>
        <v>5541.16</v>
      </c>
      <c r="K622" s="77">
        <f t="shared" si="203"/>
        <v>5552.6200000000008</v>
      </c>
      <c r="L622" s="77">
        <f t="shared" si="203"/>
        <v>5458.9000000000015</v>
      </c>
      <c r="M622" s="77">
        <f t="shared" si="203"/>
        <v>5569.96</v>
      </c>
      <c r="N622" s="77">
        <f t="shared" si="203"/>
        <v>5513.76</v>
      </c>
      <c r="O622" s="77">
        <f t="shared" si="203"/>
        <v>5505.76</v>
      </c>
      <c r="P622" s="77">
        <f t="shared" si="203"/>
        <v>5520.8799999999992</v>
      </c>
      <c r="Q622" s="46"/>
      <c r="R622" s="46"/>
      <c r="S622" s="46"/>
      <c r="T622" s="46"/>
      <c r="U622" s="46"/>
      <c r="V622" s="229"/>
      <c r="W622" s="46"/>
      <c r="X622" s="207"/>
    </row>
    <row r="623" spans="1:31" ht="12.75" customHeight="1" x14ac:dyDescent="0.25">
      <c r="A623" s="79">
        <v>43432</v>
      </c>
      <c r="B623" s="48" t="s">
        <v>204</v>
      </c>
      <c r="C623" s="54" t="s">
        <v>201</v>
      </c>
      <c r="D623" s="35">
        <v>5984.51</v>
      </c>
      <c r="E623" s="35">
        <v>6080.26</v>
      </c>
      <c r="F623" s="35">
        <v>6139.81</v>
      </c>
      <c r="G623" s="35">
        <v>6083</v>
      </c>
      <c r="H623" s="35">
        <v>6062.46</v>
      </c>
      <c r="I623" s="35">
        <v>6152.69</v>
      </c>
      <c r="J623" s="35">
        <v>6020.16</v>
      </c>
      <c r="K623" s="35">
        <v>6094.42</v>
      </c>
      <c r="L623" s="35">
        <v>6132.28</v>
      </c>
      <c r="M623" s="53"/>
      <c r="N623" s="53"/>
      <c r="O623" s="53"/>
      <c r="P623" s="53"/>
      <c r="Q623" s="48">
        <f>IF((L624=""),"",MAX(D625:L625))</f>
        <v>7769.85</v>
      </c>
      <c r="R623" s="48">
        <f>IF(L624="","",MIN(D625:L625))</f>
        <v>7184.6399999999994</v>
      </c>
      <c r="S623" s="75">
        <f>IF((L625=""),"",AVERAGE(D625:L625))</f>
        <v>7398.8433333333332</v>
      </c>
      <c r="T623" s="50">
        <f>IF((L624=""),"",(Q623-R623)/(Q623+R623)*100)</f>
        <v>3.9132728698872445</v>
      </c>
      <c r="U623" s="48">
        <f>STDEV(D625:P625)</f>
        <v>186.01028345228679</v>
      </c>
      <c r="V623" s="228" t="str">
        <f>IF(L624="","",IF(T623&lt;9.8,IF(S623&gt;5100,IF(S623&lt;8300,"Pass","Fail"),"Fail"),"Fail"))</f>
        <v>Pass</v>
      </c>
      <c r="W623" s="46">
        <v>74</v>
      </c>
      <c r="X623" s="207"/>
      <c r="Z623" s="37">
        <v>4955</v>
      </c>
      <c r="AA623" s="37">
        <v>9645</v>
      </c>
      <c r="AB623" s="37">
        <v>5100</v>
      </c>
      <c r="AC623" s="37">
        <v>8300</v>
      </c>
      <c r="AD623" s="67">
        <v>10</v>
      </c>
      <c r="AE623" s="67">
        <v>9.8000000000000007</v>
      </c>
    </row>
    <row r="624" spans="1:31" ht="16.100000000000001" x14ac:dyDescent="0.35">
      <c r="A624" s="294"/>
      <c r="B624" s="46"/>
      <c r="C624" s="54" t="s">
        <v>200</v>
      </c>
      <c r="D624" s="35">
        <v>3394.56</v>
      </c>
      <c r="E624" s="35">
        <v>3640.16</v>
      </c>
      <c r="F624" s="35">
        <v>3678.42</v>
      </c>
      <c r="G624" s="35">
        <v>3536.08</v>
      </c>
      <c r="H624" s="35">
        <v>3629.61</v>
      </c>
      <c r="I624" s="35">
        <v>3696.43</v>
      </c>
      <c r="J624" s="35">
        <v>3625.28</v>
      </c>
      <c r="K624" s="35">
        <v>3668.03</v>
      </c>
      <c r="L624" s="35">
        <v>3684.49</v>
      </c>
      <c r="M624" s="53"/>
      <c r="N624" s="53"/>
      <c r="O624" s="53"/>
      <c r="P624" s="53"/>
      <c r="Q624" s="46"/>
      <c r="R624" s="46"/>
      <c r="S624" s="46"/>
      <c r="T624" s="46"/>
      <c r="U624" s="46"/>
      <c r="V624" s="229"/>
      <c r="W624" s="46"/>
      <c r="X624" s="207"/>
    </row>
    <row r="625" spans="1:31" ht="22.75" thickBot="1" x14ac:dyDescent="0.4">
      <c r="A625" s="294"/>
      <c r="B625" s="42"/>
      <c r="C625" s="74" t="s">
        <v>199</v>
      </c>
      <c r="D625" s="52">
        <f t="shared" ref="D625:L625" si="204">IF(((D623="")*AND(D624="")),"",(D623-D624)*3)</f>
        <v>7769.85</v>
      </c>
      <c r="E625" s="52">
        <f t="shared" si="204"/>
        <v>7320.3000000000011</v>
      </c>
      <c r="F625" s="52">
        <f t="shared" si="204"/>
        <v>7384.170000000001</v>
      </c>
      <c r="G625" s="52">
        <f t="shared" si="204"/>
        <v>7640.76</v>
      </c>
      <c r="H625" s="52">
        <f t="shared" si="204"/>
        <v>7298.5499999999993</v>
      </c>
      <c r="I625" s="52">
        <f t="shared" si="204"/>
        <v>7368.7799999999988</v>
      </c>
      <c r="J625" s="52">
        <f t="shared" si="204"/>
        <v>7184.6399999999994</v>
      </c>
      <c r="K625" s="52">
        <f t="shared" si="204"/>
        <v>7279.17</v>
      </c>
      <c r="L625" s="52">
        <f t="shared" si="204"/>
        <v>7343.37</v>
      </c>
      <c r="M625" s="52"/>
      <c r="N625" s="52"/>
      <c r="O625" s="52"/>
      <c r="P625" s="52" t="str">
        <f>IF(((P623="")*AND(P624="")),"",(P623-P624)*2)</f>
        <v/>
      </c>
      <c r="Q625" s="46"/>
      <c r="R625" s="46"/>
      <c r="S625" s="46"/>
      <c r="T625" s="46"/>
      <c r="U625" s="46"/>
      <c r="V625" s="229"/>
      <c r="W625" s="46"/>
      <c r="X625" s="217"/>
    </row>
    <row r="626" spans="1:31" ht="12.75" customHeight="1" x14ac:dyDescent="0.25">
      <c r="A626" s="65">
        <v>43434</v>
      </c>
      <c r="B626" s="55" t="s">
        <v>202</v>
      </c>
      <c r="C626" s="55" t="s">
        <v>201</v>
      </c>
      <c r="D626" s="35">
        <v>4145.2299999999996</v>
      </c>
      <c r="E626" s="35">
        <v>4241.82</v>
      </c>
      <c r="F626" s="35">
        <v>4109.79</v>
      </c>
      <c r="G626" s="35">
        <v>4113.78</v>
      </c>
      <c r="H626" s="35">
        <v>4035.95</v>
      </c>
      <c r="I626" s="35">
        <v>4063.35</v>
      </c>
      <c r="J626" s="35">
        <v>4126.75</v>
      </c>
      <c r="K626" s="35">
        <v>4068.21</v>
      </c>
      <c r="L626" s="35">
        <v>4117.57</v>
      </c>
      <c r="M626" s="35">
        <v>4095.89</v>
      </c>
      <c r="N626" s="35">
        <v>4276.72</v>
      </c>
      <c r="O626" s="35">
        <v>4083.45</v>
      </c>
      <c r="P626" s="35">
        <v>4005.59</v>
      </c>
      <c r="Q626" s="48">
        <f>IF((L627=""),"",MAX(D628:P628))</f>
        <v>5686.46</v>
      </c>
      <c r="R626" s="55">
        <f>IF(L627="","",MIN(D628:L628))</f>
        <v>5511.6999999999989</v>
      </c>
      <c r="S626" s="51">
        <f>IF((P628=""),"",AVERAGE(D628:P628))</f>
        <v>5578.0538461538463</v>
      </c>
      <c r="T626" s="51">
        <f>IF((L627=""),"",(Q626-R626)/(Q626+R626)*100)</f>
        <v>1.5606135293655488</v>
      </c>
      <c r="U626" s="55">
        <f>STDEV(D628:P628)</f>
        <v>54.066455641562463</v>
      </c>
      <c r="V626" s="231" t="str">
        <f>IF(P627="","",IF(T626&lt;2.7,IF(S626&gt;5150,IF(S626&lt;5600,"Pass","Fail"),"Fail"),"Fail"))</f>
        <v>Pass</v>
      </c>
      <c r="W626" s="55">
        <v>64</v>
      </c>
      <c r="X626" s="80"/>
      <c r="Z626" s="251">
        <v>4470</v>
      </c>
      <c r="AA626" s="251">
        <v>6020</v>
      </c>
      <c r="AB626" s="251">
        <v>5150</v>
      </c>
      <c r="AC626" s="251">
        <v>5600</v>
      </c>
      <c r="AD626" s="67">
        <v>10</v>
      </c>
      <c r="AE626" s="252">
        <v>2.7</v>
      </c>
    </row>
    <row r="627" spans="1:31" ht="16.100000000000001" x14ac:dyDescent="0.35">
      <c r="A627" s="294"/>
      <c r="B627" s="46"/>
      <c r="C627" s="46" t="s">
        <v>200</v>
      </c>
      <c r="D627" s="35">
        <v>1389.38</v>
      </c>
      <c r="E627" s="35">
        <v>1468.54</v>
      </c>
      <c r="F627" s="35">
        <v>1349.68</v>
      </c>
      <c r="G627" s="35">
        <v>1312.56</v>
      </c>
      <c r="H627" s="35">
        <v>1260.4100000000001</v>
      </c>
      <c r="I627" s="35">
        <v>1256.72</v>
      </c>
      <c r="J627" s="35">
        <v>1309.96</v>
      </c>
      <c r="K627" s="35">
        <v>1224.98</v>
      </c>
      <c r="L627" s="35">
        <v>1350.53</v>
      </c>
      <c r="M627" s="35">
        <v>1270.42</v>
      </c>
      <c r="N627" s="35">
        <v>1497.73</v>
      </c>
      <c r="O627" s="35">
        <v>1304.17</v>
      </c>
      <c r="P627" s="35">
        <v>1231.67</v>
      </c>
      <c r="Q627" s="46"/>
      <c r="R627" s="46"/>
      <c r="S627" s="46"/>
      <c r="T627" s="46"/>
      <c r="U627" s="46"/>
      <c r="V627" s="229"/>
      <c r="W627" s="46"/>
      <c r="X627" s="207"/>
    </row>
    <row r="628" spans="1:31" ht="22.75" thickBot="1" x14ac:dyDescent="0.4">
      <c r="A628" s="294"/>
      <c r="B628" s="78"/>
      <c r="C628" s="78" t="s">
        <v>199</v>
      </c>
      <c r="D628" s="83">
        <f t="shared" ref="D628:P628" si="205">IF(((D626="")*AND(D627="")),"",(D626-D627)*2)</f>
        <v>5511.6999999999989</v>
      </c>
      <c r="E628" s="83">
        <f t="shared" si="205"/>
        <v>5546.5599999999995</v>
      </c>
      <c r="F628" s="83">
        <f t="shared" si="205"/>
        <v>5520.2199999999993</v>
      </c>
      <c r="G628" s="83">
        <f t="shared" si="205"/>
        <v>5602.44</v>
      </c>
      <c r="H628" s="83">
        <f t="shared" si="205"/>
        <v>5551.08</v>
      </c>
      <c r="I628" s="83">
        <f t="shared" si="205"/>
        <v>5613.26</v>
      </c>
      <c r="J628" s="83">
        <f t="shared" si="205"/>
        <v>5633.58</v>
      </c>
      <c r="K628" s="83">
        <f t="shared" si="205"/>
        <v>5686.46</v>
      </c>
      <c r="L628" s="83">
        <f t="shared" si="205"/>
        <v>5534.08</v>
      </c>
      <c r="M628" s="83">
        <f t="shared" si="205"/>
        <v>5650.94</v>
      </c>
      <c r="N628" s="83">
        <f t="shared" si="205"/>
        <v>5557.9800000000005</v>
      </c>
      <c r="O628" s="83">
        <f t="shared" si="205"/>
        <v>5558.5599999999995</v>
      </c>
      <c r="P628" s="83">
        <f t="shared" si="205"/>
        <v>5547.84</v>
      </c>
      <c r="Q628" s="78"/>
      <c r="R628" s="78"/>
      <c r="S628" s="78"/>
      <c r="T628" s="78"/>
      <c r="U628" s="78"/>
      <c r="V628" s="232"/>
      <c r="W628" s="78"/>
      <c r="X628" s="207"/>
    </row>
    <row r="629" spans="1:31" ht="12.75" customHeight="1" x14ac:dyDescent="0.25">
      <c r="A629" s="65">
        <v>43434</v>
      </c>
      <c r="B629" s="48" t="s">
        <v>204</v>
      </c>
      <c r="C629" s="54" t="s">
        <v>201</v>
      </c>
      <c r="D629" s="35">
        <v>3394.56</v>
      </c>
      <c r="E629" s="35">
        <v>3640.16</v>
      </c>
      <c r="F629" s="35">
        <v>3678.42</v>
      </c>
      <c r="G629" s="35">
        <v>3536.08</v>
      </c>
      <c r="H629" s="35">
        <v>3629.61</v>
      </c>
      <c r="I629" s="35">
        <v>3696.43</v>
      </c>
      <c r="J629" s="35">
        <v>3625.28</v>
      </c>
      <c r="K629" s="35">
        <v>3668.03</v>
      </c>
      <c r="L629" s="35">
        <v>3684.49</v>
      </c>
      <c r="M629" s="53"/>
      <c r="N629" s="53"/>
      <c r="O629" s="53"/>
      <c r="P629" s="53"/>
      <c r="Q629" s="48">
        <f>IF((L630=""),"",MAX(D631:L631))</f>
        <v>8564.61</v>
      </c>
      <c r="R629" s="48">
        <f>IF(L630="","",MIN(D631:L631))</f>
        <v>7417.02</v>
      </c>
      <c r="S629" s="75">
        <f>IF((L631=""),"",AVERAGE(D631:L631))</f>
        <v>7657.3466666666682</v>
      </c>
      <c r="T629" s="50">
        <f>IF((L630=""),"",(Q629-R629)/(Q629+R629)*100)</f>
        <v>7.1806818203149492</v>
      </c>
      <c r="U629" s="48">
        <f>STDEV(D631:P631)</f>
        <v>349.43648611013725</v>
      </c>
      <c r="V629" s="228" t="str">
        <f>IF(L630="","",IF(T629&lt;9.8,IF(S629&gt;5100,IF(S629&lt;8300,"Pass","Fail"),"Fail"),"Fail"))</f>
        <v>Pass</v>
      </c>
      <c r="W629" s="46">
        <v>64</v>
      </c>
      <c r="X629" s="207"/>
      <c r="Z629" s="37">
        <v>4955</v>
      </c>
      <c r="AA629" s="37">
        <v>9645</v>
      </c>
      <c r="AB629" s="37">
        <v>5100</v>
      </c>
      <c r="AC629" s="37">
        <v>8300</v>
      </c>
      <c r="AD629" s="67">
        <v>10</v>
      </c>
      <c r="AE629" s="67">
        <v>9.8000000000000007</v>
      </c>
    </row>
    <row r="630" spans="1:31" ht="16.100000000000001" x14ac:dyDescent="0.35">
      <c r="A630" s="294"/>
      <c r="B630" s="46"/>
      <c r="C630" s="54" t="s">
        <v>200</v>
      </c>
      <c r="D630" s="35">
        <v>880.66</v>
      </c>
      <c r="E630" s="35">
        <v>1086.4100000000001</v>
      </c>
      <c r="F630" s="35">
        <v>1150.77</v>
      </c>
      <c r="G630" s="35">
        <v>681.21</v>
      </c>
      <c r="H630" s="35">
        <v>1077.24</v>
      </c>
      <c r="I630" s="35">
        <v>1196.57</v>
      </c>
      <c r="J630" s="35">
        <v>1124.95</v>
      </c>
      <c r="K630" s="35">
        <v>1195.69</v>
      </c>
      <c r="L630" s="35">
        <v>1187.52</v>
      </c>
      <c r="M630" s="53"/>
      <c r="N630" s="53"/>
      <c r="O630" s="53"/>
      <c r="P630" s="53"/>
      <c r="Q630" s="46"/>
      <c r="R630" s="46"/>
      <c r="S630" s="46"/>
      <c r="T630" s="46"/>
      <c r="U630" s="46"/>
      <c r="V630" s="229"/>
      <c r="W630" s="46"/>
      <c r="X630" s="207"/>
    </row>
    <row r="631" spans="1:31" ht="22.75" thickBot="1" x14ac:dyDescent="0.4">
      <c r="A631" s="294"/>
      <c r="B631" s="42"/>
      <c r="C631" s="74" t="s">
        <v>199</v>
      </c>
      <c r="D631" s="81">
        <f t="shared" ref="D631:L631" si="206">IF(((D629="")*AND(D630="")),"",(D629-D630)*3)</f>
        <v>7541.7000000000007</v>
      </c>
      <c r="E631" s="81">
        <f t="shared" si="206"/>
        <v>7661.25</v>
      </c>
      <c r="F631" s="81">
        <f t="shared" si="206"/>
        <v>7582.9500000000007</v>
      </c>
      <c r="G631" s="81">
        <f t="shared" si="206"/>
        <v>8564.61</v>
      </c>
      <c r="H631" s="81">
        <f t="shared" si="206"/>
        <v>7657.11</v>
      </c>
      <c r="I631" s="81">
        <f t="shared" si="206"/>
        <v>7499.579999999999</v>
      </c>
      <c r="J631" s="81">
        <f t="shared" si="206"/>
        <v>7500.99</v>
      </c>
      <c r="K631" s="81">
        <f t="shared" si="206"/>
        <v>7417.02</v>
      </c>
      <c r="L631" s="81">
        <f t="shared" si="206"/>
        <v>7490.91</v>
      </c>
      <c r="M631" s="81"/>
      <c r="N631" s="81"/>
      <c r="O631" s="81"/>
      <c r="P631" s="81" t="str">
        <f>IF(((P629="")*AND(P630="")),"",(P629-P630)*2)</f>
        <v/>
      </c>
      <c r="Q631" s="42"/>
      <c r="R631" s="42"/>
      <c r="S631" s="42"/>
      <c r="T631" s="42"/>
      <c r="U631" s="42"/>
      <c r="V631" s="230"/>
      <c r="W631" s="42"/>
      <c r="X631" s="217"/>
    </row>
    <row r="632" spans="1:31" ht="12.75" customHeight="1" x14ac:dyDescent="0.25">
      <c r="A632" s="65">
        <v>43439</v>
      </c>
      <c r="B632" s="55" t="s">
        <v>202</v>
      </c>
      <c r="C632" s="55" t="s">
        <v>201</v>
      </c>
      <c r="D632" s="35">
        <v>6667.69</v>
      </c>
      <c r="E632" s="35">
        <v>6780.27</v>
      </c>
      <c r="F632" s="35">
        <v>6617.61</v>
      </c>
      <c r="G632" s="35">
        <v>6651.81</v>
      </c>
      <c r="H632" s="35">
        <v>6597.76</v>
      </c>
      <c r="I632" s="35">
        <v>6618.61</v>
      </c>
      <c r="J632" s="35">
        <v>6678.21</v>
      </c>
      <c r="K632" s="35">
        <v>6627.15</v>
      </c>
      <c r="L632" s="35">
        <v>6624.44</v>
      </c>
      <c r="M632" s="35">
        <v>6657.11</v>
      </c>
      <c r="N632" s="35">
        <v>6828.67</v>
      </c>
      <c r="O632" s="35">
        <v>6607.07</v>
      </c>
      <c r="P632" s="35">
        <v>6557.1</v>
      </c>
      <c r="Q632" s="48">
        <f>IF((L633=""),"",MAX(D634:P634))</f>
        <v>5581.8799999999992</v>
      </c>
      <c r="R632" s="48">
        <f>IF(L633="","",MIN(D634:L634))</f>
        <v>5487.7599999999993</v>
      </c>
      <c r="S632" s="51">
        <f>IF((P634=""),"",AVERAGE(D634:P634))</f>
        <v>5542.250769230769</v>
      </c>
      <c r="T632" s="50">
        <f>IF((L633=""),"",(Q632-R632)/(Q632+R632)*100)</f>
        <v>0.85025348611156193</v>
      </c>
      <c r="U632" s="48">
        <f>STDEV(D634:P634)</f>
        <v>32.687917865153032</v>
      </c>
      <c r="V632" s="228" t="str">
        <f>IF(P633="","",IF(T632&lt;2.7,IF(S632&gt;5150,IF(S632&lt;5600,"Pass","Fail"),"Fail"),"Fail"))</f>
        <v>Pass</v>
      </c>
      <c r="W632" s="48">
        <v>1340</v>
      </c>
      <c r="X632" s="80"/>
      <c r="Z632" s="251">
        <v>4470</v>
      </c>
      <c r="AA632" s="251">
        <v>6020</v>
      </c>
      <c r="AB632" s="251">
        <v>5150</v>
      </c>
      <c r="AC632" s="251">
        <v>5600</v>
      </c>
      <c r="AD632" s="67">
        <v>10</v>
      </c>
      <c r="AE632" s="252">
        <v>2.7</v>
      </c>
    </row>
    <row r="633" spans="1:31" ht="16.100000000000001" x14ac:dyDescent="0.35">
      <c r="A633" s="294"/>
      <c r="B633" s="46"/>
      <c r="C633" s="46" t="s">
        <v>200</v>
      </c>
      <c r="D633" s="35">
        <v>3905.22</v>
      </c>
      <c r="E633" s="35">
        <v>3991.58</v>
      </c>
      <c r="F633" s="35">
        <v>3873.73</v>
      </c>
      <c r="G633" s="35">
        <v>3894.77</v>
      </c>
      <c r="H633" s="35">
        <v>3809.17</v>
      </c>
      <c r="I633" s="35">
        <v>3827.67</v>
      </c>
      <c r="J633" s="35">
        <v>3914.21</v>
      </c>
      <c r="K633" s="35">
        <v>3859.5</v>
      </c>
      <c r="L633" s="35">
        <v>3877.21</v>
      </c>
      <c r="M633" s="35">
        <v>3885.03</v>
      </c>
      <c r="N633" s="35">
        <v>4039.28</v>
      </c>
      <c r="O633" s="35">
        <v>3839.71</v>
      </c>
      <c r="P633" s="35">
        <v>3771.79</v>
      </c>
      <c r="Q633" s="46"/>
      <c r="R633" s="46"/>
      <c r="S633" s="46"/>
      <c r="T633" s="46"/>
      <c r="U633" s="46"/>
      <c r="V633" s="229"/>
      <c r="W633" s="46"/>
      <c r="X633" s="207"/>
    </row>
    <row r="634" spans="1:31" ht="22.15" x14ac:dyDescent="0.35">
      <c r="A634" s="294"/>
      <c r="B634" s="78"/>
      <c r="C634" s="78" t="s">
        <v>199</v>
      </c>
      <c r="D634" s="77">
        <f t="shared" ref="D634:P634" si="207">IF(((D632="")*AND(D633="")),"",(D632-D633)*2)</f>
        <v>5524.94</v>
      </c>
      <c r="E634" s="77">
        <f t="shared" si="207"/>
        <v>5577.380000000001</v>
      </c>
      <c r="F634" s="77">
        <f t="shared" si="207"/>
        <v>5487.7599999999993</v>
      </c>
      <c r="G634" s="77">
        <f t="shared" si="207"/>
        <v>5514.0800000000008</v>
      </c>
      <c r="H634" s="77">
        <f t="shared" si="207"/>
        <v>5577.18</v>
      </c>
      <c r="I634" s="77">
        <f t="shared" si="207"/>
        <v>5581.8799999999992</v>
      </c>
      <c r="J634" s="77">
        <f t="shared" si="207"/>
        <v>5528</v>
      </c>
      <c r="K634" s="77">
        <f t="shared" si="207"/>
        <v>5535.2999999999993</v>
      </c>
      <c r="L634" s="77">
        <f t="shared" si="207"/>
        <v>5494.4599999999991</v>
      </c>
      <c r="M634" s="77">
        <f t="shared" si="207"/>
        <v>5544.1599999999989</v>
      </c>
      <c r="N634" s="77">
        <f t="shared" si="207"/>
        <v>5578.78</v>
      </c>
      <c r="O634" s="77">
        <f t="shared" si="207"/>
        <v>5534.7199999999993</v>
      </c>
      <c r="P634" s="77">
        <f t="shared" si="207"/>
        <v>5570.6200000000008</v>
      </c>
      <c r="Q634" s="46"/>
      <c r="R634" s="46"/>
      <c r="S634" s="46"/>
      <c r="T634" s="46"/>
      <c r="U634" s="46"/>
      <c r="V634" s="229"/>
      <c r="W634" s="46"/>
      <c r="X634" s="207"/>
    </row>
    <row r="635" spans="1:31" ht="12.75" customHeight="1" x14ac:dyDescent="0.25">
      <c r="A635" s="79">
        <v>43439</v>
      </c>
      <c r="B635" s="48" t="s">
        <v>204</v>
      </c>
      <c r="C635" s="54" t="s">
        <v>201</v>
      </c>
      <c r="D635" s="35">
        <v>5843.54</v>
      </c>
      <c r="E635" s="35">
        <v>6103.71</v>
      </c>
      <c r="F635" s="35">
        <v>6152.68</v>
      </c>
      <c r="G635" s="35">
        <v>6033</v>
      </c>
      <c r="H635" s="35">
        <v>6109.65</v>
      </c>
      <c r="I635" s="35">
        <v>6128.97</v>
      </c>
      <c r="J635" s="35">
        <v>5989.24</v>
      </c>
      <c r="K635" s="35">
        <v>6076.24</v>
      </c>
      <c r="L635" s="35">
        <v>6172.28</v>
      </c>
      <c r="M635" s="53"/>
      <c r="N635" s="53"/>
      <c r="O635" s="53"/>
      <c r="P635" s="53"/>
      <c r="Q635" s="48">
        <f>IF((L636=""),"",MAX(D637:L637))</f>
        <v>7927.11</v>
      </c>
      <c r="R635" s="48">
        <f>IF(L636="","",MIN(D637:L637))</f>
        <v>7334.5499999999993</v>
      </c>
      <c r="S635" s="75">
        <f>IF((L637=""),"",AVERAGE(D637:L637))</f>
        <v>7461.9933333333338</v>
      </c>
      <c r="T635" s="50">
        <f>IF((L636=""),"",(Q635-R635)/(Q635+R635)*100)</f>
        <v>3.8826706924410606</v>
      </c>
      <c r="U635" s="48">
        <f>STDEV(D637:P637)</f>
        <v>190.51344191421251</v>
      </c>
      <c r="V635" s="228" t="str">
        <f>IF(L636="","",IF(T635&lt;9.8,IF(S635&gt;5100,IF(S635&lt;8300,"Pass","Fail"),"Fail"),"Fail"))</f>
        <v>Pass</v>
      </c>
      <c r="W635" s="46">
        <v>1340</v>
      </c>
      <c r="X635" s="207"/>
      <c r="Z635" s="37">
        <v>4955</v>
      </c>
      <c r="AA635" s="37">
        <v>9645</v>
      </c>
      <c r="AB635" s="37">
        <v>5100</v>
      </c>
      <c r="AC635" s="37">
        <v>8300</v>
      </c>
      <c r="AD635" s="67">
        <v>10</v>
      </c>
      <c r="AE635" s="67">
        <v>9.8000000000000007</v>
      </c>
    </row>
    <row r="636" spans="1:31" ht="16.100000000000001" x14ac:dyDescent="0.35">
      <c r="A636" s="294"/>
      <c r="B636" s="46"/>
      <c r="C636" s="54" t="s">
        <v>200</v>
      </c>
      <c r="D636" s="35">
        <v>3201.17</v>
      </c>
      <c r="E636" s="35">
        <v>3653.54</v>
      </c>
      <c r="F636" s="35">
        <v>3678.12</v>
      </c>
      <c r="G636" s="35">
        <v>3510</v>
      </c>
      <c r="H636" s="35">
        <v>3662.19</v>
      </c>
      <c r="I636" s="35">
        <v>3658.57</v>
      </c>
      <c r="J636" s="35">
        <v>3544.39</v>
      </c>
      <c r="K636" s="35">
        <v>3630.48</v>
      </c>
      <c r="L636" s="35">
        <v>3684.87</v>
      </c>
      <c r="M636" s="53"/>
      <c r="N636" s="53"/>
      <c r="O636" s="53"/>
      <c r="P636" s="53"/>
      <c r="Q636" s="46"/>
      <c r="R636" s="46"/>
      <c r="S636" s="46"/>
      <c r="T636" s="46"/>
      <c r="U636" s="46"/>
      <c r="V636" s="229"/>
      <c r="W636" s="46"/>
      <c r="X636" s="207"/>
    </row>
    <row r="637" spans="1:31" ht="22.75" thickBot="1" x14ac:dyDescent="0.4">
      <c r="A637" s="294"/>
      <c r="B637" s="42"/>
      <c r="C637" s="74" t="s">
        <v>199</v>
      </c>
      <c r="D637" s="52">
        <f t="shared" ref="D637:L637" si="208">IF(((D635="")*AND(D636="")),"",(D635-D636)*3)</f>
        <v>7927.11</v>
      </c>
      <c r="E637" s="52">
        <f t="shared" si="208"/>
        <v>7350.51</v>
      </c>
      <c r="F637" s="52">
        <f t="shared" si="208"/>
        <v>7423.6800000000012</v>
      </c>
      <c r="G637" s="52">
        <f t="shared" si="208"/>
        <v>7569</v>
      </c>
      <c r="H637" s="52">
        <f t="shared" si="208"/>
        <v>7342.3799999999992</v>
      </c>
      <c r="I637" s="52">
        <f t="shared" si="208"/>
        <v>7411.2000000000007</v>
      </c>
      <c r="J637" s="52">
        <f t="shared" si="208"/>
        <v>7334.5499999999993</v>
      </c>
      <c r="K637" s="52">
        <f t="shared" si="208"/>
        <v>7337.2799999999988</v>
      </c>
      <c r="L637" s="52">
        <f t="shared" si="208"/>
        <v>7462.23</v>
      </c>
      <c r="M637" s="52"/>
      <c r="N637" s="52"/>
      <c r="O637" s="52"/>
      <c r="P637" s="52" t="str">
        <f>IF(((P635="")*AND(P636="")),"",(P635-P636)*2)</f>
        <v/>
      </c>
      <c r="Q637" s="46"/>
      <c r="R637" s="46"/>
      <c r="S637" s="46"/>
      <c r="T637" s="46"/>
      <c r="U637" s="46"/>
      <c r="V637" s="229"/>
      <c r="W637" s="46"/>
      <c r="X637" s="217"/>
    </row>
    <row r="638" spans="1:31" ht="12.75" customHeight="1" x14ac:dyDescent="0.25">
      <c r="A638" s="65">
        <v>43445</v>
      </c>
      <c r="B638" s="55" t="s">
        <v>202</v>
      </c>
      <c r="C638" s="55" t="s">
        <v>201</v>
      </c>
      <c r="D638" s="35">
        <v>3919.91</v>
      </c>
      <c r="E638" s="35">
        <v>4007.03</v>
      </c>
      <c r="F638" s="35">
        <v>3887.89</v>
      </c>
      <c r="G638" s="35">
        <v>3908.64</v>
      </c>
      <c r="H638" s="35">
        <v>3823.47</v>
      </c>
      <c r="I638" s="35">
        <v>3841.49</v>
      </c>
      <c r="J638" s="35">
        <v>3928.1</v>
      </c>
      <c r="K638" s="35">
        <v>3873.03</v>
      </c>
      <c r="L638" s="35">
        <v>3891.47</v>
      </c>
      <c r="M638" s="35">
        <v>3898.68</v>
      </c>
      <c r="N638" s="35">
        <v>4054.28</v>
      </c>
      <c r="O638" s="35">
        <v>3853.25</v>
      </c>
      <c r="P638" s="35">
        <v>3784.84</v>
      </c>
      <c r="Q638" s="48">
        <f>IF((L639=""),"",MAX(D640:P640))</f>
        <v>5625.92</v>
      </c>
      <c r="R638" s="48">
        <f>IF(L639="","",MIN(D640:L640))</f>
        <v>5516.36</v>
      </c>
      <c r="S638" s="51">
        <f>IF((P640=""),"",AVERAGE(D640:P640))</f>
        <v>5571.5615384615385</v>
      </c>
      <c r="T638" s="50">
        <f>IF((L639=""),"",(Q638-R638)/(Q638+R638)*100)</f>
        <v>0.98328169818026834</v>
      </c>
      <c r="U638" s="48">
        <f>STDEV(D640:P640)</f>
        <v>35.706468565736309</v>
      </c>
      <c r="V638" s="228" t="str">
        <f>IF(P639="","",IF(T638&lt;2.7,IF(S638&gt;5150,IF(S638&lt;5600,"Pass","Fail"),"Fail"),"Fail"))</f>
        <v>Pass</v>
      </c>
      <c r="W638" s="48">
        <v>1340</v>
      </c>
      <c r="X638" s="80"/>
      <c r="Z638" s="251">
        <v>4470</v>
      </c>
      <c r="AA638" s="251">
        <v>6020</v>
      </c>
      <c r="AB638" s="251">
        <v>5150</v>
      </c>
      <c r="AC638" s="251">
        <v>5600</v>
      </c>
      <c r="AD638" s="67">
        <v>10</v>
      </c>
      <c r="AE638" s="252">
        <v>2.7</v>
      </c>
    </row>
    <row r="639" spans="1:31" ht="16.100000000000001" x14ac:dyDescent="0.35">
      <c r="A639" s="294"/>
      <c r="B639" s="46"/>
      <c r="C639" s="46" t="s">
        <v>200</v>
      </c>
      <c r="D639" s="35">
        <v>1140.44</v>
      </c>
      <c r="E639" s="35">
        <v>1200.8</v>
      </c>
      <c r="F639" s="35">
        <v>1129.71</v>
      </c>
      <c r="G639" s="35">
        <v>1137.69</v>
      </c>
      <c r="H639" s="35">
        <v>1010.51</v>
      </c>
      <c r="I639" s="35">
        <v>1031.06</v>
      </c>
      <c r="J639" s="35">
        <v>1149.28</v>
      </c>
      <c r="K639" s="35">
        <v>1089.24</v>
      </c>
      <c r="L639" s="35">
        <v>1133</v>
      </c>
      <c r="M639" s="35">
        <v>1114.29</v>
      </c>
      <c r="N639" s="35">
        <v>1264.3499999999999</v>
      </c>
      <c r="O639" s="35">
        <v>1071.75</v>
      </c>
      <c r="P639" s="35">
        <v>984.81</v>
      </c>
      <c r="Q639" s="46"/>
      <c r="R639" s="46"/>
      <c r="S639" s="46"/>
      <c r="T639" s="46"/>
      <c r="U639" s="46"/>
      <c r="V639" s="229"/>
      <c r="W639" s="46"/>
      <c r="X639" s="207"/>
    </row>
    <row r="640" spans="1:31" ht="22.15" x14ac:dyDescent="0.35">
      <c r="A640" s="294"/>
      <c r="B640" s="78"/>
      <c r="C640" s="78" t="s">
        <v>199</v>
      </c>
      <c r="D640" s="77">
        <f t="shared" ref="D640:P640" si="209">IF(((D638="")*AND(D639="")),"",(D638-D639)*2)</f>
        <v>5558.94</v>
      </c>
      <c r="E640" s="77">
        <f t="shared" si="209"/>
        <v>5612.4600000000009</v>
      </c>
      <c r="F640" s="77">
        <f t="shared" si="209"/>
        <v>5516.36</v>
      </c>
      <c r="G640" s="77">
        <f t="shared" si="209"/>
        <v>5541.9</v>
      </c>
      <c r="H640" s="77">
        <f t="shared" si="209"/>
        <v>5625.92</v>
      </c>
      <c r="I640" s="77">
        <f t="shared" si="209"/>
        <v>5620.86</v>
      </c>
      <c r="J640" s="77">
        <f t="shared" si="209"/>
        <v>5557.6399999999994</v>
      </c>
      <c r="K640" s="77">
        <f t="shared" si="209"/>
        <v>5567.58</v>
      </c>
      <c r="L640" s="77">
        <f t="shared" si="209"/>
        <v>5516.94</v>
      </c>
      <c r="M640" s="77">
        <f t="shared" si="209"/>
        <v>5568.78</v>
      </c>
      <c r="N640" s="77">
        <f t="shared" si="209"/>
        <v>5579.8600000000006</v>
      </c>
      <c r="O640" s="77">
        <f t="shared" si="209"/>
        <v>5563</v>
      </c>
      <c r="P640" s="77">
        <f t="shared" si="209"/>
        <v>5600.06</v>
      </c>
      <c r="Q640" s="46"/>
      <c r="R640" s="46"/>
      <c r="S640" s="46"/>
      <c r="T640" s="46"/>
      <c r="U640" s="46"/>
      <c r="V640" s="229"/>
      <c r="W640" s="46"/>
      <c r="X640" s="207"/>
    </row>
    <row r="641" spans="1:31" ht="12.75" customHeight="1" x14ac:dyDescent="0.25">
      <c r="A641" s="79">
        <v>43445</v>
      </c>
      <c r="B641" s="54" t="s">
        <v>204</v>
      </c>
      <c r="C641" s="54" t="s">
        <v>201</v>
      </c>
      <c r="D641" s="35">
        <v>3637</v>
      </c>
      <c r="E641" s="35">
        <v>3656.05</v>
      </c>
      <c r="F641" s="35">
        <v>3678.06</v>
      </c>
      <c r="G641" s="35">
        <v>3589</v>
      </c>
      <c r="H641" s="35">
        <v>3663.28</v>
      </c>
      <c r="I641" s="35">
        <v>3657.2</v>
      </c>
      <c r="J641" s="35">
        <v>3544.4</v>
      </c>
      <c r="K641" s="35">
        <v>3631.32</v>
      </c>
      <c r="L641" s="35">
        <v>3683.64</v>
      </c>
      <c r="M641" s="53"/>
      <c r="N641" s="53"/>
      <c r="O641" s="53"/>
      <c r="P641" s="53"/>
      <c r="Q641" s="48">
        <f>IF((L642=""),"",MAX(D643:L643))</f>
        <v>7804.23</v>
      </c>
      <c r="R641" s="48">
        <f>IF(L642="","",MIN(D643:L643))</f>
        <v>7179.87</v>
      </c>
      <c r="S641" s="75">
        <f>IF((L643=""),"",AVERAGE(D643:L643))</f>
        <v>7299.87</v>
      </c>
      <c r="T641" s="50">
        <f>IF((L642=""),"",(Q641-R641)/(Q641+R641)*100)</f>
        <v>4.1668168258353839</v>
      </c>
      <c r="U641" s="48">
        <f>STDEV(D643:P643)</f>
        <v>192.01872389170788</v>
      </c>
      <c r="V641" s="228" t="str">
        <f>IF(L642="","",IF(T641&lt;9.8,IF(S641&gt;5100,IF(S641&lt;8300,"Pass","Fail"),"Fail"),"Fail"))</f>
        <v>Pass</v>
      </c>
      <c r="W641" s="46">
        <v>1340</v>
      </c>
      <c r="X641" s="207"/>
      <c r="Z641" s="37">
        <v>4955</v>
      </c>
      <c r="AA641" s="37">
        <v>9645</v>
      </c>
      <c r="AB641" s="37">
        <v>5100</v>
      </c>
      <c r="AC641" s="37">
        <v>8300</v>
      </c>
      <c r="AD641" s="67">
        <v>10</v>
      </c>
      <c r="AE641" s="67">
        <v>9.8000000000000007</v>
      </c>
    </row>
    <row r="642" spans="1:31" ht="16.100000000000001" x14ac:dyDescent="0.35">
      <c r="A642" s="294"/>
      <c r="B642" s="46"/>
      <c r="C642" s="54" t="s">
        <v>200</v>
      </c>
      <c r="D642" s="35">
        <v>1204</v>
      </c>
      <c r="E642" s="35">
        <v>1236.74</v>
      </c>
      <c r="F642" s="35">
        <v>1264.8800000000001</v>
      </c>
      <c r="G642" s="35">
        <v>987.59</v>
      </c>
      <c r="H642" s="35">
        <v>1258.67</v>
      </c>
      <c r="I642" s="35">
        <v>1247.31</v>
      </c>
      <c r="J642" s="35">
        <v>1151.1099999999999</v>
      </c>
      <c r="K642" s="35">
        <v>1224.8699999999999</v>
      </c>
      <c r="L642" s="35">
        <v>1265.17</v>
      </c>
      <c r="M642" s="53"/>
      <c r="N642" s="53"/>
      <c r="O642" s="53"/>
      <c r="P642" s="53"/>
      <c r="Q642" s="46"/>
      <c r="R642" s="46"/>
      <c r="S642" s="46"/>
      <c r="T642" s="46"/>
      <c r="U642" s="46"/>
      <c r="V642" s="229"/>
      <c r="W642" s="46"/>
      <c r="X642" s="207"/>
    </row>
    <row r="643" spans="1:31" ht="22.75" thickBot="1" x14ac:dyDescent="0.4">
      <c r="A643" s="294"/>
      <c r="B643" s="42"/>
      <c r="C643" s="74" t="s">
        <v>199</v>
      </c>
      <c r="D643" s="52">
        <f t="shared" ref="D643:L643" si="210">IF(((D641="")*AND(D642="")),"",(D641-D642)*3)</f>
        <v>7299</v>
      </c>
      <c r="E643" s="52">
        <f t="shared" si="210"/>
        <v>7257.9300000000012</v>
      </c>
      <c r="F643" s="52">
        <f t="shared" si="210"/>
        <v>7239.5399999999991</v>
      </c>
      <c r="G643" s="52">
        <f t="shared" si="210"/>
        <v>7804.23</v>
      </c>
      <c r="H643" s="52">
        <f t="shared" si="210"/>
        <v>7213.83</v>
      </c>
      <c r="I643" s="52">
        <f t="shared" si="210"/>
        <v>7229.67</v>
      </c>
      <c r="J643" s="52">
        <f t="shared" si="210"/>
        <v>7179.87</v>
      </c>
      <c r="K643" s="52">
        <f t="shared" si="210"/>
        <v>7219.35</v>
      </c>
      <c r="L643" s="52">
        <f t="shared" si="210"/>
        <v>7255.41</v>
      </c>
      <c r="M643" s="52"/>
      <c r="N643" s="52"/>
      <c r="O643" s="52"/>
      <c r="P643" s="52" t="str">
        <f>IF(((P641="")*AND(P642="")),"",(P641-P642)*2)</f>
        <v/>
      </c>
      <c r="Q643" s="46"/>
      <c r="R643" s="46"/>
      <c r="S643" s="46"/>
      <c r="T643" s="46"/>
      <c r="U643" s="46"/>
      <c r="V643" s="229"/>
      <c r="W643" s="46"/>
      <c r="X643" s="217"/>
    </row>
    <row r="644" spans="1:31" ht="12.75" customHeight="1" x14ac:dyDescent="0.25">
      <c r="A644" s="65">
        <v>43476</v>
      </c>
      <c r="B644" s="55" t="s">
        <v>202</v>
      </c>
      <c r="C644" s="55" t="s">
        <v>201</v>
      </c>
      <c r="D644" s="35">
        <v>6788.05</v>
      </c>
      <c r="E644" s="35">
        <v>6905.6</v>
      </c>
      <c r="F644" s="35">
        <v>6747.63</v>
      </c>
      <c r="G644" s="35">
        <v>6792.88</v>
      </c>
      <c r="H644" s="35">
        <v>6707.68</v>
      </c>
      <c r="I644" s="35">
        <v>6749.97</v>
      </c>
      <c r="J644" s="35">
        <v>6825.46</v>
      </c>
      <c r="K644" s="35">
        <v>6777.02</v>
      </c>
      <c r="L644" s="35">
        <v>6764.95</v>
      </c>
      <c r="M644" s="35">
        <v>6806.32</v>
      </c>
      <c r="N644" s="35">
        <v>6964.68</v>
      </c>
      <c r="O644" s="35">
        <v>6750.73</v>
      </c>
      <c r="P644" s="35">
        <v>6682.73</v>
      </c>
      <c r="Q644" s="48">
        <f>IF((L645=""),"",MAX(D646:P646))</f>
        <v>5423.26</v>
      </c>
      <c r="R644" s="48">
        <f>IF(L645="","",MIN(D646:L646))</f>
        <v>5374.1799999999994</v>
      </c>
      <c r="S644" s="51">
        <f>IF((P646=""),"",AVERAGE(D646:P646))</f>
        <v>5400.5861538461531</v>
      </c>
      <c r="T644" s="50">
        <f>IF((L645=""),"",(Q644-R644)/(Q644+R644)*100)</f>
        <v>0.45455219014878379</v>
      </c>
      <c r="U644" s="48">
        <f>STDEV(D646:P646)</f>
        <v>19.892252067267361</v>
      </c>
      <c r="V644" s="228" t="str">
        <f>IF(P645="","",IF(T644&lt;2.7,IF(S644&gt;5150,IF(S644&lt;5600,"Pass","Fail"),"Fail"),"Fail"))</f>
        <v>Pass</v>
      </c>
      <c r="W644" s="48">
        <v>1335</v>
      </c>
      <c r="X644" s="72" t="s">
        <v>224</v>
      </c>
      <c r="Z644" s="251">
        <v>4470</v>
      </c>
      <c r="AA644" s="251">
        <v>6020</v>
      </c>
      <c r="AB644" s="251">
        <v>5150</v>
      </c>
      <c r="AC644" s="251">
        <v>5600</v>
      </c>
      <c r="AD644" s="67">
        <v>10</v>
      </c>
      <c r="AE644" s="252">
        <v>2.7</v>
      </c>
    </row>
    <row r="645" spans="1:31" ht="16.100000000000001" x14ac:dyDescent="0.35">
      <c r="A645" s="294"/>
      <c r="B645" s="46"/>
      <c r="C645" s="46" t="s">
        <v>200</v>
      </c>
      <c r="D645" s="35">
        <v>4086.05</v>
      </c>
      <c r="E645" s="35">
        <v>4197.6400000000003</v>
      </c>
      <c r="F645" s="35">
        <v>4053.04</v>
      </c>
      <c r="G645" s="35">
        <v>4091.21</v>
      </c>
      <c r="H645" s="35">
        <v>4001.63</v>
      </c>
      <c r="I645" s="35">
        <v>4038.34</v>
      </c>
      <c r="J645" s="35">
        <v>4121.88</v>
      </c>
      <c r="K645" s="35">
        <v>4065.43</v>
      </c>
      <c r="L645" s="35">
        <v>4077.86</v>
      </c>
      <c r="M645" s="35">
        <v>4095.55</v>
      </c>
      <c r="N645" s="35">
        <v>4267.13</v>
      </c>
      <c r="O645" s="35">
        <v>4063.74</v>
      </c>
      <c r="P645" s="35">
        <v>4000.39</v>
      </c>
      <c r="Q645" s="46"/>
      <c r="R645" s="46"/>
      <c r="S645" s="46"/>
      <c r="T645" s="46"/>
      <c r="U645" s="46"/>
      <c r="V645" s="229"/>
      <c r="W645" s="46"/>
      <c r="X645" s="71"/>
      <c r="AD645" s="67"/>
      <c r="AE645" s="67"/>
    </row>
    <row r="646" spans="1:31" ht="22.75" thickBot="1" x14ac:dyDescent="0.4">
      <c r="A646" s="294"/>
      <c r="B646" s="78"/>
      <c r="C646" s="78" t="s">
        <v>199</v>
      </c>
      <c r="D646" s="77">
        <f t="shared" ref="D646:P646" si="211">IF(((D644="")*AND(D645="")),"",(D644-D645)*2)</f>
        <v>5404</v>
      </c>
      <c r="E646" s="77">
        <f t="shared" si="211"/>
        <v>5415.92</v>
      </c>
      <c r="F646" s="77">
        <f t="shared" si="211"/>
        <v>5389.18</v>
      </c>
      <c r="G646" s="77">
        <f t="shared" si="211"/>
        <v>5403.34</v>
      </c>
      <c r="H646" s="77">
        <f t="shared" si="211"/>
        <v>5412.1</v>
      </c>
      <c r="I646" s="77">
        <f t="shared" si="211"/>
        <v>5423.26</v>
      </c>
      <c r="J646" s="77">
        <f t="shared" si="211"/>
        <v>5407.16</v>
      </c>
      <c r="K646" s="77">
        <f t="shared" si="211"/>
        <v>5423.1800000000012</v>
      </c>
      <c r="L646" s="77">
        <f t="shared" si="211"/>
        <v>5374.1799999999994</v>
      </c>
      <c r="M646" s="77">
        <f t="shared" si="211"/>
        <v>5421.5399999999991</v>
      </c>
      <c r="N646" s="77">
        <f t="shared" si="211"/>
        <v>5395.1</v>
      </c>
      <c r="O646" s="77">
        <f t="shared" si="211"/>
        <v>5373.98</v>
      </c>
      <c r="P646" s="77">
        <f t="shared" si="211"/>
        <v>5364.6799999999994</v>
      </c>
      <c r="Q646" s="46"/>
      <c r="R646" s="46"/>
      <c r="S646" s="46"/>
      <c r="T646" s="46"/>
      <c r="U646" s="46"/>
      <c r="V646" s="229"/>
      <c r="W646" s="46"/>
      <c r="X646" s="71"/>
    </row>
    <row r="647" spans="1:31" ht="12.75" customHeight="1" x14ac:dyDescent="0.25">
      <c r="A647" s="65">
        <v>43476</v>
      </c>
      <c r="B647" s="54" t="s">
        <v>204</v>
      </c>
      <c r="C647" s="54" t="s">
        <v>201</v>
      </c>
      <c r="D647" s="35">
        <v>5974.19</v>
      </c>
      <c r="E647" s="35">
        <v>6115.66</v>
      </c>
      <c r="F647" s="35">
        <v>6182.48</v>
      </c>
      <c r="G647" s="35">
        <v>6462.28</v>
      </c>
      <c r="H647" s="35">
        <v>6142.12</v>
      </c>
      <c r="I647" s="35">
        <v>6141.87</v>
      </c>
      <c r="J647" s="35">
        <v>6048.02</v>
      </c>
      <c r="K647" s="35">
        <v>6087.22</v>
      </c>
      <c r="L647" s="35">
        <v>6167.62</v>
      </c>
      <c r="M647" s="53"/>
      <c r="N647" s="53"/>
      <c r="O647" s="53"/>
      <c r="P647" s="53"/>
      <c r="Q647" s="48">
        <f>IF((L648=""),"",MAX(D649:L649))</f>
        <v>8098.1699999999983</v>
      </c>
      <c r="R647" s="48">
        <f>IF(L648="","",MIN(D649:L649))</f>
        <v>7208.2200000000012</v>
      </c>
      <c r="S647" s="75">
        <f>IF((L649=""),"",AVERAGE(D649:L649))</f>
        <v>7483.2899999999981</v>
      </c>
      <c r="T647" s="50">
        <f>IF((L648=""),"",(Q647-R647)/(Q647+R647)*100)</f>
        <v>5.8142383671133242</v>
      </c>
      <c r="U647" s="48">
        <f>STDEV(D649:P649)</f>
        <v>295.89171397658225</v>
      </c>
      <c r="V647" s="228" t="str">
        <f>IF(L648="","",IF(T647&lt;9.8,IF(S647&gt;5100,IF(S647&lt;8300,"Pass","Fail"),"Fail"),"Fail"))</f>
        <v>Pass</v>
      </c>
      <c r="W647" s="46">
        <v>1335</v>
      </c>
      <c r="X647" s="71" t="s">
        <v>224</v>
      </c>
      <c r="Z647" s="37">
        <v>4955</v>
      </c>
      <c r="AA647" s="37">
        <v>9645</v>
      </c>
      <c r="AB647" s="37">
        <v>5100</v>
      </c>
      <c r="AC647" s="37">
        <v>8300</v>
      </c>
      <c r="AD647" s="67">
        <v>10</v>
      </c>
      <c r="AE647" s="67">
        <v>9.8000000000000007</v>
      </c>
    </row>
    <row r="648" spans="1:31" ht="16.100000000000001" x14ac:dyDescent="0.35">
      <c r="A648" s="294"/>
      <c r="B648" s="46"/>
      <c r="C648" s="54" t="s">
        <v>200</v>
      </c>
      <c r="D648" s="35">
        <v>3274.8</v>
      </c>
      <c r="E648" s="35">
        <v>3686.06</v>
      </c>
      <c r="F648" s="35">
        <v>3702.99</v>
      </c>
      <c r="G648" s="35">
        <v>3843</v>
      </c>
      <c r="H648" s="35">
        <v>3680.81</v>
      </c>
      <c r="I648" s="35">
        <v>3688.54</v>
      </c>
      <c r="J648" s="35">
        <v>3645.28</v>
      </c>
      <c r="K648" s="35">
        <v>3657.98</v>
      </c>
      <c r="L648" s="35">
        <v>3692.13</v>
      </c>
      <c r="M648" s="53"/>
      <c r="N648" s="53"/>
      <c r="O648" s="53"/>
      <c r="P648" s="53"/>
      <c r="Q648" s="46"/>
      <c r="R648" s="46"/>
      <c r="S648" s="46"/>
      <c r="T648" s="46"/>
      <c r="U648" s="46"/>
      <c r="V648" s="229"/>
      <c r="W648" s="46"/>
      <c r="X648" s="71"/>
    </row>
    <row r="649" spans="1:31" ht="22.75" thickBot="1" x14ac:dyDescent="0.4">
      <c r="A649" s="294"/>
      <c r="B649" s="42"/>
      <c r="C649" s="74" t="s">
        <v>199</v>
      </c>
      <c r="D649" s="52">
        <f t="shared" ref="D649:L649" si="212">IF(((D647="")*AND(D648="")),"",(D647-D648)*3)</f>
        <v>8098.1699999999983</v>
      </c>
      <c r="E649" s="52">
        <f t="shared" si="212"/>
        <v>7288.7999999999993</v>
      </c>
      <c r="F649" s="52">
        <f t="shared" si="212"/>
        <v>7438.4699999999993</v>
      </c>
      <c r="G649" s="52">
        <f t="shared" si="212"/>
        <v>7857.8399999999992</v>
      </c>
      <c r="H649" s="52">
        <f t="shared" si="212"/>
        <v>7383.93</v>
      </c>
      <c r="I649" s="52">
        <f t="shared" si="212"/>
        <v>7359.99</v>
      </c>
      <c r="J649" s="52">
        <f t="shared" si="212"/>
        <v>7208.2200000000012</v>
      </c>
      <c r="K649" s="52">
        <f t="shared" si="212"/>
        <v>7287.7200000000012</v>
      </c>
      <c r="L649" s="52">
        <f t="shared" si="212"/>
        <v>7426.4699999999993</v>
      </c>
      <c r="M649" s="52"/>
      <c r="N649" s="52"/>
      <c r="O649" s="52"/>
      <c r="P649" s="52" t="str">
        <f>IF(((P647="")*AND(P648="")),"",(P647-P648)*2)</f>
        <v/>
      </c>
      <c r="Q649" s="46"/>
      <c r="R649" s="46"/>
      <c r="S649" s="46"/>
      <c r="T649" s="46"/>
      <c r="U649" s="46"/>
      <c r="V649" s="229"/>
      <c r="W649" s="46"/>
      <c r="X649" s="71"/>
    </row>
    <row r="650" spans="1:31" ht="12.75" customHeight="1" x14ac:dyDescent="0.25">
      <c r="A650" s="65">
        <v>43480</v>
      </c>
      <c r="B650" s="55" t="s">
        <v>202</v>
      </c>
      <c r="C650" s="55" t="s">
        <v>201</v>
      </c>
      <c r="D650" s="35">
        <v>6871.28</v>
      </c>
      <c r="E650" s="35">
        <v>6988.76</v>
      </c>
      <c r="F650" s="35">
        <v>6822.61</v>
      </c>
      <c r="G650" s="35">
        <v>6858.04</v>
      </c>
      <c r="H650" s="35">
        <v>6802.18</v>
      </c>
      <c r="I650" s="35">
        <v>6827.31</v>
      </c>
      <c r="J650" s="35">
        <v>6888.26</v>
      </c>
      <c r="K650" s="35">
        <v>6836.13</v>
      </c>
      <c r="L650" s="35">
        <v>6838.27</v>
      </c>
      <c r="M650" s="35">
        <v>6872.4</v>
      </c>
      <c r="N650" s="35">
        <v>7041.55</v>
      </c>
      <c r="O650" s="35">
        <v>6827.21</v>
      </c>
      <c r="P650" s="35">
        <v>6769.78</v>
      </c>
      <c r="Q650" s="48">
        <f>IF((L651=""),"",MAX(D652:P652))</f>
        <v>5572.36</v>
      </c>
      <c r="R650" s="48">
        <f>IF(L651="","",MIN(D652:L652))</f>
        <v>5422.76</v>
      </c>
      <c r="S650" s="51">
        <f>IF((P652=""),"",AVERAGE(D652:P652))</f>
        <v>5487.6569230769228</v>
      </c>
      <c r="T650" s="50">
        <f>IF((L651=""),"",(Q650-R650)/(Q650+R650)*100)</f>
        <v>1.3606036132393231</v>
      </c>
      <c r="U650" s="48">
        <f>STDEV(D652:P652)</f>
        <v>46.366077288001307</v>
      </c>
      <c r="V650" s="228" t="str">
        <f>IF(P651="","",IF(T650&lt;2.7,IF(S650&gt;5150,IF(S650&lt;5600,"Pass","Fail"),"Fail"),"Fail"))</f>
        <v>Pass</v>
      </c>
      <c r="W650" s="48">
        <v>74</v>
      </c>
      <c r="X650" s="73" t="s">
        <v>223</v>
      </c>
      <c r="Z650" s="251">
        <v>4470</v>
      </c>
      <c r="AA650" s="251">
        <v>6020</v>
      </c>
      <c r="AB650" s="251">
        <v>5150</v>
      </c>
      <c r="AC650" s="251">
        <v>5600</v>
      </c>
      <c r="AD650" s="67">
        <v>10</v>
      </c>
      <c r="AE650" s="252">
        <v>2.7</v>
      </c>
    </row>
    <row r="651" spans="1:31" ht="16.100000000000001" x14ac:dyDescent="0.35">
      <c r="A651" s="294"/>
      <c r="B651" s="46"/>
      <c r="C651" s="46" t="s">
        <v>200</v>
      </c>
      <c r="D651" s="35">
        <v>4159.8999999999996</v>
      </c>
      <c r="E651" s="35">
        <v>4267.29</v>
      </c>
      <c r="F651" s="35">
        <v>4102.76</v>
      </c>
      <c r="G651" s="35">
        <v>4106.1499999999996</v>
      </c>
      <c r="H651" s="35">
        <v>4074.48</v>
      </c>
      <c r="I651" s="35">
        <v>4068.03</v>
      </c>
      <c r="J651" s="35">
        <v>4120.51</v>
      </c>
      <c r="K651" s="35">
        <v>4062.69</v>
      </c>
      <c r="L651" s="35">
        <v>4112.3599999999997</v>
      </c>
      <c r="M651" s="35">
        <v>4086.22</v>
      </c>
      <c r="N651" s="35">
        <v>4308.7</v>
      </c>
      <c r="O651" s="35">
        <v>4075.53</v>
      </c>
      <c r="P651" s="35">
        <v>4029.39</v>
      </c>
      <c r="Q651" s="46"/>
      <c r="R651" s="46"/>
      <c r="S651" s="46"/>
      <c r="T651" s="46"/>
      <c r="U651" s="46"/>
      <c r="V651" s="229"/>
      <c r="W651" s="46"/>
      <c r="X651" s="73"/>
    </row>
    <row r="652" spans="1:31" ht="22.75" thickBot="1" x14ac:dyDescent="0.4">
      <c r="A652" s="294"/>
      <c r="B652" s="78"/>
      <c r="C652" s="78" t="s">
        <v>199</v>
      </c>
      <c r="D652" s="77">
        <f t="shared" ref="D652:P652" si="213">IF(((D650="")*AND(D651="")),"",(D650-D651)*2)</f>
        <v>5422.76</v>
      </c>
      <c r="E652" s="77">
        <f t="shared" si="213"/>
        <v>5442.9400000000005</v>
      </c>
      <c r="F652" s="77">
        <f t="shared" si="213"/>
        <v>5439.6999999999989</v>
      </c>
      <c r="G652" s="77">
        <f t="shared" si="213"/>
        <v>5503.7800000000007</v>
      </c>
      <c r="H652" s="77">
        <f t="shared" si="213"/>
        <v>5455.4000000000005</v>
      </c>
      <c r="I652" s="77">
        <f t="shared" si="213"/>
        <v>5518.56</v>
      </c>
      <c r="J652" s="77">
        <f t="shared" si="213"/>
        <v>5535.5</v>
      </c>
      <c r="K652" s="77">
        <f t="shared" si="213"/>
        <v>5546.88</v>
      </c>
      <c r="L652" s="77">
        <f t="shared" si="213"/>
        <v>5451.8200000000015</v>
      </c>
      <c r="M652" s="77">
        <f t="shared" si="213"/>
        <v>5572.36</v>
      </c>
      <c r="N652" s="77">
        <f t="shared" si="213"/>
        <v>5465.7000000000007</v>
      </c>
      <c r="O652" s="77">
        <f t="shared" si="213"/>
        <v>5503.36</v>
      </c>
      <c r="P652" s="77">
        <f t="shared" si="213"/>
        <v>5480.78</v>
      </c>
      <c r="Q652" s="46"/>
      <c r="R652" s="46"/>
      <c r="S652" s="46"/>
      <c r="T652" s="46"/>
      <c r="U652" s="46"/>
      <c r="V652" s="229"/>
      <c r="W652" s="46"/>
      <c r="X652" s="73"/>
      <c r="AB652" s="76"/>
    </row>
    <row r="653" spans="1:31" ht="12.75" customHeight="1" x14ac:dyDescent="0.25">
      <c r="A653" s="65">
        <v>43480</v>
      </c>
      <c r="B653" s="54" t="s">
        <v>204</v>
      </c>
      <c r="C653" s="54" t="s">
        <v>201</v>
      </c>
      <c r="D653" s="35">
        <v>6032.68</v>
      </c>
      <c r="E653" s="35">
        <v>6090.98</v>
      </c>
      <c r="F653" s="35">
        <v>6105</v>
      </c>
      <c r="G653" s="35">
        <v>6010.8</v>
      </c>
      <c r="H653" s="35">
        <v>6068.47</v>
      </c>
      <c r="I653" s="35">
        <v>6121.41</v>
      </c>
      <c r="J653" s="35">
        <v>6014.48</v>
      </c>
      <c r="K653" s="35">
        <v>6047.08</v>
      </c>
      <c r="L653" s="35">
        <v>6110.48</v>
      </c>
      <c r="M653" s="53"/>
      <c r="N653" s="53"/>
      <c r="O653" s="53"/>
      <c r="P653" s="53"/>
      <c r="Q653" s="48">
        <f>IF((L654=""),"",MAX(D655:L655))</f>
        <v>8265.5400000000009</v>
      </c>
      <c r="R653" s="48">
        <f>IF(L654="","",MIN(D655:L655))</f>
        <v>7228.7099999999991</v>
      </c>
      <c r="S653" s="75">
        <f>IF((L655=""),"",AVERAGE(D655:L655))</f>
        <v>7486.0466666666662</v>
      </c>
      <c r="T653" s="50">
        <f>IF((L654=""),"",(Q653-R653)/(Q653+R653)*100)</f>
        <v>6.6917082143375879</v>
      </c>
      <c r="U653" s="48">
        <f>STDEV(D655:P655)</f>
        <v>300.78585850235766</v>
      </c>
      <c r="V653" s="228" t="str">
        <f>IF(L654="","",IF(T653&lt;9.8,IF(S653&gt;5100,IF(S653&lt;8300,"Pass","Fail"),"Fail"),"Fail"))</f>
        <v>Pass</v>
      </c>
      <c r="W653" s="46">
        <v>74</v>
      </c>
      <c r="X653" s="73" t="s">
        <v>223</v>
      </c>
      <c r="Z653" s="37">
        <v>4955</v>
      </c>
      <c r="AA653" s="37">
        <v>9645</v>
      </c>
      <c r="AB653" s="37">
        <v>5100</v>
      </c>
      <c r="AC653" s="37">
        <v>8300</v>
      </c>
      <c r="AD653" s="67">
        <v>10</v>
      </c>
      <c r="AE653" s="67">
        <v>9.8000000000000007</v>
      </c>
    </row>
    <row r="654" spans="1:31" ht="16.100000000000001" x14ac:dyDescent="0.35">
      <c r="A654" s="294"/>
      <c r="B654" s="46"/>
      <c r="C654" s="54" t="s">
        <v>200</v>
      </c>
      <c r="D654" s="35">
        <v>3277.5</v>
      </c>
      <c r="E654" s="35">
        <v>3629.41</v>
      </c>
      <c r="F654" s="35">
        <v>3631.4</v>
      </c>
      <c r="G654" s="35">
        <v>3551.01</v>
      </c>
      <c r="H654" s="35">
        <v>3571.62</v>
      </c>
      <c r="I654" s="35">
        <v>3668.13</v>
      </c>
      <c r="J654" s="35">
        <v>3604.91</v>
      </c>
      <c r="K654" s="35">
        <v>3573.21</v>
      </c>
      <c r="L654" s="35">
        <v>3636.05</v>
      </c>
      <c r="M654" s="53"/>
      <c r="N654" s="53"/>
      <c r="O654" s="53"/>
      <c r="P654" s="53"/>
      <c r="Q654" s="46"/>
      <c r="R654" s="46"/>
      <c r="S654" s="46"/>
      <c r="T654" s="46"/>
      <c r="U654" s="46"/>
      <c r="V654" s="229"/>
      <c r="W654" s="46"/>
      <c r="X654" s="73"/>
    </row>
    <row r="655" spans="1:31" ht="22.75" thickBot="1" x14ac:dyDescent="0.4">
      <c r="A655" s="294"/>
      <c r="B655" s="42"/>
      <c r="C655" s="74" t="s">
        <v>199</v>
      </c>
      <c r="D655" s="52">
        <f t="shared" ref="D655:L655" si="214">IF(((D653="")*AND(D654="")),"",(D653-D654)*3)</f>
        <v>8265.5400000000009</v>
      </c>
      <c r="E655" s="52">
        <f t="shared" si="214"/>
        <v>7384.7099999999991</v>
      </c>
      <c r="F655" s="52">
        <f t="shared" si="214"/>
        <v>7420.7999999999993</v>
      </c>
      <c r="G655" s="52">
        <f t="shared" si="214"/>
        <v>7379.37</v>
      </c>
      <c r="H655" s="52">
        <f t="shared" si="214"/>
        <v>7490.5500000000011</v>
      </c>
      <c r="I655" s="52">
        <f t="shared" si="214"/>
        <v>7359.8399999999992</v>
      </c>
      <c r="J655" s="52">
        <f t="shared" si="214"/>
        <v>7228.7099999999991</v>
      </c>
      <c r="K655" s="52">
        <f t="shared" si="214"/>
        <v>7421.61</v>
      </c>
      <c r="L655" s="52">
        <f t="shared" si="214"/>
        <v>7423.2899999999981</v>
      </c>
      <c r="M655" s="52"/>
      <c r="N655" s="52"/>
      <c r="O655" s="52"/>
      <c r="P655" s="52" t="str">
        <f>IF(((P653="")*AND(P654="")),"",(P653-P654)*2)</f>
        <v/>
      </c>
      <c r="Q655" s="46"/>
      <c r="R655" s="46"/>
      <c r="S655" s="46"/>
      <c r="T655" s="46"/>
      <c r="U655" s="46"/>
      <c r="V655" s="229"/>
      <c r="W655" s="46"/>
      <c r="X655" s="73"/>
    </row>
    <row r="656" spans="1:31" ht="12.75" customHeight="1" x14ac:dyDescent="0.25">
      <c r="A656" s="65">
        <v>43488</v>
      </c>
      <c r="B656" s="55" t="s">
        <v>204</v>
      </c>
      <c r="C656" s="59" t="s">
        <v>201</v>
      </c>
      <c r="D656" s="35">
        <v>6010.67</v>
      </c>
      <c r="E656" s="35">
        <v>6092.19</v>
      </c>
      <c r="F656" s="35">
        <v>6100.35</v>
      </c>
      <c r="G656" s="35">
        <v>6005.58</v>
      </c>
      <c r="H656" s="35">
        <v>6060.46</v>
      </c>
      <c r="I656" s="35">
        <v>6110.54</v>
      </c>
      <c r="J656" s="35">
        <v>6019.71</v>
      </c>
      <c r="K656" s="35">
        <v>6037.76</v>
      </c>
      <c r="L656" s="35">
        <v>6108.11</v>
      </c>
      <c r="M656" s="58"/>
      <c r="N656" s="58"/>
      <c r="O656" s="58"/>
      <c r="P656" s="58"/>
      <c r="Q656" s="55">
        <f>IF((L657=""),"",MAX(D658:L658))</f>
        <v>7844.37</v>
      </c>
      <c r="R656" s="55">
        <f>IF(L657="","",MIN(D658:L658))</f>
        <v>6835.2000000000007</v>
      </c>
      <c r="S656" s="57">
        <f>IF((L658=""),"",AVERAGE(D658:L658))</f>
        <v>7186.373333333333</v>
      </c>
      <c r="T656" s="51">
        <f>IF((L657=""),"",(Q656-R656)/(Q656+R656)*100)</f>
        <v>6.8746564102354437</v>
      </c>
      <c r="U656" s="55">
        <f>STDEV(D658:P658)</f>
        <v>290.85302929486551</v>
      </c>
      <c r="V656" s="231" t="str">
        <f>IF(L657="","",IF(T656&lt;9.8,IF(S656&gt;5100,IF(S656&lt;8300,"Pass","Fail"),"Fail"),"Fail"))</f>
        <v>Pass</v>
      </c>
      <c r="W656" s="55">
        <v>1159</v>
      </c>
      <c r="X656" s="72" t="s">
        <v>222</v>
      </c>
      <c r="Z656" s="37">
        <v>4955</v>
      </c>
      <c r="AA656" s="37">
        <v>9645</v>
      </c>
      <c r="AB656" s="37">
        <v>5100</v>
      </c>
      <c r="AC656" s="37">
        <v>8300</v>
      </c>
      <c r="AD656" s="67">
        <v>10</v>
      </c>
      <c r="AE656" s="67">
        <v>9.8000000000000007</v>
      </c>
    </row>
    <row r="657" spans="1:31" ht="16.100000000000001" x14ac:dyDescent="0.35">
      <c r="A657" s="294"/>
      <c r="B657" s="46"/>
      <c r="C657" s="54" t="s">
        <v>200</v>
      </c>
      <c r="D657" s="35">
        <v>3532.63</v>
      </c>
      <c r="E657" s="35">
        <v>3735.96</v>
      </c>
      <c r="F657" s="35">
        <v>3723.62</v>
      </c>
      <c r="G657" s="35">
        <v>3390.79</v>
      </c>
      <c r="H657" s="35">
        <v>3687.66</v>
      </c>
      <c r="I657" s="35">
        <v>3747.9</v>
      </c>
      <c r="J657" s="35">
        <v>3741.31</v>
      </c>
      <c r="K657" s="35">
        <v>3694.39</v>
      </c>
      <c r="L657" s="35">
        <v>3731.99</v>
      </c>
      <c r="M657" s="53"/>
      <c r="N657" s="53"/>
      <c r="O657" s="53"/>
      <c r="P657" s="53"/>
      <c r="Q657" s="46"/>
      <c r="R657" s="46"/>
      <c r="S657" s="46"/>
      <c r="T657" s="46"/>
      <c r="U657" s="46"/>
      <c r="V657" s="229"/>
      <c r="W657" s="46"/>
      <c r="X657" s="71"/>
    </row>
    <row r="658" spans="1:31" ht="22.75" thickBot="1" x14ac:dyDescent="0.4">
      <c r="A658" s="294"/>
      <c r="B658" s="46"/>
      <c r="C658" s="48" t="s">
        <v>199</v>
      </c>
      <c r="D658" s="52">
        <f t="shared" ref="D658:L658" si="215">IF(((D656="")*AND(D657="")),"",(D656-D657)*3)</f>
        <v>7434.12</v>
      </c>
      <c r="E658" s="52">
        <f t="shared" si="215"/>
        <v>7068.6899999999987</v>
      </c>
      <c r="F658" s="52">
        <f t="shared" si="215"/>
        <v>7130.1900000000014</v>
      </c>
      <c r="G658" s="52">
        <f t="shared" si="215"/>
        <v>7844.37</v>
      </c>
      <c r="H658" s="52">
        <f t="shared" si="215"/>
        <v>7118.4000000000005</v>
      </c>
      <c r="I658" s="52">
        <f t="shared" si="215"/>
        <v>7087.92</v>
      </c>
      <c r="J658" s="52">
        <f t="shared" si="215"/>
        <v>6835.2000000000007</v>
      </c>
      <c r="K658" s="52">
        <f t="shared" si="215"/>
        <v>7030.1100000000006</v>
      </c>
      <c r="L658" s="52">
        <f t="shared" si="215"/>
        <v>7128.36</v>
      </c>
      <c r="M658" s="52"/>
      <c r="N658" s="52"/>
      <c r="O658" s="52"/>
      <c r="P658" s="52" t="str">
        <f>IF(((P656="")*AND(P657="")),"",(P656-P657)*2)</f>
        <v/>
      </c>
      <c r="Q658" s="46"/>
      <c r="R658" s="46"/>
      <c r="S658" s="46"/>
      <c r="T658" s="46"/>
      <c r="U658" s="46"/>
      <c r="V658" s="229"/>
      <c r="W658" s="46"/>
      <c r="X658" s="71"/>
    </row>
    <row r="659" spans="1:31" ht="12.75" customHeight="1" x14ac:dyDescent="0.25">
      <c r="A659" s="65">
        <v>43488</v>
      </c>
      <c r="B659" s="48" t="s">
        <v>202</v>
      </c>
      <c r="C659" s="48" t="s">
        <v>201</v>
      </c>
      <c r="D659" s="35">
        <v>6780.39</v>
      </c>
      <c r="E659" s="35">
        <v>6900.02</v>
      </c>
      <c r="F659" s="35">
        <v>6722.88</v>
      </c>
      <c r="G659" s="35">
        <v>6764.51</v>
      </c>
      <c r="H659" s="35">
        <v>6723.64</v>
      </c>
      <c r="I659" s="35">
        <v>6736.23</v>
      </c>
      <c r="J659" s="35">
        <v>6796.5</v>
      </c>
      <c r="K659" s="35">
        <v>6740.1</v>
      </c>
      <c r="L659" s="35">
        <v>6743.68</v>
      </c>
      <c r="M659" s="35">
        <v>6780.22</v>
      </c>
      <c r="N659" s="35">
        <v>6954.51</v>
      </c>
      <c r="O659" s="35">
        <v>6731.03</v>
      </c>
      <c r="P659" s="35">
        <v>6687.18</v>
      </c>
      <c r="Q659" s="48">
        <f>IF((L660=""),"",MAX(D661:P661))</f>
        <v>5455.7399999999989</v>
      </c>
      <c r="R659" s="48">
        <f>IF(L660="","",MIN(D661:L661))</f>
        <v>5391.9600000000009</v>
      </c>
      <c r="S659" s="51">
        <f>IF((P661=""),"",AVERAGE(D661:P661))</f>
        <v>5425.2000000000007</v>
      </c>
      <c r="T659" s="50">
        <f>IF((L660=""),"",(Q659-R659)/(Q659+R659)*100)</f>
        <v>0.5879587377969332</v>
      </c>
      <c r="U659" s="48">
        <f>STDEV(D661:P661)</f>
        <v>23.652062630279513</v>
      </c>
      <c r="V659" s="228" t="str">
        <f>IF(P660="","",IF(T659&lt;2.7,IF(S659&gt;5150,IF(S659&lt;5600,"Pass","Fail"),"Fail"),"Fail"))</f>
        <v>Pass</v>
      </c>
      <c r="W659" s="48">
        <v>1159</v>
      </c>
      <c r="X659" s="71" t="s">
        <v>222</v>
      </c>
      <c r="Z659" s="251">
        <v>4470</v>
      </c>
      <c r="AA659" s="251">
        <v>6020</v>
      </c>
      <c r="AB659" s="251">
        <v>5150</v>
      </c>
      <c r="AC659" s="251">
        <v>5600</v>
      </c>
      <c r="AD659" s="67">
        <v>10</v>
      </c>
      <c r="AE659" s="252">
        <v>2.7</v>
      </c>
    </row>
    <row r="660" spans="1:31" ht="16.100000000000001" x14ac:dyDescent="0.35">
      <c r="A660" s="294"/>
      <c r="B660" s="46"/>
      <c r="C660" s="46" t="s">
        <v>200</v>
      </c>
      <c r="D660" s="35">
        <v>4069.41</v>
      </c>
      <c r="E660" s="35">
        <v>4178.03</v>
      </c>
      <c r="F660" s="35">
        <v>4022.79</v>
      </c>
      <c r="G660" s="35">
        <v>4051.61</v>
      </c>
      <c r="H660" s="35">
        <v>3997.94</v>
      </c>
      <c r="I660" s="35">
        <v>4008.36</v>
      </c>
      <c r="J660" s="35">
        <v>4081.95</v>
      </c>
      <c r="K660" s="35">
        <v>4017.95</v>
      </c>
      <c r="L660" s="35">
        <v>4047.7</v>
      </c>
      <c r="M660" s="35">
        <v>4062.92</v>
      </c>
      <c r="N660" s="35">
        <v>4232.47</v>
      </c>
      <c r="O660" s="35">
        <v>4034.27</v>
      </c>
      <c r="P660" s="35">
        <v>3991.69</v>
      </c>
      <c r="Q660" s="46"/>
      <c r="R660" s="46"/>
      <c r="S660" s="46"/>
      <c r="T660" s="46"/>
      <c r="U660" s="46"/>
      <c r="V660" s="229"/>
      <c r="W660" s="46"/>
      <c r="X660" s="71"/>
    </row>
    <row r="661" spans="1:31" ht="22.75" thickBot="1" x14ac:dyDescent="0.4">
      <c r="A661" s="294"/>
      <c r="B661" s="42"/>
      <c r="C661" s="42" t="s">
        <v>199</v>
      </c>
      <c r="D661" s="44">
        <f t="shared" ref="D661:P661" si="216">IF(((D659="")*AND(D660="")),"",(D659-D660)*2)</f>
        <v>5421.9600000000009</v>
      </c>
      <c r="E661" s="44">
        <f t="shared" si="216"/>
        <v>5443.9800000000014</v>
      </c>
      <c r="F661" s="44">
        <f t="shared" si="216"/>
        <v>5400.18</v>
      </c>
      <c r="G661" s="44">
        <f t="shared" si="216"/>
        <v>5425.8</v>
      </c>
      <c r="H661" s="44">
        <f t="shared" si="216"/>
        <v>5451.4000000000005</v>
      </c>
      <c r="I661" s="44">
        <f t="shared" si="216"/>
        <v>5455.7399999999989</v>
      </c>
      <c r="J661" s="44">
        <f t="shared" si="216"/>
        <v>5429.1</v>
      </c>
      <c r="K661" s="44">
        <f t="shared" si="216"/>
        <v>5444.3000000000011</v>
      </c>
      <c r="L661" s="44">
        <f t="shared" si="216"/>
        <v>5391.9600000000009</v>
      </c>
      <c r="M661" s="44">
        <f t="shared" si="216"/>
        <v>5434.6</v>
      </c>
      <c r="N661" s="44">
        <f t="shared" si="216"/>
        <v>5444.08</v>
      </c>
      <c r="O661" s="44">
        <f t="shared" si="216"/>
        <v>5393.5199999999995</v>
      </c>
      <c r="P661" s="44">
        <f t="shared" si="216"/>
        <v>5390.9800000000005</v>
      </c>
      <c r="Q661" s="42"/>
      <c r="R661" s="42"/>
      <c r="S661" s="42"/>
      <c r="T661" s="42"/>
      <c r="U661" s="42"/>
      <c r="V661" s="230"/>
      <c r="W661" s="42"/>
      <c r="X661" s="70"/>
    </row>
    <row r="662" spans="1:31" ht="12.75" customHeight="1" x14ac:dyDescent="0.25">
      <c r="A662" s="65">
        <v>43493</v>
      </c>
      <c r="B662" s="55" t="s">
        <v>204</v>
      </c>
      <c r="C662" s="59" t="s">
        <v>201</v>
      </c>
      <c r="D662" s="35">
        <v>3532.63</v>
      </c>
      <c r="E662" s="35">
        <v>3735.96</v>
      </c>
      <c r="F662" s="35">
        <v>3723.62</v>
      </c>
      <c r="G662" s="35">
        <v>3390.79</v>
      </c>
      <c r="H662" s="35">
        <v>3687.66</v>
      </c>
      <c r="I662" s="35">
        <v>3747.9</v>
      </c>
      <c r="J662" s="35">
        <v>3741.31</v>
      </c>
      <c r="K662" s="35">
        <v>3694.39</v>
      </c>
      <c r="L662" s="35">
        <v>3731.99</v>
      </c>
      <c r="M662" s="58"/>
      <c r="N662" s="58"/>
      <c r="O662" s="58"/>
      <c r="P662" s="58"/>
      <c r="Q662" s="55">
        <f>IF((L663=""),"",MAX(D664:L664))</f>
        <v>7183.2899999999991</v>
      </c>
      <c r="R662" s="55">
        <f>IF(L663="","",MIN(D664:L664))</f>
        <v>6612.99</v>
      </c>
      <c r="S662" s="57">
        <f>IF((L664=""),"",AVERAGE(D664:L664))</f>
        <v>6858.9433333333327</v>
      </c>
      <c r="T662" s="51">
        <f>IF((L663=""),"",(Q662-R662)/(Q662+R662)*100)</f>
        <v>4.1337230035922676</v>
      </c>
      <c r="U662" s="55">
        <f>STDEV(D664:P664)</f>
        <v>156.78837887420067</v>
      </c>
      <c r="V662" s="231" t="str">
        <f>IF(L663="","",IF(T662&lt;9.8,IF(S662&gt;5100,IF(S662&lt;8300,"Pass","Fail"),"Fail"),"Fail"))</f>
        <v>Pass</v>
      </c>
      <c r="W662" s="55">
        <v>121</v>
      </c>
      <c r="X662" s="66" t="s">
        <v>181</v>
      </c>
      <c r="Z662" s="37">
        <v>4955</v>
      </c>
      <c r="AA662" s="37">
        <v>9645</v>
      </c>
      <c r="AB662" s="37">
        <v>5100</v>
      </c>
      <c r="AC662" s="37">
        <v>8300</v>
      </c>
      <c r="AD662" s="67">
        <v>10</v>
      </c>
      <c r="AE662" s="67">
        <v>9.8000000000000007</v>
      </c>
    </row>
    <row r="663" spans="1:31" ht="16.100000000000001" x14ac:dyDescent="0.35">
      <c r="A663" s="294"/>
      <c r="B663" s="46"/>
      <c r="C663" s="54" t="s">
        <v>200</v>
      </c>
      <c r="D663" s="35">
        <v>1225.75</v>
      </c>
      <c r="E663" s="35">
        <v>1477.29</v>
      </c>
      <c r="F663" s="35">
        <v>1441.64</v>
      </c>
      <c r="G663" s="35">
        <v>996.36</v>
      </c>
      <c r="H663" s="35">
        <v>1369.51</v>
      </c>
      <c r="I663" s="35">
        <v>1495.33</v>
      </c>
      <c r="J663" s="35">
        <v>1536.98</v>
      </c>
      <c r="K663" s="35">
        <v>1415.03</v>
      </c>
      <c r="L663" s="35">
        <v>1451.53</v>
      </c>
      <c r="M663" s="53"/>
      <c r="N663" s="53"/>
      <c r="O663" s="53"/>
      <c r="P663" s="53"/>
      <c r="Q663" s="46"/>
      <c r="R663" s="46"/>
      <c r="S663" s="46"/>
      <c r="T663" s="46"/>
      <c r="U663" s="46"/>
      <c r="V663" s="229"/>
      <c r="W663" s="46"/>
      <c r="X663" s="71"/>
    </row>
    <row r="664" spans="1:31" ht="22.75" thickBot="1" x14ac:dyDescent="0.4">
      <c r="A664" s="294"/>
      <c r="B664" s="46"/>
      <c r="C664" s="48" t="s">
        <v>199</v>
      </c>
      <c r="D664" s="52">
        <f t="shared" ref="D664:L664" si="217">IF(((D662="")*AND(D663="")),"",(D662-D663)*3)</f>
        <v>6920.64</v>
      </c>
      <c r="E664" s="52">
        <f t="shared" si="217"/>
        <v>6776.01</v>
      </c>
      <c r="F664" s="52">
        <f t="shared" si="217"/>
        <v>6845.9399999999987</v>
      </c>
      <c r="G664" s="52">
        <f t="shared" si="217"/>
        <v>7183.2899999999991</v>
      </c>
      <c r="H664" s="52">
        <f t="shared" si="217"/>
        <v>6954.4499999999989</v>
      </c>
      <c r="I664" s="52">
        <f t="shared" si="217"/>
        <v>6757.7100000000009</v>
      </c>
      <c r="J664" s="52">
        <f t="shared" si="217"/>
        <v>6612.99</v>
      </c>
      <c r="K664" s="52">
        <f t="shared" si="217"/>
        <v>6838.079999999999</v>
      </c>
      <c r="L664" s="52">
        <f t="shared" si="217"/>
        <v>6841.38</v>
      </c>
      <c r="M664" s="52"/>
      <c r="N664" s="52"/>
      <c r="O664" s="52"/>
      <c r="P664" s="52" t="str">
        <f>IF(((P662="")*AND(P663="")),"",(P662-P663)*2)</f>
        <v/>
      </c>
      <c r="Q664" s="46"/>
      <c r="R664" s="46"/>
      <c r="S664" s="46"/>
      <c r="T664" s="46"/>
      <c r="U664" s="46"/>
      <c r="V664" s="229"/>
      <c r="W664" s="46"/>
      <c r="X664" s="71"/>
    </row>
    <row r="665" spans="1:31" ht="12.75" customHeight="1" x14ac:dyDescent="0.25">
      <c r="A665" s="65">
        <v>43493</v>
      </c>
      <c r="B665" s="48" t="s">
        <v>202</v>
      </c>
      <c r="C665" s="48" t="s">
        <v>201</v>
      </c>
      <c r="D665" s="35">
        <v>4069.41</v>
      </c>
      <c r="E665" s="35">
        <v>4178.03</v>
      </c>
      <c r="F665" s="35">
        <v>4022.79</v>
      </c>
      <c r="G665" s="35">
        <v>4051.61</v>
      </c>
      <c r="H665" s="35">
        <v>3997.94</v>
      </c>
      <c r="I665" s="35">
        <v>4008.36</v>
      </c>
      <c r="J665" s="35">
        <v>4081.95</v>
      </c>
      <c r="K665" s="35">
        <v>4017.95</v>
      </c>
      <c r="L665" s="35">
        <v>4047.7</v>
      </c>
      <c r="M665" s="35">
        <v>4062.92</v>
      </c>
      <c r="N665" s="35">
        <v>4232.47</v>
      </c>
      <c r="O665" s="35">
        <v>4034.27</v>
      </c>
      <c r="P665" s="35">
        <v>3991.69</v>
      </c>
      <c r="Q665" s="48">
        <f>IF((L666=""),"",MAX(D667:P667))</f>
        <v>5505.22</v>
      </c>
      <c r="R665" s="48">
        <f>IF(L666="","",MIN(D667:L667))</f>
        <v>5421.66</v>
      </c>
      <c r="S665" s="51">
        <f>IF((P667=""),"",AVERAGE(D667:P667))</f>
        <v>5462.8461538461552</v>
      </c>
      <c r="T665" s="50">
        <f>IF((L666=""),"",(Q665-R665)/(Q665+R665)*100)</f>
        <v>0.76471966380156453</v>
      </c>
      <c r="U665" s="48">
        <f>STDEV(D667:P667)</f>
        <v>26.336006258372418</v>
      </c>
      <c r="V665" s="228" t="str">
        <f>IF(P666="","",IF(T665&lt;2.7,IF(S665&gt;5150,IF(S665&lt;5600,"Pass","Fail"),"Fail"),"Fail"))</f>
        <v>Pass</v>
      </c>
      <c r="W665" s="48">
        <v>121</v>
      </c>
      <c r="X665" s="71" t="s">
        <v>181</v>
      </c>
      <c r="Z665" s="251">
        <v>4470</v>
      </c>
      <c r="AA665" s="251">
        <v>6020</v>
      </c>
      <c r="AB665" s="251">
        <v>5150</v>
      </c>
      <c r="AC665" s="251">
        <v>5600</v>
      </c>
      <c r="AD665" s="67">
        <v>10</v>
      </c>
      <c r="AE665" s="252">
        <v>2.7</v>
      </c>
    </row>
    <row r="666" spans="1:31" ht="16.100000000000001" x14ac:dyDescent="0.35">
      <c r="A666" s="294"/>
      <c r="B666" s="46"/>
      <c r="C666" s="46" t="s">
        <v>200</v>
      </c>
      <c r="D666" s="35">
        <v>1336.78</v>
      </c>
      <c r="E666" s="35">
        <v>1437.56</v>
      </c>
      <c r="F666" s="35">
        <v>1307.43</v>
      </c>
      <c r="G666" s="35">
        <v>1321.83</v>
      </c>
      <c r="H666" s="35">
        <v>1245.33</v>
      </c>
      <c r="I666" s="35">
        <v>1257.67</v>
      </c>
      <c r="J666" s="35">
        <v>1352.43</v>
      </c>
      <c r="K666" s="35">
        <v>1279.19</v>
      </c>
      <c r="L666" s="35">
        <v>1336.87</v>
      </c>
      <c r="M666" s="35">
        <v>1334.83</v>
      </c>
      <c r="N666" s="35">
        <v>1491.41</v>
      </c>
      <c r="O666" s="35">
        <v>1319.37</v>
      </c>
      <c r="P666" s="35">
        <v>1267.8900000000001</v>
      </c>
      <c r="Q666" s="46"/>
      <c r="R666" s="46"/>
      <c r="S666" s="46"/>
      <c r="T666" s="46"/>
      <c r="U666" s="46"/>
      <c r="V666" s="229"/>
      <c r="W666" s="46"/>
      <c r="X666" s="71"/>
    </row>
    <row r="667" spans="1:31" ht="22.75" thickBot="1" x14ac:dyDescent="0.4">
      <c r="A667" s="294"/>
      <c r="B667" s="42"/>
      <c r="C667" s="42" t="s">
        <v>199</v>
      </c>
      <c r="D667" s="44">
        <f t="shared" ref="D667:P667" si="218">IF(((D665="")*AND(D666="")),"",(D665-D666)*2)</f>
        <v>5465.26</v>
      </c>
      <c r="E667" s="44">
        <f t="shared" si="218"/>
        <v>5480.94</v>
      </c>
      <c r="F667" s="44">
        <f t="shared" si="218"/>
        <v>5430.7199999999993</v>
      </c>
      <c r="G667" s="44">
        <f t="shared" si="218"/>
        <v>5459.56</v>
      </c>
      <c r="H667" s="44">
        <f t="shared" si="218"/>
        <v>5505.22</v>
      </c>
      <c r="I667" s="44">
        <f t="shared" si="218"/>
        <v>5501.38</v>
      </c>
      <c r="J667" s="44">
        <f t="shared" si="218"/>
        <v>5459.0399999999991</v>
      </c>
      <c r="K667" s="44">
        <f t="shared" si="218"/>
        <v>5477.5199999999995</v>
      </c>
      <c r="L667" s="44">
        <f t="shared" si="218"/>
        <v>5421.66</v>
      </c>
      <c r="M667" s="44">
        <f t="shared" si="218"/>
        <v>5456.18</v>
      </c>
      <c r="N667" s="44">
        <f t="shared" si="218"/>
        <v>5482.1200000000008</v>
      </c>
      <c r="O667" s="44">
        <f t="shared" si="218"/>
        <v>5429.8</v>
      </c>
      <c r="P667" s="44">
        <f t="shared" si="218"/>
        <v>5447.6</v>
      </c>
      <c r="Q667" s="42"/>
      <c r="R667" s="42"/>
      <c r="S667" s="42"/>
      <c r="T667" s="42"/>
      <c r="U667" s="42"/>
      <c r="V667" s="230"/>
      <c r="W667" s="42"/>
      <c r="X667" s="70"/>
    </row>
    <row r="668" spans="1:31" ht="12.75" customHeight="1" x14ac:dyDescent="0.25">
      <c r="A668" s="65">
        <v>43501</v>
      </c>
      <c r="B668" s="55" t="s">
        <v>204</v>
      </c>
      <c r="C668" s="59" t="s">
        <v>201</v>
      </c>
      <c r="D668" s="35">
        <v>6050</v>
      </c>
      <c r="E668" s="35">
        <v>6058.28</v>
      </c>
      <c r="F668" s="35">
        <v>6099.21</v>
      </c>
      <c r="G668" s="35">
        <v>5994.01</v>
      </c>
      <c r="H668" s="35">
        <v>6052.49</v>
      </c>
      <c r="I668" s="35">
        <v>6117.17</v>
      </c>
      <c r="J668" s="35">
        <v>6039.26</v>
      </c>
      <c r="K668" s="35">
        <v>6055.42</v>
      </c>
      <c r="L668" s="35">
        <v>6092.86</v>
      </c>
      <c r="M668" s="58"/>
      <c r="N668" s="58"/>
      <c r="O668" s="58"/>
      <c r="P668" s="58"/>
      <c r="Q668" s="55">
        <f>IF((L669=""),"",MAX(D670:L670))</f>
        <v>7553.16</v>
      </c>
      <c r="R668" s="55">
        <f>IF(L669="","",MIN(D670:L670))</f>
        <v>6949.6800000000012</v>
      </c>
      <c r="S668" s="57">
        <f>IF((L670=""),"",AVERAGE(D670:L670))</f>
        <v>7138.1466666666656</v>
      </c>
      <c r="T668" s="51">
        <f>IF((L669=""),"",(Q668-R668)/(Q668+R668)*100)</f>
        <v>4.1611160296879692</v>
      </c>
      <c r="U668" s="55">
        <f>STDEV(D670:P670)</f>
        <v>220.83945492144304</v>
      </c>
      <c r="V668" s="231" t="str">
        <f>IF(L669="","",IF(T668&lt;9.8,IF(S668&gt;5100,IF(S668&lt;8300,"Pass","Fail"),"Fail"),"Fail"))</f>
        <v>Pass</v>
      </c>
      <c r="W668" s="55">
        <v>1159</v>
      </c>
      <c r="X668" s="66" t="s">
        <v>221</v>
      </c>
      <c r="Z668" s="37">
        <v>4955</v>
      </c>
      <c r="AA668" s="37">
        <v>9645</v>
      </c>
      <c r="AB668" s="37">
        <v>5100</v>
      </c>
      <c r="AC668" s="37">
        <v>8300</v>
      </c>
      <c r="AD668" s="67">
        <v>10</v>
      </c>
      <c r="AE668" s="67">
        <v>9.8000000000000007</v>
      </c>
    </row>
    <row r="669" spans="1:31" ht="16.100000000000001" x14ac:dyDescent="0.35">
      <c r="A669" s="294"/>
      <c r="B669" s="46"/>
      <c r="C669" s="54" t="s">
        <v>200</v>
      </c>
      <c r="D669" s="35">
        <v>3532.28</v>
      </c>
      <c r="E669" s="35">
        <v>3720.27</v>
      </c>
      <c r="F669" s="35">
        <v>3739.08</v>
      </c>
      <c r="G669" s="35">
        <v>3500.7</v>
      </c>
      <c r="H669" s="35">
        <v>3698.86</v>
      </c>
      <c r="I669" s="35">
        <v>3756.03</v>
      </c>
      <c r="J669" s="35">
        <v>3722.7</v>
      </c>
      <c r="K669" s="35">
        <v>3735.94</v>
      </c>
      <c r="L669" s="35">
        <v>3738.4</v>
      </c>
      <c r="M669" s="53"/>
      <c r="N669" s="53"/>
      <c r="O669" s="53"/>
      <c r="P669" s="53"/>
      <c r="Q669" s="46"/>
      <c r="R669" s="46"/>
      <c r="S669" s="46"/>
      <c r="T669" s="46"/>
      <c r="U669" s="46"/>
      <c r="V669" s="229"/>
      <c r="W669" s="46"/>
      <c r="X669" s="71"/>
    </row>
    <row r="670" spans="1:31" ht="22.75" thickBot="1" x14ac:dyDescent="0.4">
      <c r="A670" s="294"/>
      <c r="B670" s="46"/>
      <c r="C670" s="48" t="s">
        <v>199</v>
      </c>
      <c r="D670" s="52">
        <f t="shared" ref="D670:L670" si="219">IF(((D668="")*AND(D669="")),"",(D668-D669)*3)</f>
        <v>7553.16</v>
      </c>
      <c r="E670" s="52">
        <f t="shared" si="219"/>
        <v>7014.0299999999988</v>
      </c>
      <c r="F670" s="52">
        <f t="shared" si="219"/>
        <v>7080.39</v>
      </c>
      <c r="G670" s="52">
        <f t="shared" si="219"/>
        <v>7479.9300000000012</v>
      </c>
      <c r="H670" s="52">
        <f t="shared" si="219"/>
        <v>7060.8899999999994</v>
      </c>
      <c r="I670" s="52">
        <f t="shared" si="219"/>
        <v>7083.42</v>
      </c>
      <c r="J670" s="52">
        <f t="shared" si="219"/>
        <v>6949.6800000000012</v>
      </c>
      <c r="K670" s="52">
        <f t="shared" si="219"/>
        <v>6958.4400000000005</v>
      </c>
      <c r="L670" s="52">
        <f t="shared" si="219"/>
        <v>7063.3799999999992</v>
      </c>
      <c r="M670" s="52"/>
      <c r="N670" s="52"/>
      <c r="O670" s="52"/>
      <c r="P670" s="52" t="str">
        <f>IF(((P668="")*AND(P669="")),"",(P668-P669)*2)</f>
        <v/>
      </c>
      <c r="Q670" s="46"/>
      <c r="R670" s="46"/>
      <c r="S670" s="46"/>
      <c r="T670" s="46"/>
      <c r="U670" s="46"/>
      <c r="V670" s="229"/>
      <c r="W670" s="46"/>
      <c r="X670" s="71"/>
    </row>
    <row r="671" spans="1:31" ht="12.75" customHeight="1" x14ac:dyDescent="0.25">
      <c r="A671" s="65">
        <v>43501</v>
      </c>
      <c r="B671" s="48" t="s">
        <v>202</v>
      </c>
      <c r="C671" s="48" t="s">
        <v>201</v>
      </c>
      <c r="D671" s="35">
        <v>6703.27</v>
      </c>
      <c r="E671" s="35">
        <v>6817.98</v>
      </c>
      <c r="F671" s="35">
        <v>6654.07</v>
      </c>
      <c r="G671" s="35">
        <v>6704.22</v>
      </c>
      <c r="H671" s="35">
        <v>6626.11</v>
      </c>
      <c r="I671" s="35">
        <v>6660.32</v>
      </c>
      <c r="J671" s="35">
        <v>6734.18</v>
      </c>
      <c r="K671" s="35">
        <v>6683.93</v>
      </c>
      <c r="L671" s="35">
        <v>6666.38</v>
      </c>
      <c r="M671" s="35">
        <v>6711.02</v>
      </c>
      <c r="N671" s="35">
        <v>6866.51</v>
      </c>
      <c r="O671" s="35">
        <v>6652.1</v>
      </c>
      <c r="P671" s="35">
        <v>6589.94</v>
      </c>
      <c r="Q671" s="48">
        <f>IF((L672=""),"",MAX(D673:P673))</f>
        <v>5332.0199999999995</v>
      </c>
      <c r="R671" s="48">
        <f>IF(L672="","",MIN(D673:L673))</f>
        <v>5262.6</v>
      </c>
      <c r="S671" s="51">
        <f>IF((P673=""),"",AVERAGE(D673:P673))</f>
        <v>5296.8661538461547</v>
      </c>
      <c r="T671" s="50">
        <f>IF((L672=""),"",(Q671-R671)/(Q671+R671)*100)</f>
        <v>0.65523822468384119</v>
      </c>
      <c r="U671" s="48">
        <f>STDEV(D673:P673)</f>
        <v>23.822520695923082</v>
      </c>
      <c r="V671" s="228" t="str">
        <f>IF(P672="","",IF(T671&lt;2.7,IF(S671&gt;5150,IF(S671&lt;5600,"Pass","Fail"),"Fail"),"Fail"))</f>
        <v>Pass</v>
      </c>
      <c r="W671" s="48">
        <v>1159</v>
      </c>
      <c r="X671" s="71" t="s">
        <v>221</v>
      </c>
      <c r="Z671" s="251">
        <v>4470</v>
      </c>
      <c r="AA671" s="251">
        <v>6020</v>
      </c>
      <c r="AB671" s="251">
        <v>5150</v>
      </c>
      <c r="AC671" s="251">
        <v>5600</v>
      </c>
      <c r="AD671" s="67">
        <v>10</v>
      </c>
      <c r="AE671" s="252">
        <v>2.7</v>
      </c>
    </row>
    <row r="672" spans="1:31" ht="16.100000000000001" x14ac:dyDescent="0.35">
      <c r="A672" s="294"/>
      <c r="B672" s="46"/>
      <c r="C672" s="46" t="s">
        <v>200</v>
      </c>
      <c r="D672" s="35">
        <v>4050.48</v>
      </c>
      <c r="E672" s="35">
        <v>4155.92</v>
      </c>
      <c r="F672" s="35">
        <v>4016.47</v>
      </c>
      <c r="G672" s="35">
        <v>4058.84</v>
      </c>
      <c r="H672" s="35">
        <v>3960.1</v>
      </c>
      <c r="I672" s="35">
        <v>3998.66</v>
      </c>
      <c r="J672" s="35">
        <v>4089.81</v>
      </c>
      <c r="K672" s="35">
        <v>4031.05</v>
      </c>
      <c r="L672" s="35">
        <v>4035.08</v>
      </c>
      <c r="M672" s="35">
        <v>4063.34</v>
      </c>
      <c r="N672" s="35">
        <v>4206.71</v>
      </c>
      <c r="O672" s="35">
        <v>4020.69</v>
      </c>
      <c r="P672" s="35">
        <v>3953.25</v>
      </c>
      <c r="Q672" s="46"/>
      <c r="R672" s="46"/>
      <c r="S672" s="46"/>
      <c r="T672" s="46"/>
      <c r="U672" s="46"/>
      <c r="V672" s="229"/>
      <c r="W672" s="46"/>
      <c r="X672" s="71"/>
    </row>
    <row r="673" spans="1:31" ht="22.75" thickBot="1" x14ac:dyDescent="0.4">
      <c r="A673" s="294"/>
      <c r="B673" s="42"/>
      <c r="C673" s="42" t="s">
        <v>199</v>
      </c>
      <c r="D673" s="44">
        <f t="shared" ref="D673:P673" si="220">IF(((D671="")*AND(D672="")),"",(D671-D672)*2)</f>
        <v>5305.5800000000008</v>
      </c>
      <c r="E673" s="44">
        <f t="shared" si="220"/>
        <v>5324.119999999999</v>
      </c>
      <c r="F673" s="44">
        <f t="shared" si="220"/>
        <v>5275.2</v>
      </c>
      <c r="G673" s="44">
        <f t="shared" si="220"/>
        <v>5290.76</v>
      </c>
      <c r="H673" s="44">
        <f t="shared" si="220"/>
        <v>5332.0199999999995</v>
      </c>
      <c r="I673" s="44">
        <f t="shared" si="220"/>
        <v>5323.32</v>
      </c>
      <c r="J673" s="44">
        <f t="shared" si="220"/>
        <v>5288.7400000000007</v>
      </c>
      <c r="K673" s="44">
        <f t="shared" si="220"/>
        <v>5305.76</v>
      </c>
      <c r="L673" s="44">
        <f t="shared" si="220"/>
        <v>5262.6</v>
      </c>
      <c r="M673" s="44">
        <f t="shared" si="220"/>
        <v>5295.3600000000006</v>
      </c>
      <c r="N673" s="44">
        <f t="shared" si="220"/>
        <v>5319.6</v>
      </c>
      <c r="O673" s="44">
        <f t="shared" si="220"/>
        <v>5262.8200000000006</v>
      </c>
      <c r="P673" s="44">
        <f t="shared" si="220"/>
        <v>5273.3799999999992</v>
      </c>
      <c r="Q673" s="42"/>
      <c r="R673" s="42"/>
      <c r="S673" s="42"/>
      <c r="T673" s="42"/>
      <c r="U673" s="42"/>
      <c r="V673" s="230"/>
      <c r="W673" s="42"/>
      <c r="X673" s="70"/>
    </row>
    <row r="674" spans="1:31" ht="12.75" customHeight="1" x14ac:dyDescent="0.25">
      <c r="A674" s="65">
        <v>43507</v>
      </c>
      <c r="B674" s="55" t="s">
        <v>204</v>
      </c>
      <c r="C674" s="59" t="s">
        <v>201</v>
      </c>
      <c r="D674" s="35">
        <v>6046.38</v>
      </c>
      <c r="E674" s="35">
        <v>6061.96</v>
      </c>
      <c r="F674" s="35">
        <v>6108.93</v>
      </c>
      <c r="G674" s="35">
        <v>5917.23</v>
      </c>
      <c r="H674" s="35">
        <v>6049.61</v>
      </c>
      <c r="I674" s="35">
        <v>6132.63</v>
      </c>
      <c r="J674" s="35">
        <v>6056.57</v>
      </c>
      <c r="K674" s="35">
        <v>6106.83</v>
      </c>
      <c r="L674" s="35">
        <v>6041.91</v>
      </c>
      <c r="M674" s="58"/>
      <c r="N674" s="58"/>
      <c r="O674" s="58"/>
      <c r="P674" s="58"/>
      <c r="Q674" s="55">
        <f>IF((L675=""),"",MAX(D676:L676))</f>
        <v>8243.34</v>
      </c>
      <c r="R674" s="55">
        <f>IF(L675="","",MIN(D676:L676))</f>
        <v>6957.5399999999991</v>
      </c>
      <c r="S674" s="57">
        <f>IF((L676=""),"",AVERAGE(D676:L676))</f>
        <v>7252.4033333333327</v>
      </c>
      <c r="T674" s="51">
        <f>IF((L675=""),"",(Q674-R674)/(Q674+R674)*100)</f>
        <v>8.458720810900429</v>
      </c>
      <c r="U674" s="55">
        <f>STDEV(D676:P676)</f>
        <v>405.83258940725824</v>
      </c>
      <c r="V674" s="231" t="str">
        <f>IF(L675="","",IF(T674&lt;9.8,IF(S674&gt;5100,IF(S674&lt;8300,"Pass","Fail"),"Fail"),"Fail"))</f>
        <v>Pass</v>
      </c>
      <c r="W674" s="55">
        <v>1335</v>
      </c>
      <c r="X674" s="66" t="s">
        <v>220</v>
      </c>
      <c r="Z674" s="37">
        <v>4955</v>
      </c>
      <c r="AA674" s="37">
        <v>9645</v>
      </c>
      <c r="AB674" s="37">
        <v>5100</v>
      </c>
      <c r="AC674" s="37">
        <v>8300</v>
      </c>
      <c r="AD674" s="67">
        <v>10</v>
      </c>
      <c r="AE674" s="67">
        <v>9.8000000000000007</v>
      </c>
    </row>
    <row r="675" spans="1:31" ht="16.100000000000001" x14ac:dyDescent="0.35">
      <c r="A675" s="294"/>
      <c r="B675" s="46"/>
      <c r="C675" s="54" t="s">
        <v>200</v>
      </c>
      <c r="D675" s="35">
        <v>3537.93</v>
      </c>
      <c r="E675" s="35">
        <v>3720.36</v>
      </c>
      <c r="F675" s="35">
        <v>3731.88</v>
      </c>
      <c r="G675" s="35">
        <v>3169.45</v>
      </c>
      <c r="H675" s="35">
        <v>3687.57</v>
      </c>
      <c r="I675" s="35">
        <v>3749.91</v>
      </c>
      <c r="J675" s="35">
        <v>3718.53</v>
      </c>
      <c r="K675" s="35">
        <v>3726.48</v>
      </c>
      <c r="L675" s="35">
        <v>3722.73</v>
      </c>
      <c r="M675" s="53"/>
      <c r="N675" s="53"/>
      <c r="O675" s="53"/>
      <c r="P675" s="53"/>
      <c r="Q675" s="46"/>
      <c r="R675" s="46"/>
      <c r="S675" s="46"/>
      <c r="T675" s="46"/>
      <c r="U675" s="46"/>
      <c r="V675" s="229"/>
      <c r="W675" s="46"/>
      <c r="X675" s="71"/>
    </row>
    <row r="676" spans="1:31" ht="22.75" thickBot="1" x14ac:dyDescent="0.4">
      <c r="A676" s="294"/>
      <c r="B676" s="46"/>
      <c r="C676" s="48" t="s">
        <v>199</v>
      </c>
      <c r="D676" s="52">
        <f t="shared" ref="D676:L676" si="221">IF(((D674="")*AND(D675="")),"",(D674-D675)*3)</f>
        <v>7525.35</v>
      </c>
      <c r="E676" s="52">
        <f t="shared" si="221"/>
        <v>7024.7999999999993</v>
      </c>
      <c r="F676" s="52">
        <f t="shared" si="221"/>
        <v>7131.1500000000005</v>
      </c>
      <c r="G676" s="52">
        <f t="shared" si="221"/>
        <v>8243.34</v>
      </c>
      <c r="H676" s="52">
        <f t="shared" si="221"/>
        <v>7086.119999999999</v>
      </c>
      <c r="I676" s="52">
        <f t="shared" si="221"/>
        <v>7148.1600000000008</v>
      </c>
      <c r="J676" s="52">
        <f t="shared" si="221"/>
        <v>7014.119999999999</v>
      </c>
      <c r="K676" s="52">
        <f t="shared" si="221"/>
        <v>7141.0499999999993</v>
      </c>
      <c r="L676" s="52">
        <f t="shared" si="221"/>
        <v>6957.5399999999991</v>
      </c>
      <c r="M676" s="52"/>
      <c r="N676" s="52"/>
      <c r="O676" s="52"/>
      <c r="P676" s="52" t="str">
        <f>IF(((P674="")*AND(P675="")),"",(P674-P675)*2)</f>
        <v/>
      </c>
      <c r="Q676" s="46"/>
      <c r="R676" s="46"/>
      <c r="S676" s="46"/>
      <c r="T676" s="46"/>
      <c r="U676" s="46"/>
      <c r="V676" s="229"/>
      <c r="W676" s="46"/>
      <c r="X676" s="71"/>
    </row>
    <row r="677" spans="1:31" ht="12.75" customHeight="1" x14ac:dyDescent="0.25">
      <c r="A677" s="65">
        <v>43507</v>
      </c>
      <c r="B677" s="48" t="s">
        <v>202</v>
      </c>
      <c r="C677" s="48" t="s">
        <v>201</v>
      </c>
      <c r="D677" s="35">
        <v>6702.16</v>
      </c>
      <c r="E677" s="35">
        <v>6823.01</v>
      </c>
      <c r="F677" s="35">
        <v>6647.89</v>
      </c>
      <c r="G677" s="35">
        <v>6683.58</v>
      </c>
      <c r="H677" s="35">
        <v>6640.98</v>
      </c>
      <c r="I677" s="35">
        <v>6658.2</v>
      </c>
      <c r="J677" s="35">
        <v>6711.37</v>
      </c>
      <c r="K677" s="35">
        <v>6660.52</v>
      </c>
      <c r="L677" s="35">
        <v>6661.4</v>
      </c>
      <c r="M677" s="35">
        <v>6693.11</v>
      </c>
      <c r="N677" s="35">
        <v>6876.11</v>
      </c>
      <c r="O677" s="35">
        <v>6649.25</v>
      </c>
      <c r="P677" s="35">
        <v>6599.71</v>
      </c>
      <c r="Q677" s="48">
        <f>IF((L678=""),"",MAX(D679:P679))</f>
        <v>5359.1399999999994</v>
      </c>
      <c r="R677" s="48">
        <f>IF(L678="","",MIN(D679:L679))</f>
        <v>5304.1799999999994</v>
      </c>
      <c r="S677" s="51">
        <f>IF((P679=""),"",AVERAGE(D679:P679))</f>
        <v>5331.7707692307686</v>
      </c>
      <c r="T677" s="50">
        <f>IF((L678=""),"",(Q677-R677)/(Q677+R677)*100)</f>
        <v>0.51541171042414591</v>
      </c>
      <c r="U677" s="48">
        <f>STDEV(D679:P679)</f>
        <v>19.553288922641723</v>
      </c>
      <c r="V677" s="228" t="str">
        <f>IF(P678="","",IF(T677&lt;2.7,IF(S677&gt;5150,IF(S677&lt;5600,"Pass","Fail"),"Fail"),"Fail"))</f>
        <v>Pass</v>
      </c>
      <c r="W677" s="48">
        <v>1335</v>
      </c>
      <c r="X677" s="71" t="s">
        <v>220</v>
      </c>
      <c r="Z677" s="251">
        <v>4470</v>
      </c>
      <c r="AA677" s="251">
        <v>6020</v>
      </c>
      <c r="AB677" s="251">
        <v>5150</v>
      </c>
      <c r="AC677" s="251">
        <v>5600</v>
      </c>
      <c r="AD677" s="67">
        <v>10</v>
      </c>
      <c r="AE677" s="252">
        <v>2.7</v>
      </c>
    </row>
    <row r="678" spans="1:31" ht="16.100000000000001" x14ac:dyDescent="0.35">
      <c r="A678" s="294"/>
      <c r="B678" s="46"/>
      <c r="C678" s="46" t="s">
        <v>200</v>
      </c>
      <c r="D678" s="35">
        <v>4031.65</v>
      </c>
      <c r="E678" s="35">
        <v>4147.3</v>
      </c>
      <c r="F678" s="35">
        <v>3990.56</v>
      </c>
      <c r="G678" s="35">
        <v>4018.97</v>
      </c>
      <c r="H678" s="35">
        <v>3961.41</v>
      </c>
      <c r="I678" s="35">
        <v>3981.46</v>
      </c>
      <c r="J678" s="35">
        <v>4049.35</v>
      </c>
      <c r="K678" s="35">
        <v>3989.36</v>
      </c>
      <c r="L678" s="35">
        <v>4009.31</v>
      </c>
      <c r="M678" s="35">
        <v>4027.79</v>
      </c>
      <c r="N678" s="35">
        <v>4200.9399999999996</v>
      </c>
      <c r="O678" s="35">
        <v>3997.64</v>
      </c>
      <c r="P678" s="35">
        <v>3945.04</v>
      </c>
      <c r="Q678" s="46"/>
      <c r="R678" s="46"/>
      <c r="S678" s="46"/>
      <c r="T678" s="46"/>
      <c r="U678" s="46"/>
      <c r="V678" s="229"/>
      <c r="W678" s="46"/>
      <c r="X678" s="71"/>
    </row>
    <row r="679" spans="1:31" ht="22.75" thickBot="1" x14ac:dyDescent="0.4">
      <c r="A679" s="294"/>
      <c r="B679" s="42"/>
      <c r="C679" s="42" t="s">
        <v>199</v>
      </c>
      <c r="D679" s="44">
        <f t="shared" ref="D679:P679" si="222">IF(((D677="")*AND(D678="")),"",(D677-D678)*2)</f>
        <v>5341.0199999999995</v>
      </c>
      <c r="E679" s="44">
        <f t="shared" si="222"/>
        <v>5351.42</v>
      </c>
      <c r="F679" s="44">
        <f t="shared" si="222"/>
        <v>5314.6600000000008</v>
      </c>
      <c r="G679" s="44">
        <f t="shared" si="222"/>
        <v>5329.22</v>
      </c>
      <c r="H679" s="44">
        <f t="shared" si="222"/>
        <v>5359.1399999999994</v>
      </c>
      <c r="I679" s="44">
        <f t="shared" si="222"/>
        <v>5353.48</v>
      </c>
      <c r="J679" s="44">
        <f t="shared" si="222"/>
        <v>5324.04</v>
      </c>
      <c r="K679" s="44">
        <f t="shared" si="222"/>
        <v>5342.3200000000006</v>
      </c>
      <c r="L679" s="44">
        <f t="shared" si="222"/>
        <v>5304.1799999999994</v>
      </c>
      <c r="M679" s="44">
        <f t="shared" si="222"/>
        <v>5330.6399999999994</v>
      </c>
      <c r="N679" s="44">
        <f t="shared" si="222"/>
        <v>5350.34</v>
      </c>
      <c r="O679" s="44">
        <f t="shared" si="222"/>
        <v>5303.22</v>
      </c>
      <c r="P679" s="44">
        <f t="shared" si="222"/>
        <v>5309.34</v>
      </c>
      <c r="Q679" s="42"/>
      <c r="R679" s="42"/>
      <c r="S679" s="42"/>
      <c r="T679" s="42"/>
      <c r="U679" s="42"/>
      <c r="V679" s="230"/>
      <c r="W679" s="42"/>
      <c r="X679" s="70"/>
    </row>
    <row r="680" spans="1:31" ht="12.75" customHeight="1" x14ac:dyDescent="0.25">
      <c r="A680" s="65">
        <v>43514</v>
      </c>
      <c r="B680" s="55" t="s">
        <v>204</v>
      </c>
      <c r="C680" s="59" t="s">
        <v>201</v>
      </c>
      <c r="D680" s="35">
        <v>3567.87</v>
      </c>
      <c r="E680" s="35">
        <v>3716.97</v>
      </c>
      <c r="F680" s="35">
        <v>3728.75</v>
      </c>
      <c r="G680" s="35">
        <v>3182.2</v>
      </c>
      <c r="H680" s="35">
        <v>3687.02</v>
      </c>
      <c r="I680" s="35">
        <v>3749.17</v>
      </c>
      <c r="J680" s="35">
        <v>3713.62</v>
      </c>
      <c r="K680" s="35">
        <v>3724.04</v>
      </c>
      <c r="L680" s="35">
        <v>3733.55</v>
      </c>
      <c r="M680" s="58"/>
      <c r="N680" s="58"/>
      <c r="O680" s="58"/>
      <c r="P680" s="58"/>
      <c r="Q680" s="55">
        <f>IF((L681=""),"",MAX(D682:L682))</f>
        <v>7234.98</v>
      </c>
      <c r="R680" s="55">
        <f>IF(L681="","",MIN(D682:L682))</f>
        <v>6672.7800000000007</v>
      </c>
      <c r="S680" s="57">
        <f>IF((L682=""),"",AVERAGE(D682:L682))</f>
        <v>6848.4</v>
      </c>
      <c r="T680" s="51">
        <f>IF((L681=""),"",(Q680-R680)/(Q680+R680)*100)</f>
        <v>4.0423475814940639</v>
      </c>
      <c r="U680" s="55">
        <f>STDEV(D682:P682)</f>
        <v>163.76216321238539</v>
      </c>
      <c r="V680" s="231" t="str">
        <f>IF(L681="","",IF(T680&lt;9.8,IF(S680&gt;5100,IF(S680&lt;8300,"Pass","Fail"),"Fail"),"Fail"))</f>
        <v>Pass</v>
      </c>
      <c r="W680" s="55" t="s">
        <v>217</v>
      </c>
      <c r="X680" s="66" t="s">
        <v>219</v>
      </c>
      <c r="Z680" s="37">
        <v>4955</v>
      </c>
      <c r="AA680" s="37">
        <v>9645</v>
      </c>
      <c r="AB680" s="37">
        <v>5100</v>
      </c>
      <c r="AC680" s="37">
        <v>8300</v>
      </c>
      <c r="AD680" s="67">
        <v>10</v>
      </c>
      <c r="AE680" s="67">
        <v>9.8000000000000007</v>
      </c>
    </row>
    <row r="681" spans="1:31" ht="16.100000000000001" x14ac:dyDescent="0.35">
      <c r="A681" s="294"/>
      <c r="B681" s="46"/>
      <c r="C681" s="54" t="s">
        <v>200</v>
      </c>
      <c r="D681" s="35">
        <v>1156.21</v>
      </c>
      <c r="E681" s="35">
        <v>1414.73</v>
      </c>
      <c r="F681" s="35">
        <v>1453.13</v>
      </c>
      <c r="G681" s="35">
        <v>939.63</v>
      </c>
      <c r="H681" s="35">
        <v>1385.71</v>
      </c>
      <c r="I681" s="35">
        <v>1490.37</v>
      </c>
      <c r="J681" s="35">
        <v>1489.36</v>
      </c>
      <c r="K681" s="35">
        <v>1468.63</v>
      </c>
      <c r="L681" s="35">
        <v>1460.22</v>
      </c>
      <c r="M681" s="53"/>
      <c r="N681" s="53"/>
      <c r="O681" s="53"/>
      <c r="P681" s="53"/>
      <c r="Q681" s="46"/>
      <c r="R681" s="46"/>
      <c r="S681" s="46"/>
      <c r="T681" s="46"/>
      <c r="U681" s="46"/>
      <c r="V681" s="229"/>
      <c r="W681" s="46"/>
      <c r="X681" s="71"/>
    </row>
    <row r="682" spans="1:31" ht="22.75" thickBot="1" x14ac:dyDescent="0.4">
      <c r="A682" s="294"/>
      <c r="B682" s="46"/>
      <c r="C682" s="48" t="s">
        <v>199</v>
      </c>
      <c r="D682" s="52">
        <f t="shared" ref="D682:L682" si="223">IF(((D680="")*AND(D681="")),"",(D680-D681)*3)</f>
        <v>7234.98</v>
      </c>
      <c r="E682" s="52">
        <f t="shared" si="223"/>
        <v>6906.7199999999993</v>
      </c>
      <c r="F682" s="52">
        <f t="shared" si="223"/>
        <v>6826.86</v>
      </c>
      <c r="G682" s="52">
        <f t="shared" si="223"/>
        <v>6727.7099999999991</v>
      </c>
      <c r="H682" s="52">
        <f t="shared" si="223"/>
        <v>6903.93</v>
      </c>
      <c r="I682" s="52">
        <f t="shared" si="223"/>
        <v>6776.4000000000005</v>
      </c>
      <c r="J682" s="52">
        <f t="shared" si="223"/>
        <v>6672.7800000000007</v>
      </c>
      <c r="K682" s="52">
        <f t="shared" si="223"/>
        <v>6766.23</v>
      </c>
      <c r="L682" s="52">
        <f t="shared" si="223"/>
        <v>6819.99</v>
      </c>
      <c r="M682" s="52"/>
      <c r="N682" s="52"/>
      <c r="O682" s="52"/>
      <c r="P682" s="52" t="str">
        <f>IF(((P680="")*AND(P681="")),"",(P680-P681)*2)</f>
        <v/>
      </c>
      <c r="Q682" s="46"/>
      <c r="R682" s="46"/>
      <c r="S682" s="46"/>
      <c r="T682" s="46"/>
      <c r="U682" s="46"/>
      <c r="V682" s="229"/>
      <c r="W682" s="46"/>
      <c r="X682" s="71"/>
    </row>
    <row r="683" spans="1:31" ht="12.75" customHeight="1" x14ac:dyDescent="0.25">
      <c r="A683" s="65">
        <v>43514</v>
      </c>
      <c r="B683" s="48" t="s">
        <v>202</v>
      </c>
      <c r="C683" s="48" t="s">
        <v>201</v>
      </c>
      <c r="D683" s="35">
        <v>4040.83</v>
      </c>
      <c r="E683" s="35">
        <v>4157.1099999999997</v>
      </c>
      <c r="F683" s="35">
        <v>3999.74</v>
      </c>
      <c r="G683" s="35">
        <v>4027.66</v>
      </c>
      <c r="H683" s="35">
        <v>3970.72</v>
      </c>
      <c r="I683" s="35">
        <v>3990.34</v>
      </c>
      <c r="J683" s="35">
        <v>4058.49</v>
      </c>
      <c r="K683" s="35">
        <v>3998.02</v>
      </c>
      <c r="L683" s="35">
        <v>4018.53</v>
      </c>
      <c r="M683" s="35">
        <v>4037.25</v>
      </c>
      <c r="N683" s="35">
        <v>4211.51</v>
      </c>
      <c r="O683" s="35">
        <v>4007.04</v>
      </c>
      <c r="P683" s="35">
        <v>3954.67</v>
      </c>
      <c r="Q683" s="48">
        <f>IF((L684=""),"",MAX(D685:P685))</f>
        <v>5403.76</v>
      </c>
      <c r="R683" s="48">
        <f>IF(L684="","",MIN(D685:L685))</f>
        <v>5324.9800000000005</v>
      </c>
      <c r="S683" s="51">
        <f>IF((P685=""),"",AVERAGE(D685:P685))</f>
        <v>5359.7246153846154</v>
      </c>
      <c r="T683" s="50">
        <f>IF((L684=""),"",(Q683-R683)/(Q683+R683)*100)</f>
        <v>0.73428939465398302</v>
      </c>
      <c r="U683" s="48">
        <f>STDEV(D685:P685)</f>
        <v>24.912044147153839</v>
      </c>
      <c r="V683" s="228" t="str">
        <f>IF(P684="","",IF(T683&lt;2.7,IF(S683&gt;5150,IF(S683&lt;5600,"Pass","Fail"),"Fail"),"Fail"))</f>
        <v>Pass</v>
      </c>
      <c r="W683" s="48" t="s">
        <v>217</v>
      </c>
      <c r="X683" s="71" t="s">
        <v>219</v>
      </c>
      <c r="Z683" s="251">
        <v>4470</v>
      </c>
      <c r="AA683" s="251">
        <v>6020</v>
      </c>
      <c r="AB683" s="251">
        <v>5150</v>
      </c>
      <c r="AC683" s="251">
        <v>5600</v>
      </c>
      <c r="AD683" s="67">
        <v>10</v>
      </c>
      <c r="AE683" s="252">
        <v>2.7</v>
      </c>
    </row>
    <row r="684" spans="1:31" ht="16.100000000000001" x14ac:dyDescent="0.35">
      <c r="A684" s="294"/>
      <c r="B684" s="46"/>
      <c r="C684" s="46" t="s">
        <v>200</v>
      </c>
      <c r="D684" s="35">
        <v>1354.89</v>
      </c>
      <c r="E684" s="35">
        <v>1464.97</v>
      </c>
      <c r="F684" s="35">
        <v>1329.66</v>
      </c>
      <c r="G684" s="35">
        <v>1349.56</v>
      </c>
      <c r="H684" s="35">
        <v>1268.8399999999999</v>
      </c>
      <c r="I684" s="35">
        <v>1293.03</v>
      </c>
      <c r="J684" s="35">
        <v>1383.2</v>
      </c>
      <c r="K684" s="35">
        <v>1311.82</v>
      </c>
      <c r="L684" s="35">
        <v>1356.04</v>
      </c>
      <c r="M684" s="35">
        <v>1364.3</v>
      </c>
      <c r="N684" s="35">
        <v>1529.16</v>
      </c>
      <c r="O684" s="35">
        <v>1343.83</v>
      </c>
      <c r="P684" s="35">
        <v>1284.4000000000001</v>
      </c>
      <c r="Q684" s="46"/>
      <c r="R684" s="46"/>
      <c r="S684" s="46"/>
      <c r="T684" s="46"/>
      <c r="U684" s="46"/>
      <c r="V684" s="229"/>
      <c r="W684" s="46"/>
      <c r="X684" s="71"/>
    </row>
    <row r="685" spans="1:31" ht="22.75" thickBot="1" x14ac:dyDescent="0.4">
      <c r="A685" s="294"/>
      <c r="B685" s="42"/>
      <c r="C685" s="42" t="s">
        <v>199</v>
      </c>
      <c r="D685" s="44">
        <f t="shared" ref="D685:P685" si="224">IF(((D683="")*AND(D684="")),"",(D683-D684)*2)</f>
        <v>5371.8799999999992</v>
      </c>
      <c r="E685" s="44">
        <f t="shared" si="224"/>
        <v>5384.2799999999988</v>
      </c>
      <c r="F685" s="44">
        <f t="shared" si="224"/>
        <v>5340.16</v>
      </c>
      <c r="G685" s="44">
        <f t="shared" si="224"/>
        <v>5356.2</v>
      </c>
      <c r="H685" s="44">
        <f t="shared" si="224"/>
        <v>5403.76</v>
      </c>
      <c r="I685" s="44">
        <f t="shared" si="224"/>
        <v>5394.6200000000008</v>
      </c>
      <c r="J685" s="44">
        <f t="shared" si="224"/>
        <v>5350.58</v>
      </c>
      <c r="K685" s="44">
        <f t="shared" si="224"/>
        <v>5372.4</v>
      </c>
      <c r="L685" s="44">
        <f t="shared" si="224"/>
        <v>5324.9800000000005</v>
      </c>
      <c r="M685" s="44">
        <f t="shared" si="224"/>
        <v>5345.9</v>
      </c>
      <c r="N685" s="44">
        <f t="shared" si="224"/>
        <v>5364.7000000000007</v>
      </c>
      <c r="O685" s="44">
        <f t="shared" si="224"/>
        <v>5326.42</v>
      </c>
      <c r="P685" s="44">
        <f t="shared" si="224"/>
        <v>5340.54</v>
      </c>
      <c r="Q685" s="42"/>
      <c r="R685" s="42"/>
      <c r="S685" s="42"/>
      <c r="T685" s="42"/>
      <c r="U685" s="42"/>
      <c r="V685" s="230"/>
      <c r="W685" s="42"/>
      <c r="X685" s="70"/>
    </row>
    <row r="686" spans="1:31" ht="12.75" customHeight="1" x14ac:dyDescent="0.25">
      <c r="A686" s="65">
        <v>43517</v>
      </c>
      <c r="B686" s="55" t="s">
        <v>204</v>
      </c>
      <c r="C686" s="59" t="s">
        <v>201</v>
      </c>
      <c r="D686" s="35">
        <v>5987.96</v>
      </c>
      <c r="E686" s="35">
        <v>6059.42</v>
      </c>
      <c r="F686" s="35">
        <v>6097.06</v>
      </c>
      <c r="G686" s="35">
        <v>6080.26</v>
      </c>
      <c r="H686" s="35">
        <v>6066.06</v>
      </c>
      <c r="I686" s="35">
        <v>6079.01</v>
      </c>
      <c r="J686" s="35">
        <v>6050.11</v>
      </c>
      <c r="K686" s="35">
        <v>6127.27</v>
      </c>
      <c r="L686" s="35">
        <v>6043.56</v>
      </c>
      <c r="M686" s="58"/>
      <c r="N686" s="58"/>
      <c r="O686" s="58"/>
      <c r="P686" s="58"/>
      <c r="Q686" s="55">
        <f>IF((L687=""),"",MAX(D688:L688))</f>
        <v>7385.3099999999995</v>
      </c>
      <c r="R686" s="55">
        <f>IF(L687="","",MIN(D688:L688))</f>
        <v>6862.6500000000005</v>
      </c>
      <c r="S686" s="57">
        <f>IF((L688=""),"",AVERAGE(D688:L688))</f>
        <v>7048.6333333333341</v>
      </c>
      <c r="T686" s="51">
        <f>IF((L687=""),"",(Q686-R686)/(Q686+R686)*100)</f>
        <v>3.6683146218827045</v>
      </c>
      <c r="U686" s="55">
        <f>STDEV(D688:P688)</f>
        <v>177.51168208036327</v>
      </c>
      <c r="V686" s="231" t="str">
        <f>IF(L687="","",IF(T686&lt;9.8,IF(S686&gt;5100,IF(S686&lt;8300,"Pass","Fail"),"Fail"),"Fail"))</f>
        <v>Pass</v>
      </c>
      <c r="W686" s="55" t="s">
        <v>217</v>
      </c>
      <c r="X686" s="66" t="s">
        <v>218</v>
      </c>
      <c r="Z686" s="37">
        <v>4955</v>
      </c>
      <c r="AA686" s="37">
        <v>9645</v>
      </c>
      <c r="AB686" s="37">
        <v>5100</v>
      </c>
      <c r="AC686" s="37">
        <v>8300</v>
      </c>
      <c r="AD686" s="67">
        <v>10</v>
      </c>
      <c r="AE686" s="67">
        <v>9.8000000000000007</v>
      </c>
    </row>
    <row r="687" spans="1:31" ht="16.100000000000001" x14ac:dyDescent="0.35">
      <c r="A687" s="294"/>
      <c r="B687" s="46"/>
      <c r="C687" s="54" t="s">
        <v>200</v>
      </c>
      <c r="D687" s="35">
        <v>3526.19</v>
      </c>
      <c r="E687" s="35">
        <v>3751.26</v>
      </c>
      <c r="F687" s="35">
        <v>3764.92</v>
      </c>
      <c r="G687" s="35">
        <v>3646.19</v>
      </c>
      <c r="H687" s="35">
        <v>3746.47</v>
      </c>
      <c r="I687" s="35">
        <v>3759.96</v>
      </c>
      <c r="J687" s="35">
        <v>3723.55</v>
      </c>
      <c r="K687" s="35">
        <v>3770.26</v>
      </c>
      <c r="L687" s="35">
        <v>3756.01</v>
      </c>
      <c r="M687" s="53"/>
      <c r="N687" s="53"/>
      <c r="O687" s="53"/>
      <c r="P687" s="53"/>
      <c r="Q687" s="46"/>
      <c r="R687" s="46"/>
      <c r="S687" s="46"/>
      <c r="T687" s="46"/>
      <c r="U687" s="46"/>
      <c r="V687" s="229"/>
      <c r="W687" s="46"/>
      <c r="X687" s="71"/>
    </row>
    <row r="688" spans="1:31" ht="22.75" thickBot="1" x14ac:dyDescent="0.4">
      <c r="A688" s="294"/>
      <c r="B688" s="46"/>
      <c r="C688" s="48" t="s">
        <v>199</v>
      </c>
      <c r="D688" s="52">
        <f t="shared" ref="D688:L688" si="225">IF(((D686="")*AND(D687="")),"",(D686-D687)*3)</f>
        <v>7385.3099999999995</v>
      </c>
      <c r="E688" s="52">
        <f t="shared" si="225"/>
        <v>6924.48</v>
      </c>
      <c r="F688" s="52">
        <f t="shared" si="225"/>
        <v>6996.420000000001</v>
      </c>
      <c r="G688" s="52">
        <f t="shared" si="225"/>
        <v>7302.2100000000009</v>
      </c>
      <c r="H688" s="52">
        <f t="shared" si="225"/>
        <v>6958.7700000000023</v>
      </c>
      <c r="I688" s="52">
        <f t="shared" si="225"/>
        <v>6957.1500000000005</v>
      </c>
      <c r="J688" s="52">
        <f t="shared" si="225"/>
        <v>6979.6799999999985</v>
      </c>
      <c r="K688" s="52">
        <f t="shared" si="225"/>
        <v>7071.0300000000007</v>
      </c>
      <c r="L688" s="52">
        <f t="shared" si="225"/>
        <v>6862.6500000000005</v>
      </c>
      <c r="M688" s="52"/>
      <c r="N688" s="52"/>
      <c r="O688" s="52"/>
      <c r="P688" s="52" t="str">
        <f>IF(((P686="")*AND(P687="")),"",(P686-P687)*2)</f>
        <v/>
      </c>
      <c r="Q688" s="46"/>
      <c r="R688" s="46"/>
      <c r="S688" s="46"/>
      <c r="T688" s="46"/>
      <c r="U688" s="46"/>
      <c r="V688" s="229"/>
      <c r="W688" s="46"/>
      <c r="X688" s="71"/>
    </row>
    <row r="689" spans="1:31" ht="12.75" customHeight="1" x14ac:dyDescent="0.25">
      <c r="A689" s="65">
        <v>43517</v>
      </c>
      <c r="B689" s="48" t="s">
        <v>202</v>
      </c>
      <c r="C689" s="48" t="s">
        <v>201</v>
      </c>
      <c r="D689" s="35">
        <v>6853.76</v>
      </c>
      <c r="E689" s="35">
        <v>6976.99</v>
      </c>
      <c r="F689" s="35">
        <v>6798.58</v>
      </c>
      <c r="G689" s="35">
        <v>6837.66</v>
      </c>
      <c r="H689" s="35">
        <v>6790.81</v>
      </c>
      <c r="I689" s="35">
        <v>6810.29</v>
      </c>
      <c r="J689" s="35">
        <v>6868.99</v>
      </c>
      <c r="K689" s="35">
        <v>6816.47</v>
      </c>
      <c r="L689" s="35">
        <v>6819.97</v>
      </c>
      <c r="M689" s="35">
        <v>6852.08</v>
      </c>
      <c r="N689" s="35">
        <v>7033.77</v>
      </c>
      <c r="O689" s="35">
        <v>6804.47</v>
      </c>
      <c r="P689" s="35">
        <v>6754.78</v>
      </c>
      <c r="Q689" s="48">
        <f>IF((L690=""),"",MAX(D691:P691))</f>
        <v>5434.98</v>
      </c>
      <c r="R689" s="48">
        <f>IF(L690="","",MIN(D691:L691))</f>
        <v>5336.1400000000012</v>
      </c>
      <c r="S689" s="51">
        <f>IF((P691=""),"",AVERAGE(D691:P691))</f>
        <v>5381.5753846153839</v>
      </c>
      <c r="T689" s="50">
        <f>IF((L690=""),"",(Q689-R689)/(Q689+R689)*100)</f>
        <v>0.91763901989763663</v>
      </c>
      <c r="U689" s="48">
        <f>STDEV(D691:P691)</f>
        <v>34.761376223087659</v>
      </c>
      <c r="V689" s="228" t="str">
        <f>IF(P690="","",IF(T689&lt;2.7,IF(S689&gt;5150,IF(S689&lt;5600,"Pass","Fail"),"Fail"),"Fail"))</f>
        <v>Pass</v>
      </c>
      <c r="W689" s="48" t="s">
        <v>217</v>
      </c>
      <c r="X689" s="71" t="s">
        <v>218</v>
      </c>
      <c r="Z689" s="251">
        <v>4470</v>
      </c>
      <c r="AA689" s="251">
        <v>6020</v>
      </c>
      <c r="AB689" s="251">
        <v>5150</v>
      </c>
      <c r="AC689" s="251">
        <v>5600</v>
      </c>
      <c r="AD689" s="67">
        <v>10</v>
      </c>
      <c r="AE689" s="252">
        <v>2.7</v>
      </c>
    </row>
    <row r="690" spans="1:31" ht="16.100000000000001" x14ac:dyDescent="0.35">
      <c r="A690" s="294"/>
      <c r="B690" s="46"/>
      <c r="C690" s="46" t="s">
        <v>200</v>
      </c>
      <c r="D690" s="35">
        <v>4185.6899999999996</v>
      </c>
      <c r="E690" s="35">
        <v>4299.97</v>
      </c>
      <c r="F690" s="35">
        <v>4130.3999999999996</v>
      </c>
      <c r="G690" s="35">
        <v>4138.91</v>
      </c>
      <c r="H690" s="35">
        <v>4104.33</v>
      </c>
      <c r="I690" s="35">
        <v>4101.34</v>
      </c>
      <c r="J690" s="35">
        <v>4160.7700000000004</v>
      </c>
      <c r="K690" s="35">
        <v>4102.8500000000004</v>
      </c>
      <c r="L690" s="35">
        <v>4149.57</v>
      </c>
      <c r="M690" s="35">
        <v>4134.59</v>
      </c>
      <c r="N690" s="35">
        <v>4344.68</v>
      </c>
      <c r="O690" s="35">
        <v>4119.8100000000004</v>
      </c>
      <c r="P690" s="35">
        <v>4065.47</v>
      </c>
      <c r="Q690" s="46"/>
      <c r="R690" s="46"/>
      <c r="S690" s="46"/>
      <c r="T690" s="46"/>
      <c r="U690" s="46"/>
      <c r="V690" s="229"/>
      <c r="W690" s="46"/>
      <c r="X690" s="71"/>
    </row>
    <row r="691" spans="1:31" ht="22.75" thickBot="1" x14ac:dyDescent="0.4">
      <c r="A691" s="294"/>
      <c r="B691" s="42"/>
      <c r="C691" s="42" t="s">
        <v>199</v>
      </c>
      <c r="D691" s="44">
        <f t="shared" ref="D691:P691" si="226">IF(((D689="")*AND(D690="")),"",(D689-D690)*2)</f>
        <v>5336.1400000000012</v>
      </c>
      <c r="E691" s="44">
        <f t="shared" si="226"/>
        <v>5354.0399999999991</v>
      </c>
      <c r="F691" s="44">
        <f t="shared" si="226"/>
        <v>5336.3600000000006</v>
      </c>
      <c r="G691" s="44">
        <f t="shared" si="226"/>
        <v>5397.5</v>
      </c>
      <c r="H691" s="44">
        <f t="shared" si="226"/>
        <v>5372.9600000000009</v>
      </c>
      <c r="I691" s="44">
        <f t="shared" si="226"/>
        <v>5417.9</v>
      </c>
      <c r="J691" s="44">
        <f t="shared" si="226"/>
        <v>5416.4399999999987</v>
      </c>
      <c r="K691" s="44">
        <f t="shared" si="226"/>
        <v>5427.24</v>
      </c>
      <c r="L691" s="44">
        <f t="shared" si="226"/>
        <v>5340.8000000000011</v>
      </c>
      <c r="M691" s="44">
        <f t="shared" si="226"/>
        <v>5434.98</v>
      </c>
      <c r="N691" s="44">
        <f t="shared" si="226"/>
        <v>5378.18</v>
      </c>
      <c r="O691" s="44">
        <f t="shared" si="226"/>
        <v>5369.32</v>
      </c>
      <c r="P691" s="44">
        <f t="shared" si="226"/>
        <v>5378.62</v>
      </c>
      <c r="Q691" s="42"/>
      <c r="R691" s="42"/>
      <c r="S691" s="42"/>
      <c r="T691" s="42"/>
      <c r="U691" s="42"/>
      <c r="V691" s="230"/>
      <c r="W691" s="42"/>
      <c r="X691" s="70"/>
    </row>
    <row r="692" spans="1:31" ht="12.75" customHeight="1" x14ac:dyDescent="0.25">
      <c r="A692" s="65">
        <v>43521</v>
      </c>
      <c r="B692" s="55" t="s">
        <v>204</v>
      </c>
      <c r="C692" s="59" t="s">
        <v>201</v>
      </c>
      <c r="D692" s="35">
        <v>6031.18</v>
      </c>
      <c r="E692" s="35">
        <v>6120.12</v>
      </c>
      <c r="F692" s="35">
        <v>6194.52</v>
      </c>
      <c r="G692" s="35">
        <v>6056.16</v>
      </c>
      <c r="H692" s="35">
        <v>6118.83</v>
      </c>
      <c r="I692" s="35">
        <v>6139.6</v>
      </c>
      <c r="J692" s="35">
        <v>6086.05</v>
      </c>
      <c r="K692" s="35">
        <v>6143.93</v>
      </c>
      <c r="L692" s="35">
        <v>6011.65</v>
      </c>
      <c r="M692" s="58"/>
      <c r="N692" s="58"/>
      <c r="O692" s="58"/>
      <c r="P692" s="58"/>
      <c r="Q692" s="55">
        <f>IF((L693=""),"",MAX(D694:L694))</f>
        <v>8533.35</v>
      </c>
      <c r="R692" s="55">
        <f>IF(L693="","",MIN(D694:L694))</f>
        <v>7038.5699999999988</v>
      </c>
      <c r="S692" s="57">
        <f>IF((L694=""),"",AVERAGE(D694:L694))</f>
        <v>7480.13</v>
      </c>
      <c r="T692" s="51">
        <f>IF((L693=""),"",(Q692-R692)/(Q692+R692)*100)</f>
        <v>9.5992016398748632</v>
      </c>
      <c r="U692" s="55">
        <f>STDEV(D694:P694)</f>
        <v>571.4928290888696</v>
      </c>
      <c r="V692" s="231" t="str">
        <f>IF(L693="","",IF(T692&lt;9.8,IF(S692&gt;5100,IF(S692&lt;8300,"Pass","Fail"),"Fail"),"Fail"))</f>
        <v>Pass</v>
      </c>
      <c r="W692" s="55">
        <v>1335</v>
      </c>
      <c r="X692" s="66" t="s">
        <v>216</v>
      </c>
      <c r="Z692" s="37">
        <v>4955</v>
      </c>
      <c r="AA692" s="37">
        <v>9645</v>
      </c>
      <c r="AB692" s="37">
        <v>5100</v>
      </c>
      <c r="AC692" s="37">
        <v>8300</v>
      </c>
      <c r="AD692" s="67">
        <v>10</v>
      </c>
      <c r="AE692" s="67">
        <v>9.8000000000000007</v>
      </c>
    </row>
    <row r="693" spans="1:31" ht="16.100000000000001" x14ac:dyDescent="0.35">
      <c r="A693" s="294"/>
      <c r="B693" s="46"/>
      <c r="C693" s="54" t="s">
        <v>200</v>
      </c>
      <c r="D693" s="35">
        <v>3186.73</v>
      </c>
      <c r="E693" s="35">
        <v>3723.91</v>
      </c>
      <c r="F693" s="35">
        <v>3770.31</v>
      </c>
      <c r="G693" s="35">
        <v>3248.27</v>
      </c>
      <c r="H693" s="35">
        <v>3693.08</v>
      </c>
      <c r="I693" s="35">
        <v>3740.83</v>
      </c>
      <c r="J693" s="35">
        <v>3706.46</v>
      </c>
      <c r="K693" s="35">
        <v>3726.6</v>
      </c>
      <c r="L693" s="35">
        <v>3665.46</v>
      </c>
      <c r="M693" s="53"/>
      <c r="N693" s="53"/>
      <c r="O693" s="53"/>
      <c r="P693" s="53"/>
      <c r="Q693" s="46"/>
      <c r="R693" s="46"/>
      <c r="S693" s="46"/>
      <c r="T693" s="46"/>
      <c r="U693" s="46"/>
      <c r="V693" s="229"/>
      <c r="W693" s="46"/>
      <c r="X693" s="71"/>
    </row>
    <row r="694" spans="1:31" ht="22.75" thickBot="1" x14ac:dyDescent="0.4">
      <c r="A694" s="294"/>
      <c r="B694" s="46"/>
      <c r="C694" s="48" t="s">
        <v>199</v>
      </c>
      <c r="D694" s="52">
        <f t="shared" ref="D694:L694" si="227">IF(((D692="")*AND(D693="")),"",(D692-D693)*3)</f>
        <v>8533.35</v>
      </c>
      <c r="E694" s="52">
        <f t="shared" si="227"/>
        <v>7188.63</v>
      </c>
      <c r="F694" s="52">
        <f t="shared" si="227"/>
        <v>7272.630000000001</v>
      </c>
      <c r="G694" s="52">
        <f t="shared" si="227"/>
        <v>8423.67</v>
      </c>
      <c r="H694" s="52">
        <f t="shared" si="227"/>
        <v>7277.25</v>
      </c>
      <c r="I694" s="52">
        <f t="shared" si="227"/>
        <v>7196.3100000000013</v>
      </c>
      <c r="J694" s="52">
        <f t="shared" si="227"/>
        <v>7138.77</v>
      </c>
      <c r="K694" s="52">
        <f t="shared" si="227"/>
        <v>7251.9900000000016</v>
      </c>
      <c r="L694" s="52">
        <f t="shared" si="227"/>
        <v>7038.5699999999988</v>
      </c>
      <c r="M694" s="52"/>
      <c r="N694" s="52"/>
      <c r="O694" s="52"/>
      <c r="P694" s="52" t="str">
        <f>IF(((P692="")*AND(P693="")),"",(P692-P693)*2)</f>
        <v/>
      </c>
      <c r="Q694" s="46"/>
      <c r="R694" s="46"/>
      <c r="S694" s="46"/>
      <c r="T694" s="46"/>
      <c r="U694" s="46"/>
      <c r="V694" s="229"/>
      <c r="W694" s="46"/>
      <c r="X694" s="71"/>
    </row>
    <row r="695" spans="1:31" ht="12.75" customHeight="1" x14ac:dyDescent="0.25">
      <c r="A695" s="65">
        <v>43521</v>
      </c>
      <c r="B695" s="48" t="s">
        <v>202</v>
      </c>
      <c r="C695" s="48" t="s">
        <v>201</v>
      </c>
      <c r="D695" s="35">
        <v>4193.82</v>
      </c>
      <c r="E695" s="35">
        <v>4309.13</v>
      </c>
      <c r="F695" s="35">
        <v>4138.46</v>
      </c>
      <c r="G695" s="35">
        <v>4146.45</v>
      </c>
      <c r="H695" s="35">
        <v>4112.82</v>
      </c>
      <c r="I695" s="35">
        <v>4108.92</v>
      </c>
      <c r="J695" s="35">
        <v>4168.5600000000004</v>
      </c>
      <c r="K695" s="35">
        <v>4110.42</v>
      </c>
      <c r="L695" s="35">
        <v>4157.8</v>
      </c>
      <c r="M695" s="35">
        <v>4142.63</v>
      </c>
      <c r="N695" s="35">
        <v>4354.74</v>
      </c>
      <c r="O695" s="35">
        <v>4127.91</v>
      </c>
      <c r="P695" s="35">
        <v>4073.45</v>
      </c>
      <c r="Q695" s="48">
        <f>IF((L696=""),"",MAX(D697:P697))</f>
        <v>5516.32</v>
      </c>
      <c r="R695" s="48">
        <f>IF(L696="","",MIN(D697:L697))</f>
        <v>5426.6</v>
      </c>
      <c r="S695" s="51">
        <f>IF((P697=""),"",AVERAGE(D697:P697))</f>
        <v>5471.835384615385</v>
      </c>
      <c r="T695" s="50">
        <f>IF((L696=""),"",(Q695-R695)/(Q695+R695)*100)</f>
        <v>0.8198908518018897</v>
      </c>
      <c r="U695" s="48">
        <f>STDEV(D697:P697)</f>
        <v>31.834360004923628</v>
      </c>
      <c r="V695" s="228" t="str">
        <f>IF(P696="","",IF(T695&lt;2.7,IF(S695&gt;5150,IF(S695&lt;5600,"Pass","Fail"),"Fail"),"Fail"))</f>
        <v>Pass</v>
      </c>
      <c r="W695" s="48">
        <v>1335</v>
      </c>
      <c r="X695" s="71" t="s">
        <v>216</v>
      </c>
      <c r="Z695" s="251">
        <v>4470</v>
      </c>
      <c r="AA695" s="251">
        <v>6020</v>
      </c>
      <c r="AB695" s="251">
        <v>5150</v>
      </c>
      <c r="AC695" s="251">
        <v>5600</v>
      </c>
      <c r="AD695" s="67">
        <v>10</v>
      </c>
      <c r="AE695" s="252">
        <v>2.7</v>
      </c>
    </row>
    <row r="696" spans="1:31" ht="16.100000000000001" x14ac:dyDescent="0.35">
      <c r="A696" s="294"/>
      <c r="B696" s="46"/>
      <c r="C696" s="46" t="s">
        <v>200</v>
      </c>
      <c r="D696" s="35">
        <v>1480.05</v>
      </c>
      <c r="E696" s="35">
        <v>1583.8</v>
      </c>
      <c r="F696" s="35">
        <v>1425.16</v>
      </c>
      <c r="G696" s="35">
        <v>1406.77</v>
      </c>
      <c r="H696" s="35">
        <v>1377.01</v>
      </c>
      <c r="I696" s="35">
        <v>1350.78</v>
      </c>
      <c r="J696" s="35">
        <v>1420.34</v>
      </c>
      <c r="K696" s="35">
        <v>1352.26</v>
      </c>
      <c r="L696" s="35">
        <v>1441.56</v>
      </c>
      <c r="M696" s="35">
        <v>1388.34</v>
      </c>
      <c r="N696" s="35">
        <v>1619.07</v>
      </c>
      <c r="O696" s="35">
        <v>1398.28</v>
      </c>
      <c r="P696" s="35">
        <v>1334.76</v>
      </c>
      <c r="Q696" s="46"/>
      <c r="R696" s="46"/>
      <c r="S696" s="46"/>
      <c r="T696" s="46"/>
      <c r="U696" s="46"/>
      <c r="V696" s="229"/>
      <c r="W696" s="46"/>
      <c r="X696" s="71"/>
    </row>
    <row r="697" spans="1:31" ht="22.75" thickBot="1" x14ac:dyDescent="0.4">
      <c r="A697" s="294"/>
      <c r="B697" s="42"/>
      <c r="C697" s="42" t="s">
        <v>199</v>
      </c>
      <c r="D697" s="44">
        <f t="shared" ref="D697:P697" si="228">IF(((D695="")*AND(D696="")),"",(D695-D696)*2)</f>
        <v>5427.5399999999991</v>
      </c>
      <c r="E697" s="44">
        <f t="shared" si="228"/>
        <v>5450.66</v>
      </c>
      <c r="F697" s="44">
        <f t="shared" si="228"/>
        <v>5426.6</v>
      </c>
      <c r="G697" s="44">
        <f t="shared" si="228"/>
        <v>5479.36</v>
      </c>
      <c r="H697" s="44">
        <f t="shared" si="228"/>
        <v>5471.619999999999</v>
      </c>
      <c r="I697" s="44">
        <f t="shared" si="228"/>
        <v>5516.2800000000007</v>
      </c>
      <c r="J697" s="44">
        <f t="shared" si="228"/>
        <v>5496.4400000000005</v>
      </c>
      <c r="K697" s="44">
        <f t="shared" si="228"/>
        <v>5516.32</v>
      </c>
      <c r="L697" s="44">
        <f t="shared" si="228"/>
        <v>5432.4800000000005</v>
      </c>
      <c r="M697" s="44">
        <f t="shared" si="228"/>
        <v>5508.58</v>
      </c>
      <c r="N697" s="44">
        <f t="shared" si="228"/>
        <v>5471.34</v>
      </c>
      <c r="O697" s="44">
        <f t="shared" si="228"/>
        <v>5459.26</v>
      </c>
      <c r="P697" s="44">
        <f t="shared" si="228"/>
        <v>5477.3799999999992</v>
      </c>
      <c r="Q697" s="42"/>
      <c r="R697" s="42"/>
      <c r="S697" s="42"/>
      <c r="T697" s="42"/>
      <c r="U697" s="42"/>
      <c r="V697" s="230"/>
      <c r="W697" s="42"/>
      <c r="X697" s="70"/>
    </row>
    <row r="698" spans="1:31" ht="12.75" customHeight="1" x14ac:dyDescent="0.25">
      <c r="A698" s="65">
        <v>43524</v>
      </c>
      <c r="B698" s="55" t="s">
        <v>204</v>
      </c>
      <c r="C698" s="59" t="s">
        <v>201</v>
      </c>
      <c r="D698" s="35">
        <v>3179.91</v>
      </c>
      <c r="E698" s="35">
        <v>3729.75</v>
      </c>
      <c r="F698" s="35">
        <v>3768.8</v>
      </c>
      <c r="G698" s="35">
        <v>3228.45</v>
      </c>
      <c r="H698" s="35">
        <v>3709.19</v>
      </c>
      <c r="I698" s="35">
        <v>3738.11</v>
      </c>
      <c r="J698" s="35">
        <v>3713.43</v>
      </c>
      <c r="K698" s="35">
        <v>3734.7</v>
      </c>
      <c r="L698" s="35">
        <v>3690.66</v>
      </c>
      <c r="M698" s="58"/>
      <c r="N698" s="58"/>
      <c r="O698" s="58"/>
      <c r="P698" s="58"/>
      <c r="Q698" s="55">
        <f>IF((L699=""),"",MAX(D700:L700))</f>
        <v>8269.0499999999993</v>
      </c>
      <c r="R698" s="55">
        <f>IF(L699="","",MIN(D700:L700))</f>
        <v>7581.0899999999992</v>
      </c>
      <c r="S698" s="57">
        <f>IF((L700=""),"",AVERAGE(D700:L700))</f>
        <v>8020.2800000000007</v>
      </c>
      <c r="T698" s="51">
        <f>IF((L699=""),"",(Q698-R698)/(Q698+R698)*100)</f>
        <v>4.3404033024313984</v>
      </c>
      <c r="U698" s="55">
        <f>STDEV(D700:P700)</f>
        <v>259.96830143307852</v>
      </c>
      <c r="V698" s="231" t="str">
        <f>IF(L699="","",IF(T698&lt;9.8,IF(S698&gt;5100,IF(S698&lt;8300,"Pass","Fail"),"Fail"),"Fail"))</f>
        <v>Pass</v>
      </c>
      <c r="W698" s="55">
        <v>1335</v>
      </c>
      <c r="X698" s="66" t="s">
        <v>215</v>
      </c>
      <c r="Z698" s="37">
        <v>4955</v>
      </c>
      <c r="AA698" s="37">
        <v>9645</v>
      </c>
      <c r="AB698" s="37">
        <v>5100</v>
      </c>
      <c r="AC698" s="37">
        <v>8300</v>
      </c>
      <c r="AD698" s="67">
        <v>10</v>
      </c>
      <c r="AE698" s="67">
        <v>9.8000000000000007</v>
      </c>
    </row>
    <row r="699" spans="1:31" ht="16.100000000000001" x14ac:dyDescent="0.35">
      <c r="A699" s="294"/>
      <c r="B699" s="46"/>
      <c r="C699" s="54" t="s">
        <v>200</v>
      </c>
      <c r="D699" s="35">
        <v>652.88</v>
      </c>
      <c r="E699" s="35">
        <v>1036.0899999999999</v>
      </c>
      <c r="F699" s="35">
        <v>1233.3499999999999</v>
      </c>
      <c r="G699" s="35">
        <v>472.18</v>
      </c>
      <c r="H699" s="35">
        <v>983.46</v>
      </c>
      <c r="I699" s="35">
        <v>1073</v>
      </c>
      <c r="J699" s="35">
        <v>988.6</v>
      </c>
      <c r="K699" s="35">
        <v>1058.29</v>
      </c>
      <c r="L699" s="35">
        <v>934.31</v>
      </c>
      <c r="M699" s="53"/>
      <c r="N699" s="53"/>
      <c r="O699" s="53"/>
      <c r="P699" s="53"/>
      <c r="Q699" s="46"/>
      <c r="R699" s="46"/>
      <c r="S699" s="46"/>
      <c r="T699" s="46"/>
      <c r="U699" s="46"/>
      <c r="V699" s="229"/>
      <c r="W699" s="46"/>
      <c r="X699" s="71"/>
    </row>
    <row r="700" spans="1:31" ht="22.75" thickBot="1" x14ac:dyDescent="0.4">
      <c r="A700" s="294"/>
      <c r="B700" s="46"/>
      <c r="C700" s="48" t="s">
        <v>199</v>
      </c>
      <c r="D700" s="52">
        <f t="shared" ref="D700:L700" si="229">IF(((D698="")*AND(D699="")),"",(D698-D699)*3)</f>
        <v>7581.0899999999992</v>
      </c>
      <c r="E700" s="52">
        <f t="shared" si="229"/>
        <v>8080.98</v>
      </c>
      <c r="F700" s="52">
        <f t="shared" si="229"/>
        <v>7606.35</v>
      </c>
      <c r="G700" s="52">
        <f t="shared" si="229"/>
        <v>8268.81</v>
      </c>
      <c r="H700" s="52">
        <f t="shared" si="229"/>
        <v>8177.1900000000005</v>
      </c>
      <c r="I700" s="52">
        <f t="shared" si="229"/>
        <v>7995.33</v>
      </c>
      <c r="J700" s="52">
        <f t="shared" si="229"/>
        <v>8174.49</v>
      </c>
      <c r="K700" s="52">
        <f t="shared" si="229"/>
        <v>8029.23</v>
      </c>
      <c r="L700" s="52">
        <f t="shared" si="229"/>
        <v>8269.0499999999993</v>
      </c>
      <c r="M700" s="52"/>
      <c r="N700" s="52"/>
      <c r="O700" s="52"/>
      <c r="P700" s="52" t="str">
        <f>IF(((P698="")*AND(P699="")),"",(P698-P699)*2)</f>
        <v/>
      </c>
      <c r="Q700" s="46"/>
      <c r="R700" s="46"/>
      <c r="S700" s="46"/>
      <c r="T700" s="46"/>
      <c r="U700" s="46"/>
      <c r="V700" s="229"/>
      <c r="W700" s="46"/>
      <c r="X700" s="71"/>
    </row>
    <row r="701" spans="1:31" ht="12.75" customHeight="1" x14ac:dyDescent="0.25">
      <c r="A701" s="65">
        <v>43524</v>
      </c>
      <c r="B701" s="48" t="s">
        <v>202</v>
      </c>
      <c r="C701" s="48" t="s">
        <v>201</v>
      </c>
      <c r="D701" s="35">
        <v>6756.6</v>
      </c>
      <c r="E701" s="35">
        <v>6876.1</v>
      </c>
      <c r="F701" s="35">
        <v>6708.05</v>
      </c>
      <c r="G701" s="35">
        <v>6760.22</v>
      </c>
      <c r="H701" s="35">
        <v>6675.91</v>
      </c>
      <c r="I701" s="35">
        <v>6713.74</v>
      </c>
      <c r="J701" s="35">
        <v>6789.87</v>
      </c>
      <c r="K701" s="35">
        <v>6738.54</v>
      </c>
      <c r="L701" s="35">
        <v>6724.03</v>
      </c>
      <c r="M701" s="35">
        <v>6765.07</v>
      </c>
      <c r="N701" s="35">
        <v>6926.48</v>
      </c>
      <c r="O701" s="35">
        <v>6706.21</v>
      </c>
      <c r="P701" s="35">
        <v>6641.8</v>
      </c>
      <c r="Q701" s="48">
        <f>IF((L702=""),"",MAX(D703:P703))</f>
        <v>5622.82</v>
      </c>
      <c r="R701" s="48">
        <f>IF(L702="","",MIN(D703:L703))</f>
        <v>5425.16</v>
      </c>
      <c r="S701" s="51">
        <f>IF((P703=""),"",AVERAGE(D703:P703))</f>
        <v>5534.8553846153845</v>
      </c>
      <c r="T701" s="50">
        <f>IF((L702=""),"",(Q701-R701)/(Q701+R701)*100)</f>
        <v>1.7891053387135012</v>
      </c>
      <c r="U701" s="48">
        <f>STDEV(D703:P703)</f>
        <v>71.769602271828205</v>
      </c>
      <c r="V701" s="228" t="str">
        <f>IF(P702="","",IF(T701&lt;2.7,IF(S701&gt;5150,IF(S701&lt;5600,"Pass","Fail"),"Fail"),"Fail"))</f>
        <v>Pass</v>
      </c>
      <c r="W701" s="48">
        <v>1335</v>
      </c>
      <c r="X701" s="71" t="s">
        <v>215</v>
      </c>
      <c r="Z701" s="251">
        <v>4470</v>
      </c>
      <c r="AA701" s="251">
        <v>6020</v>
      </c>
      <c r="AB701" s="251">
        <v>5150</v>
      </c>
      <c r="AC701" s="251">
        <v>5600</v>
      </c>
      <c r="AD701" s="67">
        <v>10</v>
      </c>
      <c r="AE701" s="252">
        <v>2.7</v>
      </c>
    </row>
    <row r="702" spans="1:31" ht="16.100000000000001" x14ac:dyDescent="0.35">
      <c r="A702" s="294"/>
      <c r="B702" s="46"/>
      <c r="C702" s="46" t="s">
        <v>200</v>
      </c>
      <c r="D702" s="35">
        <v>4043.13</v>
      </c>
      <c r="E702" s="35">
        <v>4157.2700000000004</v>
      </c>
      <c r="F702" s="35">
        <v>3957.23</v>
      </c>
      <c r="G702" s="35">
        <v>3969.48</v>
      </c>
      <c r="H702" s="35">
        <v>3963.33</v>
      </c>
      <c r="I702" s="35">
        <v>3917.72</v>
      </c>
      <c r="J702" s="35">
        <v>3989.31</v>
      </c>
      <c r="K702" s="35">
        <v>3933.57</v>
      </c>
      <c r="L702" s="35">
        <v>3963.66</v>
      </c>
      <c r="M702" s="35">
        <v>3953.66</v>
      </c>
      <c r="N702" s="35">
        <v>4179.54</v>
      </c>
      <c r="O702" s="35">
        <v>3918.95</v>
      </c>
      <c r="P702" s="35">
        <v>3859.21</v>
      </c>
      <c r="Q702" s="46"/>
      <c r="R702" s="46"/>
      <c r="S702" s="46"/>
      <c r="T702" s="46"/>
      <c r="U702" s="46"/>
      <c r="V702" s="229"/>
      <c r="W702" s="46"/>
      <c r="X702" s="71"/>
    </row>
    <row r="703" spans="1:31" ht="22.75" thickBot="1" x14ac:dyDescent="0.4">
      <c r="A703" s="294"/>
      <c r="B703" s="42"/>
      <c r="C703" s="42" t="s">
        <v>199</v>
      </c>
      <c r="D703" s="44">
        <f t="shared" ref="D703:P703" si="230">IF(((D701="")*AND(D702="")),"",(D701-D702)*2)</f>
        <v>5426.9400000000005</v>
      </c>
      <c r="E703" s="44">
        <f t="shared" si="230"/>
        <v>5437.66</v>
      </c>
      <c r="F703" s="44">
        <f t="shared" si="230"/>
        <v>5501.64</v>
      </c>
      <c r="G703" s="44">
        <f t="shared" si="230"/>
        <v>5581.4800000000005</v>
      </c>
      <c r="H703" s="44">
        <f t="shared" si="230"/>
        <v>5425.16</v>
      </c>
      <c r="I703" s="44">
        <f t="shared" si="230"/>
        <v>5592.04</v>
      </c>
      <c r="J703" s="44">
        <f t="shared" si="230"/>
        <v>5601.12</v>
      </c>
      <c r="K703" s="44">
        <f t="shared" si="230"/>
        <v>5609.94</v>
      </c>
      <c r="L703" s="44">
        <f t="shared" si="230"/>
        <v>5520.74</v>
      </c>
      <c r="M703" s="44">
        <f t="shared" si="230"/>
        <v>5622.82</v>
      </c>
      <c r="N703" s="44">
        <f t="shared" si="230"/>
        <v>5493.8799999999992</v>
      </c>
      <c r="O703" s="44">
        <f t="shared" si="230"/>
        <v>5574.52</v>
      </c>
      <c r="P703" s="44">
        <f t="shared" si="230"/>
        <v>5565.18</v>
      </c>
      <c r="Q703" s="42"/>
      <c r="R703" s="42"/>
      <c r="S703" s="42"/>
      <c r="T703" s="42"/>
      <c r="U703" s="42"/>
      <c r="V703" s="230"/>
      <c r="W703" s="42"/>
      <c r="X703" s="70"/>
    </row>
    <row r="704" spans="1:31" ht="12.75" customHeight="1" x14ac:dyDescent="0.25">
      <c r="A704" s="65">
        <v>43528</v>
      </c>
      <c r="B704" s="55" t="s">
        <v>204</v>
      </c>
      <c r="C704" s="59" t="s">
        <v>201</v>
      </c>
      <c r="D704" s="35">
        <v>6037.07</v>
      </c>
      <c r="E704" s="35">
        <v>6092.62</v>
      </c>
      <c r="F704" s="35">
        <v>6184.58</v>
      </c>
      <c r="G704" s="35">
        <v>6018.33</v>
      </c>
      <c r="H704" s="35">
        <v>6083.49</v>
      </c>
      <c r="I704" s="35">
        <v>6224.97</v>
      </c>
      <c r="J704" s="35">
        <v>6103.47</v>
      </c>
      <c r="K704" s="35">
        <v>6184.94</v>
      </c>
      <c r="L704" s="35">
        <v>6058.19</v>
      </c>
      <c r="M704" s="58"/>
      <c r="N704" s="58"/>
      <c r="O704" s="58"/>
      <c r="P704" s="58"/>
      <c r="Q704" s="55">
        <f>IF((L705=""),"",MAX(D706:L706))</f>
        <v>8447.2799999999988</v>
      </c>
      <c r="R704" s="55">
        <f>IF(L705="","",MIN(D706:L706))</f>
        <v>7235.01</v>
      </c>
      <c r="S704" s="57">
        <f>IF((L706=""),"",AVERAGE(D706:L706))</f>
        <v>7531</v>
      </c>
      <c r="T704" s="51">
        <f>IF((L705=""),"",(Q704-R704)/(Q704+R704)*100)</f>
        <v>7.7301848135699487</v>
      </c>
      <c r="U704" s="55">
        <f>STDEV(D706:P706)</f>
        <v>379.3838362727119</v>
      </c>
      <c r="V704" s="231" t="str">
        <f>IF(L705="","",IF(T704&lt;9.8,IF(S704&gt;5100,IF(S704&lt;8300,"Pass","Fail"),"Fail"),"Fail"))</f>
        <v>Pass</v>
      </c>
      <c r="W704" s="55">
        <v>74</v>
      </c>
      <c r="X704" s="66" t="s">
        <v>214</v>
      </c>
      <c r="Z704" s="37">
        <v>4955</v>
      </c>
      <c r="AA704" s="37">
        <v>9645</v>
      </c>
      <c r="AB704" s="37">
        <v>5100</v>
      </c>
      <c r="AC704" s="37">
        <v>8300</v>
      </c>
      <c r="AD704" s="67">
        <v>10</v>
      </c>
      <c r="AE704" s="67">
        <v>9.8000000000000007</v>
      </c>
    </row>
    <row r="705" spans="1:31" ht="16.100000000000001" x14ac:dyDescent="0.35">
      <c r="A705" s="294"/>
      <c r="B705" s="46"/>
      <c r="C705" s="54" t="s">
        <v>200</v>
      </c>
      <c r="D705" s="35">
        <v>3221.31</v>
      </c>
      <c r="E705" s="35">
        <v>3680.95</v>
      </c>
      <c r="F705" s="35">
        <v>3721.33</v>
      </c>
      <c r="G705" s="35">
        <v>3422.62</v>
      </c>
      <c r="H705" s="35">
        <v>3619.61</v>
      </c>
      <c r="I705" s="35">
        <v>3727.67</v>
      </c>
      <c r="J705" s="35">
        <v>3669.94</v>
      </c>
      <c r="K705" s="35">
        <v>3703.77</v>
      </c>
      <c r="L705" s="35">
        <v>3627.46</v>
      </c>
      <c r="M705" s="53"/>
      <c r="N705" s="53"/>
      <c r="O705" s="53"/>
      <c r="P705" s="53"/>
      <c r="Q705" s="46"/>
      <c r="R705" s="46"/>
      <c r="S705" s="46"/>
      <c r="T705" s="46"/>
      <c r="U705" s="46"/>
      <c r="V705" s="229"/>
      <c r="W705" s="46"/>
      <c r="X705" s="45"/>
    </row>
    <row r="706" spans="1:31" ht="22.75" thickBot="1" x14ac:dyDescent="0.4">
      <c r="A706" s="294"/>
      <c r="B706" s="46"/>
      <c r="C706" s="48" t="s">
        <v>199</v>
      </c>
      <c r="D706" s="52">
        <f t="shared" ref="D706:L706" si="231">IF(((D704="")*AND(D705="")),"",(D704-D705)*3)</f>
        <v>8447.2799999999988</v>
      </c>
      <c r="E706" s="52">
        <f t="shared" si="231"/>
        <v>7235.01</v>
      </c>
      <c r="F706" s="52">
        <f t="shared" si="231"/>
        <v>7389.75</v>
      </c>
      <c r="G706" s="52">
        <f t="shared" si="231"/>
        <v>7787.13</v>
      </c>
      <c r="H706" s="52">
        <f t="shared" si="231"/>
        <v>7391.6399999999994</v>
      </c>
      <c r="I706" s="52">
        <f t="shared" si="231"/>
        <v>7491.9000000000005</v>
      </c>
      <c r="J706" s="52">
        <f t="shared" si="231"/>
        <v>7300.59</v>
      </c>
      <c r="K706" s="52">
        <f t="shared" si="231"/>
        <v>7443.5099999999984</v>
      </c>
      <c r="L706" s="52">
        <f t="shared" si="231"/>
        <v>7292.1899999999987</v>
      </c>
      <c r="M706" s="52"/>
      <c r="N706" s="52"/>
      <c r="O706" s="52"/>
      <c r="P706" s="52" t="str">
        <f>IF(((P704="")*AND(P705="")),"",(P704-P705)*2)</f>
        <v/>
      </c>
      <c r="Q706" s="46"/>
      <c r="R706" s="46"/>
      <c r="S706" s="46"/>
      <c r="T706" s="46"/>
      <c r="U706" s="46"/>
      <c r="V706" s="229"/>
      <c r="W706" s="46"/>
      <c r="X706" s="45"/>
    </row>
    <row r="707" spans="1:31" ht="12.75" customHeight="1" x14ac:dyDescent="0.25">
      <c r="A707" s="65">
        <v>43528</v>
      </c>
      <c r="B707" s="48" t="s">
        <v>202</v>
      </c>
      <c r="C707" s="48" t="s">
        <v>201</v>
      </c>
      <c r="D707" s="35">
        <v>6877.11</v>
      </c>
      <c r="E707" s="35">
        <v>6996.7</v>
      </c>
      <c r="F707" s="35">
        <v>6829.09</v>
      </c>
      <c r="G707" s="35">
        <v>6862.92</v>
      </c>
      <c r="H707" s="35">
        <v>6811.1</v>
      </c>
      <c r="I707" s="35">
        <v>6833.92</v>
      </c>
      <c r="J707" s="35">
        <v>6895</v>
      </c>
      <c r="K707" s="35">
        <v>6845.77</v>
      </c>
      <c r="L707" s="35">
        <v>6846.02</v>
      </c>
      <c r="M707" s="35">
        <v>6879.76</v>
      </c>
      <c r="N707" s="35">
        <v>7051.51</v>
      </c>
      <c r="O707" s="35">
        <v>6833.19</v>
      </c>
      <c r="P707" s="35">
        <v>6775.4</v>
      </c>
      <c r="Q707" s="48">
        <f>IF((L708=""),"",MAX(D709:P709))</f>
        <v>5490.34</v>
      </c>
      <c r="R707" s="48">
        <f>IF(L708="","",MIN(D709:L709))</f>
        <v>5385.58</v>
      </c>
      <c r="S707" s="51">
        <f>IF((P709=""),"",AVERAGE(D709:P709))</f>
        <v>5433.9323076923083</v>
      </c>
      <c r="T707" s="50">
        <f>IF((L708=""),"",(Q707-R707)/(Q707+R707)*100)</f>
        <v>0.9632288578805307</v>
      </c>
      <c r="U707" s="48">
        <f>STDEV(D709:P709)</f>
        <v>32.524700909167088</v>
      </c>
      <c r="V707" s="228" t="str">
        <f>IF(P708="","",IF(T707&lt;2.7,IF(S707&gt;5150,IF(S707&lt;5600,"Pass","Fail"),"Fail"),"Fail"))</f>
        <v>Pass</v>
      </c>
      <c r="W707" s="48">
        <v>74</v>
      </c>
      <c r="X707" s="45" t="s">
        <v>214</v>
      </c>
      <c r="Z707" s="251">
        <v>4470</v>
      </c>
      <c r="AA707" s="251">
        <v>6020</v>
      </c>
      <c r="AB707" s="251">
        <v>5150</v>
      </c>
      <c r="AC707" s="251">
        <v>5600</v>
      </c>
      <c r="AD707" s="67">
        <v>10</v>
      </c>
      <c r="AE707" s="252">
        <v>2.7</v>
      </c>
    </row>
    <row r="708" spans="1:31" ht="16.100000000000001" x14ac:dyDescent="0.35">
      <c r="A708" s="294"/>
      <c r="B708" s="46"/>
      <c r="C708" s="46" t="s">
        <v>200</v>
      </c>
      <c r="D708" s="35">
        <v>4184.32</v>
      </c>
      <c r="E708" s="35">
        <v>4287.5200000000004</v>
      </c>
      <c r="F708" s="35">
        <v>4135.93</v>
      </c>
      <c r="G708" s="35">
        <v>4144.2</v>
      </c>
      <c r="H708" s="35">
        <v>4093.28</v>
      </c>
      <c r="I708" s="35">
        <v>4098.05</v>
      </c>
      <c r="J708" s="35">
        <v>4165.71</v>
      </c>
      <c r="K708" s="35">
        <v>4112.68</v>
      </c>
      <c r="L708" s="35">
        <v>4148.72</v>
      </c>
      <c r="M708" s="35">
        <v>4134.59</v>
      </c>
      <c r="N708" s="35">
        <v>4336.57</v>
      </c>
      <c r="O708" s="35">
        <v>4115.54</v>
      </c>
      <c r="P708" s="35">
        <v>4059.82</v>
      </c>
      <c r="Q708" s="46"/>
      <c r="R708" s="46"/>
      <c r="S708" s="46"/>
      <c r="T708" s="46"/>
      <c r="U708" s="46"/>
      <c r="V708" s="229"/>
      <c r="W708" s="46"/>
      <c r="X708" s="45"/>
    </row>
    <row r="709" spans="1:31" ht="22.75" thickBot="1" x14ac:dyDescent="0.4">
      <c r="A709" s="294"/>
      <c r="B709" s="42"/>
      <c r="C709" s="42" t="s">
        <v>199</v>
      </c>
      <c r="D709" s="44">
        <f t="shared" ref="D709:P709" si="232">IF(((D707="")*AND(D708="")),"",(D707-D708)*2)</f>
        <v>5385.58</v>
      </c>
      <c r="E709" s="44">
        <f t="shared" si="232"/>
        <v>5418.3599999999988</v>
      </c>
      <c r="F709" s="44">
        <f t="shared" si="232"/>
        <v>5386.32</v>
      </c>
      <c r="G709" s="44">
        <f t="shared" si="232"/>
        <v>5437.4400000000005</v>
      </c>
      <c r="H709" s="44">
        <f t="shared" si="232"/>
        <v>5435.64</v>
      </c>
      <c r="I709" s="44">
        <f t="shared" si="232"/>
        <v>5471.74</v>
      </c>
      <c r="J709" s="44">
        <f t="shared" si="232"/>
        <v>5458.58</v>
      </c>
      <c r="K709" s="44">
        <f t="shared" si="232"/>
        <v>5466.18</v>
      </c>
      <c r="L709" s="44">
        <f t="shared" si="232"/>
        <v>5394.6</v>
      </c>
      <c r="M709" s="44">
        <f t="shared" si="232"/>
        <v>5490.34</v>
      </c>
      <c r="N709" s="44">
        <f t="shared" si="232"/>
        <v>5429.880000000001</v>
      </c>
      <c r="O709" s="44">
        <f t="shared" si="232"/>
        <v>5435.2999999999993</v>
      </c>
      <c r="P709" s="44">
        <f t="shared" si="232"/>
        <v>5431.1599999999989</v>
      </c>
      <c r="Q709" s="42"/>
      <c r="R709" s="42"/>
      <c r="S709" s="42"/>
      <c r="T709" s="42"/>
      <c r="U709" s="42"/>
      <c r="V709" s="230"/>
      <c r="W709" s="42"/>
      <c r="X709" s="41"/>
    </row>
    <row r="710" spans="1:31" ht="12.75" customHeight="1" x14ac:dyDescent="0.25">
      <c r="A710" s="65">
        <v>43535</v>
      </c>
      <c r="B710" s="55" t="s">
        <v>204</v>
      </c>
      <c r="C710" s="59" t="s">
        <v>201</v>
      </c>
      <c r="D710" s="35">
        <v>6042.58</v>
      </c>
      <c r="E710" s="35">
        <v>6051.46</v>
      </c>
      <c r="F710" s="35">
        <v>6030.65</v>
      </c>
      <c r="G710" s="35">
        <v>6063.4</v>
      </c>
      <c r="H710" s="35">
        <v>6051.74</v>
      </c>
      <c r="I710" s="35">
        <v>6056.83</v>
      </c>
      <c r="J710" s="35">
        <v>6049.95</v>
      </c>
      <c r="K710" s="35">
        <v>6045.11</v>
      </c>
      <c r="L710" s="35">
        <v>6047.09</v>
      </c>
      <c r="M710" s="58"/>
      <c r="N710" s="58"/>
      <c r="O710" s="58"/>
      <c r="P710" s="58"/>
      <c r="Q710" s="55">
        <f>IF((L711=""),"",MAX(D712:L712))</f>
        <v>8723.9699999999993</v>
      </c>
      <c r="R710" s="55">
        <f>IF(L711="","",MIN(D712:L712))</f>
        <v>6876.1799999999985</v>
      </c>
      <c r="S710" s="57">
        <f>IF((L712=""),"",AVERAGE(D712:L712))</f>
        <v>7371.1466666666674</v>
      </c>
      <c r="T710" s="51">
        <f>IF((L711=""),"",(Q710-R710)/(Q710+R710)*100)</f>
        <v>11.844693801021151</v>
      </c>
      <c r="U710" s="55">
        <f>STDEV(D712:P712)</f>
        <v>719.77541941914069</v>
      </c>
      <c r="V710" s="231" t="str">
        <f>IF(L711="","",IF(T710&lt;9.8,IF(S710&gt;5100,IF(S710&lt;8300,"Pass","Fail"),"Fail"),"Fail"))</f>
        <v>Fail</v>
      </c>
      <c r="W710" s="55">
        <v>1534</v>
      </c>
      <c r="X710" s="215"/>
      <c r="Y710" s="66"/>
      <c r="Z710" s="37">
        <v>4955</v>
      </c>
      <c r="AA710" s="37">
        <v>9645</v>
      </c>
      <c r="AB710" s="37">
        <v>5100</v>
      </c>
      <c r="AC710" s="37">
        <v>8300</v>
      </c>
      <c r="AD710" s="67">
        <v>10</v>
      </c>
      <c r="AE710" s="67">
        <v>9.8000000000000007</v>
      </c>
    </row>
    <row r="711" spans="1:31" ht="16.100000000000001" x14ac:dyDescent="0.35">
      <c r="A711" s="294"/>
      <c r="B711" s="46"/>
      <c r="C711" s="54" t="s">
        <v>200</v>
      </c>
      <c r="D711" s="35">
        <v>3134.59</v>
      </c>
      <c r="E711" s="35">
        <v>3693.06</v>
      </c>
      <c r="F711" s="35">
        <v>3738.59</v>
      </c>
      <c r="G711" s="35">
        <v>3218.11</v>
      </c>
      <c r="H711" s="35">
        <v>3667.72</v>
      </c>
      <c r="I711" s="35">
        <v>3751.61</v>
      </c>
      <c r="J711" s="35">
        <v>3701.76</v>
      </c>
      <c r="K711" s="35">
        <v>3710.52</v>
      </c>
      <c r="L711" s="35">
        <v>3709.41</v>
      </c>
      <c r="M711" s="53"/>
      <c r="N711" s="53"/>
      <c r="O711" s="53"/>
      <c r="P711" s="53"/>
      <c r="Q711" s="46"/>
      <c r="R711" s="46"/>
      <c r="S711" s="46"/>
      <c r="T711" s="46"/>
      <c r="U711" s="46"/>
      <c r="V711" s="229"/>
      <c r="W711" s="46"/>
      <c r="X711" s="215"/>
      <c r="Y711" s="45"/>
    </row>
    <row r="712" spans="1:31" ht="22.75" thickBot="1" x14ac:dyDescent="0.4">
      <c r="A712" s="294"/>
      <c r="B712" s="46"/>
      <c r="C712" s="48" t="s">
        <v>199</v>
      </c>
      <c r="D712" s="52">
        <f t="shared" ref="D712:L712" si="233">IF(((D710="")*AND(D711="")),"",(D710-D711)*3)</f>
        <v>8723.9699999999993</v>
      </c>
      <c r="E712" s="52">
        <f t="shared" si="233"/>
        <v>7075.2000000000007</v>
      </c>
      <c r="F712" s="52">
        <f t="shared" si="233"/>
        <v>6876.1799999999985</v>
      </c>
      <c r="G712" s="52">
        <f t="shared" si="233"/>
        <v>8535.869999999999</v>
      </c>
      <c r="H712" s="52">
        <f t="shared" si="233"/>
        <v>7152.0599999999995</v>
      </c>
      <c r="I712" s="52">
        <f t="shared" si="233"/>
        <v>6915.66</v>
      </c>
      <c r="J712" s="52">
        <f t="shared" si="233"/>
        <v>7044.5699999999988</v>
      </c>
      <c r="K712" s="52">
        <f t="shared" si="233"/>
        <v>7003.7699999999986</v>
      </c>
      <c r="L712" s="52">
        <f t="shared" si="233"/>
        <v>7013.0400000000009</v>
      </c>
      <c r="M712" s="52"/>
      <c r="N712" s="52"/>
      <c r="O712" s="52"/>
      <c r="P712" s="52" t="str">
        <f>IF(((P710="")*AND(P711="")),"",(P710-P711)*2)</f>
        <v/>
      </c>
      <c r="Q712" s="46"/>
      <c r="R712" s="46"/>
      <c r="S712" s="46"/>
      <c r="T712" s="46"/>
      <c r="U712" s="46"/>
      <c r="V712" s="229"/>
      <c r="W712" s="46"/>
      <c r="X712" s="215"/>
      <c r="Y712" s="45"/>
    </row>
    <row r="713" spans="1:31" ht="12.75" customHeight="1" x14ac:dyDescent="0.25">
      <c r="A713" s="65">
        <v>43535</v>
      </c>
      <c r="B713" s="48" t="s">
        <v>202</v>
      </c>
      <c r="C713" s="48" t="s">
        <v>201</v>
      </c>
      <c r="D713" s="35">
        <v>6705.7</v>
      </c>
      <c r="E713" s="35">
        <v>6821.45</v>
      </c>
      <c r="F713" s="35">
        <v>6656.01</v>
      </c>
      <c r="G713" s="35">
        <v>6706.18</v>
      </c>
      <c r="H713" s="35">
        <v>6630.15</v>
      </c>
      <c r="I713" s="35">
        <v>6660.85</v>
      </c>
      <c r="J713" s="35">
        <v>6737.05</v>
      </c>
      <c r="K713" s="35">
        <v>6687.56</v>
      </c>
      <c r="L713" s="35">
        <v>6670.26</v>
      </c>
      <c r="M713" s="35">
        <v>6715.36</v>
      </c>
      <c r="N713" s="35">
        <v>6869.63</v>
      </c>
      <c r="O713" s="35">
        <v>6656.86</v>
      </c>
      <c r="P713" s="35">
        <v>6593.29</v>
      </c>
      <c r="Q713" s="48">
        <f>IF((L714=""),"",MAX(D715:P715))</f>
        <v>5414.9999999999991</v>
      </c>
      <c r="R713" s="48">
        <f>IF(L714="","",MIN(D715:L715))</f>
        <v>5337.22</v>
      </c>
      <c r="S713" s="51">
        <f>IF((P715=""),"",AVERAGE(D715:P715))</f>
        <v>5375.4030769230776</v>
      </c>
      <c r="T713" s="50">
        <f>IF((L714=""),"",(Q713-R713)/(Q713+R713)*100)</f>
        <v>0.72338549620449399</v>
      </c>
      <c r="U713" s="48">
        <f>STDEV(D715:P715)</f>
        <v>24.549274050575452</v>
      </c>
      <c r="V713" s="228" t="str">
        <f>IF(P714="","",IF(T713&lt;2.7,IF(S713&gt;5150,IF(S713&lt;5600,"Pass","Fail"),"Fail"),"Fail"))</f>
        <v>Pass</v>
      </c>
      <c r="W713" s="48">
        <v>1534</v>
      </c>
      <c r="X713" s="45" t="s">
        <v>213</v>
      </c>
      <c r="Z713" s="251">
        <v>4470</v>
      </c>
      <c r="AA713" s="251">
        <v>6020</v>
      </c>
      <c r="AB713" s="251">
        <v>5150</v>
      </c>
      <c r="AC713" s="251">
        <v>5600</v>
      </c>
      <c r="AD713" s="67">
        <v>10</v>
      </c>
      <c r="AE713" s="252">
        <v>2.7</v>
      </c>
    </row>
    <row r="714" spans="1:31" ht="16.100000000000001" x14ac:dyDescent="0.35">
      <c r="A714" s="294"/>
      <c r="B714" s="46"/>
      <c r="C714" s="46" t="s">
        <v>200</v>
      </c>
      <c r="D714" s="35">
        <v>4017.78</v>
      </c>
      <c r="E714" s="35">
        <v>4119.99</v>
      </c>
      <c r="F714" s="35">
        <v>3985.78</v>
      </c>
      <c r="G714" s="35">
        <v>4026.17</v>
      </c>
      <c r="H714" s="35">
        <v>3922.65</v>
      </c>
      <c r="I714" s="35">
        <v>3963.12</v>
      </c>
      <c r="J714" s="35">
        <v>4056.44</v>
      </c>
      <c r="K714" s="35">
        <v>3998.27</v>
      </c>
      <c r="L714" s="35">
        <v>4001.65</v>
      </c>
      <c r="M714" s="35">
        <v>4028.25</v>
      </c>
      <c r="N714" s="35">
        <v>4166.9799999999996</v>
      </c>
      <c r="O714" s="35">
        <v>3979.89</v>
      </c>
      <c r="P714" s="35">
        <v>3903.26</v>
      </c>
      <c r="Q714" s="46"/>
      <c r="R714" s="46"/>
      <c r="S714" s="46"/>
      <c r="T714" s="46"/>
      <c r="U714" s="46"/>
      <c r="V714" s="229"/>
      <c r="W714" s="46"/>
      <c r="X714" s="45"/>
    </row>
    <row r="715" spans="1:31" ht="22.75" thickBot="1" x14ac:dyDescent="0.4">
      <c r="A715" s="294"/>
      <c r="B715" s="42"/>
      <c r="C715" s="42" t="s">
        <v>199</v>
      </c>
      <c r="D715" s="44">
        <f t="shared" ref="D715:P715" si="234">IF(((D713="")*AND(D714="")),"",(D713-D714)*2)</f>
        <v>5375.8399999999992</v>
      </c>
      <c r="E715" s="44">
        <f t="shared" si="234"/>
        <v>5402.92</v>
      </c>
      <c r="F715" s="44">
        <f t="shared" si="234"/>
        <v>5340.46</v>
      </c>
      <c r="G715" s="44">
        <f t="shared" si="234"/>
        <v>5360.02</v>
      </c>
      <c r="H715" s="44">
        <f t="shared" si="234"/>
        <v>5414.9999999999991</v>
      </c>
      <c r="I715" s="44">
        <f t="shared" si="234"/>
        <v>5395.4600000000009</v>
      </c>
      <c r="J715" s="44">
        <f t="shared" si="234"/>
        <v>5361.22</v>
      </c>
      <c r="K715" s="44">
        <f t="shared" si="234"/>
        <v>5378.5800000000008</v>
      </c>
      <c r="L715" s="44">
        <f t="shared" si="234"/>
        <v>5337.22</v>
      </c>
      <c r="M715" s="44">
        <f t="shared" si="234"/>
        <v>5374.2199999999993</v>
      </c>
      <c r="N715" s="44">
        <f t="shared" si="234"/>
        <v>5405.3000000000011</v>
      </c>
      <c r="O715" s="44">
        <f t="shared" si="234"/>
        <v>5353.94</v>
      </c>
      <c r="P715" s="44">
        <f t="shared" si="234"/>
        <v>5380.0599999999995</v>
      </c>
      <c r="Q715" s="42"/>
      <c r="R715" s="42"/>
      <c r="S715" s="42"/>
      <c r="T715" s="42"/>
      <c r="U715" s="42"/>
      <c r="V715" s="230"/>
      <c r="W715" s="42"/>
      <c r="X715" s="41"/>
    </row>
    <row r="716" spans="1:31" ht="12.75" customHeight="1" x14ac:dyDescent="0.25">
      <c r="A716" s="65">
        <v>43535</v>
      </c>
      <c r="B716" s="55" t="s">
        <v>204</v>
      </c>
      <c r="C716" s="59" t="s">
        <v>201</v>
      </c>
      <c r="D716" s="35">
        <v>6016</v>
      </c>
      <c r="E716" s="35">
        <v>6039.34</v>
      </c>
      <c r="F716" s="35">
        <v>6099.39</v>
      </c>
      <c r="G716" s="35">
        <v>6060.51</v>
      </c>
      <c r="H716" s="35">
        <v>6071.05</v>
      </c>
      <c r="I716" s="35">
        <v>6063.89</v>
      </c>
      <c r="J716" s="35">
        <v>6050.5</v>
      </c>
      <c r="K716" s="35">
        <v>6076.39</v>
      </c>
      <c r="L716" s="35">
        <v>6025.18</v>
      </c>
      <c r="M716" s="58"/>
      <c r="N716" s="58"/>
      <c r="O716" s="58"/>
      <c r="P716" s="58"/>
      <c r="Q716" s="55">
        <f>IF((L717=""),"",MAX(D718:L718))</f>
        <v>8459.07</v>
      </c>
      <c r="R716" s="55">
        <f>IF(L717="","",MIN(D718:L718))</f>
        <v>7095.6900000000005</v>
      </c>
      <c r="S716" s="57">
        <f>IF((L718=""),"",AVERAGE(D718:L718))</f>
        <v>7465.796666666668</v>
      </c>
      <c r="T716" s="51">
        <f>IF((L717=""),"",(Q716-R716)/(Q716+R716)*100)</f>
        <v>8.7650339831665622</v>
      </c>
      <c r="U716" s="55">
        <f>STDEV(D718:P718)</f>
        <v>480.38554003529237</v>
      </c>
      <c r="V716" s="231" t="str">
        <f>IF(L717="","",IF(T716&lt;9.8,IF(S716&gt;5100,IF(S716&lt;8300,"Pass","Fail"),"Fail"),"Fail"))</f>
        <v>Pass</v>
      </c>
      <c r="W716" s="55">
        <v>1428</v>
      </c>
      <c r="X716" s="38" t="s">
        <v>213</v>
      </c>
      <c r="Z716" s="37">
        <v>4955</v>
      </c>
      <c r="AA716" s="37">
        <v>9645</v>
      </c>
      <c r="AB716" s="37">
        <v>5100</v>
      </c>
      <c r="AC716" s="37">
        <v>8300</v>
      </c>
      <c r="AD716" s="67">
        <v>10</v>
      </c>
      <c r="AE716" s="67">
        <v>9.8000000000000007</v>
      </c>
    </row>
    <row r="717" spans="1:31" ht="16.100000000000001" x14ac:dyDescent="0.35">
      <c r="A717" s="294"/>
      <c r="B717" s="46"/>
      <c r="C717" s="54" t="s">
        <v>200</v>
      </c>
      <c r="D717" s="35">
        <v>3310.65</v>
      </c>
      <c r="E717" s="35">
        <v>3674.11</v>
      </c>
      <c r="F717" s="35">
        <v>3675.68</v>
      </c>
      <c r="G717" s="35">
        <v>3240.82</v>
      </c>
      <c r="H717" s="35">
        <v>3628.19</v>
      </c>
      <c r="I717" s="35">
        <v>3675.1</v>
      </c>
      <c r="J717" s="35">
        <v>3604.28</v>
      </c>
      <c r="K717" s="35">
        <v>3657.6</v>
      </c>
      <c r="L717" s="35">
        <v>3638.43</v>
      </c>
      <c r="M717" s="53"/>
      <c r="N717" s="53"/>
      <c r="O717" s="53"/>
      <c r="P717" s="53"/>
      <c r="Q717" s="46"/>
      <c r="R717" s="46"/>
      <c r="S717" s="46"/>
      <c r="T717" s="46"/>
      <c r="U717" s="46"/>
      <c r="V717" s="229"/>
      <c r="W717" s="46"/>
    </row>
    <row r="718" spans="1:31" ht="22.75" thickBot="1" x14ac:dyDescent="0.4">
      <c r="A718" s="294"/>
      <c r="B718" s="46"/>
      <c r="C718" s="48" t="s">
        <v>199</v>
      </c>
      <c r="D718" s="52">
        <f t="shared" ref="D718:L718" si="235">IF(((D716="")*AND(D717="")),"",(D716-D717)*3)</f>
        <v>8116.0499999999993</v>
      </c>
      <c r="E718" s="52">
        <f t="shared" si="235"/>
        <v>7095.6900000000005</v>
      </c>
      <c r="F718" s="52">
        <f t="shared" si="235"/>
        <v>7271.130000000001</v>
      </c>
      <c r="G718" s="52">
        <f t="shared" si="235"/>
        <v>8459.07</v>
      </c>
      <c r="H718" s="52">
        <f t="shared" si="235"/>
        <v>7328.58</v>
      </c>
      <c r="I718" s="52">
        <f t="shared" si="235"/>
        <v>7166.3700000000008</v>
      </c>
      <c r="J718" s="52">
        <f t="shared" si="235"/>
        <v>7338.66</v>
      </c>
      <c r="K718" s="52">
        <f t="shared" si="235"/>
        <v>7256.3700000000008</v>
      </c>
      <c r="L718" s="52">
        <f t="shared" si="235"/>
        <v>7160.2500000000018</v>
      </c>
      <c r="M718" s="52"/>
      <c r="N718" s="52"/>
      <c r="O718" s="52"/>
      <c r="P718" s="52" t="str">
        <f>IF(((P716="")*AND(P717="")),"",(P716-P717)*2)</f>
        <v/>
      </c>
      <c r="Q718" s="46"/>
      <c r="R718" s="46"/>
      <c r="S718" s="46"/>
      <c r="T718" s="46"/>
      <c r="U718" s="46"/>
      <c r="V718" s="229"/>
      <c r="W718" s="46"/>
    </row>
    <row r="719" spans="1:31" ht="12.75" customHeight="1" x14ac:dyDescent="0.25">
      <c r="A719" s="40">
        <v>43538</v>
      </c>
      <c r="B719" s="55" t="s">
        <v>204</v>
      </c>
      <c r="C719" s="59" t="s">
        <v>201</v>
      </c>
      <c r="D719" s="35">
        <v>3325.29</v>
      </c>
      <c r="E719" s="35">
        <v>3704.2</v>
      </c>
      <c r="F719" s="35">
        <v>3713.86</v>
      </c>
      <c r="G719" s="35">
        <v>3132.61</v>
      </c>
      <c r="H719" s="35">
        <v>3640.91</v>
      </c>
      <c r="I719" s="35">
        <v>3697.1</v>
      </c>
      <c r="J719" s="35">
        <v>3629.37</v>
      </c>
      <c r="K719" s="35">
        <v>3670.67</v>
      </c>
      <c r="L719" s="35">
        <v>3639.14</v>
      </c>
      <c r="M719" s="58"/>
      <c r="N719" s="58"/>
      <c r="O719" s="58"/>
      <c r="P719" s="58"/>
      <c r="Q719" s="55">
        <f>IF((L720=""),"",MAX(D721:L721))</f>
        <v>6914.0999999999995</v>
      </c>
      <c r="R719" s="55">
        <f>IF(L720="","",MIN(D721:L721))</f>
        <v>6491.82</v>
      </c>
      <c r="S719" s="57">
        <f>IF((L721=""),"",AVERAGE(D721:L721))</f>
        <v>6806.2799999999988</v>
      </c>
      <c r="T719" s="51">
        <f>IF((L720=""),"",(Q719-R719)/(Q719+R719)*100)</f>
        <v>3.1499516631458326</v>
      </c>
      <c r="U719" s="55">
        <f>STDEV(D721:P721)</f>
        <v>131.99583317286965</v>
      </c>
      <c r="V719" s="231" t="str">
        <f>IF(L720="","",IF(T719&lt;9.8,IF(S719&gt;5100,IF(S719&lt;8300,"Pass","Fail"),"Fail"),"Fail"))</f>
        <v>Pass</v>
      </c>
      <c r="W719" s="55">
        <v>121</v>
      </c>
      <c r="X719" s="66" t="s">
        <v>212</v>
      </c>
      <c r="Z719" s="37">
        <v>4955</v>
      </c>
      <c r="AA719" s="37">
        <v>9645</v>
      </c>
      <c r="AB719" s="37">
        <v>5100</v>
      </c>
      <c r="AC719" s="37">
        <v>8300</v>
      </c>
      <c r="AD719" s="67">
        <v>10</v>
      </c>
      <c r="AE719" s="67">
        <v>9.8000000000000007</v>
      </c>
    </row>
    <row r="720" spans="1:31" ht="16.100000000000001" x14ac:dyDescent="0.35">
      <c r="A720" s="294"/>
      <c r="B720" s="46"/>
      <c r="C720" s="54" t="s">
        <v>200</v>
      </c>
      <c r="D720" s="35">
        <v>1082.3900000000001</v>
      </c>
      <c r="E720" s="35">
        <v>1418.53</v>
      </c>
      <c r="F720" s="35">
        <v>1424.92</v>
      </c>
      <c r="G720" s="35">
        <v>968.67</v>
      </c>
      <c r="H720" s="35">
        <v>1384.51</v>
      </c>
      <c r="I720" s="35">
        <v>1398.72</v>
      </c>
      <c r="J720" s="35">
        <v>1324.67</v>
      </c>
      <c r="K720" s="35">
        <v>1381.27</v>
      </c>
      <c r="L720" s="35">
        <v>1350.63</v>
      </c>
      <c r="M720" s="53"/>
      <c r="N720" s="53"/>
      <c r="O720" s="53"/>
      <c r="P720" s="53"/>
      <c r="Q720" s="46"/>
      <c r="R720" s="46"/>
      <c r="S720" s="46"/>
      <c r="T720" s="46"/>
      <c r="U720" s="46"/>
      <c r="V720" s="229"/>
      <c r="W720" s="46"/>
      <c r="X720" s="45"/>
    </row>
    <row r="721" spans="1:31" ht="22.75" thickBot="1" x14ac:dyDescent="0.4">
      <c r="A721" s="294"/>
      <c r="B721" s="46"/>
      <c r="C721" s="48" t="s">
        <v>199</v>
      </c>
      <c r="D721" s="52">
        <f t="shared" ref="D721:L721" si="236">IF(((D719="")*AND(D720="")),"",(D719-D720)*3)</f>
        <v>6728.6999999999989</v>
      </c>
      <c r="E721" s="52">
        <f t="shared" si="236"/>
        <v>6857.01</v>
      </c>
      <c r="F721" s="52">
        <f t="shared" si="236"/>
        <v>6866.82</v>
      </c>
      <c r="G721" s="52">
        <f t="shared" si="236"/>
        <v>6491.82</v>
      </c>
      <c r="H721" s="52">
        <f t="shared" si="236"/>
        <v>6769.1999999999989</v>
      </c>
      <c r="I721" s="52">
        <f t="shared" si="236"/>
        <v>6895.14</v>
      </c>
      <c r="J721" s="52">
        <f t="shared" si="236"/>
        <v>6914.0999999999995</v>
      </c>
      <c r="K721" s="52">
        <f t="shared" si="236"/>
        <v>6868.2000000000007</v>
      </c>
      <c r="L721" s="52">
        <f t="shared" si="236"/>
        <v>6865.5299999999988</v>
      </c>
      <c r="M721" s="52"/>
      <c r="N721" s="52"/>
      <c r="O721" s="52"/>
      <c r="P721" s="52" t="str">
        <f>IF(((P719="")*AND(P720="")),"",(P719-P720)*2)</f>
        <v/>
      </c>
      <c r="Q721" s="46"/>
      <c r="R721" s="46"/>
      <c r="S721" s="46"/>
      <c r="T721" s="46"/>
      <c r="U721" s="46"/>
      <c r="V721" s="229"/>
      <c r="W721" s="46"/>
      <c r="X721" s="45"/>
    </row>
    <row r="722" spans="1:31" ht="12.75" customHeight="1" x14ac:dyDescent="0.25">
      <c r="A722" s="40">
        <v>43538</v>
      </c>
      <c r="B722" s="48" t="s">
        <v>202</v>
      </c>
      <c r="C722" s="48" t="s">
        <v>201</v>
      </c>
      <c r="D722" s="35">
        <v>4044.22</v>
      </c>
      <c r="E722" s="35">
        <v>4163.7</v>
      </c>
      <c r="F722" s="35">
        <v>3963.75</v>
      </c>
      <c r="G722" s="35">
        <v>3977.22</v>
      </c>
      <c r="H722" s="35">
        <v>3970.74</v>
      </c>
      <c r="I722" s="35">
        <v>3925.75</v>
      </c>
      <c r="J722" s="35">
        <v>3997.12</v>
      </c>
      <c r="K722" s="35">
        <v>3941.36</v>
      </c>
      <c r="L722" s="35">
        <v>3971.36</v>
      </c>
      <c r="M722" s="35">
        <v>3961.98</v>
      </c>
      <c r="N722" s="35">
        <v>4185.17</v>
      </c>
      <c r="O722" s="35">
        <v>3927.1</v>
      </c>
      <c r="P722" s="35">
        <v>3864.75</v>
      </c>
      <c r="Q722" s="48">
        <f>IF((L723=""),"",MAX(D724:P724))</f>
        <v>5522.08</v>
      </c>
      <c r="R722" s="48">
        <f>IF(L723="","",MIN(D724:L724))</f>
        <v>5422.58</v>
      </c>
      <c r="S722" s="51">
        <f>IF((P724=""),"",AVERAGE(D724:P724))</f>
        <v>5475.5138461538463</v>
      </c>
      <c r="T722" s="50">
        <f>IF((L723=""),"",(Q722-R722)/(Q722+R722)*100)</f>
        <v>0.90911915034363799</v>
      </c>
      <c r="U722" s="48">
        <f>STDEV(D724:P724)</f>
        <v>35.357194821436615</v>
      </c>
      <c r="V722" s="228" t="str">
        <f>IF(P723="","",IF(T722&lt;2.7,IF(S722&gt;5150,IF(S722&lt;5600,"Pass","Fail"),"Fail"),"Fail"))</f>
        <v>Pass</v>
      </c>
      <c r="W722" s="48">
        <v>121</v>
      </c>
      <c r="X722" s="45" t="s">
        <v>212</v>
      </c>
      <c r="Z722" s="251">
        <v>4470</v>
      </c>
      <c r="AA722" s="251">
        <v>6020</v>
      </c>
      <c r="AB722" s="251">
        <v>5150</v>
      </c>
      <c r="AC722" s="251">
        <v>5600</v>
      </c>
      <c r="AD722" s="67">
        <v>10</v>
      </c>
      <c r="AE722" s="252">
        <v>2.7</v>
      </c>
    </row>
    <row r="723" spans="1:31" ht="16.100000000000001" x14ac:dyDescent="0.35">
      <c r="A723" s="294"/>
      <c r="B723" s="46"/>
      <c r="C723" s="46" t="s">
        <v>200</v>
      </c>
      <c r="D723" s="35">
        <v>1332.93</v>
      </c>
      <c r="E723" s="35">
        <v>1449.96</v>
      </c>
      <c r="F723" s="35">
        <v>1242.94</v>
      </c>
      <c r="G723" s="35">
        <v>1229.3599999999999</v>
      </c>
      <c r="H723" s="35">
        <v>1251.67</v>
      </c>
      <c r="I723" s="35">
        <v>1164.71</v>
      </c>
      <c r="J723" s="35">
        <v>1239.8</v>
      </c>
      <c r="K723" s="35">
        <v>1190.3599999999999</v>
      </c>
      <c r="L723" s="35">
        <v>1245.26</v>
      </c>
      <c r="M723" s="35">
        <v>1203.69</v>
      </c>
      <c r="N723" s="35">
        <v>1447.72</v>
      </c>
      <c r="O723" s="35">
        <v>1186.1500000000001</v>
      </c>
      <c r="P723" s="35">
        <v>1118.83</v>
      </c>
      <c r="Q723" s="46"/>
      <c r="R723" s="46"/>
      <c r="S723" s="46"/>
      <c r="T723" s="46"/>
      <c r="U723" s="46"/>
      <c r="V723" s="229"/>
      <c r="W723" s="46"/>
      <c r="X723" s="45"/>
    </row>
    <row r="724" spans="1:31" ht="22.75" thickBot="1" x14ac:dyDescent="0.4">
      <c r="A724" s="294"/>
      <c r="B724" s="42"/>
      <c r="C724" s="42" t="s">
        <v>199</v>
      </c>
      <c r="D724" s="44">
        <f t="shared" ref="D724:P724" si="237">IF(((D722="")*AND(D723="")),"",(D722-D723)*2)</f>
        <v>5422.58</v>
      </c>
      <c r="E724" s="44">
        <f t="shared" si="237"/>
        <v>5427.48</v>
      </c>
      <c r="F724" s="44">
        <f t="shared" si="237"/>
        <v>5441.62</v>
      </c>
      <c r="G724" s="44">
        <f t="shared" si="237"/>
        <v>5495.7199999999993</v>
      </c>
      <c r="H724" s="44">
        <f t="shared" si="237"/>
        <v>5438.1399999999994</v>
      </c>
      <c r="I724" s="44">
        <f t="shared" si="237"/>
        <v>5522.08</v>
      </c>
      <c r="J724" s="44">
        <f t="shared" si="237"/>
        <v>5514.6399999999994</v>
      </c>
      <c r="K724" s="44">
        <f t="shared" si="237"/>
        <v>5502</v>
      </c>
      <c r="L724" s="44">
        <f t="shared" si="237"/>
        <v>5452.2000000000007</v>
      </c>
      <c r="M724" s="44">
        <f t="shared" si="237"/>
        <v>5516.58</v>
      </c>
      <c r="N724" s="44">
        <f t="shared" si="237"/>
        <v>5474.9</v>
      </c>
      <c r="O724" s="44">
        <f t="shared" si="237"/>
        <v>5481.9</v>
      </c>
      <c r="P724" s="44">
        <f t="shared" si="237"/>
        <v>5491.84</v>
      </c>
      <c r="Q724" s="42"/>
      <c r="R724" s="42"/>
      <c r="S724" s="42"/>
      <c r="T724" s="42"/>
      <c r="U724" s="42"/>
      <c r="V724" s="230"/>
      <c r="W724" s="42"/>
      <c r="X724" s="41"/>
    </row>
    <row r="725" spans="1:31" ht="12.75" customHeight="1" x14ac:dyDescent="0.25">
      <c r="A725" s="40">
        <v>43542</v>
      </c>
      <c r="B725" s="55" t="s">
        <v>204</v>
      </c>
      <c r="C725" s="59" t="s">
        <v>201</v>
      </c>
      <c r="D725" s="35">
        <v>5998.61</v>
      </c>
      <c r="E725" s="35">
        <v>6030.73</v>
      </c>
      <c r="F725" s="35">
        <v>6066.75</v>
      </c>
      <c r="G725" s="35">
        <v>6071.65</v>
      </c>
      <c r="H725" s="35">
        <v>6042.19</v>
      </c>
      <c r="I725" s="35">
        <v>6064.37</v>
      </c>
      <c r="J725" s="35">
        <v>6050.82</v>
      </c>
      <c r="K725" s="35">
        <v>6092.94</v>
      </c>
      <c r="L725" s="35">
        <v>6045.5</v>
      </c>
      <c r="M725" s="58"/>
      <c r="N725" s="58"/>
      <c r="O725" s="58"/>
      <c r="P725" s="58"/>
      <c r="Q725" s="55">
        <f>IF((L726=""),"",MAX(D727:L727))</f>
        <v>7390.829999999999</v>
      </c>
      <c r="R725" s="55">
        <f>IF(L726="","",MIN(D727:L727))</f>
        <v>6807.2999999999993</v>
      </c>
      <c r="S725" s="57">
        <f>IF((L727=""),"",AVERAGE(D727:L727))</f>
        <v>7002.0133333333315</v>
      </c>
      <c r="T725" s="51">
        <f>IF((L726=""),"",(Q725-R725)/(Q725+R725)*100)</f>
        <v>4.1099074314716084</v>
      </c>
      <c r="U725" s="55">
        <f>STDEV(D727:P727)</f>
        <v>206.78722984023946</v>
      </c>
      <c r="V725" s="231" t="str">
        <f>IF(L726="","",IF(T725&lt;9.8,IF(S725&gt;5100,IF(S725&lt;8300,"Pass","Fail"),"Fail"),"Fail"))</f>
        <v>Pass</v>
      </c>
      <c r="W725" s="55">
        <v>1428</v>
      </c>
      <c r="X725" s="66" t="s">
        <v>211</v>
      </c>
      <c r="Z725" s="37">
        <v>4955</v>
      </c>
      <c r="AA725" s="37">
        <v>9645</v>
      </c>
      <c r="AB725" s="37">
        <v>5100</v>
      </c>
      <c r="AC725" s="37">
        <v>8300</v>
      </c>
      <c r="AD725" s="67">
        <v>10</v>
      </c>
      <c r="AE725" s="67">
        <v>9.8000000000000007</v>
      </c>
    </row>
    <row r="726" spans="1:31" ht="16.100000000000001" x14ac:dyDescent="0.35">
      <c r="A726" s="294"/>
      <c r="B726" s="46"/>
      <c r="C726" s="54" t="s">
        <v>200</v>
      </c>
      <c r="D726" s="35">
        <v>3535</v>
      </c>
      <c r="E726" s="35">
        <v>3758.94</v>
      </c>
      <c r="F726" s="35">
        <v>3761.4</v>
      </c>
      <c r="G726" s="35">
        <v>3635.1</v>
      </c>
      <c r="H726" s="35">
        <v>3739.77</v>
      </c>
      <c r="I726" s="35">
        <v>3754.24</v>
      </c>
      <c r="J726" s="35">
        <v>3728.99</v>
      </c>
      <c r="K726" s="35">
        <v>3767.68</v>
      </c>
      <c r="L726" s="35">
        <v>3776.4</v>
      </c>
      <c r="M726" s="53"/>
      <c r="N726" s="53"/>
      <c r="O726" s="53"/>
      <c r="P726" s="53"/>
      <c r="Q726" s="46"/>
      <c r="R726" s="46"/>
      <c r="S726" s="46"/>
      <c r="T726" s="46"/>
      <c r="U726" s="46"/>
      <c r="V726" s="229"/>
      <c r="W726" s="46"/>
      <c r="X726" s="45"/>
    </row>
    <row r="727" spans="1:31" ht="22.75" thickBot="1" x14ac:dyDescent="0.4">
      <c r="A727" s="294"/>
      <c r="B727" s="46"/>
      <c r="C727" s="48" t="s">
        <v>199</v>
      </c>
      <c r="D727" s="52">
        <f t="shared" ref="D727:L727" si="238">IF(((D725="")*AND(D726="")),"",(D725-D726)*3)</f>
        <v>7390.829999999999</v>
      </c>
      <c r="E727" s="52">
        <f t="shared" si="238"/>
        <v>6815.369999999999</v>
      </c>
      <c r="F727" s="52">
        <f t="shared" si="238"/>
        <v>6916.0499999999993</v>
      </c>
      <c r="G727" s="52">
        <f t="shared" si="238"/>
        <v>7309.65</v>
      </c>
      <c r="H727" s="52">
        <f t="shared" si="238"/>
        <v>6907.2599999999984</v>
      </c>
      <c r="I727" s="52">
        <f t="shared" si="238"/>
        <v>6930.39</v>
      </c>
      <c r="J727" s="52">
        <f t="shared" si="238"/>
        <v>6965.49</v>
      </c>
      <c r="K727" s="52">
        <f t="shared" si="238"/>
        <v>6975.7799999999988</v>
      </c>
      <c r="L727" s="52">
        <f t="shared" si="238"/>
        <v>6807.2999999999993</v>
      </c>
      <c r="M727" s="52"/>
      <c r="N727" s="52"/>
      <c r="O727" s="52"/>
      <c r="P727" s="52" t="str">
        <f>IF(((P725="")*AND(P726="")),"",(P725-P726)*2)</f>
        <v/>
      </c>
      <c r="Q727" s="46"/>
      <c r="R727" s="46"/>
      <c r="S727" s="46"/>
      <c r="T727" s="46"/>
      <c r="U727" s="46"/>
      <c r="V727" s="229"/>
      <c r="W727" s="46"/>
      <c r="X727" s="45"/>
    </row>
    <row r="728" spans="1:31" ht="12.75" customHeight="1" x14ac:dyDescent="0.25">
      <c r="A728" s="40">
        <v>43542</v>
      </c>
      <c r="B728" s="48" t="s">
        <v>202</v>
      </c>
      <c r="C728" s="48" t="s">
        <v>201</v>
      </c>
      <c r="D728" s="35">
        <v>6725.38</v>
      </c>
      <c r="E728" s="35">
        <v>6847.86</v>
      </c>
      <c r="F728" s="35">
        <v>6668.32</v>
      </c>
      <c r="G728" s="35">
        <v>6705</v>
      </c>
      <c r="H728" s="35">
        <v>6665.31</v>
      </c>
      <c r="I728" s="35">
        <v>6679.91</v>
      </c>
      <c r="J728" s="35">
        <v>6733.66</v>
      </c>
      <c r="K728" s="35">
        <v>6682.25</v>
      </c>
      <c r="L728" s="35">
        <v>6685.05</v>
      </c>
      <c r="M728" s="35">
        <v>6715.83</v>
      </c>
      <c r="N728" s="35">
        <v>6903.85</v>
      </c>
      <c r="O728" s="35">
        <v>6670.93</v>
      </c>
      <c r="P728" s="35">
        <v>6626.63</v>
      </c>
      <c r="Q728" s="48">
        <f>IF((L729=""),"",MAX(D730:P730))</f>
        <v>5459.84</v>
      </c>
      <c r="R728" s="48">
        <f>IF(L729="","",MIN(D730:L730))</f>
        <v>5339.76</v>
      </c>
      <c r="S728" s="51">
        <f>IF((P730=""),"",AVERAGE(D730:P730))</f>
        <v>5398.7384615384617</v>
      </c>
      <c r="T728" s="50">
        <f>IF((L729=""),"",(Q728-R728)/(Q728+R728)*100)</f>
        <v>1.1118930330752983</v>
      </c>
      <c r="U728" s="48">
        <f>STDEV(D730:P730)</f>
        <v>40.562147758337808</v>
      </c>
      <c r="V728" s="228" t="str">
        <f>IF(P729="","",IF(T728&lt;2.7,IF(S728&gt;5150,IF(S728&lt;5600,"Pass","Fail"),"Fail"),"Fail"))</f>
        <v>Pass</v>
      </c>
      <c r="W728" s="48">
        <v>1428</v>
      </c>
      <c r="X728" s="45" t="s">
        <v>211</v>
      </c>
      <c r="Z728" s="251">
        <v>4470</v>
      </c>
      <c r="AA728" s="251">
        <v>6020</v>
      </c>
      <c r="AB728" s="251">
        <v>5150</v>
      </c>
      <c r="AC728" s="251">
        <v>5600</v>
      </c>
      <c r="AD728" s="67">
        <v>10</v>
      </c>
      <c r="AE728" s="252">
        <v>2.7</v>
      </c>
    </row>
    <row r="729" spans="1:31" ht="16.100000000000001" x14ac:dyDescent="0.35">
      <c r="A729" s="294"/>
      <c r="B729" s="46"/>
      <c r="C729" s="46" t="s">
        <v>200</v>
      </c>
      <c r="D729" s="35">
        <v>4055.5</v>
      </c>
      <c r="E729" s="35">
        <v>4162.6400000000003</v>
      </c>
      <c r="F729" s="35">
        <v>3996.68</v>
      </c>
      <c r="G729" s="35">
        <v>3996.65</v>
      </c>
      <c r="H729" s="35">
        <v>3975</v>
      </c>
      <c r="I729" s="35">
        <v>3958.23</v>
      </c>
      <c r="J729" s="35">
        <v>4013.92</v>
      </c>
      <c r="K729" s="35">
        <v>3959.21</v>
      </c>
      <c r="L729" s="35">
        <v>4008.57</v>
      </c>
      <c r="M729" s="35">
        <v>3985.91</v>
      </c>
      <c r="N729" s="35">
        <v>4205.87</v>
      </c>
      <c r="O729" s="35">
        <v>3971.29</v>
      </c>
      <c r="P729" s="35">
        <v>3928.71</v>
      </c>
      <c r="Q729" s="46"/>
      <c r="R729" s="46"/>
      <c r="S729" s="46"/>
      <c r="T729" s="46"/>
      <c r="U729" s="46"/>
      <c r="V729" s="229"/>
      <c r="W729" s="46"/>
      <c r="X729" s="45"/>
    </row>
    <row r="730" spans="1:31" ht="22.75" thickBot="1" x14ac:dyDescent="0.4">
      <c r="A730" s="294"/>
      <c r="B730" s="42"/>
      <c r="C730" s="42" t="s">
        <v>199</v>
      </c>
      <c r="D730" s="44">
        <f t="shared" ref="D730:P730" si="239">IF(((D728="")*AND(D729="")),"",(D728-D729)*2)</f>
        <v>5339.76</v>
      </c>
      <c r="E730" s="44">
        <f t="shared" si="239"/>
        <v>5370.4399999999987</v>
      </c>
      <c r="F730" s="44">
        <f t="shared" si="239"/>
        <v>5343.28</v>
      </c>
      <c r="G730" s="44">
        <f t="shared" si="239"/>
        <v>5416.7</v>
      </c>
      <c r="H730" s="44">
        <f t="shared" si="239"/>
        <v>5380.6200000000008</v>
      </c>
      <c r="I730" s="44">
        <f t="shared" si="239"/>
        <v>5443.36</v>
      </c>
      <c r="J730" s="44">
        <f t="shared" si="239"/>
        <v>5439.48</v>
      </c>
      <c r="K730" s="44">
        <f t="shared" si="239"/>
        <v>5446.08</v>
      </c>
      <c r="L730" s="44">
        <f t="shared" si="239"/>
        <v>5352.96</v>
      </c>
      <c r="M730" s="44">
        <f t="shared" si="239"/>
        <v>5459.84</v>
      </c>
      <c r="N730" s="44">
        <f t="shared" si="239"/>
        <v>5395.9600000000009</v>
      </c>
      <c r="O730" s="44">
        <f t="shared" si="239"/>
        <v>5399.2800000000007</v>
      </c>
      <c r="P730" s="44">
        <f t="shared" si="239"/>
        <v>5395.84</v>
      </c>
      <c r="Q730" s="42"/>
      <c r="R730" s="42"/>
      <c r="S730" s="42"/>
      <c r="T730" s="42"/>
      <c r="U730" s="42"/>
      <c r="V730" s="230"/>
      <c r="W730" s="42"/>
      <c r="X730" s="41"/>
    </row>
    <row r="731" spans="1:31" ht="12.75" customHeight="1" x14ac:dyDescent="0.25">
      <c r="A731" s="40">
        <v>43546</v>
      </c>
      <c r="B731" s="55" t="s">
        <v>204</v>
      </c>
      <c r="C731" s="59" t="s">
        <v>201</v>
      </c>
      <c r="D731" s="35">
        <v>3535</v>
      </c>
      <c r="E731" s="35">
        <v>3758.94</v>
      </c>
      <c r="F731" s="35">
        <v>3761.4</v>
      </c>
      <c r="G731" s="35">
        <v>3635.1</v>
      </c>
      <c r="H731" s="35">
        <v>3739.77</v>
      </c>
      <c r="I731" s="35">
        <v>3754.24</v>
      </c>
      <c r="J731" s="35">
        <v>3728.99</v>
      </c>
      <c r="K731" s="35">
        <v>3767.68</v>
      </c>
      <c r="L731" s="35">
        <v>3776.4</v>
      </c>
      <c r="M731" s="58"/>
      <c r="N731" s="58"/>
      <c r="O731" s="58"/>
      <c r="P731" s="58"/>
      <c r="Q731" s="55">
        <f>IF((L732=""),"",MAX(D733:L733))</f>
        <v>7359.9000000000005</v>
      </c>
      <c r="R731" s="55">
        <f>IF(L732="","",MIN(D733:L733))</f>
        <v>6648.42</v>
      </c>
      <c r="S731" s="57">
        <f>IF((L733=""),"",AVERAGE(D733:L733))</f>
        <v>6912.6799999999994</v>
      </c>
      <c r="T731" s="51">
        <f>IF((L732=""),"",(Q731-R731)/(Q731+R731)*100)</f>
        <v>5.0789816337719333</v>
      </c>
      <c r="U731" s="55">
        <f>STDEV(D733:P733)</f>
        <v>259.6114997452928</v>
      </c>
      <c r="V731" s="231" t="str">
        <f>IF(L732="","",IF(T731&lt;9.8,IF(S731&gt;5100,IF(S731&lt;8300,"Pass","Fail"),"Fail"),"Fail"))</f>
        <v>Pass</v>
      </c>
      <c r="W731" s="55">
        <v>1428</v>
      </c>
      <c r="X731" s="66"/>
      <c r="Z731" s="37">
        <v>4955</v>
      </c>
      <c r="AA731" s="37">
        <v>9645</v>
      </c>
      <c r="AB731" s="37">
        <v>5100</v>
      </c>
      <c r="AC731" s="37">
        <v>8300</v>
      </c>
      <c r="AD731" s="67">
        <v>10</v>
      </c>
      <c r="AE731" s="67">
        <v>9.8000000000000007</v>
      </c>
    </row>
    <row r="732" spans="1:31" ht="16.100000000000001" x14ac:dyDescent="0.35">
      <c r="A732" s="294"/>
      <c r="B732" s="46"/>
      <c r="C732" s="54" t="s">
        <v>200</v>
      </c>
      <c r="D732" s="35">
        <v>1081.7</v>
      </c>
      <c r="E732" s="35">
        <v>1462.46</v>
      </c>
      <c r="F732" s="35">
        <v>1528.17</v>
      </c>
      <c r="G732" s="35">
        <v>1202.8</v>
      </c>
      <c r="H732" s="35">
        <v>1523.63</v>
      </c>
      <c r="I732" s="35">
        <v>1511.97</v>
      </c>
      <c r="J732" s="35">
        <v>1452.36</v>
      </c>
      <c r="K732" s="35">
        <v>1516.31</v>
      </c>
      <c r="L732" s="35">
        <v>1440.08</v>
      </c>
      <c r="M732" s="53"/>
      <c r="N732" s="53"/>
      <c r="O732" s="53"/>
      <c r="P732" s="53"/>
      <c r="Q732" s="46"/>
      <c r="R732" s="46"/>
      <c r="S732" s="46"/>
      <c r="T732" s="46"/>
      <c r="U732" s="46"/>
      <c r="V732" s="229"/>
      <c r="W732" s="46"/>
      <c r="X732" s="45"/>
    </row>
    <row r="733" spans="1:31" ht="22.75" thickBot="1" x14ac:dyDescent="0.4">
      <c r="A733" s="294"/>
      <c r="B733" s="46"/>
      <c r="C733" s="48" t="s">
        <v>199</v>
      </c>
      <c r="D733" s="52">
        <f t="shared" ref="D733:L733" si="240">IF(((D731="")*AND(D732="")),"",(D731-D732)*3)</f>
        <v>7359.9000000000005</v>
      </c>
      <c r="E733" s="52">
        <f t="shared" si="240"/>
        <v>6889.4400000000005</v>
      </c>
      <c r="F733" s="52">
        <f t="shared" si="240"/>
        <v>6699.6900000000005</v>
      </c>
      <c r="G733" s="52">
        <f t="shared" si="240"/>
        <v>7296.9000000000005</v>
      </c>
      <c r="H733" s="52">
        <f t="shared" si="240"/>
        <v>6648.42</v>
      </c>
      <c r="I733" s="52">
        <f t="shared" si="240"/>
        <v>6726.8099999999986</v>
      </c>
      <c r="J733" s="52">
        <f t="shared" si="240"/>
        <v>6829.89</v>
      </c>
      <c r="K733" s="52">
        <f t="shared" si="240"/>
        <v>6754.11</v>
      </c>
      <c r="L733" s="52">
        <f t="shared" si="240"/>
        <v>7008.9600000000009</v>
      </c>
      <c r="M733" s="52"/>
      <c r="N733" s="52"/>
      <c r="O733" s="52"/>
      <c r="P733" s="52" t="str">
        <f>IF(((P731="")*AND(P732="")),"",(P731-P732)*2)</f>
        <v/>
      </c>
      <c r="Q733" s="46"/>
      <c r="R733" s="46"/>
      <c r="S733" s="46"/>
      <c r="T733" s="46"/>
      <c r="U733" s="46"/>
      <c r="V733" s="229"/>
      <c r="W733" s="46"/>
      <c r="X733" s="45"/>
    </row>
    <row r="734" spans="1:31" ht="12.75" customHeight="1" x14ac:dyDescent="0.25">
      <c r="A734" s="40">
        <v>43546</v>
      </c>
      <c r="B734" s="48" t="s">
        <v>202</v>
      </c>
      <c r="C734" s="48" t="s">
        <v>201</v>
      </c>
      <c r="D734" s="35">
        <v>4055.5</v>
      </c>
      <c r="E734" s="35">
        <v>4162.6400000000003</v>
      </c>
      <c r="F734" s="35">
        <v>3996.68</v>
      </c>
      <c r="G734" s="35">
        <v>3996.65</v>
      </c>
      <c r="H734" s="35">
        <v>3975</v>
      </c>
      <c r="I734" s="35">
        <v>3958.23</v>
      </c>
      <c r="J734" s="35">
        <v>4013.92</v>
      </c>
      <c r="K734" s="35">
        <v>3959.21</v>
      </c>
      <c r="L734" s="35">
        <v>4008.57</v>
      </c>
      <c r="M734" s="35">
        <v>3985.91</v>
      </c>
      <c r="N734" s="35">
        <v>4205.87</v>
      </c>
      <c r="O734" s="35">
        <v>3971.29</v>
      </c>
      <c r="P734" s="35">
        <v>3928.71</v>
      </c>
      <c r="Q734" s="48">
        <f>IF((L735=""),"",MAX(D736:P736))</f>
        <v>5468.42</v>
      </c>
      <c r="R734" s="48">
        <f>IF(L735="","",MIN(D736:L736))</f>
        <v>5373.0599999999995</v>
      </c>
      <c r="S734" s="51">
        <f>IF((P736=""),"",AVERAGE(D736:P736))</f>
        <v>5419.8907692307685</v>
      </c>
      <c r="T734" s="50">
        <f>IF((L735=""),"",(Q734-R734)/(Q734+R734)*100)</f>
        <v>0.87958470614713669</v>
      </c>
      <c r="U734" s="48">
        <f>STDEV(D736:P736)</f>
        <v>36.175108952044702</v>
      </c>
      <c r="V734" s="228" t="str">
        <f>IF(P735="","",IF(T734&lt;2.7,IF(S734&gt;5150,IF(S734&lt;5600,"Pass","Fail"),"Fail"),"Fail"))</f>
        <v>Pass</v>
      </c>
      <c r="W734" s="48">
        <v>1428</v>
      </c>
      <c r="X734" s="45"/>
      <c r="Z734" s="251">
        <v>4470</v>
      </c>
      <c r="AA734" s="251">
        <v>6020</v>
      </c>
      <c r="AB734" s="251">
        <v>5150</v>
      </c>
      <c r="AC734" s="251">
        <v>5600</v>
      </c>
      <c r="AD734" s="67">
        <v>10</v>
      </c>
      <c r="AE734" s="252">
        <v>2.7</v>
      </c>
    </row>
    <row r="735" spans="1:31" ht="16.100000000000001" x14ac:dyDescent="0.35">
      <c r="A735" s="294"/>
      <c r="B735" s="46"/>
      <c r="C735" s="46" t="s">
        <v>200</v>
      </c>
      <c r="D735" s="35">
        <v>1367.49</v>
      </c>
      <c r="E735" s="35">
        <v>1464.06</v>
      </c>
      <c r="F735" s="35">
        <v>1310.1500000000001</v>
      </c>
      <c r="G735" s="35">
        <v>1274.28</v>
      </c>
      <c r="H735" s="35">
        <v>1268.3599999999999</v>
      </c>
      <c r="I735" s="35">
        <v>1229.1099999999999</v>
      </c>
      <c r="J735" s="35">
        <v>1279.71</v>
      </c>
      <c r="K735" s="35">
        <v>1229.28</v>
      </c>
      <c r="L735" s="35">
        <v>1321.29</v>
      </c>
      <c r="M735" s="35">
        <v>1252.2</v>
      </c>
      <c r="N735" s="35">
        <v>1506.83</v>
      </c>
      <c r="O735" s="35">
        <v>1260.44</v>
      </c>
      <c r="P735" s="35">
        <v>1225.69</v>
      </c>
      <c r="Q735" s="46"/>
      <c r="R735" s="46"/>
      <c r="S735" s="46"/>
      <c r="T735" s="46"/>
      <c r="U735" s="46"/>
      <c r="V735" s="229"/>
      <c r="W735" s="46"/>
      <c r="X735" s="45"/>
    </row>
    <row r="736" spans="1:31" ht="22.75" thickBot="1" x14ac:dyDescent="0.4">
      <c r="A736" s="294"/>
      <c r="B736" s="42"/>
      <c r="C736" s="42" t="s">
        <v>199</v>
      </c>
      <c r="D736" s="44">
        <f t="shared" ref="D736:P736" si="241">IF(((D734="")*AND(D735="")),"",(D734-D735)*2)</f>
        <v>5376.02</v>
      </c>
      <c r="E736" s="44">
        <f t="shared" si="241"/>
        <v>5397.1600000000008</v>
      </c>
      <c r="F736" s="44">
        <f t="shared" si="241"/>
        <v>5373.0599999999995</v>
      </c>
      <c r="G736" s="44">
        <f t="shared" si="241"/>
        <v>5444.74</v>
      </c>
      <c r="H736" s="44">
        <f t="shared" si="241"/>
        <v>5413.2800000000007</v>
      </c>
      <c r="I736" s="44">
        <f t="shared" si="241"/>
        <v>5458.24</v>
      </c>
      <c r="J736" s="44">
        <f t="shared" si="241"/>
        <v>5468.42</v>
      </c>
      <c r="K736" s="44">
        <f t="shared" si="241"/>
        <v>5459.8600000000006</v>
      </c>
      <c r="L736" s="44">
        <f t="shared" si="241"/>
        <v>5374.56</v>
      </c>
      <c r="M736" s="44">
        <f t="shared" si="241"/>
        <v>5467.42</v>
      </c>
      <c r="N736" s="44">
        <f t="shared" si="241"/>
        <v>5398.08</v>
      </c>
      <c r="O736" s="44">
        <f t="shared" si="241"/>
        <v>5421.7</v>
      </c>
      <c r="P736" s="44">
        <f t="shared" si="241"/>
        <v>5406.04</v>
      </c>
      <c r="Q736" s="42"/>
      <c r="R736" s="42"/>
      <c r="S736" s="42"/>
      <c r="T736" s="42"/>
      <c r="U736" s="42"/>
      <c r="V736" s="230"/>
      <c r="W736" s="42"/>
      <c r="X736" s="41"/>
    </row>
    <row r="737" spans="1:31" ht="12.75" customHeight="1" x14ac:dyDescent="0.25">
      <c r="A737" s="40">
        <v>43549</v>
      </c>
      <c r="B737" s="55" t="s">
        <v>204</v>
      </c>
      <c r="C737" s="59" t="s">
        <v>201</v>
      </c>
      <c r="D737" s="35">
        <v>6054.07</v>
      </c>
      <c r="E737" s="35">
        <v>6051.94</v>
      </c>
      <c r="F737" s="35">
        <v>6073.9</v>
      </c>
      <c r="G737" s="35">
        <v>6068.24</v>
      </c>
      <c r="H737" s="35">
        <v>6069.32</v>
      </c>
      <c r="I737" s="35">
        <v>6100.22</v>
      </c>
      <c r="J737" s="35">
        <v>6043.83</v>
      </c>
      <c r="K737" s="35">
        <v>6069.66</v>
      </c>
      <c r="L737" s="35">
        <v>6046.14</v>
      </c>
      <c r="M737" s="58"/>
      <c r="N737" s="58"/>
      <c r="O737" s="58"/>
      <c r="P737" s="58"/>
      <c r="Q737" s="55">
        <f>IF((L738=""),"",MAX(D739:L739))</f>
        <v>8198.0099999999984</v>
      </c>
      <c r="R737" s="55">
        <f>IF(L738="","",MIN(D739:L739))</f>
        <v>6866.0700000000015</v>
      </c>
      <c r="S737" s="57">
        <f>IF((L739=""),"",AVERAGE(D739:L739))</f>
        <v>7115.0933333333332</v>
      </c>
      <c r="T737" s="51">
        <f>IF((L738=""),"",(Q737-R737)/(Q737+R737)*100)</f>
        <v>8.8418277120142541</v>
      </c>
      <c r="U737" s="55">
        <f>STDEV(D739:P739)</f>
        <v>443.12583458313458</v>
      </c>
      <c r="V737" s="231" t="str">
        <f>IF(L738="","",IF(T737&lt;9.8,IF(S737&gt;5100,IF(S737&lt;8300,"Pass","Fail"),"Fail"),"Fail"))</f>
        <v>Pass</v>
      </c>
      <c r="W737" s="55">
        <v>1159</v>
      </c>
      <c r="X737" s="66" t="s">
        <v>210</v>
      </c>
      <c r="Z737" s="37">
        <v>4955</v>
      </c>
      <c r="AA737" s="37">
        <v>9645</v>
      </c>
      <c r="AB737" s="37">
        <v>5100</v>
      </c>
      <c r="AC737" s="37">
        <v>8300</v>
      </c>
      <c r="AD737" s="67">
        <v>10</v>
      </c>
      <c r="AE737" s="67">
        <v>9.8000000000000007</v>
      </c>
    </row>
    <row r="738" spans="1:31" ht="16.100000000000001" x14ac:dyDescent="0.35">
      <c r="A738" s="294"/>
      <c r="B738" s="46"/>
      <c r="C738" s="54" t="s">
        <v>200</v>
      </c>
      <c r="D738" s="35">
        <v>3575.16</v>
      </c>
      <c r="E738" s="35">
        <v>3754.81</v>
      </c>
      <c r="F738" s="35">
        <v>3774.85</v>
      </c>
      <c r="G738" s="35">
        <v>3335.57</v>
      </c>
      <c r="H738" s="35">
        <v>3734.37</v>
      </c>
      <c r="I738" s="35">
        <v>3784.92</v>
      </c>
      <c r="J738" s="35">
        <v>3743.53</v>
      </c>
      <c r="K738" s="35">
        <v>3771.38</v>
      </c>
      <c r="L738" s="35">
        <v>3757.45</v>
      </c>
      <c r="M738" s="53"/>
      <c r="N738" s="53"/>
      <c r="O738" s="53"/>
      <c r="P738" s="53"/>
      <c r="Q738" s="46"/>
      <c r="R738" s="46"/>
      <c r="S738" s="46"/>
      <c r="T738" s="46"/>
      <c r="U738" s="46"/>
      <c r="V738" s="229"/>
      <c r="W738" s="46"/>
      <c r="X738" s="45"/>
    </row>
    <row r="739" spans="1:31" ht="22.75" thickBot="1" x14ac:dyDescent="0.4">
      <c r="A739" s="294"/>
      <c r="B739" s="46"/>
      <c r="C739" s="48" t="s">
        <v>199</v>
      </c>
      <c r="D739" s="52">
        <f t="shared" ref="D739:L739" si="242">IF(((D737="")*AND(D738="")),"",(D737-D738)*3)</f>
        <v>7436.73</v>
      </c>
      <c r="E739" s="52">
        <f t="shared" si="242"/>
        <v>6891.3899999999994</v>
      </c>
      <c r="F739" s="52">
        <f t="shared" si="242"/>
        <v>6897.15</v>
      </c>
      <c r="G739" s="52">
        <f t="shared" si="242"/>
        <v>8198.0099999999984</v>
      </c>
      <c r="H739" s="52">
        <f t="shared" si="242"/>
        <v>7004.8499999999995</v>
      </c>
      <c r="I739" s="52">
        <f t="shared" si="242"/>
        <v>6945.9000000000005</v>
      </c>
      <c r="J739" s="52">
        <f t="shared" si="242"/>
        <v>6900.9</v>
      </c>
      <c r="K739" s="52">
        <f t="shared" si="242"/>
        <v>6894.8399999999992</v>
      </c>
      <c r="L739" s="52">
        <f t="shared" si="242"/>
        <v>6866.0700000000015</v>
      </c>
      <c r="M739" s="52"/>
      <c r="N739" s="52"/>
      <c r="O739" s="52"/>
      <c r="P739" s="52" t="str">
        <f>IF(((P737="")*AND(P738="")),"",(P737-P738)*2)</f>
        <v/>
      </c>
      <c r="Q739" s="46"/>
      <c r="R739" s="46"/>
      <c r="S739" s="46"/>
      <c r="T739" s="46"/>
      <c r="U739" s="46"/>
      <c r="V739" s="229"/>
      <c r="W739" s="46"/>
      <c r="X739" s="45"/>
    </row>
    <row r="740" spans="1:31" ht="12.75" customHeight="1" x14ac:dyDescent="0.25">
      <c r="A740" s="40">
        <v>43549</v>
      </c>
      <c r="B740" s="48" t="s">
        <v>202</v>
      </c>
      <c r="C740" s="48" t="s">
        <v>201</v>
      </c>
      <c r="D740" s="35">
        <v>6755.56</v>
      </c>
      <c r="E740" s="35">
        <v>6872.02</v>
      </c>
      <c r="F740" s="35">
        <v>6711.71</v>
      </c>
      <c r="G740" s="35">
        <v>6758.98</v>
      </c>
      <c r="H740" s="35">
        <v>6676.24</v>
      </c>
      <c r="I740" s="35">
        <v>6712.59</v>
      </c>
      <c r="J740" s="35">
        <v>6792.8</v>
      </c>
      <c r="K740" s="35">
        <v>6744.39</v>
      </c>
      <c r="L740" s="35">
        <v>6727.26</v>
      </c>
      <c r="M740" s="35">
        <v>6773.29</v>
      </c>
      <c r="N740" s="35">
        <v>6926.32</v>
      </c>
      <c r="O740" s="35">
        <v>6714.31</v>
      </c>
      <c r="P740" s="35">
        <v>6646.79</v>
      </c>
      <c r="Q740" s="48">
        <f>IF((L741=""),"",MAX(D742:P742))</f>
        <v>5461.0599999999995</v>
      </c>
      <c r="R740" s="48">
        <f>IF(L741="","",MIN(D742:L742))</f>
        <v>5348.76</v>
      </c>
      <c r="S740" s="51">
        <f>IF((P742=""),"",AVERAGE(D742:P742))</f>
        <v>5404.9523076923078</v>
      </c>
      <c r="T740" s="50">
        <f>IF((L741=""),"",(Q740-R740)/(Q740+R740)*100)</f>
        <v>1.0388702124549649</v>
      </c>
      <c r="U740" s="48">
        <f>STDEV(D742:P742)</f>
        <v>34.345762997747251</v>
      </c>
      <c r="V740" s="228" t="str">
        <f>IF(P741="","",IF(T740&lt;2.7,IF(S740&gt;5150,IF(S740&lt;5600,"Pass","Fail"),"Fail"),"Fail"))</f>
        <v>Pass</v>
      </c>
      <c r="W740" s="48">
        <v>1159</v>
      </c>
      <c r="X740" s="45" t="s">
        <v>210</v>
      </c>
      <c r="Z740" s="251">
        <v>4470</v>
      </c>
      <c r="AA740" s="251">
        <v>6020</v>
      </c>
      <c r="AB740" s="251">
        <v>5150</v>
      </c>
      <c r="AC740" s="251">
        <v>5600</v>
      </c>
      <c r="AD740" s="67">
        <v>10</v>
      </c>
      <c r="AE740" s="252">
        <v>2.7</v>
      </c>
    </row>
    <row r="741" spans="1:31" ht="16.100000000000001" x14ac:dyDescent="0.35">
      <c r="A741" s="294"/>
      <c r="B741" s="46"/>
      <c r="C741" s="46" t="s">
        <v>200</v>
      </c>
      <c r="D741" s="35">
        <v>4075.19</v>
      </c>
      <c r="E741" s="35">
        <v>4170.66</v>
      </c>
      <c r="F741" s="35">
        <v>4036.52</v>
      </c>
      <c r="G741" s="35">
        <v>4052.4</v>
      </c>
      <c r="H741" s="35">
        <v>3972.45</v>
      </c>
      <c r="I741" s="35">
        <v>3996.01</v>
      </c>
      <c r="J741" s="35">
        <v>4079.74</v>
      </c>
      <c r="K741" s="35">
        <v>4023.61</v>
      </c>
      <c r="L741" s="35">
        <v>4052.88</v>
      </c>
      <c r="M741" s="35">
        <v>4042.76</v>
      </c>
      <c r="N741" s="35">
        <v>4216.87</v>
      </c>
      <c r="O741" s="35">
        <v>4012.99</v>
      </c>
      <c r="P741" s="35">
        <v>3947.99</v>
      </c>
      <c r="Q741" s="46"/>
      <c r="R741" s="46"/>
      <c r="S741" s="46"/>
      <c r="T741" s="46"/>
      <c r="U741" s="46"/>
      <c r="V741" s="229"/>
      <c r="W741" s="46"/>
      <c r="X741" s="45"/>
    </row>
    <row r="742" spans="1:31" ht="22.75" thickBot="1" x14ac:dyDescent="0.4">
      <c r="A742" s="294"/>
      <c r="B742" s="42"/>
      <c r="C742" s="42" t="s">
        <v>199</v>
      </c>
      <c r="D742" s="44">
        <f t="shared" ref="D742:P742" si="243">IF(((D740="")*AND(D741="")),"",(D740-D741)*2)</f>
        <v>5360.7400000000007</v>
      </c>
      <c r="E742" s="44">
        <f t="shared" si="243"/>
        <v>5402.7200000000012</v>
      </c>
      <c r="F742" s="44">
        <f t="shared" si="243"/>
        <v>5350.38</v>
      </c>
      <c r="G742" s="44">
        <f t="shared" si="243"/>
        <v>5413.1599999999989</v>
      </c>
      <c r="H742" s="44">
        <f t="shared" si="243"/>
        <v>5407.58</v>
      </c>
      <c r="I742" s="44">
        <f t="shared" si="243"/>
        <v>5433.16</v>
      </c>
      <c r="J742" s="44">
        <f t="shared" si="243"/>
        <v>5426.1200000000008</v>
      </c>
      <c r="K742" s="44">
        <f t="shared" si="243"/>
        <v>5441.56</v>
      </c>
      <c r="L742" s="44">
        <f t="shared" si="243"/>
        <v>5348.76</v>
      </c>
      <c r="M742" s="44">
        <f t="shared" si="243"/>
        <v>5461.0599999999995</v>
      </c>
      <c r="N742" s="44">
        <f t="shared" si="243"/>
        <v>5418.9</v>
      </c>
      <c r="O742" s="44">
        <f t="shared" si="243"/>
        <v>5402.6400000000012</v>
      </c>
      <c r="P742" s="44">
        <f t="shared" si="243"/>
        <v>5397.6</v>
      </c>
      <c r="Q742" s="42"/>
      <c r="R742" s="42"/>
      <c r="S742" s="42"/>
      <c r="T742" s="42"/>
      <c r="U742" s="42"/>
      <c r="V742" s="230"/>
      <c r="W742" s="42"/>
      <c r="X742" s="41"/>
    </row>
    <row r="743" spans="1:31" ht="12.75" customHeight="1" x14ac:dyDescent="0.25">
      <c r="A743" s="40">
        <v>43556</v>
      </c>
      <c r="B743" s="55" t="s">
        <v>204</v>
      </c>
      <c r="C743" s="59" t="s">
        <v>201</v>
      </c>
      <c r="D743" s="35">
        <v>6009.25</v>
      </c>
      <c r="E743" s="35">
        <v>6052.75</v>
      </c>
      <c r="F743" s="35">
        <v>6057.58</v>
      </c>
      <c r="G743" s="35">
        <v>6048.21</v>
      </c>
      <c r="H743" s="35">
        <v>6071.2</v>
      </c>
      <c r="I743" s="35">
        <v>6060.05</v>
      </c>
      <c r="J743" s="35">
        <v>6045.01</v>
      </c>
      <c r="K743" s="35">
        <v>6071.31</v>
      </c>
      <c r="L743" s="35">
        <v>6018.12</v>
      </c>
      <c r="M743" s="58"/>
      <c r="N743" s="58"/>
      <c r="O743" s="58"/>
      <c r="P743" s="58"/>
      <c r="Q743" s="55">
        <f>IF((L744=""),"",MAX(D745:L745))</f>
        <v>7466.4000000000005</v>
      </c>
      <c r="R743" s="55">
        <f>IF(L744="","",MIN(D745:L745))</f>
        <v>6592.23</v>
      </c>
      <c r="S743" s="57">
        <f>IF((L745=""),"",AVERAGE(D745:L745))</f>
        <v>6796.1833333333325</v>
      </c>
      <c r="T743" s="51">
        <f>IF((L744=""),"",(Q743-R743)/(Q743+R743)*100)</f>
        <v>6.2180312021868485</v>
      </c>
      <c r="U743" s="55">
        <f>STDEV(D745:P745)</f>
        <v>267.64012414060795</v>
      </c>
      <c r="V743" s="231" t="str">
        <f>IF(L744="","",IF(T743&lt;9.8,IF(S743&gt;5100,IF(S743&lt;8300,"Pass","Fail"),"Fail"),"Fail"))</f>
        <v>Pass</v>
      </c>
      <c r="W743" s="55">
        <v>1159</v>
      </c>
      <c r="X743" s="215"/>
      <c r="Y743" s="66"/>
      <c r="Z743" s="37">
        <v>4955</v>
      </c>
      <c r="AA743" s="37">
        <v>9645</v>
      </c>
      <c r="AB743" s="37">
        <v>5100</v>
      </c>
      <c r="AC743" s="37">
        <v>8300</v>
      </c>
      <c r="AD743" s="67">
        <v>10</v>
      </c>
      <c r="AE743" s="67">
        <v>9.8000000000000007</v>
      </c>
    </row>
    <row r="744" spans="1:31" ht="16.100000000000001" x14ac:dyDescent="0.35">
      <c r="A744" s="294"/>
      <c r="B744" s="46"/>
      <c r="C744" s="54" t="s">
        <v>200</v>
      </c>
      <c r="D744" s="35">
        <v>3739.97</v>
      </c>
      <c r="E744" s="35">
        <v>3832.13</v>
      </c>
      <c r="F744" s="35">
        <v>3828.47</v>
      </c>
      <c r="G744" s="35">
        <v>3559.41</v>
      </c>
      <c r="H744" s="35">
        <v>3788.15</v>
      </c>
      <c r="I744" s="35">
        <v>3854.74</v>
      </c>
      <c r="J744" s="35">
        <v>3772.62</v>
      </c>
      <c r="K744" s="35">
        <v>3848.73</v>
      </c>
      <c r="L744" s="35">
        <v>3820.71</v>
      </c>
      <c r="M744" s="53"/>
      <c r="N744" s="53"/>
      <c r="O744" s="53"/>
      <c r="P744" s="53"/>
      <c r="Q744" s="46"/>
      <c r="R744" s="46"/>
      <c r="S744" s="46"/>
      <c r="T744" s="46"/>
      <c r="U744" s="46"/>
      <c r="V744" s="229"/>
      <c r="W744" s="46"/>
      <c r="X744" s="215"/>
      <c r="Y744" s="45"/>
    </row>
    <row r="745" spans="1:31" ht="22.75" thickBot="1" x14ac:dyDescent="0.4">
      <c r="A745" s="294"/>
      <c r="B745" s="46"/>
      <c r="C745" s="48" t="s">
        <v>199</v>
      </c>
      <c r="D745" s="52">
        <f t="shared" ref="D745:L745" si="244">IF(((D743="")*AND(D744="")),"",(D743-D744)*3)</f>
        <v>6807.84</v>
      </c>
      <c r="E745" s="52">
        <f t="shared" si="244"/>
        <v>6661.86</v>
      </c>
      <c r="F745" s="52">
        <f t="shared" si="244"/>
        <v>6687.33</v>
      </c>
      <c r="G745" s="52">
        <f t="shared" si="244"/>
        <v>7466.4000000000005</v>
      </c>
      <c r="H745" s="52">
        <f t="shared" si="244"/>
        <v>6849.15</v>
      </c>
      <c r="I745" s="52">
        <f t="shared" si="244"/>
        <v>6615.9300000000012</v>
      </c>
      <c r="J745" s="52">
        <f t="shared" si="244"/>
        <v>6817.170000000001</v>
      </c>
      <c r="K745" s="52">
        <f t="shared" si="244"/>
        <v>6667.7400000000016</v>
      </c>
      <c r="L745" s="52">
        <f t="shared" si="244"/>
        <v>6592.23</v>
      </c>
      <c r="M745" s="52"/>
      <c r="N745" s="52"/>
      <c r="O745" s="52"/>
      <c r="P745" s="52" t="str">
        <f>IF(((P743="")*AND(P744="")),"",(P743-P744)*2)</f>
        <v/>
      </c>
      <c r="Q745" s="46"/>
      <c r="R745" s="46"/>
      <c r="S745" s="46"/>
      <c r="T745" s="46"/>
      <c r="U745" s="46"/>
      <c r="V745" s="229"/>
      <c r="W745" s="46"/>
      <c r="X745" s="215"/>
      <c r="Y745" s="45"/>
    </row>
    <row r="746" spans="1:31" ht="12.75" customHeight="1" x14ac:dyDescent="0.25">
      <c r="A746" s="40">
        <v>43556</v>
      </c>
      <c r="B746" s="48" t="s">
        <v>202</v>
      </c>
      <c r="C746" s="48" t="s">
        <v>201</v>
      </c>
      <c r="D746" s="35">
        <v>6893.95</v>
      </c>
      <c r="E746" s="35">
        <v>7013.52</v>
      </c>
      <c r="F746" s="35">
        <v>6841.96</v>
      </c>
      <c r="G746" s="35">
        <v>6879.36</v>
      </c>
      <c r="H746" s="35">
        <v>6822.35</v>
      </c>
      <c r="I746" s="35">
        <v>6845.87</v>
      </c>
      <c r="J746" s="35">
        <v>6906.25</v>
      </c>
      <c r="K746" s="35">
        <v>6854.73</v>
      </c>
      <c r="L746" s="35">
        <v>6850.82</v>
      </c>
      <c r="M746" s="35">
        <v>6885.43</v>
      </c>
      <c r="N746" s="35">
        <v>7058.09</v>
      </c>
      <c r="O746" s="35">
        <v>6836.12</v>
      </c>
      <c r="P746" s="35">
        <v>6777.36</v>
      </c>
      <c r="Q746" s="48">
        <f>IF((L747=""),"",MAX(D748:P748))</f>
        <v>5423.74</v>
      </c>
      <c r="R746" s="48">
        <f>IF(L747="","",MIN(D748:L748))</f>
        <v>5369.2799999999988</v>
      </c>
      <c r="S746" s="51">
        <f>IF((P748=""),"",AVERAGE(D748:P748))</f>
        <v>5395.8553846153845</v>
      </c>
      <c r="T746" s="50">
        <f>IF((L747=""),"",(Q746-R746)/(Q746+R746)*100)</f>
        <v>0.50458537091565614</v>
      </c>
      <c r="U746" s="48">
        <f>STDEV(D748:P748)</f>
        <v>17.763704857276487</v>
      </c>
      <c r="V746" s="228" t="str">
        <f>IF(P747="","",IF(T746&lt;2.7,IF(S746&gt;5150,IF(S746&lt;5600,"Pass","Fail"),"Fail"),"Fail"))</f>
        <v>Pass</v>
      </c>
      <c r="W746" s="48">
        <v>1159</v>
      </c>
      <c r="X746" s="215"/>
      <c r="Y746" s="45"/>
      <c r="Z746" s="251">
        <v>4470</v>
      </c>
      <c r="AA746" s="251">
        <v>6020</v>
      </c>
      <c r="AB746" s="251">
        <v>5150</v>
      </c>
      <c r="AC746" s="251">
        <v>5600</v>
      </c>
      <c r="AD746" s="67">
        <v>10</v>
      </c>
      <c r="AE746" s="252">
        <v>2.7</v>
      </c>
    </row>
    <row r="747" spans="1:31" ht="16.100000000000001" x14ac:dyDescent="0.35">
      <c r="A747" s="294"/>
      <c r="B747" s="46"/>
      <c r="C747" s="46" t="s">
        <v>200</v>
      </c>
      <c r="D747" s="35">
        <v>4195.3900000000003</v>
      </c>
      <c r="E747" s="35">
        <v>4311.3999999999996</v>
      </c>
      <c r="F747" s="35">
        <v>4154.5600000000004</v>
      </c>
      <c r="G747" s="35">
        <v>4193.0600000000004</v>
      </c>
      <c r="H747" s="35">
        <v>4123.1899999999996</v>
      </c>
      <c r="I747" s="35">
        <v>4139.91</v>
      </c>
      <c r="J747" s="35">
        <v>4217.01</v>
      </c>
      <c r="K747" s="35">
        <v>4156.03</v>
      </c>
      <c r="L747" s="35">
        <v>4166.18</v>
      </c>
      <c r="M747" s="35">
        <v>4179.7</v>
      </c>
      <c r="N747" s="35">
        <v>4346.22</v>
      </c>
      <c r="O747" s="35">
        <v>4140.7700000000004</v>
      </c>
      <c r="P747" s="35">
        <v>4069.33</v>
      </c>
      <c r="Q747" s="46"/>
      <c r="R747" s="46"/>
      <c r="S747" s="46"/>
      <c r="T747" s="46"/>
      <c r="U747" s="46"/>
      <c r="V747" s="229"/>
      <c r="W747" s="46"/>
      <c r="X747" s="215"/>
      <c r="Y747" s="45"/>
    </row>
    <row r="748" spans="1:31" ht="22.75" thickBot="1" x14ac:dyDescent="0.4">
      <c r="A748" s="294"/>
      <c r="B748" s="42"/>
      <c r="C748" s="42" t="s">
        <v>199</v>
      </c>
      <c r="D748" s="44">
        <f t="shared" ref="D748:P748" si="245">IF(((D746="")*AND(D747="")),"",(D746-D747)*2)</f>
        <v>5397.119999999999</v>
      </c>
      <c r="E748" s="44">
        <f t="shared" si="245"/>
        <v>5404.2400000000016</v>
      </c>
      <c r="F748" s="44">
        <f t="shared" si="245"/>
        <v>5374.7999999999993</v>
      </c>
      <c r="G748" s="44">
        <f t="shared" si="245"/>
        <v>5372.5999999999985</v>
      </c>
      <c r="H748" s="44">
        <f t="shared" si="245"/>
        <v>5398.3200000000015</v>
      </c>
      <c r="I748" s="44">
        <f t="shared" si="245"/>
        <v>5411.92</v>
      </c>
      <c r="J748" s="44">
        <f t="shared" si="245"/>
        <v>5378.48</v>
      </c>
      <c r="K748" s="44">
        <f t="shared" si="245"/>
        <v>5397.4</v>
      </c>
      <c r="L748" s="44">
        <f t="shared" si="245"/>
        <v>5369.2799999999988</v>
      </c>
      <c r="M748" s="44">
        <f t="shared" si="245"/>
        <v>5411.4600000000009</v>
      </c>
      <c r="N748" s="44">
        <f t="shared" si="245"/>
        <v>5423.74</v>
      </c>
      <c r="O748" s="44">
        <f t="shared" si="245"/>
        <v>5390.6999999999989</v>
      </c>
      <c r="P748" s="44">
        <f t="shared" si="245"/>
        <v>5416.0599999999995</v>
      </c>
      <c r="Q748" s="42"/>
      <c r="R748" s="42"/>
      <c r="S748" s="42"/>
      <c r="T748" s="42"/>
      <c r="U748" s="42"/>
      <c r="V748" s="230"/>
      <c r="W748" s="42"/>
      <c r="X748" s="215"/>
      <c r="Y748" s="41"/>
    </row>
    <row r="749" spans="1:31" ht="12.75" customHeight="1" x14ac:dyDescent="0.25">
      <c r="A749" s="40">
        <v>43559</v>
      </c>
      <c r="B749" s="55" t="s">
        <v>204</v>
      </c>
      <c r="C749" s="59" t="s">
        <v>201</v>
      </c>
      <c r="D749" s="64">
        <v>6189</v>
      </c>
      <c r="E749" s="64">
        <v>6329</v>
      </c>
      <c r="F749" s="35">
        <v>6343</v>
      </c>
      <c r="G749" s="64">
        <v>6306</v>
      </c>
      <c r="H749" s="64">
        <v>6101</v>
      </c>
      <c r="I749" s="64">
        <v>5873</v>
      </c>
      <c r="J749" s="64">
        <v>6280</v>
      </c>
      <c r="K749" s="64">
        <v>6313</v>
      </c>
      <c r="L749" s="64">
        <v>6162</v>
      </c>
      <c r="M749" s="58"/>
      <c r="N749" s="58"/>
      <c r="O749" s="58"/>
      <c r="P749" s="58"/>
      <c r="Q749" s="55">
        <f>IF((L750=""),"",MAX(D751:L751))</f>
        <v>7605</v>
      </c>
      <c r="R749" s="55">
        <f>IF(L750="","",MIN(D751:L751))</f>
        <v>7200</v>
      </c>
      <c r="S749" s="57">
        <f>IF((L751=""),"",AVERAGE(D751:L751))</f>
        <v>7347</v>
      </c>
      <c r="T749" s="51">
        <f>IF((L750=""),"",(Q749-R749)/(Q749+R749)*100)</f>
        <v>2.735562310030395</v>
      </c>
      <c r="U749" s="55">
        <f>STDEV(D751:P751)</f>
        <v>137.4609035326045</v>
      </c>
      <c r="V749" s="231" t="str">
        <f>IF(L750="","",IF(T749&lt;9.8,IF(S749&gt;5100,IF(S749&lt;8300,"Pass","Fail"),"Fail"),"Fail"))</f>
        <v>Pass</v>
      </c>
      <c r="W749" s="55">
        <v>1340</v>
      </c>
      <c r="X749" s="66" t="s">
        <v>197</v>
      </c>
      <c r="Z749" s="37">
        <v>4955</v>
      </c>
      <c r="AA749" s="37">
        <v>9645</v>
      </c>
      <c r="AB749" s="37">
        <v>5100</v>
      </c>
      <c r="AC749" s="37">
        <v>8300</v>
      </c>
      <c r="AD749" s="67">
        <v>10</v>
      </c>
      <c r="AE749" s="67">
        <v>9.8000000000000007</v>
      </c>
    </row>
    <row r="750" spans="1:31" ht="16.100000000000001" x14ac:dyDescent="0.35">
      <c r="A750" s="294"/>
      <c r="B750" s="46"/>
      <c r="C750" s="54" t="s">
        <v>200</v>
      </c>
      <c r="D750" s="64">
        <v>3740</v>
      </c>
      <c r="E750" s="64">
        <v>3929</v>
      </c>
      <c r="F750" s="35">
        <v>3912</v>
      </c>
      <c r="G750" s="35">
        <v>3872</v>
      </c>
      <c r="H750" s="35">
        <v>3566</v>
      </c>
      <c r="I750" s="64">
        <v>3356</v>
      </c>
      <c r="J750" s="64">
        <v>3852</v>
      </c>
      <c r="K750" s="64">
        <v>3883</v>
      </c>
      <c r="L750" s="64">
        <v>3745</v>
      </c>
      <c r="M750" s="53"/>
      <c r="N750" s="53"/>
      <c r="O750" s="53"/>
      <c r="P750" s="53"/>
      <c r="Q750" s="46"/>
      <c r="R750" s="46"/>
      <c r="S750" s="46"/>
      <c r="T750" s="46"/>
      <c r="U750" s="46"/>
      <c r="V750" s="229"/>
      <c r="W750" s="46"/>
      <c r="X750" s="45"/>
    </row>
    <row r="751" spans="1:31" ht="22.75" thickBot="1" x14ac:dyDescent="0.4">
      <c r="A751" s="294"/>
      <c r="B751" s="46"/>
      <c r="C751" s="48" t="s">
        <v>199</v>
      </c>
      <c r="D751" s="52">
        <f t="shared" ref="D751:L751" si="246">IF(((D749="")*AND(D750="")),"",(D749-D750)*3)</f>
        <v>7347</v>
      </c>
      <c r="E751" s="52">
        <f t="shared" si="246"/>
        <v>7200</v>
      </c>
      <c r="F751" s="52">
        <f t="shared" si="246"/>
        <v>7293</v>
      </c>
      <c r="G751" s="52">
        <f t="shared" si="246"/>
        <v>7302</v>
      </c>
      <c r="H751" s="52">
        <f t="shared" si="246"/>
        <v>7605</v>
      </c>
      <c r="I751" s="52">
        <f t="shared" si="246"/>
        <v>7551</v>
      </c>
      <c r="J751" s="52">
        <f t="shared" si="246"/>
        <v>7284</v>
      </c>
      <c r="K751" s="52">
        <f t="shared" si="246"/>
        <v>7290</v>
      </c>
      <c r="L751" s="52">
        <f t="shared" si="246"/>
        <v>7251</v>
      </c>
      <c r="M751" s="52"/>
      <c r="N751" s="52"/>
      <c r="O751" s="52"/>
      <c r="P751" s="52" t="str">
        <f>IF(((P749="")*AND(P750="")),"",(P749-P750)*2)</f>
        <v/>
      </c>
      <c r="Q751" s="46"/>
      <c r="R751" s="46"/>
      <c r="S751" s="46"/>
      <c r="T751" s="46"/>
      <c r="U751" s="46"/>
      <c r="V751" s="229"/>
      <c r="W751" s="46"/>
      <c r="X751" s="45"/>
    </row>
    <row r="752" spans="1:31" ht="12.75" customHeight="1" x14ac:dyDescent="0.25">
      <c r="A752" s="40">
        <v>43559</v>
      </c>
      <c r="B752" s="48" t="s">
        <v>202</v>
      </c>
      <c r="C752" s="48" t="s">
        <v>201</v>
      </c>
      <c r="D752" s="35">
        <v>4199.91</v>
      </c>
      <c r="E752" s="35">
        <v>4177</v>
      </c>
      <c r="F752" s="35">
        <v>4177</v>
      </c>
      <c r="G752" s="35">
        <v>4197.41</v>
      </c>
      <c r="H752" s="35">
        <v>4076.91</v>
      </c>
      <c r="I752" s="35">
        <v>4144.18</v>
      </c>
      <c r="J752" s="35">
        <v>4222.72</v>
      </c>
      <c r="K752" s="35">
        <v>4177</v>
      </c>
      <c r="L752" s="35">
        <v>4177</v>
      </c>
      <c r="M752" s="35">
        <v>4183.3</v>
      </c>
      <c r="N752" s="35">
        <v>4352.8</v>
      </c>
      <c r="O752" s="35">
        <v>4146.9399999999996</v>
      </c>
      <c r="P752" s="35">
        <v>4072.95</v>
      </c>
      <c r="Q752" s="48">
        <f>IF((L753=""),"",MAX(D754:P754))</f>
        <v>5470.34</v>
      </c>
      <c r="R752" s="48">
        <f>IF(L753="","",MIN(D754:L754))</f>
        <v>5184</v>
      </c>
      <c r="S752" s="51">
        <f>IF((P754=""),"",AVERAGE(D754:P754))</f>
        <v>5401.1692307692301</v>
      </c>
      <c r="T752" s="50">
        <f>IF((L753=""),"",(Q752-R752)/(Q752+R752)*100)</f>
        <v>2.6875432922170694</v>
      </c>
      <c r="U752" s="48">
        <f>STDEV(D754:P754)</f>
        <v>75.101820046913488</v>
      </c>
      <c r="V752" s="228" t="str">
        <f>IF(P753="","",IF(T752&lt;2.7,IF(S752&gt;5150,IF(S752&lt;5600,"Pass","Fail"),"Fail"),"Fail"))</f>
        <v>Pass</v>
      </c>
      <c r="W752" s="48">
        <v>1340</v>
      </c>
      <c r="X752" s="45" t="s">
        <v>197</v>
      </c>
      <c r="Z752" s="251">
        <v>4470</v>
      </c>
      <c r="AA752" s="251">
        <v>6020</v>
      </c>
      <c r="AB752" s="251">
        <v>5150</v>
      </c>
      <c r="AC752" s="251">
        <v>5600</v>
      </c>
      <c r="AD752" s="67">
        <v>10</v>
      </c>
      <c r="AE752" s="252">
        <v>2.7</v>
      </c>
    </row>
    <row r="753" spans="1:31" ht="16.100000000000001" x14ac:dyDescent="0.35">
      <c r="A753" s="294"/>
      <c r="B753" s="46"/>
      <c r="C753" s="46" t="s">
        <v>200</v>
      </c>
      <c r="D753" s="35">
        <v>1487.07</v>
      </c>
      <c r="E753" s="35">
        <v>1585</v>
      </c>
      <c r="F753" s="35">
        <v>1458.33</v>
      </c>
      <c r="G753" s="35">
        <v>1495.43</v>
      </c>
      <c r="H753" s="35">
        <v>1421.49</v>
      </c>
      <c r="I753" s="35">
        <v>1425.74</v>
      </c>
      <c r="J753" s="35">
        <v>1516.4</v>
      </c>
      <c r="K753" s="35">
        <v>1450.73</v>
      </c>
      <c r="L753" s="35">
        <v>1471.6</v>
      </c>
      <c r="M753" s="35">
        <v>1469.29</v>
      </c>
      <c r="N753" s="35">
        <v>1617.63</v>
      </c>
      <c r="O753" s="35">
        <v>1437.38</v>
      </c>
      <c r="P753" s="35">
        <v>1361.43</v>
      </c>
      <c r="Q753" s="46"/>
      <c r="R753" s="46"/>
      <c r="S753" s="46"/>
      <c r="T753" s="46"/>
      <c r="U753" s="46"/>
      <c r="V753" s="229"/>
      <c r="W753" s="46"/>
      <c r="X753" s="45"/>
    </row>
    <row r="754" spans="1:31" ht="22.75" thickBot="1" x14ac:dyDescent="0.4">
      <c r="A754" s="294"/>
      <c r="B754" s="42"/>
      <c r="C754" s="42" t="s">
        <v>199</v>
      </c>
      <c r="D754" s="44">
        <f t="shared" ref="D754:P754" si="247">IF(((D752="")*AND(D753="")),"",(D752-D753)*2)</f>
        <v>5425.68</v>
      </c>
      <c r="E754" s="44">
        <f t="shared" si="247"/>
        <v>5184</v>
      </c>
      <c r="F754" s="44">
        <f t="shared" si="247"/>
        <v>5437.34</v>
      </c>
      <c r="G754" s="44">
        <f t="shared" si="247"/>
        <v>5403.9599999999991</v>
      </c>
      <c r="H754" s="44">
        <f t="shared" si="247"/>
        <v>5310.84</v>
      </c>
      <c r="I754" s="44">
        <f t="shared" si="247"/>
        <v>5436.880000000001</v>
      </c>
      <c r="J754" s="44">
        <f t="shared" si="247"/>
        <v>5412.64</v>
      </c>
      <c r="K754" s="44">
        <f t="shared" si="247"/>
        <v>5452.54</v>
      </c>
      <c r="L754" s="44">
        <f t="shared" si="247"/>
        <v>5410.8</v>
      </c>
      <c r="M754" s="44">
        <f t="shared" si="247"/>
        <v>5428.02</v>
      </c>
      <c r="N754" s="44">
        <f t="shared" si="247"/>
        <v>5470.34</v>
      </c>
      <c r="O754" s="44">
        <f t="shared" si="247"/>
        <v>5419.119999999999</v>
      </c>
      <c r="P754" s="44">
        <f t="shared" si="247"/>
        <v>5423.0399999999991</v>
      </c>
      <c r="Q754" s="42"/>
      <c r="R754" s="42"/>
      <c r="S754" s="42"/>
      <c r="T754" s="42"/>
      <c r="U754" s="42"/>
      <c r="V754" s="230"/>
      <c r="W754" s="42"/>
      <c r="X754" s="41"/>
    </row>
    <row r="755" spans="1:31" ht="12.75" customHeight="1" x14ac:dyDescent="0.25">
      <c r="A755" s="40">
        <v>43564</v>
      </c>
      <c r="B755" s="55" t="s">
        <v>204</v>
      </c>
      <c r="C755" s="59" t="s">
        <v>201</v>
      </c>
      <c r="D755" s="62">
        <v>6015</v>
      </c>
      <c r="E755" s="62">
        <v>6295</v>
      </c>
      <c r="F755" s="60">
        <v>6353</v>
      </c>
      <c r="G755" s="62">
        <v>6326</v>
      </c>
      <c r="H755" s="62">
        <v>6089</v>
      </c>
      <c r="I755" s="62">
        <v>6089</v>
      </c>
      <c r="J755" s="62">
        <v>6278</v>
      </c>
      <c r="K755" s="62">
        <v>6369</v>
      </c>
      <c r="L755" s="62">
        <v>6193</v>
      </c>
      <c r="M755" s="58"/>
      <c r="N755" s="58"/>
      <c r="O755" s="58"/>
      <c r="P755" s="58"/>
      <c r="Q755" s="55">
        <f>IF((L756=""),"",MAX(D757:L757))</f>
        <v>8541</v>
      </c>
      <c r="R755" s="55">
        <f>IF(L756="","",MIN(D757:L757))</f>
        <v>7419</v>
      </c>
      <c r="S755" s="57">
        <f>IF((L757=""),"",AVERAGE(D757:L757))</f>
        <v>7791.666666666667</v>
      </c>
      <c r="T755" s="51">
        <f>IF((L756=""),"",(Q755-R755)/(Q755+R755)*100)</f>
        <v>7.030075187969925</v>
      </c>
      <c r="U755" s="55">
        <f>STDEV(D757:P757)</f>
        <v>510.86788898892445</v>
      </c>
      <c r="V755" s="231" t="str">
        <f>IF(L756="","",IF(T755&lt;9.8,IF(S755&gt;5100,IF(S755&lt;8300,"Pass","Fail"),"Fail"),"Fail"))</f>
        <v>Pass</v>
      </c>
      <c r="W755" s="55">
        <v>1428</v>
      </c>
      <c r="X755" s="38" t="s">
        <v>209</v>
      </c>
      <c r="Z755" s="37">
        <v>4955</v>
      </c>
      <c r="AA755" s="37">
        <v>9645</v>
      </c>
      <c r="AB755" s="37">
        <v>5100</v>
      </c>
      <c r="AC755" s="37">
        <v>8300</v>
      </c>
      <c r="AD755" s="67">
        <v>10</v>
      </c>
      <c r="AE755" s="67">
        <v>9.8000000000000007</v>
      </c>
    </row>
    <row r="756" spans="1:31" ht="16.100000000000001" x14ac:dyDescent="0.35">
      <c r="A756" s="294"/>
      <c r="B756" s="46"/>
      <c r="C756" s="54" t="s">
        <v>200</v>
      </c>
      <c r="D756" s="62">
        <v>3242</v>
      </c>
      <c r="E756" s="62">
        <v>3822</v>
      </c>
      <c r="F756" s="60">
        <v>3868</v>
      </c>
      <c r="G756" s="60">
        <v>3834</v>
      </c>
      <c r="H756" s="60">
        <v>3242</v>
      </c>
      <c r="I756" s="62">
        <v>3242</v>
      </c>
      <c r="J756" s="62">
        <v>3786</v>
      </c>
      <c r="K756" s="62">
        <v>3891</v>
      </c>
      <c r="L756" s="62">
        <v>3705</v>
      </c>
      <c r="M756" s="53"/>
      <c r="N756" s="53"/>
      <c r="O756" s="53"/>
      <c r="P756" s="53"/>
      <c r="Q756" s="46"/>
      <c r="R756" s="46"/>
      <c r="S756" s="46"/>
      <c r="T756" s="46"/>
      <c r="U756" s="46"/>
      <c r="V756" s="229"/>
      <c r="W756" s="46"/>
    </row>
    <row r="757" spans="1:31" ht="22.75" thickBot="1" x14ac:dyDescent="0.4">
      <c r="A757" s="294"/>
      <c r="B757" s="46"/>
      <c r="C757" s="48" t="s">
        <v>199</v>
      </c>
      <c r="D757" s="52">
        <f t="shared" ref="D757:L757" si="248">IF(((D755="")*AND(D756="")),"",(D755-D756)*3)</f>
        <v>8319</v>
      </c>
      <c r="E757" s="52">
        <f t="shared" si="248"/>
        <v>7419</v>
      </c>
      <c r="F757" s="52">
        <f t="shared" si="248"/>
        <v>7455</v>
      </c>
      <c r="G757" s="52">
        <f t="shared" si="248"/>
        <v>7476</v>
      </c>
      <c r="H757" s="52">
        <f t="shared" si="248"/>
        <v>8541</v>
      </c>
      <c r="I757" s="52">
        <f t="shared" si="248"/>
        <v>8541</v>
      </c>
      <c r="J757" s="52">
        <f t="shared" si="248"/>
        <v>7476</v>
      </c>
      <c r="K757" s="52">
        <f t="shared" si="248"/>
        <v>7434</v>
      </c>
      <c r="L757" s="52">
        <f t="shared" si="248"/>
        <v>7464</v>
      </c>
      <c r="M757" s="52"/>
      <c r="N757" s="52"/>
      <c r="O757" s="52"/>
      <c r="P757" s="52" t="str">
        <f>IF(((P755="")*AND(P756="")),"",(P755-P756)*2)</f>
        <v/>
      </c>
      <c r="Q757" s="46"/>
      <c r="R757" s="46"/>
      <c r="S757" s="46"/>
      <c r="T757" s="46"/>
      <c r="U757" s="46"/>
      <c r="V757" s="229"/>
      <c r="W757" s="46"/>
    </row>
    <row r="758" spans="1:31" ht="12.75" customHeight="1" x14ac:dyDescent="0.25">
      <c r="A758" s="40">
        <v>43564</v>
      </c>
      <c r="B758" s="48" t="s">
        <v>202</v>
      </c>
      <c r="C758" s="48" t="s">
        <v>201</v>
      </c>
      <c r="D758" s="60">
        <v>6740</v>
      </c>
      <c r="E758" s="60">
        <v>6864</v>
      </c>
      <c r="F758" s="60">
        <v>6688</v>
      </c>
      <c r="G758" s="60">
        <v>6721</v>
      </c>
      <c r="H758" s="60">
        <v>6677</v>
      </c>
      <c r="I758" s="60">
        <v>6698</v>
      </c>
      <c r="J758" s="60">
        <v>6749</v>
      </c>
      <c r="K758" s="60">
        <v>6698</v>
      </c>
      <c r="L758" s="60">
        <v>6698</v>
      </c>
      <c r="M758" s="60">
        <v>6721</v>
      </c>
      <c r="N758" s="60">
        <v>6688</v>
      </c>
      <c r="O758" s="60">
        <v>6864</v>
      </c>
      <c r="P758" s="60">
        <v>6740</v>
      </c>
      <c r="Q758" s="48">
        <f>IF((L759=""),"",MAX(D760:P760))</f>
        <v>5438</v>
      </c>
      <c r="R758" s="48">
        <f>IF(L759="","",MIN(D760:L760))</f>
        <v>5346</v>
      </c>
      <c r="S758" s="51">
        <f>IF((P760=""),"",AVERAGE(D760:P760))</f>
        <v>5360.7692307692305</v>
      </c>
      <c r="T758" s="50">
        <f>IF((L759=""),"",(Q758-R758)/(Q758+R758)*100)</f>
        <v>0.85311572700296734</v>
      </c>
      <c r="U758" s="48">
        <f>STDEV(D760:P760)</f>
        <v>92.985799853305423</v>
      </c>
      <c r="V758" s="228" t="str">
        <f>IF(P759="","",IF(T758&lt;2.7,IF(S758&gt;5150,IF(S758&lt;5600,"Pass","Fail"),"Fail"),"Fail"))</f>
        <v>Pass</v>
      </c>
      <c r="W758" s="48">
        <v>1428</v>
      </c>
      <c r="X758" s="38" t="s">
        <v>209</v>
      </c>
      <c r="Z758" s="251">
        <v>4470</v>
      </c>
      <c r="AA758" s="251">
        <v>6020</v>
      </c>
      <c r="AB758" s="251">
        <v>5150</v>
      </c>
      <c r="AC758" s="251">
        <v>5600</v>
      </c>
      <c r="AD758" s="67">
        <v>10</v>
      </c>
      <c r="AE758" s="252">
        <v>2.7</v>
      </c>
    </row>
    <row r="759" spans="1:31" ht="16.100000000000001" x14ac:dyDescent="0.35">
      <c r="A759" s="294"/>
      <c r="B759" s="46"/>
      <c r="C759" s="46" t="s">
        <v>200</v>
      </c>
      <c r="D759" s="60">
        <v>4062</v>
      </c>
      <c r="E759" s="60">
        <v>4173</v>
      </c>
      <c r="F759" s="60">
        <v>4015</v>
      </c>
      <c r="G759" s="60">
        <v>4018</v>
      </c>
      <c r="H759" s="60">
        <v>3989</v>
      </c>
      <c r="I759" s="60">
        <v>3980</v>
      </c>
      <c r="J759" s="60">
        <v>4033</v>
      </c>
      <c r="K759" s="60">
        <v>3979</v>
      </c>
      <c r="L759" s="60">
        <v>4022</v>
      </c>
      <c r="M759" s="60">
        <v>4173</v>
      </c>
      <c r="N759" s="60">
        <v>4053</v>
      </c>
      <c r="O759" s="60">
        <v>4182</v>
      </c>
      <c r="P759" s="60">
        <v>4022</v>
      </c>
      <c r="Q759" s="46"/>
      <c r="R759" s="46"/>
      <c r="S759" s="46"/>
      <c r="T759" s="46"/>
      <c r="U759" s="46"/>
      <c r="V759" s="229"/>
      <c r="W759" s="46"/>
    </row>
    <row r="760" spans="1:31" ht="22.75" thickBot="1" x14ac:dyDescent="0.4">
      <c r="A760" s="294"/>
      <c r="B760" s="42"/>
      <c r="C760" s="42" t="s">
        <v>199</v>
      </c>
      <c r="D760" s="44">
        <f t="shared" ref="D760:P760" si="249">IF(((D758="")*AND(D759="")),"",(D758-D759)*2)</f>
        <v>5356</v>
      </c>
      <c r="E760" s="44">
        <f t="shared" si="249"/>
        <v>5382</v>
      </c>
      <c r="F760" s="44">
        <f t="shared" si="249"/>
        <v>5346</v>
      </c>
      <c r="G760" s="44">
        <f t="shared" si="249"/>
        <v>5406</v>
      </c>
      <c r="H760" s="44">
        <f t="shared" si="249"/>
        <v>5376</v>
      </c>
      <c r="I760" s="44">
        <f t="shared" si="249"/>
        <v>5436</v>
      </c>
      <c r="J760" s="44">
        <f t="shared" si="249"/>
        <v>5432</v>
      </c>
      <c r="K760" s="44">
        <f t="shared" si="249"/>
        <v>5438</v>
      </c>
      <c r="L760" s="44">
        <f t="shared" si="249"/>
        <v>5352</v>
      </c>
      <c r="M760" s="44">
        <f t="shared" si="249"/>
        <v>5096</v>
      </c>
      <c r="N760" s="44">
        <f t="shared" si="249"/>
        <v>5270</v>
      </c>
      <c r="O760" s="44">
        <f t="shared" si="249"/>
        <v>5364</v>
      </c>
      <c r="P760" s="44">
        <f t="shared" si="249"/>
        <v>5436</v>
      </c>
      <c r="Q760" s="42"/>
      <c r="R760" s="42"/>
      <c r="S760" s="42"/>
      <c r="T760" s="42"/>
      <c r="U760" s="42"/>
      <c r="V760" s="230"/>
      <c r="W760" s="42"/>
    </row>
    <row r="761" spans="1:31" ht="12.75" customHeight="1" x14ac:dyDescent="0.25">
      <c r="A761" s="40">
        <v>43564</v>
      </c>
      <c r="B761" s="48" t="s">
        <v>202</v>
      </c>
      <c r="C761" s="48" t="s">
        <v>201</v>
      </c>
      <c r="D761" s="60">
        <v>6725.38</v>
      </c>
      <c r="E761" s="60">
        <v>6847.86</v>
      </c>
      <c r="F761" s="60">
        <v>6668.32</v>
      </c>
      <c r="G761" s="60">
        <v>6705</v>
      </c>
      <c r="H761" s="60">
        <v>6665.31</v>
      </c>
      <c r="I761" s="60">
        <v>6679.91</v>
      </c>
      <c r="J761" s="60">
        <v>6733.66</v>
      </c>
      <c r="K761" s="60">
        <v>6682.25</v>
      </c>
      <c r="L761" s="60">
        <v>6685.05</v>
      </c>
      <c r="M761" s="60">
        <v>6715.83</v>
      </c>
      <c r="N761" s="60">
        <v>6903.85</v>
      </c>
      <c r="O761" s="60">
        <v>6670.93</v>
      </c>
      <c r="P761" s="60">
        <v>6626.63</v>
      </c>
      <c r="Q761" s="48">
        <f>IF((L762=""),"",MAX(D763:P763))</f>
        <v>5459.84</v>
      </c>
      <c r="R761" s="48">
        <f>IF(L762="","",MIN(D763:L763))</f>
        <v>5339.76</v>
      </c>
      <c r="S761" s="51">
        <f>IF((P763=""),"",AVERAGE(D763:P763))</f>
        <v>5398.7384615384617</v>
      </c>
      <c r="T761" s="50">
        <f>IF((L762=""),"",(Q761-R761)/(Q761+R761)*100)</f>
        <v>1.1118930330752983</v>
      </c>
      <c r="U761" s="48">
        <f>STDEV(D763:P763)</f>
        <v>40.562147758337808</v>
      </c>
      <c r="V761" s="228" t="str">
        <f>IF(P762="","",IF(T761&lt;2.7,IF(S761&gt;5150,IF(S761&lt;5600,"Pass","Fail"),"Fail"),"Fail"))</f>
        <v>Pass</v>
      </c>
      <c r="W761" s="48">
        <v>1428</v>
      </c>
      <c r="X761" s="38" t="s">
        <v>208</v>
      </c>
      <c r="Z761" s="251">
        <v>4470</v>
      </c>
      <c r="AA761" s="251">
        <v>6020</v>
      </c>
      <c r="AB761" s="251">
        <v>5150</v>
      </c>
      <c r="AC761" s="251">
        <v>5600</v>
      </c>
      <c r="AD761" s="67">
        <v>10</v>
      </c>
      <c r="AE761" s="252">
        <v>2.7</v>
      </c>
    </row>
    <row r="762" spans="1:31" ht="16.100000000000001" x14ac:dyDescent="0.35">
      <c r="A762" s="294"/>
      <c r="B762" s="46"/>
      <c r="C762" s="46" t="s">
        <v>200</v>
      </c>
      <c r="D762" s="60">
        <v>4055.5</v>
      </c>
      <c r="E762" s="60">
        <v>4162.6400000000003</v>
      </c>
      <c r="F762" s="60">
        <v>3996.68</v>
      </c>
      <c r="G762" s="60">
        <v>3996.65</v>
      </c>
      <c r="H762" s="60">
        <v>3975</v>
      </c>
      <c r="I762" s="60">
        <v>3958.23</v>
      </c>
      <c r="J762" s="60">
        <v>4013.92</v>
      </c>
      <c r="K762" s="60">
        <v>3959.21</v>
      </c>
      <c r="L762" s="60">
        <v>4008.57</v>
      </c>
      <c r="M762" s="60">
        <v>3985.91</v>
      </c>
      <c r="N762" s="60">
        <v>4205.87</v>
      </c>
      <c r="O762" s="60">
        <v>3971.29</v>
      </c>
      <c r="P762" s="60">
        <v>3928.71</v>
      </c>
      <c r="Q762" s="46"/>
      <c r="R762" s="46"/>
      <c r="S762" s="46"/>
      <c r="T762" s="46"/>
      <c r="U762" s="46"/>
      <c r="V762" s="229"/>
      <c r="W762" s="46"/>
    </row>
    <row r="763" spans="1:31" ht="22.75" thickBot="1" x14ac:dyDescent="0.4">
      <c r="A763" s="294"/>
      <c r="B763" s="42"/>
      <c r="C763" s="42" t="s">
        <v>199</v>
      </c>
      <c r="D763" s="44">
        <f t="shared" ref="D763:P763" si="250">IF(((D761="")*AND(D762="")),"",(D761-D762)*2)</f>
        <v>5339.76</v>
      </c>
      <c r="E763" s="44">
        <f t="shared" si="250"/>
        <v>5370.4399999999987</v>
      </c>
      <c r="F763" s="44">
        <f t="shared" si="250"/>
        <v>5343.28</v>
      </c>
      <c r="G763" s="44">
        <f t="shared" si="250"/>
        <v>5416.7</v>
      </c>
      <c r="H763" s="44">
        <f t="shared" si="250"/>
        <v>5380.6200000000008</v>
      </c>
      <c r="I763" s="44">
        <f t="shared" si="250"/>
        <v>5443.36</v>
      </c>
      <c r="J763" s="44">
        <f t="shared" si="250"/>
        <v>5439.48</v>
      </c>
      <c r="K763" s="44">
        <f t="shared" si="250"/>
        <v>5446.08</v>
      </c>
      <c r="L763" s="44">
        <f t="shared" si="250"/>
        <v>5352.96</v>
      </c>
      <c r="M763" s="44">
        <f t="shared" si="250"/>
        <v>5459.84</v>
      </c>
      <c r="N763" s="44">
        <f t="shared" si="250"/>
        <v>5395.9600000000009</v>
      </c>
      <c r="O763" s="44">
        <f t="shared" si="250"/>
        <v>5399.2800000000007</v>
      </c>
      <c r="P763" s="44">
        <f t="shared" si="250"/>
        <v>5395.84</v>
      </c>
      <c r="Q763" s="42"/>
      <c r="R763" s="42"/>
      <c r="S763" s="42"/>
      <c r="T763" s="42"/>
      <c r="U763" s="42"/>
      <c r="V763" s="230"/>
      <c r="W763" s="42"/>
    </row>
    <row r="764" spans="1:31" ht="12.75" customHeight="1" x14ac:dyDescent="0.25">
      <c r="A764" s="253">
        <v>43568</v>
      </c>
      <c r="B764" s="55" t="s">
        <v>204</v>
      </c>
      <c r="C764" s="59" t="s">
        <v>201</v>
      </c>
      <c r="D764" s="62">
        <v>6006.3</v>
      </c>
      <c r="E764" s="62">
        <v>6280.09</v>
      </c>
      <c r="F764" s="60">
        <v>6338.5</v>
      </c>
      <c r="G764" s="62">
        <v>6311.35</v>
      </c>
      <c r="H764" s="62">
        <v>6036.44</v>
      </c>
      <c r="I764" s="62">
        <v>5864.99</v>
      </c>
      <c r="J764" s="62">
        <v>6264.81</v>
      </c>
      <c r="K764" s="62">
        <v>6355.59</v>
      </c>
      <c r="L764" s="62">
        <v>6177.03</v>
      </c>
      <c r="M764" s="58"/>
      <c r="N764" s="58"/>
      <c r="O764" s="58"/>
      <c r="P764" s="58"/>
      <c r="Q764" s="55">
        <f>IF((L765=""),"",MAX(D766:L766))</f>
        <v>8466.09</v>
      </c>
      <c r="R764" s="55">
        <f>IF(L765="","",MIN(D766:L766))</f>
        <v>7923.3600000000006</v>
      </c>
      <c r="S764" s="57">
        <f>IF((L766=""),"",AVERAGE(D766:L766))</f>
        <v>8092.8266666666668</v>
      </c>
      <c r="T764" s="51">
        <f>IF((L765=""),"",(Q764-R764)/(Q764+R764)*100)</f>
        <v>3.3114595059626746</v>
      </c>
      <c r="U764" s="55">
        <f>STDEV(D766:P766)</f>
        <v>217.166101003356</v>
      </c>
      <c r="V764" s="231" t="str">
        <f>IF(L765="","",IF(T764&lt;9.8,IF(S764&gt;5100,IF(S764&lt;8300,"Pass","Fail"),"Fail"),"Fail"))</f>
        <v>Pass</v>
      </c>
      <c r="W764" s="55">
        <v>1428</v>
      </c>
      <c r="X764" s="218" t="s">
        <v>207</v>
      </c>
      <c r="Z764" s="37">
        <v>4955</v>
      </c>
      <c r="AA764" s="37">
        <v>9645</v>
      </c>
      <c r="AB764" s="37">
        <v>5100</v>
      </c>
      <c r="AC764" s="37">
        <v>8300</v>
      </c>
      <c r="AD764" s="67">
        <v>10</v>
      </c>
      <c r="AE764" s="67">
        <v>9.8000000000000007</v>
      </c>
    </row>
    <row r="765" spans="1:31" ht="16.100000000000001" x14ac:dyDescent="0.35">
      <c r="A765" s="294"/>
      <c r="B765" s="46"/>
      <c r="C765" s="54" t="s">
        <v>200</v>
      </c>
      <c r="D765" s="62">
        <v>3354.65</v>
      </c>
      <c r="E765" s="62">
        <v>3638.97</v>
      </c>
      <c r="F765" s="60">
        <v>3681</v>
      </c>
      <c r="G765" s="60">
        <v>3639</v>
      </c>
      <c r="H765" s="60">
        <v>3329</v>
      </c>
      <c r="I765" s="62">
        <v>3046</v>
      </c>
      <c r="J765" s="62">
        <v>3601</v>
      </c>
      <c r="K765" s="62">
        <v>3712</v>
      </c>
      <c r="L765" s="62">
        <v>3355</v>
      </c>
      <c r="M765" s="53"/>
      <c r="N765" s="53"/>
      <c r="O765" s="53"/>
      <c r="P765" s="53"/>
      <c r="Q765" s="46"/>
      <c r="R765" s="46"/>
      <c r="S765" s="46"/>
      <c r="T765" s="46"/>
      <c r="U765" s="46"/>
      <c r="V765" s="229"/>
      <c r="W765" s="46"/>
      <c r="X765" s="218"/>
    </row>
    <row r="766" spans="1:31" ht="22.75" thickBot="1" x14ac:dyDescent="0.4">
      <c r="A766" s="294"/>
      <c r="B766" s="46"/>
      <c r="C766" s="48" t="s">
        <v>199</v>
      </c>
      <c r="D766" s="52">
        <f t="shared" ref="D766:L766" si="251">IF(((D764="")*AND(D765="")),"",(D764-D765)*3)</f>
        <v>7954.9500000000007</v>
      </c>
      <c r="E766" s="52">
        <f t="shared" si="251"/>
        <v>7923.3600000000006</v>
      </c>
      <c r="F766" s="52">
        <f t="shared" si="251"/>
        <v>7972.5</v>
      </c>
      <c r="G766" s="52">
        <f t="shared" si="251"/>
        <v>8017.0500000000011</v>
      </c>
      <c r="H766" s="52">
        <f t="shared" si="251"/>
        <v>8122.3199999999988</v>
      </c>
      <c r="I766" s="52">
        <f t="shared" si="251"/>
        <v>8456.9699999999993</v>
      </c>
      <c r="J766" s="52">
        <f t="shared" si="251"/>
        <v>7991.4300000000012</v>
      </c>
      <c r="K766" s="52">
        <f t="shared" si="251"/>
        <v>7930.77</v>
      </c>
      <c r="L766" s="52">
        <f t="shared" si="251"/>
        <v>8466.09</v>
      </c>
      <c r="M766" s="52"/>
      <c r="N766" s="52"/>
      <c r="O766" s="52"/>
      <c r="P766" s="52" t="str">
        <f>IF(((P764="")*AND(P765="")),"",(P764-P765)*2)</f>
        <v/>
      </c>
      <c r="Q766" s="46"/>
      <c r="R766" s="46"/>
      <c r="S766" s="46"/>
      <c r="T766" s="46"/>
      <c r="U766" s="46"/>
      <c r="V766" s="229"/>
      <c r="W766" s="46"/>
      <c r="X766" s="218"/>
    </row>
    <row r="767" spans="1:31" ht="12.75" customHeight="1" x14ac:dyDescent="0.25">
      <c r="A767" s="254">
        <v>43568</v>
      </c>
      <c r="B767" s="48" t="s">
        <v>202</v>
      </c>
      <c r="C767" s="48" t="s">
        <v>201</v>
      </c>
      <c r="D767" s="60">
        <v>4074</v>
      </c>
      <c r="E767" s="60">
        <v>4187</v>
      </c>
      <c r="F767" s="60">
        <v>4027</v>
      </c>
      <c r="G767" s="60">
        <v>4030</v>
      </c>
      <c r="H767" s="60">
        <v>4001</v>
      </c>
      <c r="I767" s="60">
        <v>3992</v>
      </c>
      <c r="J767" s="60">
        <v>4045</v>
      </c>
      <c r="K767" s="60">
        <v>3991</v>
      </c>
      <c r="L767" s="60">
        <v>4032</v>
      </c>
      <c r="M767" s="60">
        <v>4074</v>
      </c>
      <c r="N767" s="60">
        <v>4187</v>
      </c>
      <c r="O767" s="60">
        <v>4027</v>
      </c>
      <c r="P767" s="60">
        <v>4030</v>
      </c>
      <c r="Q767" s="48">
        <f>IF((L768=""),"",MAX(D769:P769))</f>
        <v>5518</v>
      </c>
      <c r="R767" s="48">
        <f>IF(L768="","",MIN(D769:L769))</f>
        <v>5376</v>
      </c>
      <c r="S767" s="51">
        <f>IF((P769=""),"",AVERAGE(D769:P769))</f>
        <v>5429.2307692307695</v>
      </c>
      <c r="T767" s="50">
        <f>IF((L768=""),"",(Q767-R767)/(Q767+R767)*100)</f>
        <v>1.3034697998898475</v>
      </c>
      <c r="U767" s="48">
        <f>STDEV(D769:P769)</f>
        <v>45.508522729546392</v>
      </c>
      <c r="V767" s="228" t="str">
        <f>IF(P768="","",IF(T767&lt;2.7,IF(S767&gt;5150,IF(S767&lt;5600,"Pass","Fail"),"Fail"),"Fail"))</f>
        <v>Pass</v>
      </c>
      <c r="W767" s="48">
        <v>1428</v>
      </c>
      <c r="X767" s="218" t="s">
        <v>207</v>
      </c>
      <c r="Z767" s="251">
        <v>4470</v>
      </c>
      <c r="AA767" s="251">
        <v>6020</v>
      </c>
      <c r="AB767" s="251">
        <v>5150</v>
      </c>
      <c r="AC767" s="251">
        <v>5600</v>
      </c>
      <c r="AD767" s="67">
        <v>10</v>
      </c>
      <c r="AE767" s="252">
        <v>2.7</v>
      </c>
    </row>
    <row r="768" spans="1:31" ht="16.100000000000001" x14ac:dyDescent="0.35">
      <c r="A768" s="294"/>
      <c r="B768" s="46"/>
      <c r="C768" s="46" t="s">
        <v>200</v>
      </c>
      <c r="D768" s="60">
        <v>1374</v>
      </c>
      <c r="E768" s="60">
        <v>1465</v>
      </c>
      <c r="F768" s="60">
        <v>1339</v>
      </c>
      <c r="G768" s="60">
        <v>1317</v>
      </c>
      <c r="H768" s="60">
        <v>1285</v>
      </c>
      <c r="I768" s="60">
        <v>1233</v>
      </c>
      <c r="J768" s="60">
        <v>1318</v>
      </c>
      <c r="K768" s="60">
        <v>1238</v>
      </c>
      <c r="L768" s="60">
        <v>1343</v>
      </c>
      <c r="M768" s="60">
        <v>1374</v>
      </c>
      <c r="N768" s="60">
        <v>1465</v>
      </c>
      <c r="O768" s="60">
        <v>1339</v>
      </c>
      <c r="P768" s="60">
        <v>1317</v>
      </c>
      <c r="Q768" s="46"/>
      <c r="R768" s="46"/>
      <c r="S768" s="46"/>
      <c r="T768" s="46"/>
      <c r="U768" s="46"/>
      <c r="V768" s="229"/>
      <c r="W768" s="46"/>
      <c r="X768" s="214"/>
      <c r="Y768" s="63"/>
    </row>
    <row r="769" spans="1:31" ht="22.75" thickBot="1" x14ac:dyDescent="0.4">
      <c r="A769" s="294"/>
      <c r="B769" s="42"/>
      <c r="C769" s="42" t="s">
        <v>199</v>
      </c>
      <c r="D769" s="44">
        <f t="shared" ref="D769:P769" si="252">IF(((D767="")*AND(D768="")),"",(D767-D768)*2)</f>
        <v>5400</v>
      </c>
      <c r="E769" s="44">
        <f t="shared" si="252"/>
        <v>5444</v>
      </c>
      <c r="F769" s="44">
        <f t="shared" si="252"/>
        <v>5376</v>
      </c>
      <c r="G769" s="44">
        <f t="shared" si="252"/>
        <v>5426</v>
      </c>
      <c r="H769" s="44">
        <f t="shared" si="252"/>
        <v>5432</v>
      </c>
      <c r="I769" s="44">
        <f t="shared" si="252"/>
        <v>5518</v>
      </c>
      <c r="J769" s="44">
        <f t="shared" si="252"/>
        <v>5454</v>
      </c>
      <c r="K769" s="44">
        <f t="shared" si="252"/>
        <v>5506</v>
      </c>
      <c r="L769" s="44">
        <f t="shared" si="252"/>
        <v>5378</v>
      </c>
      <c r="M769" s="44">
        <f t="shared" si="252"/>
        <v>5400</v>
      </c>
      <c r="N769" s="44">
        <f t="shared" si="252"/>
        <v>5444</v>
      </c>
      <c r="O769" s="44">
        <f t="shared" si="252"/>
        <v>5376</v>
      </c>
      <c r="P769" s="44">
        <f t="shared" si="252"/>
        <v>5426</v>
      </c>
      <c r="Q769" s="42"/>
      <c r="R769" s="42"/>
      <c r="S769" s="42"/>
      <c r="T769" s="42"/>
      <c r="U769" s="42"/>
      <c r="V769" s="230"/>
      <c r="W769" s="42"/>
      <c r="X769" s="214"/>
      <c r="Y769" s="63"/>
    </row>
    <row r="770" spans="1:31" ht="12.75" customHeight="1" x14ac:dyDescent="0.25">
      <c r="A770" s="253">
        <v>43578</v>
      </c>
      <c r="B770" s="55" t="s">
        <v>204</v>
      </c>
      <c r="C770" s="59" t="s">
        <v>201</v>
      </c>
      <c r="D770" s="62">
        <v>3744</v>
      </c>
      <c r="E770" s="62">
        <v>3930</v>
      </c>
      <c r="F770" s="60">
        <v>3915</v>
      </c>
      <c r="G770" s="62">
        <v>3875</v>
      </c>
      <c r="H770" s="62">
        <v>3572</v>
      </c>
      <c r="I770" s="62">
        <v>3369</v>
      </c>
      <c r="J770" s="62">
        <v>3855</v>
      </c>
      <c r="K770" s="62">
        <v>3884</v>
      </c>
      <c r="L770" s="62">
        <v>3745</v>
      </c>
      <c r="M770" s="58"/>
      <c r="N770" s="58"/>
      <c r="O770" s="58"/>
      <c r="P770" s="58"/>
      <c r="Q770" s="55">
        <f>IF((L771=""),"",MAX(D772:L772))</f>
        <v>7503</v>
      </c>
      <c r="R770" s="55">
        <f>IF(L771="","",MIN(D772:L772))</f>
        <v>5526</v>
      </c>
      <c r="S770" s="57">
        <f>IF((L772=""),"",AVERAGE(D772:L772))</f>
        <v>6943.666666666667</v>
      </c>
      <c r="T770" s="51">
        <f>IF((L771=""),"",(Q770-R770)/(Q770+R770)*100)</f>
        <v>15.17384296569192</v>
      </c>
      <c r="U770" s="55">
        <f>STDEV(D772:P772)</f>
        <v>587.55233809423316</v>
      </c>
      <c r="V770" s="231" t="str">
        <f>IF(L771="","",IF(T770&lt;9.8,IF(S770&gt;5100,IF(S770&lt;8300,"Pass","Fail"),"Fail"),"Fail"))</f>
        <v>Fail</v>
      </c>
      <c r="W770" s="55" t="s">
        <v>206</v>
      </c>
      <c r="X770" s="216"/>
      <c r="Y770" s="61"/>
      <c r="Z770" s="37">
        <v>4955</v>
      </c>
      <c r="AA770" s="37">
        <v>9645</v>
      </c>
      <c r="AB770" s="37">
        <v>5100</v>
      </c>
      <c r="AC770" s="37">
        <v>8300</v>
      </c>
      <c r="AD770" s="67">
        <v>10</v>
      </c>
      <c r="AE770" s="67">
        <v>9.8000000000000007</v>
      </c>
    </row>
    <row r="771" spans="1:31" ht="16.100000000000001" x14ac:dyDescent="0.35">
      <c r="A771" s="294"/>
      <c r="B771" s="46"/>
      <c r="C771" s="54" t="s">
        <v>200</v>
      </c>
      <c r="D771" s="62">
        <v>1374</v>
      </c>
      <c r="E771" s="62">
        <v>1651</v>
      </c>
      <c r="F771" s="60">
        <v>1613</v>
      </c>
      <c r="G771" s="60">
        <v>1547</v>
      </c>
      <c r="H771" s="60">
        <v>1103</v>
      </c>
      <c r="I771" s="62">
        <v>1527</v>
      </c>
      <c r="J771" s="62">
        <v>1569</v>
      </c>
      <c r="K771" s="62">
        <v>1430</v>
      </c>
      <c r="L771" s="62">
        <v>1244</v>
      </c>
      <c r="M771" s="53"/>
      <c r="N771" s="53"/>
      <c r="O771" s="53"/>
      <c r="P771" s="53"/>
      <c r="Q771" s="46"/>
      <c r="R771" s="46"/>
      <c r="S771" s="46"/>
      <c r="T771" s="46"/>
      <c r="U771" s="46"/>
      <c r="V771" s="229"/>
      <c r="W771" s="46"/>
      <c r="X771" s="216"/>
      <c r="Y771" s="61"/>
    </row>
    <row r="772" spans="1:31" ht="22.75" thickBot="1" x14ac:dyDescent="0.4">
      <c r="A772" s="294"/>
      <c r="B772" s="46"/>
      <c r="C772" s="48" t="s">
        <v>199</v>
      </c>
      <c r="D772" s="52">
        <f t="shared" ref="D772:L772" si="253">IF(((D770="")*AND(D771="")),"",(D770-D771)*3)</f>
        <v>7110</v>
      </c>
      <c r="E772" s="52">
        <f t="shared" si="253"/>
        <v>6837</v>
      </c>
      <c r="F772" s="52">
        <f t="shared" si="253"/>
        <v>6906</v>
      </c>
      <c r="G772" s="52">
        <f t="shared" si="253"/>
        <v>6984</v>
      </c>
      <c r="H772" s="52">
        <f t="shared" si="253"/>
        <v>7407</v>
      </c>
      <c r="I772" s="52">
        <f t="shared" si="253"/>
        <v>5526</v>
      </c>
      <c r="J772" s="52">
        <f t="shared" si="253"/>
        <v>6858</v>
      </c>
      <c r="K772" s="52">
        <f t="shared" si="253"/>
        <v>7362</v>
      </c>
      <c r="L772" s="52">
        <f t="shared" si="253"/>
        <v>7503</v>
      </c>
      <c r="M772" s="52"/>
      <c r="N772" s="52"/>
      <c r="O772" s="52"/>
      <c r="P772" s="52" t="str">
        <f>IF(((P770="")*AND(P771="")),"",(P770-P771)*2)</f>
        <v/>
      </c>
      <c r="Q772" s="46"/>
      <c r="R772" s="46"/>
      <c r="S772" s="46"/>
      <c r="T772" s="46"/>
      <c r="U772" s="46"/>
      <c r="V772" s="229"/>
      <c r="W772" s="46"/>
      <c r="X772" s="216"/>
      <c r="Y772" s="61"/>
    </row>
    <row r="773" spans="1:31" ht="12.75" customHeight="1" x14ac:dyDescent="0.25">
      <c r="A773" s="254">
        <v>43578</v>
      </c>
      <c r="B773" s="48" t="s">
        <v>202</v>
      </c>
      <c r="C773" s="48" t="s">
        <v>201</v>
      </c>
      <c r="D773" s="60">
        <v>6868</v>
      </c>
      <c r="E773" s="60">
        <v>6982</v>
      </c>
      <c r="F773" s="60">
        <v>6818</v>
      </c>
      <c r="G773" s="60">
        <v>6857</v>
      </c>
      <c r="H773" s="60">
        <v>6795</v>
      </c>
      <c r="I773" s="60">
        <v>6819</v>
      </c>
      <c r="J773" s="60">
        <v>6886</v>
      </c>
      <c r="K773" s="60">
        <v>6831</v>
      </c>
      <c r="L773" s="60">
        <v>6827</v>
      </c>
      <c r="M773" s="60">
        <v>6862</v>
      </c>
      <c r="N773" s="60">
        <v>7029</v>
      </c>
      <c r="O773" s="60">
        <v>6810</v>
      </c>
      <c r="P773" s="60">
        <v>6750</v>
      </c>
      <c r="Q773" s="48">
        <f>IF((L774=""),"",MAX(D775:P775))</f>
        <v>5466</v>
      </c>
      <c r="R773" s="48">
        <f>IF(L774="","",MIN(D775:L775))</f>
        <v>5350</v>
      </c>
      <c r="S773" s="51">
        <f>IF((P775=""),"",AVERAGE(D775:P775))</f>
        <v>5399.3846153846152</v>
      </c>
      <c r="T773" s="50">
        <f>IF((L774=""),"",(Q773-R773)/(Q773+R773)*100)</f>
        <v>1.0724852071005917</v>
      </c>
      <c r="U773" s="48">
        <f>STDEV(D775:P775)</f>
        <v>38.474100512635907</v>
      </c>
      <c r="V773" s="228" t="str">
        <f>IF(P774="","",IF(T773&lt;2.7,IF(S773&gt;5150,IF(S773&lt;5600,"Pass","Fail"),"Fail"),"Fail"))</f>
        <v>Pass</v>
      </c>
      <c r="W773" s="48" t="s">
        <v>206</v>
      </c>
      <c r="X773" s="218" t="s">
        <v>205</v>
      </c>
      <c r="Z773" s="251">
        <v>4470</v>
      </c>
      <c r="AA773" s="251">
        <v>6020</v>
      </c>
      <c r="AB773" s="251">
        <v>5150</v>
      </c>
      <c r="AC773" s="251">
        <v>5600</v>
      </c>
      <c r="AD773" s="67">
        <v>10</v>
      </c>
      <c r="AE773" s="252">
        <v>2.7</v>
      </c>
    </row>
    <row r="774" spans="1:31" ht="16.100000000000001" x14ac:dyDescent="0.35">
      <c r="A774" s="294"/>
      <c r="B774" s="46"/>
      <c r="C774" s="46" t="s">
        <v>200</v>
      </c>
      <c r="D774" s="60">
        <v>4179</v>
      </c>
      <c r="E774" s="60">
        <v>4274</v>
      </c>
      <c r="F774" s="60">
        <v>4143</v>
      </c>
      <c r="G774" s="60">
        <v>4180</v>
      </c>
      <c r="H774" s="60">
        <v>4075</v>
      </c>
      <c r="I774" s="60">
        <v>4095</v>
      </c>
      <c r="J774" s="60">
        <v>4204</v>
      </c>
      <c r="K774" s="60">
        <v>4142</v>
      </c>
      <c r="L774" s="60">
        <v>4148</v>
      </c>
      <c r="M774" s="60">
        <v>4158</v>
      </c>
      <c r="N774" s="60">
        <v>4319</v>
      </c>
      <c r="O774" s="60">
        <v>4104</v>
      </c>
      <c r="P774" s="60">
        <v>4017</v>
      </c>
      <c r="Q774" s="46"/>
      <c r="R774" s="46"/>
      <c r="S774" s="46"/>
      <c r="T774" s="46"/>
      <c r="U774" s="46"/>
      <c r="V774" s="229"/>
      <c r="W774" s="46"/>
      <c r="X774" s="218"/>
    </row>
    <row r="775" spans="1:31" ht="22.75" thickBot="1" x14ac:dyDescent="0.4">
      <c r="A775" s="294"/>
      <c r="B775" s="42"/>
      <c r="C775" s="42" t="s">
        <v>199</v>
      </c>
      <c r="D775" s="44">
        <f t="shared" ref="D775:P775" si="254">IF(((D773="")*AND(D774="")),"",(D773-D774)*2)</f>
        <v>5378</v>
      </c>
      <c r="E775" s="44">
        <f t="shared" si="254"/>
        <v>5416</v>
      </c>
      <c r="F775" s="44">
        <f t="shared" si="254"/>
        <v>5350</v>
      </c>
      <c r="G775" s="44">
        <f t="shared" si="254"/>
        <v>5354</v>
      </c>
      <c r="H775" s="44">
        <f t="shared" si="254"/>
        <v>5440</v>
      </c>
      <c r="I775" s="44">
        <f t="shared" si="254"/>
        <v>5448</v>
      </c>
      <c r="J775" s="44">
        <f t="shared" si="254"/>
        <v>5364</v>
      </c>
      <c r="K775" s="44">
        <f t="shared" si="254"/>
        <v>5378</v>
      </c>
      <c r="L775" s="44">
        <f t="shared" si="254"/>
        <v>5358</v>
      </c>
      <c r="M775" s="44">
        <f t="shared" si="254"/>
        <v>5408</v>
      </c>
      <c r="N775" s="44">
        <f t="shared" si="254"/>
        <v>5420</v>
      </c>
      <c r="O775" s="44">
        <f t="shared" si="254"/>
        <v>5412</v>
      </c>
      <c r="P775" s="44">
        <f t="shared" si="254"/>
        <v>5466</v>
      </c>
      <c r="Q775" s="42"/>
      <c r="R775" s="42"/>
      <c r="S775" s="42"/>
      <c r="T775" s="42"/>
      <c r="U775" s="42"/>
      <c r="V775" s="230"/>
      <c r="W775" s="42"/>
      <c r="X775" s="218"/>
    </row>
    <row r="776" spans="1:31" ht="12.75" customHeight="1" x14ac:dyDescent="0.25">
      <c r="A776" s="253">
        <v>43578</v>
      </c>
      <c r="B776" s="55" t="s">
        <v>204</v>
      </c>
      <c r="C776" s="59" t="s">
        <v>201</v>
      </c>
      <c r="D776" s="62">
        <v>6102</v>
      </c>
      <c r="E776" s="62">
        <v>6235</v>
      </c>
      <c r="F776" s="60">
        <v>6273</v>
      </c>
      <c r="G776" s="62">
        <v>6252</v>
      </c>
      <c r="H776" s="62">
        <v>6182</v>
      </c>
      <c r="I776" s="62">
        <v>6252</v>
      </c>
      <c r="J776" s="62">
        <v>6223</v>
      </c>
      <c r="K776" s="62">
        <v>6022</v>
      </c>
      <c r="L776" s="62">
        <v>6176</v>
      </c>
      <c r="M776" s="58"/>
      <c r="N776" s="58"/>
      <c r="O776" s="58"/>
      <c r="P776" s="58"/>
      <c r="Q776" s="55">
        <f>IF((L777=""),"",MAX(D778:L778))</f>
        <v>7341</v>
      </c>
      <c r="R776" s="55">
        <f>IF(L777="","",MIN(D778:L778))</f>
        <v>7278</v>
      </c>
      <c r="S776" s="57">
        <f>IF((L778=""),"",AVERAGE(D778:L778))</f>
        <v>7310.666666666667</v>
      </c>
      <c r="T776" s="51">
        <f>IF((L777=""),"",(Q776-R776)/(Q776+R776)*100)</f>
        <v>0.43094602914016011</v>
      </c>
      <c r="U776" s="55">
        <f>STDEV(D778:P778)</f>
        <v>23.595550427993835</v>
      </c>
      <c r="V776" s="231" t="str">
        <f>IF(L777="","",IF(T776&lt;9.8,IF(S776&gt;5100,IF(S776&lt;8300,"Pass","Fail"),"Fail"),"Fail"))</f>
        <v>Pass</v>
      </c>
      <c r="W776" s="55">
        <v>121</v>
      </c>
      <c r="X776" s="218" t="s">
        <v>205</v>
      </c>
      <c r="Z776" s="37">
        <v>4955</v>
      </c>
      <c r="AA776" s="37">
        <v>9645</v>
      </c>
      <c r="AB776" s="37">
        <v>5100</v>
      </c>
      <c r="AC776" s="37">
        <v>8300</v>
      </c>
      <c r="AD776" s="67">
        <v>10</v>
      </c>
      <c r="AE776" s="67">
        <v>9.8000000000000007</v>
      </c>
    </row>
    <row r="777" spans="1:31" ht="16.100000000000001" x14ac:dyDescent="0.35">
      <c r="A777" s="294"/>
      <c r="B777" s="46"/>
      <c r="C777" s="54" t="s">
        <v>200</v>
      </c>
      <c r="D777" s="62">
        <v>3657</v>
      </c>
      <c r="E777" s="62">
        <v>3802</v>
      </c>
      <c r="F777" s="60">
        <v>3834</v>
      </c>
      <c r="G777" s="60">
        <v>3814</v>
      </c>
      <c r="H777" s="60">
        <v>3756</v>
      </c>
      <c r="I777" s="62">
        <v>3807</v>
      </c>
      <c r="J777" s="62">
        <v>3791</v>
      </c>
      <c r="K777" s="62">
        <v>3595</v>
      </c>
      <c r="L777" s="62">
        <v>3729</v>
      </c>
      <c r="M777" s="53"/>
      <c r="N777" s="53"/>
      <c r="O777" s="53"/>
      <c r="P777" s="53"/>
      <c r="Q777" s="46"/>
      <c r="R777" s="46"/>
      <c r="S777" s="46"/>
      <c r="T777" s="46"/>
      <c r="U777" s="46"/>
      <c r="V777" s="229"/>
      <c r="W777" s="46"/>
      <c r="X777" s="218"/>
    </row>
    <row r="778" spans="1:31" ht="22.75" thickBot="1" x14ac:dyDescent="0.4">
      <c r="A778" s="294"/>
      <c r="B778" s="46"/>
      <c r="C778" s="48" t="s">
        <v>199</v>
      </c>
      <c r="D778" s="52">
        <f t="shared" ref="D778:L778" si="255">IF(((D776="")*AND(D777="")),"",(D776-D777)*3)</f>
        <v>7335</v>
      </c>
      <c r="E778" s="52">
        <f t="shared" si="255"/>
        <v>7299</v>
      </c>
      <c r="F778" s="52">
        <f t="shared" si="255"/>
        <v>7317</v>
      </c>
      <c r="G778" s="52">
        <f t="shared" si="255"/>
        <v>7314</v>
      </c>
      <c r="H778" s="52">
        <f t="shared" si="255"/>
        <v>7278</v>
      </c>
      <c r="I778" s="52">
        <f t="shared" si="255"/>
        <v>7335</v>
      </c>
      <c r="J778" s="52">
        <f t="shared" si="255"/>
        <v>7296</v>
      </c>
      <c r="K778" s="52">
        <f t="shared" si="255"/>
        <v>7281</v>
      </c>
      <c r="L778" s="52">
        <f t="shared" si="255"/>
        <v>7341</v>
      </c>
      <c r="M778" s="52"/>
      <c r="N778" s="52"/>
      <c r="O778" s="52"/>
      <c r="P778" s="52" t="str">
        <f>IF(((P776="")*AND(P777="")),"",(P776-P777)*2)</f>
        <v/>
      </c>
      <c r="Q778" s="46"/>
      <c r="R778" s="46"/>
      <c r="S778" s="46"/>
      <c r="T778" s="46"/>
      <c r="U778" s="46"/>
      <c r="V778" s="229"/>
      <c r="W778" s="46"/>
      <c r="X778" s="61"/>
    </row>
    <row r="779" spans="1:31" ht="12.75" customHeight="1" x14ac:dyDescent="0.25">
      <c r="A779" s="254">
        <v>43578</v>
      </c>
      <c r="B779" s="48" t="s">
        <v>202</v>
      </c>
      <c r="C779" s="48" t="s">
        <v>201</v>
      </c>
      <c r="D779" s="60">
        <v>4179</v>
      </c>
      <c r="E779" s="60">
        <v>4274</v>
      </c>
      <c r="F779" s="60">
        <v>4143</v>
      </c>
      <c r="G779" s="60">
        <v>4180</v>
      </c>
      <c r="H779" s="60">
        <v>4075</v>
      </c>
      <c r="I779" s="60">
        <v>4095</v>
      </c>
      <c r="J779" s="60">
        <v>4204</v>
      </c>
      <c r="K779" s="60">
        <v>4142</v>
      </c>
      <c r="L779" s="60">
        <v>4148</v>
      </c>
      <c r="M779" s="60">
        <v>4158</v>
      </c>
      <c r="N779" s="60">
        <v>4319</v>
      </c>
      <c r="O779" s="60">
        <v>4104</v>
      </c>
      <c r="P779" s="60">
        <v>4017</v>
      </c>
      <c r="Q779" s="48">
        <f>IF((L780=""),"",MAX(D781:P781))</f>
        <v>5632</v>
      </c>
      <c r="R779" s="48">
        <f>IF(L780="","",MIN(D781:L781))</f>
        <v>5458</v>
      </c>
      <c r="S779" s="51">
        <f>IF((P781=""),"",AVERAGE(D781:P781))</f>
        <v>5508.1538461538457</v>
      </c>
      <c r="T779" s="50">
        <f>IF((L780=""),"",(Q779-R779)/(Q779+R779)*100)</f>
        <v>1.5689810640216411</v>
      </c>
      <c r="U779" s="48">
        <f>STDEV(D781:P781)</f>
        <v>44.245237321558413</v>
      </c>
      <c r="V779" s="228" t="str">
        <f>IF(P780="","",IF(T779&lt;2.7,IF(S779&gt;5150,IF(S779&lt;5600,"Pass","Fail"),"Fail"),"Fail"))</f>
        <v>Pass</v>
      </c>
      <c r="W779" s="48">
        <v>1340</v>
      </c>
      <c r="X779" s="38" t="s">
        <v>205</v>
      </c>
      <c r="Z779" s="251">
        <v>4470</v>
      </c>
      <c r="AA779" s="251">
        <v>6020</v>
      </c>
      <c r="AB779" s="251">
        <v>5150</v>
      </c>
      <c r="AC779" s="251">
        <v>5600</v>
      </c>
      <c r="AD779" s="67">
        <v>10</v>
      </c>
      <c r="AE779" s="252">
        <v>2.7</v>
      </c>
    </row>
    <row r="780" spans="1:31" ht="16.100000000000001" x14ac:dyDescent="0.35">
      <c r="A780" s="294"/>
      <c r="B780" s="46"/>
      <c r="C780" s="46" t="s">
        <v>200</v>
      </c>
      <c r="D780" s="60">
        <v>1432</v>
      </c>
      <c r="E780" s="60">
        <v>1506</v>
      </c>
      <c r="F780" s="60">
        <v>1414</v>
      </c>
      <c r="G780" s="60">
        <v>1438</v>
      </c>
      <c r="H780" s="60">
        <v>1311</v>
      </c>
      <c r="I780" s="60">
        <v>1329</v>
      </c>
      <c r="J780" s="60">
        <v>1458</v>
      </c>
      <c r="K780" s="60">
        <v>1400</v>
      </c>
      <c r="L780" s="60">
        <v>1417</v>
      </c>
      <c r="M780" s="60">
        <v>1407</v>
      </c>
      <c r="N780" s="60">
        <v>1569</v>
      </c>
      <c r="O780" s="60">
        <v>1353</v>
      </c>
      <c r="P780" s="60">
        <v>1201</v>
      </c>
      <c r="Q780" s="46"/>
      <c r="R780" s="46"/>
      <c r="S780" s="46"/>
      <c r="T780" s="46"/>
      <c r="U780" s="46"/>
      <c r="V780" s="229"/>
      <c r="W780" s="46"/>
    </row>
    <row r="781" spans="1:31" ht="22.75" thickBot="1" x14ac:dyDescent="0.4">
      <c r="A781" s="294"/>
      <c r="B781" s="42"/>
      <c r="C781" s="42" t="s">
        <v>199</v>
      </c>
      <c r="D781" s="44">
        <f t="shared" ref="D781:P781" si="256">IF(((D779="")*AND(D780="")),"",(D779-D780)*2)</f>
        <v>5494</v>
      </c>
      <c r="E781" s="44">
        <f t="shared" si="256"/>
        <v>5536</v>
      </c>
      <c r="F781" s="44">
        <f t="shared" si="256"/>
        <v>5458</v>
      </c>
      <c r="G781" s="44">
        <f t="shared" si="256"/>
        <v>5484</v>
      </c>
      <c r="H781" s="44">
        <f t="shared" si="256"/>
        <v>5528</v>
      </c>
      <c r="I781" s="44">
        <f t="shared" si="256"/>
        <v>5532</v>
      </c>
      <c r="J781" s="44">
        <f t="shared" si="256"/>
        <v>5492</v>
      </c>
      <c r="K781" s="44">
        <f t="shared" si="256"/>
        <v>5484</v>
      </c>
      <c r="L781" s="44">
        <f t="shared" si="256"/>
        <v>5462</v>
      </c>
      <c r="M781" s="44">
        <f t="shared" si="256"/>
        <v>5502</v>
      </c>
      <c r="N781" s="44">
        <f t="shared" si="256"/>
        <v>5500</v>
      </c>
      <c r="O781" s="44">
        <f t="shared" si="256"/>
        <v>5502</v>
      </c>
      <c r="P781" s="44">
        <f t="shared" si="256"/>
        <v>5632</v>
      </c>
      <c r="Q781" s="42"/>
      <c r="R781" s="42"/>
      <c r="S781" s="42"/>
      <c r="T781" s="42"/>
      <c r="U781" s="42"/>
      <c r="V781" s="230"/>
      <c r="W781" s="42"/>
    </row>
    <row r="782" spans="1:31" ht="12.75" customHeight="1" x14ac:dyDescent="0.25">
      <c r="A782" s="40">
        <v>43588</v>
      </c>
      <c r="B782" s="55" t="s">
        <v>204</v>
      </c>
      <c r="C782" s="59" t="s">
        <v>201</v>
      </c>
      <c r="D782" s="35">
        <v>3722.94</v>
      </c>
      <c r="E782" s="35">
        <v>3855.84</v>
      </c>
      <c r="F782" s="35">
        <v>3845.44</v>
      </c>
      <c r="G782" s="35">
        <v>3836.08</v>
      </c>
      <c r="H782" s="35">
        <v>3733.89</v>
      </c>
      <c r="I782" s="35">
        <v>3634.53</v>
      </c>
      <c r="J782" s="35">
        <v>3808.1</v>
      </c>
      <c r="K782" s="35">
        <v>3857.41</v>
      </c>
      <c r="L782" s="35">
        <v>3836.28</v>
      </c>
      <c r="M782" s="58"/>
      <c r="N782" s="58"/>
      <c r="O782" s="58"/>
      <c r="P782" s="58"/>
      <c r="Q782" s="55">
        <f>IF((L783=""),"",MAX(D784:L784))</f>
        <v>7424.61</v>
      </c>
      <c r="R782" s="55">
        <f>IF(L783="","",MIN(D784:L784))</f>
        <v>6706.38</v>
      </c>
      <c r="S782" s="57">
        <f>IF((L784=""),"",AVERAGE(D784:L784))</f>
        <v>6855.2233333333334</v>
      </c>
      <c r="T782" s="51">
        <f>IF((L783=""),"",(Q782-R782)/(Q782+R782)*100)</f>
        <v>5.082658752146874</v>
      </c>
      <c r="U782" s="55">
        <f>STDEV(D784:P784)</f>
        <v>224.15144796543251</v>
      </c>
      <c r="V782" s="231" t="str">
        <f>IF(L783="","",IF(T782&lt;9.8,IF(S782&gt;5100,IF(S782&lt;8300,"Pass","Fail"),"Fail"),"Fail"))</f>
        <v>Pass</v>
      </c>
      <c r="W782" s="55">
        <v>1159</v>
      </c>
      <c r="X782" s="66" t="s">
        <v>203</v>
      </c>
      <c r="Z782" s="37">
        <v>4955</v>
      </c>
      <c r="AA782" s="37">
        <v>9645</v>
      </c>
      <c r="AB782" s="37">
        <v>5100</v>
      </c>
      <c r="AC782" s="37">
        <v>8300</v>
      </c>
      <c r="AD782" s="67">
        <v>10</v>
      </c>
      <c r="AE782" s="67">
        <v>9.8000000000000007</v>
      </c>
    </row>
    <row r="783" spans="1:31" ht="16.100000000000001" x14ac:dyDescent="0.35">
      <c r="A783" s="294"/>
      <c r="B783" s="46"/>
      <c r="C783" s="54" t="s">
        <v>200</v>
      </c>
      <c r="D783" s="35">
        <v>1410.14</v>
      </c>
      <c r="E783" s="35">
        <v>1620.38</v>
      </c>
      <c r="F783" s="35">
        <v>1600.03</v>
      </c>
      <c r="G783" s="35">
        <v>1582.84</v>
      </c>
      <c r="H783" s="35">
        <v>1454.42</v>
      </c>
      <c r="I783" s="35">
        <v>1159.6600000000001</v>
      </c>
      <c r="J783" s="35">
        <v>1556.02</v>
      </c>
      <c r="K783" s="35">
        <v>1605.17</v>
      </c>
      <c r="L783" s="35">
        <v>1576.18</v>
      </c>
      <c r="M783" s="53"/>
      <c r="N783" s="53"/>
      <c r="O783" s="53"/>
      <c r="P783" s="53"/>
      <c r="Q783" s="46"/>
      <c r="R783" s="46"/>
      <c r="S783" s="46"/>
      <c r="T783" s="46"/>
      <c r="U783" s="46"/>
      <c r="V783" s="229"/>
      <c r="W783" s="46"/>
      <c r="X783" s="45"/>
    </row>
    <row r="784" spans="1:31" ht="22.75" thickBot="1" x14ac:dyDescent="0.4">
      <c r="A784" s="294"/>
      <c r="B784" s="46"/>
      <c r="C784" s="48" t="s">
        <v>199</v>
      </c>
      <c r="D784" s="52">
        <f t="shared" ref="D784:L784" si="257">IF(((D782="")*AND(D783="")),"",(D782-D783)*3)</f>
        <v>6938.4000000000005</v>
      </c>
      <c r="E784" s="52">
        <f t="shared" si="257"/>
        <v>6706.38</v>
      </c>
      <c r="F784" s="52">
        <f t="shared" si="257"/>
        <v>6736.23</v>
      </c>
      <c r="G784" s="52">
        <f t="shared" si="257"/>
        <v>6759.7199999999993</v>
      </c>
      <c r="H784" s="52">
        <f t="shared" si="257"/>
        <v>6838.41</v>
      </c>
      <c r="I784" s="52">
        <f t="shared" si="257"/>
        <v>7424.61</v>
      </c>
      <c r="J784" s="52">
        <f t="shared" si="257"/>
        <v>6756.24</v>
      </c>
      <c r="K784" s="52">
        <f t="shared" si="257"/>
        <v>6756.7199999999993</v>
      </c>
      <c r="L784" s="52">
        <f t="shared" si="257"/>
        <v>6780.3000000000011</v>
      </c>
      <c r="M784" s="52"/>
      <c r="N784" s="52"/>
      <c r="O784" s="52"/>
      <c r="P784" s="52" t="str">
        <f>IF(((P782="")*AND(P783="")),"",(P782-P783)*2)</f>
        <v/>
      </c>
      <c r="Q784" s="46"/>
      <c r="R784" s="46"/>
      <c r="S784" s="46"/>
      <c r="T784" s="46"/>
      <c r="U784" s="46"/>
      <c r="V784" s="229"/>
      <c r="W784" s="46"/>
      <c r="X784" s="45"/>
    </row>
    <row r="785" spans="1:31" ht="12.75" customHeight="1" x14ac:dyDescent="0.25">
      <c r="A785" s="40">
        <v>43588</v>
      </c>
      <c r="B785" s="48" t="s">
        <v>202</v>
      </c>
      <c r="C785" s="48" t="s">
        <v>201</v>
      </c>
      <c r="D785" s="35">
        <v>6819.21</v>
      </c>
      <c r="E785" s="35">
        <v>6946.83</v>
      </c>
      <c r="F785" s="35">
        <v>6815.59</v>
      </c>
      <c r="G785" s="35">
        <v>6826.37</v>
      </c>
      <c r="H785" s="35">
        <v>6779.35</v>
      </c>
      <c r="I785" s="35">
        <v>6830.12</v>
      </c>
      <c r="J785" s="35">
        <v>6845.32</v>
      </c>
      <c r="K785" s="35">
        <v>6820.08</v>
      </c>
      <c r="L785" s="35">
        <v>6802.02</v>
      </c>
      <c r="M785" s="35">
        <v>6843.12</v>
      </c>
      <c r="N785" s="35">
        <v>6974.17</v>
      </c>
      <c r="O785" s="35">
        <v>6814.48</v>
      </c>
      <c r="P785" s="35">
        <v>6740.27</v>
      </c>
      <c r="Q785" s="48">
        <f>IF((L786=""),"",MAX(D787:P787))</f>
        <v>5570.74</v>
      </c>
      <c r="R785" s="48">
        <f>IF(L786="","",MIN(D787:L787))</f>
        <v>5432.2800000000007</v>
      </c>
      <c r="S785" s="51">
        <f>IF((P787=""),"",AVERAGE(D787:P787))</f>
        <v>5501.992307692306</v>
      </c>
      <c r="T785" s="50">
        <f>IF((L786=""),"",(Q785-R785)/(Q785+R785)*100)</f>
        <v>1.2583817897268126</v>
      </c>
      <c r="U785" s="48">
        <f>STDEV(D787:P787)</f>
        <v>48.636200193176634</v>
      </c>
      <c r="V785" s="228" t="str">
        <f>IF(P786="","",IF(T785&lt;2.7,IF(S785&gt;5150,IF(S785&lt;5600,"Pass","Fail"),"Fail"),"Fail"))</f>
        <v>Pass</v>
      </c>
      <c r="W785" s="48">
        <v>1159</v>
      </c>
      <c r="X785" s="66" t="s">
        <v>203</v>
      </c>
      <c r="Z785" s="251">
        <v>4470</v>
      </c>
      <c r="AA785" s="251">
        <v>6020</v>
      </c>
      <c r="AB785" s="251">
        <v>5150</v>
      </c>
      <c r="AC785" s="251">
        <v>5600</v>
      </c>
      <c r="AD785" s="67">
        <v>10</v>
      </c>
      <c r="AE785" s="252">
        <v>2.7</v>
      </c>
    </row>
    <row r="786" spans="1:31" ht="16.100000000000001" x14ac:dyDescent="0.35">
      <c r="A786" s="294"/>
      <c r="B786" s="46"/>
      <c r="C786" s="46" t="s">
        <v>200</v>
      </c>
      <c r="D786" s="35">
        <v>4099.62</v>
      </c>
      <c r="E786" s="35">
        <v>4230.0200000000004</v>
      </c>
      <c r="F786" s="35">
        <v>4099.45</v>
      </c>
      <c r="G786" s="35">
        <v>4063.1</v>
      </c>
      <c r="H786" s="35">
        <v>4025.7</v>
      </c>
      <c r="I786" s="35">
        <v>4062.83</v>
      </c>
      <c r="J786" s="35">
        <v>4066.02</v>
      </c>
      <c r="K786" s="35">
        <v>4047.44</v>
      </c>
      <c r="L786" s="35">
        <v>4076.83</v>
      </c>
      <c r="M786" s="35">
        <v>4057.75</v>
      </c>
      <c r="N786" s="35">
        <v>4227.37</v>
      </c>
      <c r="O786" s="35">
        <v>4061.39</v>
      </c>
      <c r="P786" s="35">
        <v>3976.46</v>
      </c>
      <c r="Q786" s="46"/>
      <c r="R786" s="46"/>
      <c r="S786" s="46"/>
      <c r="T786" s="46"/>
      <c r="U786" s="46"/>
      <c r="V786" s="229"/>
      <c r="W786" s="46"/>
      <c r="X786" s="215"/>
      <c r="Y786" s="45"/>
    </row>
    <row r="787" spans="1:31" ht="22.75" thickBot="1" x14ac:dyDescent="0.4">
      <c r="A787" s="294"/>
      <c r="B787" s="42"/>
      <c r="C787" s="42" t="s">
        <v>199</v>
      </c>
      <c r="D787" s="44">
        <f t="shared" ref="D787:P787" si="258">IF(((D785="")*AND(D786="")),"",(D785-D786)*2)</f>
        <v>5439.18</v>
      </c>
      <c r="E787" s="44">
        <f t="shared" si="258"/>
        <v>5433.619999999999</v>
      </c>
      <c r="F787" s="44">
        <f t="shared" si="258"/>
        <v>5432.2800000000007</v>
      </c>
      <c r="G787" s="44">
        <f t="shared" si="258"/>
        <v>5526.54</v>
      </c>
      <c r="H787" s="44">
        <f t="shared" si="258"/>
        <v>5507.3000000000011</v>
      </c>
      <c r="I787" s="44">
        <f t="shared" si="258"/>
        <v>5534.58</v>
      </c>
      <c r="J787" s="44">
        <f t="shared" si="258"/>
        <v>5558.5999999999995</v>
      </c>
      <c r="K787" s="44">
        <f t="shared" si="258"/>
        <v>5545.28</v>
      </c>
      <c r="L787" s="44">
        <f t="shared" si="258"/>
        <v>5450.380000000001</v>
      </c>
      <c r="M787" s="44">
        <f t="shared" si="258"/>
        <v>5570.74</v>
      </c>
      <c r="N787" s="44">
        <f t="shared" si="258"/>
        <v>5493.6</v>
      </c>
      <c r="O787" s="44">
        <f t="shared" si="258"/>
        <v>5506.1799999999994</v>
      </c>
      <c r="P787" s="44">
        <f t="shared" si="258"/>
        <v>5527.6200000000008</v>
      </c>
      <c r="Q787" s="42"/>
      <c r="R787" s="42"/>
      <c r="S787" s="42"/>
      <c r="T787" s="42"/>
      <c r="U787" s="42"/>
      <c r="V787" s="230"/>
      <c r="W787" s="42"/>
      <c r="X787" s="215"/>
      <c r="Y787" s="41"/>
    </row>
  </sheetData>
  <autoFilter ref="A10:AD787"/>
  <mergeCells count="7">
    <mergeCell ref="C9:P9"/>
    <mergeCell ref="Y518:Y520"/>
    <mergeCell ref="Y512:Y517"/>
    <mergeCell ref="Y500:Y505"/>
    <mergeCell ref="Y530:Y532"/>
    <mergeCell ref="Y524:Y526"/>
    <mergeCell ref="Y506:Y511"/>
  </mergeCells>
  <conditionalFormatting sqref="I32:I33 I35:P36 I29:P30 M32:P33 I38:I39 I41:P42 M38:P39 I44:I45 I47:P48 M44:P45 I50:I51 I53:P54 M50:P51 I56:I57 I59:P60 M56:P57 I62:I63 I65:P66 M62:P63 I68:I69 I71:P72 M68:P69 I77:P78 I74:I75 I83:P84 I80:I81 I89:P90 I86:I87 I95:P96 I92:I93 I101:P102 I98:I99 I107:P108 I104:I105 I113:P114 I110:I111 I119:P120 I116:I117 I125:P126 I122:I123 I131:P132 I128:I129 I137:P138 I134:I135 I140:P141 I143:I144 I146:P147 I149:I150 I152:I153 I155:P156 I158:I159 I161:P162 I164:I165 I167:P168 I170:I171 I173:P174 I176:I177 I179:P180 I182:I183 I185:P186 I188:I189 I191:P192 I194:I195 I197:P198 I200:I201 I203:P204 I206:I207 I209:P210 I218:I219 I221:P222 I224:I225 I227:P228 I230:I231 I233:P234 I236:P237 I239:P240 I212:I213 I215:P216 I242:P243 I245:P246 I248:P249 I251:P252 I254:P255 I257:P258 I26:P27 I23:P24 I20:P21 I14:I15 I17:P18 J11:P12 I12 M14:M15 I260:P261 I263:P264 I266:P267 I269:P270 I275:P276 I278:P279 I281:P282 I284:P285 I287:P288 I290:P291 I293:P294 I296:P297 I299:P300 I302:P303 I305:P306 I272:P273 I308:P309 I311:P312 I314:P315 I317:P318 I320:P321 I323:P324 I326:P327 I329:P330 I332:P333 I335:P336 I338:P339 I341:P342 I344:P345 I347:P348 I350:P351 I353:P354 I356:P357 I359:P360 I362:P363 I365:P366 I368:P369 I371:P372 I374:P375 I377:P378 I380:P381 I383:P384 I386:P387 I389:P390 I392:P393 I395:P396 I398:P399 I401:P402 I404:P405 I407:P408 I416:P417 I419:P420 I422:P423 I425:P426 I428:P429 I431:P432 I434:P435 I437:P438 I440:P441 I443:P444 I446:P447 I449:P450 I452:P453 I455:P456 I458:P459 I461:P462 I410:P411 I413:P414 I470:P471 I473:P474 I476:P477 I479:P480 I464:P465 I467:P468 I482:P483 I485:P486 I488:P489 I491:P492 H494:P495 H497:P498 H500:P501 H503:P504 H506:P507 H509:P510 H512:P513 H515:P516 H518:P519 H521:P522 H524:P525 H527:P528 H530:P531 G528 H533:P534 H536:P537 G534 H539:P540 H542:P543 G540 H545:P546 H548:P549 G546 H551:P552 H584:P585 H587:P588 G585 H590:P591 H593:P594 G591 G554:P555 H557:P558 G560:P561 H563:P564 H569:P570 G566:P567 H575:P576 G572:P573 G578:P579 H581:P582 G601:O601 D606:E607 G606:H607 E605 H599:P600 G596:P597 G602:P603 H605 I605:P606 D612:E613 G612:H613 E611 G608:P609 H611 I611:P612 G627:H628 I626:P627 D615:E616 G615:H616 E614 H614 I614:P615 G617:P618 D621:E622 G621:H622 E620 H620 I620:P621 G623:P624 G629:P630 D626:E628 G626:P626 D633:E634 G633:H634 E632 H632 I632:P633 G635:P636 D639:E640 G639:H640 E638 H638 I638:P639 G641:P642 D645:E646 G645:H646 E644 H644 I644:P645 G647:P648 D651:E652 G651:H652 E650 H650 I650:P651 G653:P654 D660:E661 G660:H661 E659 G656:P657 H659 I659:P660 D666:E667 G666:H667 E665 G662:P663 H665 I665:P666 D672:E673 G672:H673 E671 G668:P669 H671 I671:P672 D678:E679 G678:H679 E677 G674:P675 H677 I677:P678 D684:E685 G684:H685 E683 G680:P681 H683 I683:P684 D690:E691 G690:H691 E689 G686:P687 H689 I689:P690 D696:E697 G696:H697 E695 G692:P693 H695 I695:P696 D702:E703 G702:H703 E701 G698:P699 H701 I701:P702 D708:E709 G708:H709 E707 G704:P705 H707 I707:P708 D714:E715 G714:H715 E713 G710:P711 H713 I713:P714 G716:P717 D723:E724 G723:H724 E722 G719:P720 H722 I722:P723 D729:E730 G729:H730 E728 G725:P726 H728 I728:P729 D735:E736 G735:H736 E734 G731:P732 H734 I734:P735 D741:E742 G741:H742 E740 G737:P738 H740 I740:P741 G747:H748 E746 G743:P744 H746 I746:P747 D747:E750 G753:H754 E752 G749:P750 H752 I752:P753 G759:H760 G758:P759 D753:E756 G755:P756 G762:H763 G761:P762 G768:H769 G767:P768 D758:E765 G764:P765 G774:H775 G773:P774 D767:E771 G770:P771 D773:E777 G776:P777 G779:H781 G779:P780 D779:E783 D786:E787 G786:H787 E785 G782:P783 H785 I785:P786">
    <cfRule type="cellIs" dxfId="11" priority="16857" stopIfTrue="1" operator="equal">
      <formula>"Pass"</formula>
    </cfRule>
    <cfRule type="cellIs" dxfId="10" priority="16858" stopIfTrue="1" operator="equal">
      <formula>"Fail"</formula>
    </cfRule>
  </conditionalFormatting>
  <conditionalFormatting sqref="V11:V493 U494:V787">
    <cfRule type="cellIs" dxfId="9" priority="16859" stopIfTrue="1" operator="equal">
      <formula>"Fail"</formula>
    </cfRule>
    <cfRule type="cellIs" dxfId="8" priority="16860" stopIfTrue="1" operator="equal">
      <formula>"Pass"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6:A273"/>
  <sheetViews>
    <sheetView workbookViewId="0">
      <selection activeCell="E18" sqref="E18"/>
    </sheetView>
  </sheetViews>
  <sheetFormatPr defaultRowHeight="16.100000000000001" x14ac:dyDescent="0.35"/>
  <sheetData>
    <row r="26" spans="1:1" x14ac:dyDescent="0.35">
      <c r="A26" s="248"/>
    </row>
    <row r="27" spans="1:1" x14ac:dyDescent="0.35">
      <c r="A27" s="248"/>
    </row>
    <row r="28" spans="1:1" x14ac:dyDescent="0.35">
      <c r="A28" s="248"/>
    </row>
    <row r="29" spans="1:1" x14ac:dyDescent="0.35">
      <c r="A29" s="248"/>
    </row>
    <row r="30" spans="1:1" x14ac:dyDescent="0.35">
      <c r="A30" s="248"/>
    </row>
    <row r="31" spans="1:1" x14ac:dyDescent="0.35">
      <c r="A31" s="248"/>
    </row>
    <row r="32" spans="1:1" x14ac:dyDescent="0.35">
      <c r="A32" s="248"/>
    </row>
    <row r="33" spans="1:1" x14ac:dyDescent="0.35">
      <c r="A33" s="248"/>
    </row>
    <row r="34" spans="1:1" x14ac:dyDescent="0.35">
      <c r="A34" s="248"/>
    </row>
    <row r="35" spans="1:1" x14ac:dyDescent="0.35">
      <c r="A35" s="248"/>
    </row>
    <row r="36" spans="1:1" x14ac:dyDescent="0.35">
      <c r="A36" s="248"/>
    </row>
    <row r="37" spans="1:1" x14ac:dyDescent="0.35">
      <c r="A37" s="248"/>
    </row>
    <row r="38" spans="1:1" x14ac:dyDescent="0.35">
      <c r="A38" s="248"/>
    </row>
    <row r="39" spans="1:1" x14ac:dyDescent="0.35">
      <c r="A39" s="248"/>
    </row>
    <row r="40" spans="1:1" x14ac:dyDescent="0.35">
      <c r="A40" s="248"/>
    </row>
    <row r="41" spans="1:1" x14ac:dyDescent="0.35">
      <c r="A41" s="248"/>
    </row>
    <row r="42" spans="1:1" x14ac:dyDescent="0.35">
      <c r="A42" s="248"/>
    </row>
    <row r="43" spans="1:1" x14ac:dyDescent="0.35">
      <c r="A43" s="248"/>
    </row>
    <row r="44" spans="1:1" x14ac:dyDescent="0.35">
      <c r="A44" s="248"/>
    </row>
    <row r="45" spans="1:1" x14ac:dyDescent="0.35">
      <c r="A45" s="248"/>
    </row>
    <row r="46" spans="1:1" x14ac:dyDescent="0.35">
      <c r="A46" s="248"/>
    </row>
    <row r="47" spans="1:1" x14ac:dyDescent="0.35">
      <c r="A47" s="248"/>
    </row>
    <row r="48" spans="1:1" x14ac:dyDescent="0.35">
      <c r="A48" s="248"/>
    </row>
    <row r="49" spans="1:1" x14ac:dyDescent="0.35">
      <c r="A49" s="248"/>
    </row>
    <row r="50" spans="1:1" x14ac:dyDescent="0.35">
      <c r="A50" s="248"/>
    </row>
    <row r="51" spans="1:1" x14ac:dyDescent="0.35">
      <c r="A51" s="248"/>
    </row>
    <row r="52" spans="1:1" x14ac:dyDescent="0.35">
      <c r="A52" s="248"/>
    </row>
    <row r="53" spans="1:1" x14ac:dyDescent="0.35">
      <c r="A53" s="248"/>
    </row>
    <row r="54" spans="1:1" x14ac:dyDescent="0.35">
      <c r="A54" s="248"/>
    </row>
    <row r="55" spans="1:1" x14ac:dyDescent="0.35">
      <c r="A55" s="248"/>
    </row>
    <row r="56" spans="1:1" x14ac:dyDescent="0.35">
      <c r="A56" s="248"/>
    </row>
    <row r="57" spans="1:1" x14ac:dyDescent="0.35">
      <c r="A57" s="248"/>
    </row>
    <row r="58" spans="1:1" x14ac:dyDescent="0.35">
      <c r="A58" s="248"/>
    </row>
    <row r="59" spans="1:1" x14ac:dyDescent="0.35">
      <c r="A59" s="248"/>
    </row>
    <row r="60" spans="1:1" x14ac:dyDescent="0.35">
      <c r="A60" s="248"/>
    </row>
    <row r="61" spans="1:1" x14ac:dyDescent="0.35">
      <c r="A61" s="248"/>
    </row>
    <row r="62" spans="1:1" x14ac:dyDescent="0.35">
      <c r="A62" s="248"/>
    </row>
    <row r="63" spans="1:1" x14ac:dyDescent="0.35">
      <c r="A63" s="248"/>
    </row>
    <row r="64" spans="1:1" x14ac:dyDescent="0.35">
      <c r="A64" s="248"/>
    </row>
    <row r="65" spans="1:1" x14ac:dyDescent="0.35">
      <c r="A65" s="248"/>
    </row>
    <row r="66" spans="1:1" x14ac:dyDescent="0.35">
      <c r="A66" s="248"/>
    </row>
    <row r="67" spans="1:1" x14ac:dyDescent="0.35">
      <c r="A67" s="248"/>
    </row>
    <row r="68" spans="1:1" x14ac:dyDescent="0.35">
      <c r="A68" s="248"/>
    </row>
    <row r="69" spans="1:1" x14ac:dyDescent="0.35">
      <c r="A69" s="248"/>
    </row>
    <row r="70" spans="1:1" x14ac:dyDescent="0.35">
      <c r="A70" s="248"/>
    </row>
    <row r="71" spans="1:1" x14ac:dyDescent="0.35">
      <c r="A71" s="248"/>
    </row>
    <row r="72" spans="1:1" x14ac:dyDescent="0.35">
      <c r="A72" s="248"/>
    </row>
    <row r="73" spans="1:1" x14ac:dyDescent="0.35">
      <c r="A73" s="248"/>
    </row>
    <row r="74" spans="1:1" x14ac:dyDescent="0.35">
      <c r="A74" s="248"/>
    </row>
    <row r="75" spans="1:1" x14ac:dyDescent="0.35">
      <c r="A75" s="248"/>
    </row>
    <row r="76" spans="1:1" x14ac:dyDescent="0.35">
      <c r="A76" s="248"/>
    </row>
    <row r="77" spans="1:1" x14ac:dyDescent="0.35">
      <c r="A77" s="248"/>
    </row>
    <row r="78" spans="1:1" x14ac:dyDescent="0.35">
      <c r="A78" s="248"/>
    </row>
    <row r="79" spans="1:1" x14ac:dyDescent="0.35">
      <c r="A79" s="248"/>
    </row>
    <row r="80" spans="1:1" x14ac:dyDescent="0.35">
      <c r="A80" s="248"/>
    </row>
    <row r="81" spans="1:1" x14ac:dyDescent="0.35">
      <c r="A81" s="248"/>
    </row>
    <row r="82" spans="1:1" x14ac:dyDescent="0.35">
      <c r="A82" s="248"/>
    </row>
    <row r="83" spans="1:1" x14ac:dyDescent="0.35">
      <c r="A83" s="248"/>
    </row>
    <row r="84" spans="1:1" x14ac:dyDescent="0.35">
      <c r="A84" s="248"/>
    </row>
    <row r="85" spans="1:1" x14ac:dyDescent="0.35">
      <c r="A85" s="248"/>
    </row>
    <row r="86" spans="1:1" x14ac:dyDescent="0.35">
      <c r="A86" s="248"/>
    </row>
    <row r="87" spans="1:1" x14ac:dyDescent="0.35">
      <c r="A87" s="248"/>
    </row>
    <row r="88" spans="1:1" x14ac:dyDescent="0.35">
      <c r="A88" s="248"/>
    </row>
    <row r="89" spans="1:1" x14ac:dyDescent="0.35">
      <c r="A89" s="248"/>
    </row>
    <row r="90" spans="1:1" x14ac:dyDescent="0.35">
      <c r="A90" s="248"/>
    </row>
    <row r="91" spans="1:1" x14ac:dyDescent="0.35">
      <c r="A91" s="248"/>
    </row>
    <row r="92" spans="1:1" x14ac:dyDescent="0.35">
      <c r="A92" s="248"/>
    </row>
    <row r="93" spans="1:1" x14ac:dyDescent="0.35">
      <c r="A93" s="248"/>
    </row>
    <row r="94" spans="1:1" x14ac:dyDescent="0.35">
      <c r="A94" s="248"/>
    </row>
    <row r="95" spans="1:1" x14ac:dyDescent="0.35">
      <c r="A95" s="248"/>
    </row>
    <row r="96" spans="1:1" x14ac:dyDescent="0.35">
      <c r="A96" s="248"/>
    </row>
    <row r="97" spans="1:1" x14ac:dyDescent="0.35">
      <c r="A97" s="248"/>
    </row>
    <row r="98" spans="1:1" x14ac:dyDescent="0.35">
      <c r="A98" s="248"/>
    </row>
    <row r="99" spans="1:1" x14ac:dyDescent="0.35">
      <c r="A99" s="248"/>
    </row>
    <row r="100" spans="1:1" x14ac:dyDescent="0.35">
      <c r="A100" s="248"/>
    </row>
    <row r="101" spans="1:1" x14ac:dyDescent="0.35">
      <c r="A101" s="248"/>
    </row>
    <row r="102" spans="1:1" x14ac:dyDescent="0.35">
      <c r="A102" s="248"/>
    </row>
    <row r="103" spans="1:1" x14ac:dyDescent="0.35">
      <c r="A103" s="248"/>
    </row>
    <row r="104" spans="1:1" x14ac:dyDescent="0.35">
      <c r="A104" s="248"/>
    </row>
    <row r="105" spans="1:1" x14ac:dyDescent="0.35">
      <c r="A105" s="248"/>
    </row>
    <row r="106" spans="1:1" x14ac:dyDescent="0.35">
      <c r="A106" s="248"/>
    </row>
    <row r="107" spans="1:1" x14ac:dyDescent="0.35">
      <c r="A107" s="248"/>
    </row>
    <row r="108" spans="1:1" x14ac:dyDescent="0.35">
      <c r="A108" s="248"/>
    </row>
    <row r="109" spans="1:1" x14ac:dyDescent="0.35">
      <c r="A109" s="248"/>
    </row>
    <row r="110" spans="1:1" x14ac:dyDescent="0.35">
      <c r="A110" s="248"/>
    </row>
    <row r="111" spans="1:1" x14ac:dyDescent="0.35">
      <c r="A111" s="248"/>
    </row>
    <row r="112" spans="1:1" x14ac:dyDescent="0.35">
      <c r="A112" s="248"/>
    </row>
    <row r="113" spans="1:1" x14ac:dyDescent="0.35">
      <c r="A113" s="248"/>
    </row>
    <row r="114" spans="1:1" x14ac:dyDescent="0.35">
      <c r="A114" s="248"/>
    </row>
    <row r="115" spans="1:1" x14ac:dyDescent="0.35">
      <c r="A115" s="248"/>
    </row>
    <row r="116" spans="1:1" x14ac:dyDescent="0.35">
      <c r="A116" s="248"/>
    </row>
    <row r="117" spans="1:1" x14ac:dyDescent="0.35">
      <c r="A117" s="248"/>
    </row>
    <row r="118" spans="1:1" x14ac:dyDescent="0.35">
      <c r="A118" s="248"/>
    </row>
    <row r="119" spans="1:1" x14ac:dyDescent="0.35">
      <c r="A119" s="248"/>
    </row>
    <row r="120" spans="1:1" x14ac:dyDescent="0.35">
      <c r="A120" s="248"/>
    </row>
    <row r="121" spans="1:1" x14ac:dyDescent="0.35">
      <c r="A121" s="248"/>
    </row>
    <row r="122" spans="1:1" x14ac:dyDescent="0.35">
      <c r="A122" s="248"/>
    </row>
    <row r="123" spans="1:1" x14ac:dyDescent="0.35">
      <c r="A123" s="248"/>
    </row>
    <row r="124" spans="1:1" x14ac:dyDescent="0.35">
      <c r="A124" s="248"/>
    </row>
    <row r="125" spans="1:1" x14ac:dyDescent="0.35">
      <c r="A125" s="248"/>
    </row>
    <row r="126" spans="1:1" x14ac:dyDescent="0.35">
      <c r="A126" s="248"/>
    </row>
    <row r="127" spans="1:1" x14ac:dyDescent="0.35">
      <c r="A127" s="248"/>
    </row>
    <row r="128" spans="1:1" x14ac:dyDescent="0.35">
      <c r="A128" s="248"/>
    </row>
    <row r="129" spans="1:1" x14ac:dyDescent="0.35">
      <c r="A129" s="248"/>
    </row>
    <row r="130" spans="1:1" x14ac:dyDescent="0.35">
      <c r="A130" s="248"/>
    </row>
    <row r="131" spans="1:1" x14ac:dyDescent="0.35">
      <c r="A131" s="248"/>
    </row>
    <row r="132" spans="1:1" x14ac:dyDescent="0.35">
      <c r="A132" s="248"/>
    </row>
    <row r="133" spans="1:1" x14ac:dyDescent="0.35">
      <c r="A133" s="248"/>
    </row>
    <row r="134" spans="1:1" x14ac:dyDescent="0.35">
      <c r="A134" s="248"/>
    </row>
    <row r="135" spans="1:1" x14ac:dyDescent="0.35">
      <c r="A135" s="248"/>
    </row>
    <row r="136" spans="1:1" x14ac:dyDescent="0.35">
      <c r="A136" s="248"/>
    </row>
    <row r="137" spans="1:1" x14ac:dyDescent="0.35">
      <c r="A137" s="248"/>
    </row>
    <row r="138" spans="1:1" x14ac:dyDescent="0.35">
      <c r="A138" s="248"/>
    </row>
    <row r="139" spans="1:1" x14ac:dyDescent="0.35">
      <c r="A139" s="248"/>
    </row>
    <row r="140" spans="1:1" x14ac:dyDescent="0.35">
      <c r="A140" s="248"/>
    </row>
    <row r="141" spans="1:1" x14ac:dyDescent="0.35">
      <c r="A141" s="248"/>
    </row>
    <row r="142" spans="1:1" x14ac:dyDescent="0.35">
      <c r="A142" s="248"/>
    </row>
    <row r="143" spans="1:1" x14ac:dyDescent="0.35">
      <c r="A143" s="248"/>
    </row>
    <row r="144" spans="1:1" x14ac:dyDescent="0.35">
      <c r="A144" s="248"/>
    </row>
    <row r="145" spans="1:1" x14ac:dyDescent="0.35">
      <c r="A145" s="248"/>
    </row>
    <row r="146" spans="1:1" x14ac:dyDescent="0.35">
      <c r="A146" s="248"/>
    </row>
    <row r="147" spans="1:1" x14ac:dyDescent="0.35">
      <c r="A147" s="248"/>
    </row>
    <row r="148" spans="1:1" x14ac:dyDescent="0.35">
      <c r="A148" s="248"/>
    </row>
    <row r="149" spans="1:1" x14ac:dyDescent="0.35">
      <c r="A149" s="248"/>
    </row>
    <row r="150" spans="1:1" x14ac:dyDescent="0.35">
      <c r="A150" s="248"/>
    </row>
    <row r="151" spans="1:1" x14ac:dyDescent="0.35">
      <c r="A151" s="248"/>
    </row>
    <row r="152" spans="1:1" x14ac:dyDescent="0.35">
      <c r="A152" s="248"/>
    </row>
    <row r="153" spans="1:1" x14ac:dyDescent="0.35">
      <c r="A153" s="248"/>
    </row>
    <row r="154" spans="1:1" x14ac:dyDescent="0.35">
      <c r="A154" s="248"/>
    </row>
    <row r="155" spans="1:1" x14ac:dyDescent="0.35">
      <c r="A155" s="248"/>
    </row>
    <row r="156" spans="1:1" x14ac:dyDescent="0.35">
      <c r="A156" s="248"/>
    </row>
    <row r="157" spans="1:1" x14ac:dyDescent="0.35">
      <c r="A157" s="248"/>
    </row>
    <row r="158" spans="1:1" x14ac:dyDescent="0.35">
      <c r="A158" s="248"/>
    </row>
    <row r="159" spans="1:1" x14ac:dyDescent="0.35">
      <c r="A159" s="248"/>
    </row>
    <row r="160" spans="1:1" x14ac:dyDescent="0.35">
      <c r="A160" s="248"/>
    </row>
    <row r="161" spans="1:1" x14ac:dyDescent="0.35">
      <c r="A161" s="248"/>
    </row>
    <row r="162" spans="1:1" x14ac:dyDescent="0.35">
      <c r="A162" s="248"/>
    </row>
    <row r="163" spans="1:1" x14ac:dyDescent="0.35">
      <c r="A163" s="248"/>
    </row>
    <row r="164" spans="1:1" x14ac:dyDescent="0.35">
      <c r="A164" s="248"/>
    </row>
    <row r="165" spans="1:1" x14ac:dyDescent="0.35">
      <c r="A165" s="248"/>
    </row>
    <row r="166" spans="1:1" x14ac:dyDescent="0.35">
      <c r="A166" s="248"/>
    </row>
    <row r="167" spans="1:1" x14ac:dyDescent="0.35">
      <c r="A167" s="248"/>
    </row>
    <row r="168" spans="1:1" x14ac:dyDescent="0.35">
      <c r="A168" s="248"/>
    </row>
    <row r="169" spans="1:1" x14ac:dyDescent="0.35">
      <c r="A169" s="248"/>
    </row>
    <row r="170" spans="1:1" x14ac:dyDescent="0.35">
      <c r="A170" s="248"/>
    </row>
    <row r="171" spans="1:1" x14ac:dyDescent="0.35">
      <c r="A171" s="248"/>
    </row>
    <row r="172" spans="1:1" x14ac:dyDescent="0.35">
      <c r="A172" s="248"/>
    </row>
    <row r="173" spans="1:1" x14ac:dyDescent="0.35">
      <c r="A173" s="248"/>
    </row>
    <row r="174" spans="1:1" x14ac:dyDescent="0.35">
      <c r="A174" s="248"/>
    </row>
    <row r="175" spans="1:1" x14ac:dyDescent="0.35">
      <c r="A175" s="248"/>
    </row>
    <row r="176" spans="1:1" x14ac:dyDescent="0.35">
      <c r="A176" s="248"/>
    </row>
    <row r="177" spans="1:1" x14ac:dyDescent="0.35">
      <c r="A177" s="248"/>
    </row>
    <row r="178" spans="1:1" x14ac:dyDescent="0.35">
      <c r="A178" s="248"/>
    </row>
    <row r="179" spans="1:1" x14ac:dyDescent="0.35">
      <c r="A179" s="248"/>
    </row>
    <row r="180" spans="1:1" x14ac:dyDescent="0.35">
      <c r="A180" s="248"/>
    </row>
    <row r="181" spans="1:1" x14ac:dyDescent="0.35">
      <c r="A181" s="248"/>
    </row>
    <row r="182" spans="1:1" x14ac:dyDescent="0.35">
      <c r="A182" s="248"/>
    </row>
    <row r="183" spans="1:1" x14ac:dyDescent="0.35">
      <c r="A183" s="248"/>
    </row>
    <row r="184" spans="1:1" x14ac:dyDescent="0.35">
      <c r="A184" s="248"/>
    </row>
    <row r="185" spans="1:1" x14ac:dyDescent="0.35">
      <c r="A185" s="248"/>
    </row>
    <row r="186" spans="1:1" x14ac:dyDescent="0.35">
      <c r="A186" s="248"/>
    </row>
    <row r="187" spans="1:1" x14ac:dyDescent="0.35">
      <c r="A187" s="248"/>
    </row>
    <row r="188" spans="1:1" x14ac:dyDescent="0.35">
      <c r="A188" s="248"/>
    </row>
    <row r="189" spans="1:1" x14ac:dyDescent="0.35">
      <c r="A189" s="248"/>
    </row>
    <row r="190" spans="1:1" x14ac:dyDescent="0.35">
      <c r="A190" s="248"/>
    </row>
    <row r="191" spans="1:1" x14ac:dyDescent="0.35">
      <c r="A191" s="248"/>
    </row>
    <row r="192" spans="1:1" x14ac:dyDescent="0.35">
      <c r="A192" s="248"/>
    </row>
    <row r="193" spans="1:1" x14ac:dyDescent="0.35">
      <c r="A193" s="248"/>
    </row>
    <row r="194" spans="1:1" x14ac:dyDescent="0.35">
      <c r="A194" s="248"/>
    </row>
    <row r="195" spans="1:1" x14ac:dyDescent="0.35">
      <c r="A195" s="248"/>
    </row>
    <row r="196" spans="1:1" x14ac:dyDescent="0.35">
      <c r="A196" s="248"/>
    </row>
    <row r="197" spans="1:1" x14ac:dyDescent="0.35">
      <c r="A197" s="248"/>
    </row>
    <row r="198" spans="1:1" x14ac:dyDescent="0.35">
      <c r="A198" s="248"/>
    </row>
    <row r="199" spans="1:1" x14ac:dyDescent="0.35">
      <c r="A199" s="248"/>
    </row>
    <row r="200" spans="1:1" x14ac:dyDescent="0.35">
      <c r="A200" s="248"/>
    </row>
    <row r="201" spans="1:1" x14ac:dyDescent="0.35">
      <c r="A201" s="248"/>
    </row>
    <row r="202" spans="1:1" x14ac:dyDescent="0.35">
      <c r="A202" s="248"/>
    </row>
    <row r="203" spans="1:1" x14ac:dyDescent="0.35">
      <c r="A203" s="248"/>
    </row>
    <row r="204" spans="1:1" x14ac:dyDescent="0.35">
      <c r="A204" s="248"/>
    </row>
    <row r="205" spans="1:1" x14ac:dyDescent="0.35">
      <c r="A205" s="248"/>
    </row>
    <row r="206" spans="1:1" x14ac:dyDescent="0.35">
      <c r="A206" s="248"/>
    </row>
    <row r="207" spans="1:1" x14ac:dyDescent="0.35">
      <c r="A207" s="248"/>
    </row>
    <row r="208" spans="1:1" x14ac:dyDescent="0.35">
      <c r="A208" s="248"/>
    </row>
    <row r="209" spans="1:1" x14ac:dyDescent="0.35">
      <c r="A209" s="248"/>
    </row>
    <row r="210" spans="1:1" x14ac:dyDescent="0.35">
      <c r="A210" s="248"/>
    </row>
    <row r="211" spans="1:1" x14ac:dyDescent="0.35">
      <c r="A211" s="248"/>
    </row>
    <row r="212" spans="1:1" x14ac:dyDescent="0.35">
      <c r="A212" s="248"/>
    </row>
    <row r="213" spans="1:1" x14ac:dyDescent="0.35">
      <c r="A213" s="248"/>
    </row>
    <row r="214" spans="1:1" x14ac:dyDescent="0.35">
      <c r="A214" s="248"/>
    </row>
    <row r="215" spans="1:1" x14ac:dyDescent="0.35">
      <c r="A215" s="248"/>
    </row>
    <row r="216" spans="1:1" x14ac:dyDescent="0.35">
      <c r="A216" s="248"/>
    </row>
    <row r="217" spans="1:1" x14ac:dyDescent="0.35">
      <c r="A217" s="248"/>
    </row>
    <row r="218" spans="1:1" x14ac:dyDescent="0.35">
      <c r="A218" s="248"/>
    </row>
    <row r="219" spans="1:1" x14ac:dyDescent="0.35">
      <c r="A219" s="248"/>
    </row>
    <row r="220" spans="1:1" x14ac:dyDescent="0.35">
      <c r="A220" s="248"/>
    </row>
    <row r="221" spans="1:1" x14ac:dyDescent="0.35">
      <c r="A221" s="248"/>
    </row>
    <row r="222" spans="1:1" x14ac:dyDescent="0.35">
      <c r="A222" s="248"/>
    </row>
    <row r="223" spans="1:1" x14ac:dyDescent="0.35">
      <c r="A223" s="248"/>
    </row>
    <row r="224" spans="1:1" x14ac:dyDescent="0.35">
      <c r="A224" s="248"/>
    </row>
    <row r="225" spans="1:1" x14ac:dyDescent="0.35">
      <c r="A225" s="248"/>
    </row>
    <row r="226" spans="1:1" x14ac:dyDescent="0.35">
      <c r="A226" s="248"/>
    </row>
    <row r="227" spans="1:1" x14ac:dyDescent="0.35">
      <c r="A227" s="248"/>
    </row>
    <row r="228" spans="1:1" x14ac:dyDescent="0.35">
      <c r="A228" s="248"/>
    </row>
    <row r="229" spans="1:1" x14ac:dyDescent="0.35">
      <c r="A229" s="248"/>
    </row>
    <row r="230" spans="1:1" x14ac:dyDescent="0.35">
      <c r="A230" s="248"/>
    </row>
    <row r="231" spans="1:1" x14ac:dyDescent="0.35">
      <c r="A231" s="248"/>
    </row>
    <row r="232" spans="1:1" x14ac:dyDescent="0.35">
      <c r="A232" s="248"/>
    </row>
    <row r="233" spans="1:1" x14ac:dyDescent="0.35">
      <c r="A233" s="248"/>
    </row>
    <row r="234" spans="1:1" x14ac:dyDescent="0.35">
      <c r="A234" s="248"/>
    </row>
    <row r="235" spans="1:1" x14ac:dyDescent="0.35">
      <c r="A235" s="248"/>
    </row>
    <row r="236" spans="1:1" x14ac:dyDescent="0.35">
      <c r="A236" s="248"/>
    </row>
    <row r="237" spans="1:1" x14ac:dyDescent="0.35">
      <c r="A237" s="248"/>
    </row>
    <row r="238" spans="1:1" x14ac:dyDescent="0.35">
      <c r="A238" s="248"/>
    </row>
    <row r="239" spans="1:1" x14ac:dyDescent="0.35">
      <c r="A239" s="248"/>
    </row>
    <row r="240" spans="1:1" x14ac:dyDescent="0.35">
      <c r="A240" s="248"/>
    </row>
    <row r="241" spans="1:1" x14ac:dyDescent="0.35">
      <c r="A241" s="248"/>
    </row>
    <row r="242" spans="1:1" x14ac:dyDescent="0.35">
      <c r="A242" s="248"/>
    </row>
    <row r="243" spans="1:1" x14ac:dyDescent="0.35">
      <c r="A243" s="248"/>
    </row>
    <row r="244" spans="1:1" x14ac:dyDescent="0.35">
      <c r="A244" s="248"/>
    </row>
    <row r="245" spans="1:1" x14ac:dyDescent="0.35">
      <c r="A245" s="248"/>
    </row>
    <row r="246" spans="1:1" x14ac:dyDescent="0.35">
      <c r="A246" s="248"/>
    </row>
    <row r="247" spans="1:1" x14ac:dyDescent="0.35">
      <c r="A247" s="248"/>
    </row>
    <row r="248" spans="1:1" x14ac:dyDescent="0.35">
      <c r="A248" s="248"/>
    </row>
    <row r="249" spans="1:1" x14ac:dyDescent="0.35">
      <c r="A249" s="248"/>
    </row>
    <row r="250" spans="1:1" x14ac:dyDescent="0.35">
      <c r="A250" s="248"/>
    </row>
    <row r="251" spans="1:1" x14ac:dyDescent="0.35">
      <c r="A251" s="248"/>
    </row>
    <row r="252" spans="1:1" x14ac:dyDescent="0.35">
      <c r="A252" s="248"/>
    </row>
    <row r="253" spans="1:1" x14ac:dyDescent="0.35">
      <c r="A253" s="248"/>
    </row>
    <row r="254" spans="1:1" x14ac:dyDescent="0.35">
      <c r="A254" s="248"/>
    </row>
    <row r="255" spans="1:1" x14ac:dyDescent="0.35">
      <c r="A255" s="248"/>
    </row>
    <row r="256" spans="1:1" x14ac:dyDescent="0.35">
      <c r="A256" s="248"/>
    </row>
    <row r="257" spans="1:1" x14ac:dyDescent="0.35">
      <c r="A257" s="248"/>
    </row>
    <row r="258" spans="1:1" x14ac:dyDescent="0.35">
      <c r="A258" s="248"/>
    </row>
    <row r="259" spans="1:1" x14ac:dyDescent="0.35">
      <c r="A259" s="248"/>
    </row>
    <row r="260" spans="1:1" x14ac:dyDescent="0.35">
      <c r="A260" s="248"/>
    </row>
    <row r="261" spans="1:1" x14ac:dyDescent="0.35">
      <c r="A261" s="248"/>
    </row>
    <row r="262" spans="1:1" x14ac:dyDescent="0.35">
      <c r="A262" s="248"/>
    </row>
    <row r="263" spans="1:1" x14ac:dyDescent="0.35">
      <c r="A263" s="248"/>
    </row>
    <row r="264" spans="1:1" x14ac:dyDescent="0.35">
      <c r="A264" s="248"/>
    </row>
    <row r="265" spans="1:1" x14ac:dyDescent="0.35">
      <c r="A265" s="248"/>
    </row>
    <row r="266" spans="1:1" x14ac:dyDescent="0.35">
      <c r="A266" s="248"/>
    </row>
    <row r="267" spans="1:1" x14ac:dyDescent="0.35">
      <c r="A267" s="248"/>
    </row>
    <row r="268" spans="1:1" x14ac:dyDescent="0.35">
      <c r="A268" s="248"/>
    </row>
    <row r="269" spans="1:1" x14ac:dyDescent="0.35">
      <c r="A269" s="248"/>
    </row>
    <row r="270" spans="1:1" x14ac:dyDescent="0.35">
      <c r="A270" s="248"/>
    </row>
    <row r="271" spans="1:1" x14ac:dyDescent="0.35">
      <c r="A271" s="248"/>
    </row>
    <row r="272" spans="1:1" x14ac:dyDescent="0.35">
      <c r="A272" s="248"/>
    </row>
    <row r="273" spans="1:1" x14ac:dyDescent="0.35">
      <c r="A273" s="24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6.100000000000001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E15" sqref="E15"/>
    </sheetView>
  </sheetViews>
  <sheetFormatPr defaultColWidth="11" defaultRowHeight="16.100000000000001" x14ac:dyDescent="0.35"/>
  <sheetData/>
  <pageMargins left="0.75" right="0.75" top="1" bottom="1" header="0.5" footer="0.5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407963</xdr:colOff>
                    <xdr:row>5</xdr:row>
                    <xdr:rowOff>21102</xdr:rowOff>
                  </from>
                  <to>
                    <xdr:col>6</xdr:col>
                    <xdr:colOff>84406</xdr:colOff>
                    <xdr:row>8</xdr:row>
                    <xdr:rowOff>49237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30"/>
  <sheetViews>
    <sheetView topLeftCell="A7" zoomScale="85" zoomScaleNormal="85" workbookViewId="0">
      <selection activeCell="S13" sqref="S13"/>
    </sheetView>
  </sheetViews>
  <sheetFormatPr defaultColWidth="8.7265625" defaultRowHeight="12.75" x14ac:dyDescent="0.25"/>
  <cols>
    <col min="1" max="1" width="12.90625" style="35" bestFit="1" customWidth="1"/>
    <col min="2" max="2" width="5.08984375" style="35" bestFit="1" customWidth="1"/>
    <col min="3" max="3" width="12.7265625" style="35" customWidth="1"/>
    <col min="4" max="5" width="7.36328125" style="35" bestFit="1" customWidth="1"/>
    <col min="6" max="6" width="8.08984375" style="35" customWidth="1"/>
    <col min="7" max="9" width="7.36328125" style="35" bestFit="1" customWidth="1"/>
    <col min="10" max="10" width="7.453125" style="35" customWidth="1"/>
    <col min="11" max="16" width="7.36328125" style="35" bestFit="1" customWidth="1"/>
    <col min="17" max="18" width="8.7265625" style="35"/>
    <col min="19" max="20" width="9.08984375" style="35" bestFit="1" customWidth="1"/>
    <col min="21" max="21" width="8.7265625" style="35"/>
    <col min="22" max="23" width="7" style="35" bestFit="1" customWidth="1"/>
    <col min="24" max="24" width="17" style="35" customWidth="1"/>
    <col min="25" max="16384" width="8.7265625" style="35"/>
  </cols>
  <sheetData>
    <row r="1" spans="1:30" s="162" customFormat="1" x14ac:dyDescent="0.25">
      <c r="A1" s="285" t="s">
        <v>14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6"/>
      <c r="Q1" s="167"/>
      <c r="R1" s="167"/>
      <c r="S1" s="167"/>
      <c r="T1" s="167"/>
      <c r="U1" s="167"/>
      <c r="V1" s="166"/>
      <c r="W1" s="166"/>
      <c r="X1" s="165"/>
      <c r="Y1" s="164"/>
      <c r="Z1" s="164"/>
      <c r="AA1" s="164"/>
      <c r="AB1" s="164"/>
      <c r="AC1" s="163"/>
    </row>
    <row r="2" spans="1:30" x14ac:dyDescent="0.25">
      <c r="A2" s="287" t="s">
        <v>15</v>
      </c>
      <c r="B2" s="287"/>
      <c r="C2" s="287"/>
      <c r="D2" s="287"/>
      <c r="E2" s="287"/>
      <c r="F2" s="287"/>
      <c r="G2" s="287"/>
      <c r="H2" s="287"/>
      <c r="I2" s="287"/>
      <c r="J2" s="147" t="s">
        <v>16</v>
      </c>
      <c r="K2" s="147"/>
      <c r="L2" s="147"/>
      <c r="M2" s="147"/>
      <c r="N2" s="147"/>
      <c r="O2" s="147"/>
      <c r="P2" s="160"/>
      <c r="Q2" s="159" t="s">
        <v>290</v>
      </c>
      <c r="R2" s="158"/>
      <c r="S2" s="157" t="s">
        <v>271</v>
      </c>
      <c r="T2" s="157" t="s">
        <v>270</v>
      </c>
      <c r="U2" s="157"/>
      <c r="V2" s="156" t="s">
        <v>272</v>
      </c>
      <c r="W2" s="156" t="s">
        <v>48</v>
      </c>
      <c r="X2" s="155"/>
      <c r="Y2" s="37"/>
      <c r="Z2" s="37"/>
      <c r="AA2" s="37"/>
      <c r="AB2" s="37"/>
      <c r="AC2" s="36"/>
    </row>
    <row r="3" spans="1:30" ht="12.75" customHeight="1" x14ac:dyDescent="0.3">
      <c r="A3" s="287" t="s">
        <v>289</v>
      </c>
      <c r="B3" s="287"/>
      <c r="C3" s="287"/>
      <c r="D3" s="287"/>
      <c r="E3" s="287"/>
      <c r="F3" s="145" t="s">
        <v>288</v>
      </c>
      <c r="G3" s="145"/>
      <c r="H3" s="145"/>
      <c r="I3" s="145"/>
      <c r="J3" s="145"/>
      <c r="K3" s="145"/>
      <c r="L3" s="145"/>
      <c r="M3" s="145"/>
      <c r="N3" s="145"/>
      <c r="O3" s="145"/>
      <c r="P3" s="144"/>
      <c r="Q3" s="152" t="s">
        <v>287</v>
      </c>
      <c r="R3" s="151"/>
      <c r="S3" s="150">
        <v>4720</v>
      </c>
      <c r="T3" s="150">
        <v>5640</v>
      </c>
      <c r="U3" s="150"/>
      <c r="V3" s="149">
        <v>4470</v>
      </c>
      <c r="W3" s="149">
        <v>6020</v>
      </c>
      <c r="X3" s="148"/>
      <c r="Y3" s="37"/>
      <c r="Z3" s="37"/>
      <c r="AA3" s="37"/>
      <c r="AB3" s="37"/>
      <c r="AC3" s="36"/>
    </row>
    <row r="4" spans="1:30" ht="16.5" customHeight="1" x14ac:dyDescent="0.25">
      <c r="A4" s="287" t="s">
        <v>286</v>
      </c>
      <c r="B4" s="287"/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P4" s="288"/>
      <c r="Q4" s="152" t="s">
        <v>282</v>
      </c>
      <c r="R4" s="151"/>
      <c r="S4" s="150">
        <v>0</v>
      </c>
      <c r="T4" s="150">
        <v>2.5</v>
      </c>
      <c r="U4" s="150"/>
      <c r="V4" s="149">
        <v>0</v>
      </c>
      <c r="W4" s="149">
        <v>10</v>
      </c>
      <c r="X4" s="148"/>
      <c r="Y4" s="37"/>
      <c r="Z4" s="37"/>
      <c r="AA4" s="37"/>
      <c r="AB4" s="37"/>
      <c r="AC4" s="36"/>
    </row>
    <row r="5" spans="1:30" ht="12.75" customHeight="1" x14ac:dyDescent="0.25">
      <c r="A5" s="287" t="s">
        <v>285</v>
      </c>
      <c r="B5" s="287"/>
      <c r="C5" s="287"/>
      <c r="D5" s="287"/>
      <c r="E5" s="287"/>
      <c r="F5" s="287"/>
      <c r="G5" s="287"/>
      <c r="H5" s="287"/>
      <c r="I5" s="287"/>
      <c r="J5" s="287"/>
      <c r="K5" s="287"/>
      <c r="L5" s="287"/>
      <c r="M5" s="287"/>
      <c r="N5" s="287"/>
      <c r="O5" s="287"/>
      <c r="P5" s="288"/>
      <c r="Q5" s="152" t="s">
        <v>284</v>
      </c>
      <c r="R5" s="151"/>
      <c r="S5" s="150">
        <v>6300</v>
      </c>
      <c r="T5" s="150">
        <v>8260</v>
      </c>
      <c r="U5" s="150"/>
      <c r="V5" s="149">
        <v>4955</v>
      </c>
      <c r="W5" s="149">
        <v>9645</v>
      </c>
      <c r="X5" s="148"/>
      <c r="Y5" s="37"/>
      <c r="Z5" s="37"/>
      <c r="AA5" s="37"/>
      <c r="AB5" s="37"/>
      <c r="AC5" s="36"/>
    </row>
    <row r="6" spans="1:30" ht="12.75" customHeight="1" x14ac:dyDescent="0.25">
      <c r="A6" s="287" t="s">
        <v>283</v>
      </c>
      <c r="B6" s="287"/>
      <c r="C6" s="287"/>
      <c r="D6" s="287"/>
      <c r="E6" s="287"/>
      <c r="F6" s="287"/>
      <c r="G6" s="287"/>
      <c r="H6" s="287"/>
      <c r="I6" s="287"/>
      <c r="J6" s="287"/>
      <c r="K6" s="287"/>
      <c r="L6" s="287"/>
      <c r="M6" s="287"/>
      <c r="N6" s="287"/>
      <c r="O6" s="287"/>
      <c r="P6" s="288"/>
      <c r="Q6" s="152" t="s">
        <v>282</v>
      </c>
      <c r="R6" s="151"/>
      <c r="S6" s="150">
        <v>0</v>
      </c>
      <c r="T6" s="150">
        <v>10</v>
      </c>
      <c r="U6" s="150"/>
      <c r="V6" s="149">
        <v>0</v>
      </c>
      <c r="W6" s="149">
        <v>10</v>
      </c>
      <c r="X6" s="148"/>
      <c r="Y6" s="37"/>
      <c r="Z6" s="37"/>
      <c r="AA6" s="37"/>
      <c r="AB6" s="37"/>
      <c r="AC6" s="36"/>
    </row>
    <row r="7" spans="1:30" ht="12.75" customHeight="1" x14ac:dyDescent="0.25">
      <c r="A7" s="287" t="s">
        <v>281</v>
      </c>
      <c r="B7" s="287"/>
      <c r="C7" s="287"/>
      <c r="D7" s="287"/>
      <c r="E7" s="287"/>
      <c r="F7" s="287"/>
      <c r="G7" s="287"/>
      <c r="H7" s="287"/>
      <c r="I7" s="287"/>
      <c r="J7" s="287"/>
      <c r="K7" s="287"/>
      <c r="L7" s="287"/>
      <c r="M7" s="287"/>
      <c r="N7" s="287"/>
      <c r="O7" s="287"/>
      <c r="P7" s="288"/>
      <c r="Q7" s="143"/>
      <c r="R7" s="143"/>
      <c r="S7" s="142"/>
      <c r="T7" s="141"/>
      <c r="U7" s="141"/>
      <c r="V7" s="140"/>
      <c r="W7" s="139"/>
      <c r="X7" s="138"/>
      <c r="Y7" s="37"/>
      <c r="Z7" s="37"/>
      <c r="AA7" s="37"/>
      <c r="AB7" s="37"/>
      <c r="AC7" s="36"/>
    </row>
    <row r="8" spans="1:30" ht="12.75" customHeight="1" x14ac:dyDescent="0.25">
      <c r="A8" s="137"/>
      <c r="B8" s="135"/>
      <c r="C8" s="136"/>
      <c r="D8" s="136"/>
      <c r="E8" s="136"/>
      <c r="F8" s="136"/>
      <c r="G8" s="136"/>
      <c r="H8" s="136"/>
      <c r="I8" s="136"/>
      <c r="J8" s="136"/>
      <c r="K8" s="135"/>
      <c r="L8" s="135"/>
      <c r="M8" s="135"/>
      <c r="N8" s="135"/>
      <c r="O8" s="135"/>
      <c r="P8" s="134"/>
      <c r="Q8" s="133"/>
      <c r="R8" s="133"/>
      <c r="S8" s="132"/>
      <c r="T8" s="132"/>
      <c r="U8" s="132"/>
      <c r="V8" s="131"/>
      <c r="W8" s="131"/>
      <c r="X8" s="130"/>
      <c r="Y8" s="37"/>
      <c r="Z8" s="37"/>
      <c r="AA8" s="37"/>
      <c r="AB8" s="37"/>
      <c r="AC8" s="36"/>
    </row>
    <row r="9" spans="1:30" ht="36.700000000000003" customHeight="1" thickBot="1" x14ac:dyDescent="0.3">
      <c r="A9" s="129" t="s">
        <v>280</v>
      </c>
      <c r="B9" s="128"/>
      <c r="C9" s="128"/>
      <c r="D9" s="292" t="s">
        <v>279</v>
      </c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127" t="s">
        <v>278</v>
      </c>
      <c r="R9" s="127" t="s">
        <v>277</v>
      </c>
      <c r="S9" s="126" t="s">
        <v>276</v>
      </c>
      <c r="T9" s="126" t="s">
        <v>275</v>
      </c>
      <c r="U9" s="126" t="s">
        <v>295</v>
      </c>
      <c r="V9" s="124" t="s">
        <v>32</v>
      </c>
      <c r="W9" s="125" t="s">
        <v>273</v>
      </c>
      <c r="X9" s="124" t="s">
        <v>34</v>
      </c>
      <c r="Y9" s="37" t="s">
        <v>272</v>
      </c>
      <c r="Z9" s="37" t="s">
        <v>48</v>
      </c>
      <c r="AA9" s="37" t="s">
        <v>271</v>
      </c>
      <c r="AB9" s="37" t="s">
        <v>270</v>
      </c>
      <c r="AC9" s="67" t="s">
        <v>269</v>
      </c>
      <c r="AD9" s="68" t="s">
        <v>268</v>
      </c>
    </row>
    <row r="10" spans="1:30" x14ac:dyDescent="0.25">
      <c r="A10" s="121">
        <v>42146</v>
      </c>
      <c r="B10" s="55" t="s">
        <v>202</v>
      </c>
      <c r="C10" s="59" t="s">
        <v>201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120">
        <v>2735.41</v>
      </c>
      <c r="R10" s="120">
        <v>2630.1799999999994</v>
      </c>
      <c r="S10" s="51">
        <v>2698.7053846153844</v>
      </c>
      <c r="T10" s="51">
        <v>1.9612009117357176</v>
      </c>
      <c r="U10" s="50">
        <v>30.91467790962756</v>
      </c>
      <c r="V10" s="56" t="s">
        <v>193</v>
      </c>
      <c r="W10" s="55">
        <v>102</v>
      </c>
      <c r="X10" s="289" t="s">
        <v>291</v>
      </c>
      <c r="Y10" s="69">
        <v>4470</v>
      </c>
      <c r="Z10" s="69">
        <v>6020</v>
      </c>
      <c r="AA10" s="69">
        <v>5360</v>
      </c>
      <c r="AB10" s="69">
        <v>5550</v>
      </c>
      <c r="AC10" s="68">
        <v>1.5</v>
      </c>
      <c r="AD10" s="67">
        <v>10</v>
      </c>
    </row>
    <row r="11" spans="1:30" x14ac:dyDescent="0.25">
      <c r="A11" s="115"/>
      <c r="B11" s="46"/>
      <c r="C11" s="54" t="s">
        <v>200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6"/>
      <c r="R11" s="46"/>
      <c r="S11" s="46"/>
      <c r="T11" s="46"/>
      <c r="U11" s="46"/>
      <c r="V11" s="168" t="s">
        <v>293</v>
      </c>
      <c r="W11" s="169"/>
      <c r="X11" s="290"/>
    </row>
    <row r="12" spans="1:30" ht="21.75" customHeight="1" thickBot="1" x14ac:dyDescent="0.3">
      <c r="A12" s="116"/>
      <c r="B12" s="78"/>
      <c r="C12" s="54" t="s">
        <v>199</v>
      </c>
      <c r="D12" s="93">
        <v>2672.75</v>
      </c>
      <c r="E12" s="93">
        <v>2652.1900000000005</v>
      </c>
      <c r="F12" s="93">
        <v>2687.8499999999995</v>
      </c>
      <c r="G12" s="93">
        <v>2697.5299999999997</v>
      </c>
      <c r="H12" s="93">
        <v>2630.1799999999994</v>
      </c>
      <c r="I12" s="93">
        <v>2707.4699999999993</v>
      </c>
      <c r="J12" s="93">
        <v>2713.9000000000005</v>
      </c>
      <c r="K12" s="93">
        <v>2722.09</v>
      </c>
      <c r="L12" s="93">
        <v>2709.2200000000003</v>
      </c>
      <c r="M12" s="93">
        <v>2728.58</v>
      </c>
      <c r="N12" s="93">
        <v>2702.9299999999994</v>
      </c>
      <c r="O12" s="93">
        <v>2723.0699999999997</v>
      </c>
      <c r="P12" s="93">
        <v>2735.41</v>
      </c>
      <c r="Q12" s="78"/>
      <c r="R12" s="78"/>
      <c r="S12" s="78"/>
      <c r="T12" s="78"/>
      <c r="U12" s="78"/>
      <c r="V12" s="82"/>
      <c r="W12" s="78"/>
      <c r="X12" s="290"/>
    </row>
    <row r="13" spans="1:30" x14ac:dyDescent="0.25">
      <c r="A13" s="121">
        <v>42150</v>
      </c>
      <c r="B13" s="55" t="s">
        <v>202</v>
      </c>
      <c r="C13" s="59" t="s">
        <v>201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120">
        <v>5537.32</v>
      </c>
      <c r="R13" s="120">
        <v>5355.5300000000007</v>
      </c>
      <c r="S13" s="51">
        <v>5465.4815384615376</v>
      </c>
      <c r="T13" s="51">
        <v>1.6688928976346784</v>
      </c>
      <c r="U13" s="50">
        <v>62.567650034006263</v>
      </c>
      <c r="V13" s="56" t="s">
        <v>294</v>
      </c>
      <c r="W13" s="55">
        <v>102</v>
      </c>
      <c r="X13" s="290"/>
    </row>
    <row r="14" spans="1:30" x14ac:dyDescent="0.25">
      <c r="A14" s="115"/>
      <c r="B14" s="46"/>
      <c r="C14" s="54" t="s">
        <v>200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6"/>
      <c r="R14" s="46"/>
      <c r="S14" s="46"/>
      <c r="T14" s="46"/>
      <c r="U14" s="46"/>
      <c r="V14" s="168" t="s">
        <v>293</v>
      </c>
      <c r="W14" s="169"/>
      <c r="X14" s="290"/>
    </row>
    <row r="15" spans="1:30" ht="30.05" customHeight="1" thickBot="1" x14ac:dyDescent="0.3">
      <c r="A15" s="116"/>
      <c r="B15" s="78"/>
      <c r="C15" s="54" t="s">
        <v>199</v>
      </c>
      <c r="D15" s="93">
        <v>5388.03</v>
      </c>
      <c r="E15" s="93">
        <v>5366.26</v>
      </c>
      <c r="F15" s="93">
        <v>5424.9</v>
      </c>
      <c r="G15" s="93">
        <v>5469.1100000000006</v>
      </c>
      <c r="H15" s="93">
        <v>5355.5300000000007</v>
      </c>
      <c r="I15" s="93">
        <v>5507.0300000000007</v>
      </c>
      <c r="J15" s="93">
        <v>5509.01</v>
      </c>
      <c r="K15" s="93">
        <v>5521.06</v>
      </c>
      <c r="L15" s="93">
        <v>5461.67</v>
      </c>
      <c r="M15" s="93">
        <v>5530.41</v>
      </c>
      <c r="N15" s="93">
        <v>5486.33</v>
      </c>
      <c r="O15" s="93">
        <v>5494.5999999999995</v>
      </c>
      <c r="P15" s="93">
        <v>5537.32</v>
      </c>
      <c r="Q15" s="78"/>
      <c r="R15" s="78"/>
      <c r="S15" s="78"/>
      <c r="T15" s="78"/>
      <c r="U15" s="78"/>
      <c r="V15" s="82"/>
      <c r="W15" s="78"/>
      <c r="X15" s="290"/>
    </row>
    <row r="16" spans="1:30" x14ac:dyDescent="0.25">
      <c r="A16" s="121">
        <v>42146</v>
      </c>
      <c r="B16" s="48" t="s">
        <v>204</v>
      </c>
      <c r="C16" s="54" t="s">
        <v>201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53"/>
      <c r="N16" s="53"/>
      <c r="O16" s="53"/>
      <c r="P16" s="53"/>
      <c r="Q16" s="48">
        <v>8875.7999999999993</v>
      </c>
      <c r="R16" s="48">
        <v>8470.66</v>
      </c>
      <c r="S16" s="75">
        <v>8766.0777777777766</v>
      </c>
      <c r="T16" s="75">
        <v>2.3355774031127932</v>
      </c>
      <c r="U16" s="48">
        <v>138.90782571345144</v>
      </c>
      <c r="V16" s="49" t="s">
        <v>294</v>
      </c>
      <c r="W16" s="48">
        <v>102</v>
      </c>
      <c r="X16" s="290"/>
      <c r="Y16" s="37">
        <v>4955</v>
      </c>
      <c r="Z16" s="37">
        <v>9645</v>
      </c>
      <c r="AA16" s="37">
        <v>6980</v>
      </c>
      <c r="AB16" s="37">
        <v>7960</v>
      </c>
      <c r="AC16" s="67">
        <v>5.8</v>
      </c>
      <c r="AD16" s="67">
        <v>10</v>
      </c>
    </row>
    <row r="17" spans="1:24" x14ac:dyDescent="0.25">
      <c r="A17" s="115"/>
      <c r="B17" s="46"/>
      <c r="C17" s="54" t="s">
        <v>200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53"/>
      <c r="N17" s="53"/>
      <c r="O17" s="53"/>
      <c r="P17" s="53"/>
      <c r="Q17" s="46"/>
      <c r="R17" s="46"/>
      <c r="S17" s="46"/>
      <c r="T17" s="46"/>
      <c r="U17" s="46"/>
      <c r="V17" s="168" t="s">
        <v>293</v>
      </c>
      <c r="W17" s="46"/>
      <c r="X17" s="290"/>
    </row>
    <row r="18" spans="1:24" ht="25.5" customHeight="1" thickBot="1" x14ac:dyDescent="0.3">
      <c r="A18" s="114"/>
      <c r="B18" s="42"/>
      <c r="C18" s="74" t="s">
        <v>199</v>
      </c>
      <c r="D18" s="81">
        <v>8470.66</v>
      </c>
      <c r="E18" s="81">
        <v>8820.56</v>
      </c>
      <c r="F18" s="81">
        <v>8865.9200000000019</v>
      </c>
      <c r="G18" s="81">
        <v>8863.34</v>
      </c>
      <c r="H18" s="81">
        <v>8608.2199999999993</v>
      </c>
      <c r="I18" s="81">
        <v>8833.14</v>
      </c>
      <c r="J18" s="81">
        <v>8816.7999999999993</v>
      </c>
      <c r="K18" s="81">
        <v>8875.7999999999993</v>
      </c>
      <c r="L18" s="81">
        <v>8740.26</v>
      </c>
      <c r="M18" s="81"/>
      <c r="N18" s="81"/>
      <c r="O18" s="81"/>
      <c r="P18" s="81" t="s">
        <v>292</v>
      </c>
      <c r="Q18" s="42"/>
      <c r="R18" s="42"/>
      <c r="S18" s="42"/>
      <c r="T18" s="42"/>
      <c r="U18" s="78"/>
      <c r="V18" s="43"/>
      <c r="W18" s="42"/>
      <c r="X18" s="291"/>
    </row>
    <row r="19" spans="1:24" ht="12.75" customHeight="1" x14ac:dyDescent="0.25">
      <c r="A19" s="121">
        <v>42158</v>
      </c>
      <c r="B19" s="55" t="s">
        <v>202</v>
      </c>
      <c r="C19" s="59" t="s">
        <v>201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120">
        <f>IF((P20=""),"",MAX(D21:P21))</f>
        <v>5494.5400000000009</v>
      </c>
      <c r="R19" s="120">
        <f>IF(P20="","",MIN(D21:P21))</f>
        <v>5306.94</v>
      </c>
      <c r="S19" s="51">
        <f>IF((P21=""),"",AVERAGE(D21:P21))</f>
        <v>5423.4053846153838</v>
      </c>
      <c r="T19" s="51">
        <f>IF((P20=""),"",(Q19-R19)/(Q19+R19)*100)</f>
        <v>1.7367990312438784</v>
      </c>
      <c r="U19" s="50">
        <f>STDEV(D21:P21)</f>
        <v>58.231969257356951</v>
      </c>
      <c r="V19" s="56" t="str">
        <f>IF(P20="","",IF(T19&lt;10,IF(S19&gt;4470,IF(S19&lt;6020,"Pass","Fail"),"Fail"),"Fail"))</f>
        <v>Pass</v>
      </c>
      <c r="X19" s="282" t="s">
        <v>291</v>
      </c>
    </row>
    <row r="20" spans="1:24" x14ac:dyDescent="0.25">
      <c r="A20" s="115"/>
      <c r="B20" s="46"/>
      <c r="C20" s="54" t="s">
        <v>200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6"/>
      <c r="R20" s="46"/>
      <c r="S20" s="46"/>
      <c r="T20" s="46"/>
      <c r="U20" s="46"/>
      <c r="V20" s="47"/>
      <c r="X20" s="283"/>
    </row>
    <row r="21" spans="1:24" ht="22.75" thickBot="1" x14ac:dyDescent="0.3">
      <c r="A21" s="116"/>
      <c r="B21" s="78"/>
      <c r="C21" s="54" t="s">
        <v>199</v>
      </c>
      <c r="D21" s="93">
        <f t="shared" ref="D21:P21" si="0">IF(((D19="")*AND(D20="")),"",(D19-D20))</f>
        <v>5365.83</v>
      </c>
      <c r="E21" s="93">
        <f t="shared" si="0"/>
        <v>5335.4800000000005</v>
      </c>
      <c r="F21" s="93">
        <f t="shared" si="0"/>
        <v>5387.32</v>
      </c>
      <c r="G21" s="93">
        <f t="shared" si="0"/>
        <v>5424.78</v>
      </c>
      <c r="H21" s="93">
        <f t="shared" si="0"/>
        <v>5306.94</v>
      </c>
      <c r="I21" s="93">
        <f t="shared" si="0"/>
        <v>5456.06</v>
      </c>
      <c r="J21" s="93">
        <f t="shared" si="0"/>
        <v>5456.83</v>
      </c>
      <c r="K21" s="93">
        <f t="shared" si="0"/>
        <v>5469.56</v>
      </c>
      <c r="L21" s="93">
        <f t="shared" si="0"/>
        <v>5418.7400000000007</v>
      </c>
      <c r="M21" s="93">
        <f t="shared" si="0"/>
        <v>5484.59</v>
      </c>
      <c r="N21" s="93">
        <f t="shared" si="0"/>
        <v>5448.21</v>
      </c>
      <c r="O21" s="93">
        <f t="shared" si="0"/>
        <v>5455.39</v>
      </c>
      <c r="P21" s="93">
        <f t="shared" si="0"/>
        <v>5494.5400000000009</v>
      </c>
      <c r="Q21" s="78"/>
      <c r="R21" s="78"/>
      <c r="S21" s="78"/>
      <c r="T21" s="78"/>
      <c r="U21" s="78"/>
      <c r="V21" s="82"/>
      <c r="X21" s="283"/>
    </row>
    <row r="22" spans="1:24" x14ac:dyDescent="0.25">
      <c r="A22" s="121">
        <v>42158</v>
      </c>
      <c r="B22" s="48" t="s">
        <v>204</v>
      </c>
      <c r="C22" s="54" t="s">
        <v>201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53"/>
      <c r="N22" s="53"/>
      <c r="O22" s="53"/>
      <c r="P22" s="53"/>
      <c r="Q22" s="48">
        <f>IF((L23=""),"",MAX(D24:L24))</f>
        <v>6195.42</v>
      </c>
      <c r="R22" s="48">
        <f>IF(L23="","",MIN(D24:L24))</f>
        <v>5629.4400000000005</v>
      </c>
      <c r="S22" s="75">
        <f>IF((L24=""),"",AVERAGE(D24:L24))</f>
        <v>5951.9600000000009</v>
      </c>
      <c r="T22" s="75">
        <f>IF((L14=""),"",(Q22-R22)/(Q22+R22)*100)</f>
        <v>4.7863568786438018</v>
      </c>
      <c r="U22" s="48">
        <f>STDEV(D24:P24)</f>
        <v>191.76648064768793</v>
      </c>
      <c r="V22" s="49" t="str">
        <f>IF(L23="","",IF(T22&lt;10,IF(S22&gt;4955,IF(S22&lt;9645,"Pass","Fail"),"Fail"),"Fail"))</f>
        <v>Pass</v>
      </c>
      <c r="X22" s="283"/>
    </row>
    <row r="23" spans="1:24" x14ac:dyDescent="0.25">
      <c r="A23" s="115"/>
      <c r="B23" s="46"/>
      <c r="C23" s="54" t="s">
        <v>200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53"/>
      <c r="N23" s="53"/>
      <c r="O23" s="53"/>
      <c r="P23" s="53"/>
      <c r="Q23" s="46"/>
      <c r="R23" s="46"/>
      <c r="S23" s="46"/>
      <c r="T23" s="46"/>
      <c r="U23" s="46"/>
      <c r="V23" s="47"/>
      <c r="X23" s="283"/>
    </row>
    <row r="24" spans="1:24" ht="22.75" thickBot="1" x14ac:dyDescent="0.3">
      <c r="A24" s="114"/>
      <c r="B24" s="42"/>
      <c r="C24" s="74" t="s">
        <v>199</v>
      </c>
      <c r="D24" s="81">
        <f t="shared" ref="D24:L24" si="1">IF(((D22="")*AND(D23="")),"",(D22-D23)*2)</f>
        <v>5629.4400000000005</v>
      </c>
      <c r="E24" s="81">
        <f t="shared" si="1"/>
        <v>5963.84</v>
      </c>
      <c r="F24" s="81">
        <f t="shared" si="1"/>
        <v>6099.52</v>
      </c>
      <c r="G24" s="81">
        <f t="shared" si="1"/>
        <v>6195.42</v>
      </c>
      <c r="H24" s="81">
        <f t="shared" si="1"/>
        <v>5703.1599999999989</v>
      </c>
      <c r="I24" s="81">
        <f t="shared" si="1"/>
        <v>5882.6</v>
      </c>
      <c r="J24" s="81">
        <f t="shared" si="1"/>
        <v>6077.76</v>
      </c>
      <c r="K24" s="81">
        <f t="shared" si="1"/>
        <v>6108.4000000000005</v>
      </c>
      <c r="L24" s="81">
        <f t="shared" si="1"/>
        <v>5907.4999999999991</v>
      </c>
      <c r="M24" s="81"/>
      <c r="N24" s="81"/>
      <c r="O24" s="81"/>
      <c r="P24" s="81" t="str">
        <f>IF(((P22="")*AND(P23="")),"",(P22-P23)*2)</f>
        <v/>
      </c>
      <c r="Q24" s="42"/>
      <c r="R24" s="42"/>
      <c r="S24" s="42"/>
      <c r="T24" s="42"/>
      <c r="U24" s="78"/>
      <c r="V24" s="43"/>
      <c r="X24" s="284"/>
    </row>
    <row r="25" spans="1:24" x14ac:dyDescent="0.25">
      <c r="A25" s="121">
        <v>42158</v>
      </c>
      <c r="B25" s="55" t="s">
        <v>202</v>
      </c>
      <c r="C25" s="59" t="s">
        <v>201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120">
        <f>IF((P26=""),"",MAX(D27:P27))</f>
        <v>5512.42</v>
      </c>
      <c r="R25" s="120">
        <f>IF(P26="","",MIN(D27:P27))</f>
        <v>5307.31</v>
      </c>
      <c r="S25" s="51">
        <f>IF((P27=""),"",AVERAGE(D27:P27))</f>
        <v>5440.2138461538461</v>
      </c>
      <c r="T25" s="51">
        <f>IF((P26=""),"",(Q25-R25)/(Q25+R25)*100)</f>
        <v>1.8957034972222013</v>
      </c>
      <c r="U25" s="50">
        <f>STDEV(D27:P27)</f>
        <v>64.121507252307211</v>
      </c>
      <c r="V25" s="56" t="str">
        <f>IF(P26="","",IF(T25&lt;10,IF(S25&gt;4470,IF(S25&lt;6020,"Pass","Fail"),"Fail"),"Fail"))</f>
        <v>Pass</v>
      </c>
      <c r="X25" s="282" t="s">
        <v>291</v>
      </c>
    </row>
    <row r="26" spans="1:24" x14ac:dyDescent="0.25">
      <c r="A26" s="115"/>
      <c r="B26" s="46"/>
      <c r="C26" s="54" t="s">
        <v>200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6"/>
      <c r="R26" s="46"/>
      <c r="S26" s="46"/>
      <c r="T26" s="46"/>
      <c r="U26" s="46"/>
      <c r="V26" s="47"/>
      <c r="X26" s="283"/>
    </row>
    <row r="27" spans="1:24" ht="22.75" thickBot="1" x14ac:dyDescent="0.3">
      <c r="A27" s="116"/>
      <c r="B27" s="78"/>
      <c r="C27" s="54" t="s">
        <v>199</v>
      </c>
      <c r="D27" s="93">
        <f t="shared" ref="D27:P27" si="2">IF(((D25="")*AND(D26="")),"",(D25-D26))</f>
        <v>5376.2899999999991</v>
      </c>
      <c r="E27" s="93">
        <f t="shared" si="2"/>
        <v>5343.08</v>
      </c>
      <c r="F27" s="93">
        <f t="shared" si="2"/>
        <v>5405.13</v>
      </c>
      <c r="G27" s="93">
        <f t="shared" si="2"/>
        <v>5446.25</v>
      </c>
      <c r="H27" s="93">
        <f t="shared" si="2"/>
        <v>5307.31</v>
      </c>
      <c r="I27" s="93">
        <f t="shared" si="2"/>
        <v>5474.98</v>
      </c>
      <c r="J27" s="93">
        <f t="shared" si="2"/>
        <v>5480.13</v>
      </c>
      <c r="K27" s="93">
        <f t="shared" si="2"/>
        <v>5491.58</v>
      </c>
      <c r="L27" s="93">
        <f t="shared" si="2"/>
        <v>5440.16</v>
      </c>
      <c r="M27" s="93">
        <f t="shared" si="2"/>
        <v>5507.4299999999994</v>
      </c>
      <c r="N27" s="93">
        <f t="shared" si="2"/>
        <v>5463.71</v>
      </c>
      <c r="O27" s="93">
        <f t="shared" si="2"/>
        <v>5474.31</v>
      </c>
      <c r="P27" s="93">
        <f t="shared" si="2"/>
        <v>5512.42</v>
      </c>
      <c r="Q27" s="78"/>
      <c r="R27" s="78"/>
      <c r="S27" s="78"/>
      <c r="T27" s="78"/>
      <c r="U27" s="78"/>
      <c r="V27" s="82"/>
      <c r="X27" s="283"/>
    </row>
    <row r="28" spans="1:24" x14ac:dyDescent="0.25">
      <c r="A28" s="121">
        <v>42158</v>
      </c>
      <c r="B28" s="48" t="s">
        <v>204</v>
      </c>
      <c r="C28" s="54" t="s">
        <v>201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53"/>
      <c r="N28" s="53"/>
      <c r="O28" s="53"/>
      <c r="P28" s="53"/>
      <c r="Q28" s="48">
        <f>IF((L29=""),"",MAX(D30:L30))</f>
        <v>6090.7</v>
      </c>
      <c r="R28" s="48">
        <f>IF(L29="","",MIN(D30:L30))</f>
        <v>5487.3399999999992</v>
      </c>
      <c r="S28" s="75">
        <f>IF((L30=""),"",AVERAGE(D30:L30))</f>
        <v>5867.3355555555554</v>
      </c>
      <c r="T28" s="75">
        <f>IF((L20=""),"",(Q28-R28)/(Q28+R28)*100)</f>
        <v>5.2112447357238416</v>
      </c>
      <c r="U28" s="48">
        <f>STDEV(D30:P30)</f>
        <v>212.70747701427388</v>
      </c>
      <c r="V28" s="49" t="str">
        <f>IF(L29="","",IF(T28&lt;10,IF(S28&gt;4955,IF(S28&lt;9645,"Pass","Fail"),"Fail"),"Fail"))</f>
        <v>Pass</v>
      </c>
      <c r="W28" s="35">
        <v>102</v>
      </c>
      <c r="X28" s="283"/>
    </row>
    <row r="29" spans="1:24" x14ac:dyDescent="0.25">
      <c r="A29" s="115"/>
      <c r="B29" s="46"/>
      <c r="C29" s="54" t="s">
        <v>200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53"/>
      <c r="N29" s="53"/>
      <c r="O29" s="53"/>
      <c r="P29" s="53"/>
      <c r="Q29" s="46"/>
      <c r="R29" s="46"/>
      <c r="S29" s="46"/>
      <c r="T29" s="46"/>
      <c r="U29" s="46"/>
      <c r="V29" s="47"/>
      <c r="X29" s="283"/>
    </row>
    <row r="30" spans="1:24" ht="22.75" thickBot="1" x14ac:dyDescent="0.3">
      <c r="A30" s="114"/>
      <c r="B30" s="42"/>
      <c r="C30" s="74" t="s">
        <v>199</v>
      </c>
      <c r="D30" s="81">
        <f t="shared" ref="D30:L30" si="3">IF(((D28="")*AND(D29="")),"",(D28-D29)*2)</f>
        <v>5618.18</v>
      </c>
      <c r="E30" s="81">
        <f t="shared" si="3"/>
        <v>5929.56</v>
      </c>
      <c r="F30" s="81">
        <f t="shared" si="3"/>
        <v>6042.44</v>
      </c>
      <c r="G30" s="81">
        <f t="shared" si="3"/>
        <v>6090.7</v>
      </c>
      <c r="H30" s="81">
        <f t="shared" si="3"/>
        <v>5730.1200000000008</v>
      </c>
      <c r="I30" s="81">
        <f t="shared" si="3"/>
        <v>5487.3399999999992</v>
      </c>
      <c r="J30" s="81">
        <f t="shared" si="3"/>
        <v>5973.2600000000011</v>
      </c>
      <c r="K30" s="81">
        <f t="shared" si="3"/>
        <v>6069.8200000000006</v>
      </c>
      <c r="L30" s="81">
        <f t="shared" si="3"/>
        <v>5864.6</v>
      </c>
      <c r="M30" s="81"/>
      <c r="N30" s="81"/>
      <c r="O30" s="81"/>
      <c r="P30" s="81" t="str">
        <f>IF(((P28="")*AND(P29="")),"",(P28-P29)*2)</f>
        <v/>
      </c>
      <c r="Q30" s="42"/>
      <c r="R30" s="42"/>
      <c r="S30" s="42"/>
      <c r="T30" s="42"/>
      <c r="U30" s="78"/>
      <c r="V30" s="43"/>
      <c r="X30" s="284"/>
    </row>
  </sheetData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7" priority="7" stopIfTrue="1" operator="equal">
      <formula>"Pass"</formula>
    </cfRule>
    <cfRule type="cellIs" dxfId="6" priority="8" stopIfTrue="1" operator="equal">
      <formula>"Fail"</formula>
    </cfRule>
  </conditionalFormatting>
  <conditionalFormatting sqref="V10:V24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I25:I26 I28:P29">
    <cfRule type="cellIs" dxfId="3" priority="3" stopIfTrue="1" operator="equal">
      <formula>"Pass"</formula>
    </cfRule>
    <cfRule type="cellIs" dxfId="2" priority="4" stopIfTrue="1" operator="equal">
      <formula>"Fail"</formula>
    </cfRule>
  </conditionalFormatting>
  <conditionalFormatting sqref="V25:V30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1"/>
  <sheetViews>
    <sheetView zoomScale="85" zoomScaleNormal="85" workbookViewId="0">
      <selection activeCell="I19" sqref="I19"/>
    </sheetView>
  </sheetViews>
  <sheetFormatPr defaultRowHeight="12.75" x14ac:dyDescent="0.25"/>
  <cols>
    <col min="1" max="1" width="10.90625" style="40" customWidth="1"/>
    <col min="2" max="2" width="10.08984375" style="35" customWidth="1"/>
    <col min="3" max="3" width="13.36328125" style="35" customWidth="1"/>
    <col min="4" max="16" width="6.08984375" style="35" customWidth="1"/>
    <col min="17" max="17" width="10.36328125" style="39" bestFit="1" customWidth="1"/>
    <col min="18" max="18" width="7.26953125" style="39" bestFit="1" customWidth="1"/>
    <col min="19" max="19" width="9" style="39" customWidth="1"/>
    <col min="20" max="21" width="10.36328125" style="39" customWidth="1"/>
    <col min="22" max="22" width="6.26953125" style="38" customWidth="1"/>
    <col min="23" max="23" width="11.08984375" style="38" customWidth="1"/>
    <col min="24" max="24" width="26.08984375" style="38" customWidth="1"/>
    <col min="25" max="28" width="8.26953125" style="37" customWidth="1"/>
    <col min="29" max="29" width="8.26953125" style="36" customWidth="1"/>
    <col min="30" max="256" width="8.7265625" style="35"/>
    <col min="257" max="257" width="10.90625" style="35" customWidth="1"/>
    <col min="258" max="258" width="10.08984375" style="35" customWidth="1"/>
    <col min="259" max="259" width="13.36328125" style="35" customWidth="1"/>
    <col min="260" max="272" width="6.08984375" style="35" customWidth="1"/>
    <col min="273" max="273" width="10.36328125" style="35" bestFit="1" customWidth="1"/>
    <col min="274" max="274" width="7.26953125" style="35" bestFit="1" customWidth="1"/>
    <col min="275" max="275" width="9" style="35" customWidth="1"/>
    <col min="276" max="277" width="10.36328125" style="35" customWidth="1"/>
    <col min="278" max="278" width="6.26953125" style="35" customWidth="1"/>
    <col min="279" max="279" width="11.08984375" style="35" customWidth="1"/>
    <col min="280" max="280" width="26.08984375" style="35" customWidth="1"/>
    <col min="281" max="285" width="8.26953125" style="35" customWidth="1"/>
    <col min="286" max="512" width="8.7265625" style="35"/>
    <col min="513" max="513" width="10.90625" style="35" customWidth="1"/>
    <col min="514" max="514" width="10.08984375" style="35" customWidth="1"/>
    <col min="515" max="515" width="13.36328125" style="35" customWidth="1"/>
    <col min="516" max="528" width="6.08984375" style="35" customWidth="1"/>
    <col min="529" max="529" width="10.36328125" style="35" bestFit="1" customWidth="1"/>
    <col min="530" max="530" width="7.26953125" style="35" bestFit="1" customWidth="1"/>
    <col min="531" max="531" width="9" style="35" customWidth="1"/>
    <col min="532" max="533" width="10.36328125" style="35" customWidth="1"/>
    <col min="534" max="534" width="6.26953125" style="35" customWidth="1"/>
    <col min="535" max="535" width="11.08984375" style="35" customWidth="1"/>
    <col min="536" max="536" width="26.08984375" style="35" customWidth="1"/>
    <col min="537" max="541" width="8.26953125" style="35" customWidth="1"/>
    <col min="542" max="768" width="8.7265625" style="35"/>
    <col min="769" max="769" width="10.90625" style="35" customWidth="1"/>
    <col min="770" max="770" width="10.08984375" style="35" customWidth="1"/>
    <col min="771" max="771" width="13.36328125" style="35" customWidth="1"/>
    <col min="772" max="784" width="6.08984375" style="35" customWidth="1"/>
    <col min="785" max="785" width="10.36328125" style="35" bestFit="1" customWidth="1"/>
    <col min="786" max="786" width="7.26953125" style="35" bestFit="1" customWidth="1"/>
    <col min="787" max="787" width="9" style="35" customWidth="1"/>
    <col min="788" max="789" width="10.36328125" style="35" customWidth="1"/>
    <col min="790" max="790" width="6.26953125" style="35" customWidth="1"/>
    <col min="791" max="791" width="11.08984375" style="35" customWidth="1"/>
    <col min="792" max="792" width="26.08984375" style="35" customWidth="1"/>
    <col min="793" max="797" width="8.26953125" style="35" customWidth="1"/>
    <col min="798" max="1024" width="8.7265625" style="35"/>
    <col min="1025" max="1025" width="10.90625" style="35" customWidth="1"/>
    <col min="1026" max="1026" width="10.08984375" style="35" customWidth="1"/>
    <col min="1027" max="1027" width="13.36328125" style="35" customWidth="1"/>
    <col min="1028" max="1040" width="6.08984375" style="35" customWidth="1"/>
    <col min="1041" max="1041" width="10.36328125" style="35" bestFit="1" customWidth="1"/>
    <col min="1042" max="1042" width="7.26953125" style="35" bestFit="1" customWidth="1"/>
    <col min="1043" max="1043" width="9" style="35" customWidth="1"/>
    <col min="1044" max="1045" width="10.36328125" style="35" customWidth="1"/>
    <col min="1046" max="1046" width="6.26953125" style="35" customWidth="1"/>
    <col min="1047" max="1047" width="11.08984375" style="35" customWidth="1"/>
    <col min="1048" max="1048" width="26.08984375" style="35" customWidth="1"/>
    <col min="1049" max="1053" width="8.26953125" style="35" customWidth="1"/>
    <col min="1054" max="1280" width="8.7265625" style="35"/>
    <col min="1281" max="1281" width="10.90625" style="35" customWidth="1"/>
    <col min="1282" max="1282" width="10.08984375" style="35" customWidth="1"/>
    <col min="1283" max="1283" width="13.36328125" style="35" customWidth="1"/>
    <col min="1284" max="1296" width="6.08984375" style="35" customWidth="1"/>
    <col min="1297" max="1297" width="10.36328125" style="35" bestFit="1" customWidth="1"/>
    <col min="1298" max="1298" width="7.26953125" style="35" bestFit="1" customWidth="1"/>
    <col min="1299" max="1299" width="9" style="35" customWidth="1"/>
    <col min="1300" max="1301" width="10.36328125" style="35" customWidth="1"/>
    <col min="1302" max="1302" width="6.26953125" style="35" customWidth="1"/>
    <col min="1303" max="1303" width="11.08984375" style="35" customWidth="1"/>
    <col min="1304" max="1304" width="26.08984375" style="35" customWidth="1"/>
    <col min="1305" max="1309" width="8.26953125" style="35" customWidth="1"/>
    <col min="1310" max="1536" width="8.7265625" style="35"/>
    <col min="1537" max="1537" width="10.90625" style="35" customWidth="1"/>
    <col min="1538" max="1538" width="10.08984375" style="35" customWidth="1"/>
    <col min="1539" max="1539" width="13.36328125" style="35" customWidth="1"/>
    <col min="1540" max="1552" width="6.08984375" style="35" customWidth="1"/>
    <col min="1553" max="1553" width="10.36328125" style="35" bestFit="1" customWidth="1"/>
    <col min="1554" max="1554" width="7.26953125" style="35" bestFit="1" customWidth="1"/>
    <col min="1555" max="1555" width="9" style="35" customWidth="1"/>
    <col min="1556" max="1557" width="10.36328125" style="35" customWidth="1"/>
    <col min="1558" max="1558" width="6.26953125" style="35" customWidth="1"/>
    <col min="1559" max="1559" width="11.08984375" style="35" customWidth="1"/>
    <col min="1560" max="1560" width="26.08984375" style="35" customWidth="1"/>
    <col min="1561" max="1565" width="8.26953125" style="35" customWidth="1"/>
    <col min="1566" max="1792" width="8.7265625" style="35"/>
    <col min="1793" max="1793" width="10.90625" style="35" customWidth="1"/>
    <col min="1794" max="1794" width="10.08984375" style="35" customWidth="1"/>
    <col min="1795" max="1795" width="13.36328125" style="35" customWidth="1"/>
    <col min="1796" max="1808" width="6.08984375" style="35" customWidth="1"/>
    <col min="1809" max="1809" width="10.36328125" style="35" bestFit="1" customWidth="1"/>
    <col min="1810" max="1810" width="7.26953125" style="35" bestFit="1" customWidth="1"/>
    <col min="1811" max="1811" width="9" style="35" customWidth="1"/>
    <col min="1812" max="1813" width="10.36328125" style="35" customWidth="1"/>
    <col min="1814" max="1814" width="6.26953125" style="35" customWidth="1"/>
    <col min="1815" max="1815" width="11.08984375" style="35" customWidth="1"/>
    <col min="1816" max="1816" width="26.08984375" style="35" customWidth="1"/>
    <col min="1817" max="1821" width="8.26953125" style="35" customWidth="1"/>
    <col min="1822" max="2048" width="8.7265625" style="35"/>
    <col min="2049" max="2049" width="10.90625" style="35" customWidth="1"/>
    <col min="2050" max="2050" width="10.08984375" style="35" customWidth="1"/>
    <col min="2051" max="2051" width="13.36328125" style="35" customWidth="1"/>
    <col min="2052" max="2064" width="6.08984375" style="35" customWidth="1"/>
    <col min="2065" max="2065" width="10.36328125" style="35" bestFit="1" customWidth="1"/>
    <col min="2066" max="2066" width="7.26953125" style="35" bestFit="1" customWidth="1"/>
    <col min="2067" max="2067" width="9" style="35" customWidth="1"/>
    <col min="2068" max="2069" width="10.36328125" style="35" customWidth="1"/>
    <col min="2070" max="2070" width="6.26953125" style="35" customWidth="1"/>
    <col min="2071" max="2071" width="11.08984375" style="35" customWidth="1"/>
    <col min="2072" max="2072" width="26.08984375" style="35" customWidth="1"/>
    <col min="2073" max="2077" width="8.26953125" style="35" customWidth="1"/>
    <col min="2078" max="2304" width="8.7265625" style="35"/>
    <col min="2305" max="2305" width="10.90625" style="35" customWidth="1"/>
    <col min="2306" max="2306" width="10.08984375" style="35" customWidth="1"/>
    <col min="2307" max="2307" width="13.36328125" style="35" customWidth="1"/>
    <col min="2308" max="2320" width="6.08984375" style="35" customWidth="1"/>
    <col min="2321" max="2321" width="10.36328125" style="35" bestFit="1" customWidth="1"/>
    <col min="2322" max="2322" width="7.26953125" style="35" bestFit="1" customWidth="1"/>
    <col min="2323" max="2323" width="9" style="35" customWidth="1"/>
    <col min="2324" max="2325" width="10.36328125" style="35" customWidth="1"/>
    <col min="2326" max="2326" width="6.26953125" style="35" customWidth="1"/>
    <col min="2327" max="2327" width="11.08984375" style="35" customWidth="1"/>
    <col min="2328" max="2328" width="26.08984375" style="35" customWidth="1"/>
    <col min="2329" max="2333" width="8.26953125" style="35" customWidth="1"/>
    <col min="2334" max="2560" width="8.7265625" style="35"/>
    <col min="2561" max="2561" width="10.90625" style="35" customWidth="1"/>
    <col min="2562" max="2562" width="10.08984375" style="35" customWidth="1"/>
    <col min="2563" max="2563" width="13.36328125" style="35" customWidth="1"/>
    <col min="2564" max="2576" width="6.08984375" style="35" customWidth="1"/>
    <col min="2577" max="2577" width="10.36328125" style="35" bestFit="1" customWidth="1"/>
    <col min="2578" max="2578" width="7.26953125" style="35" bestFit="1" customWidth="1"/>
    <col min="2579" max="2579" width="9" style="35" customWidth="1"/>
    <col min="2580" max="2581" width="10.36328125" style="35" customWidth="1"/>
    <col min="2582" max="2582" width="6.26953125" style="35" customWidth="1"/>
    <col min="2583" max="2583" width="11.08984375" style="35" customWidth="1"/>
    <col min="2584" max="2584" width="26.08984375" style="35" customWidth="1"/>
    <col min="2585" max="2589" width="8.26953125" style="35" customWidth="1"/>
    <col min="2590" max="2816" width="8.7265625" style="35"/>
    <col min="2817" max="2817" width="10.90625" style="35" customWidth="1"/>
    <col min="2818" max="2818" width="10.08984375" style="35" customWidth="1"/>
    <col min="2819" max="2819" width="13.36328125" style="35" customWidth="1"/>
    <col min="2820" max="2832" width="6.08984375" style="35" customWidth="1"/>
    <col min="2833" max="2833" width="10.36328125" style="35" bestFit="1" customWidth="1"/>
    <col min="2834" max="2834" width="7.26953125" style="35" bestFit="1" customWidth="1"/>
    <col min="2835" max="2835" width="9" style="35" customWidth="1"/>
    <col min="2836" max="2837" width="10.36328125" style="35" customWidth="1"/>
    <col min="2838" max="2838" width="6.26953125" style="35" customWidth="1"/>
    <col min="2839" max="2839" width="11.08984375" style="35" customWidth="1"/>
    <col min="2840" max="2840" width="26.08984375" style="35" customWidth="1"/>
    <col min="2841" max="2845" width="8.26953125" style="35" customWidth="1"/>
    <col min="2846" max="3072" width="8.7265625" style="35"/>
    <col min="3073" max="3073" width="10.90625" style="35" customWidth="1"/>
    <col min="3074" max="3074" width="10.08984375" style="35" customWidth="1"/>
    <col min="3075" max="3075" width="13.36328125" style="35" customWidth="1"/>
    <col min="3076" max="3088" width="6.08984375" style="35" customWidth="1"/>
    <col min="3089" max="3089" width="10.36328125" style="35" bestFit="1" customWidth="1"/>
    <col min="3090" max="3090" width="7.26953125" style="35" bestFit="1" customWidth="1"/>
    <col min="3091" max="3091" width="9" style="35" customWidth="1"/>
    <col min="3092" max="3093" width="10.36328125" style="35" customWidth="1"/>
    <col min="3094" max="3094" width="6.26953125" style="35" customWidth="1"/>
    <col min="3095" max="3095" width="11.08984375" style="35" customWidth="1"/>
    <col min="3096" max="3096" width="26.08984375" style="35" customWidth="1"/>
    <col min="3097" max="3101" width="8.26953125" style="35" customWidth="1"/>
    <col min="3102" max="3328" width="8.7265625" style="35"/>
    <col min="3329" max="3329" width="10.90625" style="35" customWidth="1"/>
    <col min="3330" max="3330" width="10.08984375" style="35" customWidth="1"/>
    <col min="3331" max="3331" width="13.36328125" style="35" customWidth="1"/>
    <col min="3332" max="3344" width="6.08984375" style="35" customWidth="1"/>
    <col min="3345" max="3345" width="10.36328125" style="35" bestFit="1" customWidth="1"/>
    <col min="3346" max="3346" width="7.26953125" style="35" bestFit="1" customWidth="1"/>
    <col min="3347" max="3347" width="9" style="35" customWidth="1"/>
    <col min="3348" max="3349" width="10.36328125" style="35" customWidth="1"/>
    <col min="3350" max="3350" width="6.26953125" style="35" customWidth="1"/>
    <col min="3351" max="3351" width="11.08984375" style="35" customWidth="1"/>
    <col min="3352" max="3352" width="26.08984375" style="35" customWidth="1"/>
    <col min="3353" max="3357" width="8.26953125" style="35" customWidth="1"/>
    <col min="3358" max="3584" width="8.7265625" style="35"/>
    <col min="3585" max="3585" width="10.90625" style="35" customWidth="1"/>
    <col min="3586" max="3586" width="10.08984375" style="35" customWidth="1"/>
    <col min="3587" max="3587" width="13.36328125" style="35" customWidth="1"/>
    <col min="3588" max="3600" width="6.08984375" style="35" customWidth="1"/>
    <col min="3601" max="3601" width="10.36328125" style="35" bestFit="1" customWidth="1"/>
    <col min="3602" max="3602" width="7.26953125" style="35" bestFit="1" customWidth="1"/>
    <col min="3603" max="3603" width="9" style="35" customWidth="1"/>
    <col min="3604" max="3605" width="10.36328125" style="35" customWidth="1"/>
    <col min="3606" max="3606" width="6.26953125" style="35" customWidth="1"/>
    <col min="3607" max="3607" width="11.08984375" style="35" customWidth="1"/>
    <col min="3608" max="3608" width="26.08984375" style="35" customWidth="1"/>
    <col min="3609" max="3613" width="8.26953125" style="35" customWidth="1"/>
    <col min="3614" max="3840" width="8.7265625" style="35"/>
    <col min="3841" max="3841" width="10.90625" style="35" customWidth="1"/>
    <col min="3842" max="3842" width="10.08984375" style="35" customWidth="1"/>
    <col min="3843" max="3843" width="13.36328125" style="35" customWidth="1"/>
    <col min="3844" max="3856" width="6.08984375" style="35" customWidth="1"/>
    <col min="3857" max="3857" width="10.36328125" style="35" bestFit="1" customWidth="1"/>
    <col min="3858" max="3858" width="7.26953125" style="35" bestFit="1" customWidth="1"/>
    <col min="3859" max="3859" width="9" style="35" customWidth="1"/>
    <col min="3860" max="3861" width="10.36328125" style="35" customWidth="1"/>
    <col min="3862" max="3862" width="6.26953125" style="35" customWidth="1"/>
    <col min="3863" max="3863" width="11.08984375" style="35" customWidth="1"/>
    <col min="3864" max="3864" width="26.08984375" style="35" customWidth="1"/>
    <col min="3865" max="3869" width="8.26953125" style="35" customWidth="1"/>
    <col min="3870" max="4096" width="8.7265625" style="35"/>
    <col min="4097" max="4097" width="10.90625" style="35" customWidth="1"/>
    <col min="4098" max="4098" width="10.08984375" style="35" customWidth="1"/>
    <col min="4099" max="4099" width="13.36328125" style="35" customWidth="1"/>
    <col min="4100" max="4112" width="6.08984375" style="35" customWidth="1"/>
    <col min="4113" max="4113" width="10.36328125" style="35" bestFit="1" customWidth="1"/>
    <col min="4114" max="4114" width="7.26953125" style="35" bestFit="1" customWidth="1"/>
    <col min="4115" max="4115" width="9" style="35" customWidth="1"/>
    <col min="4116" max="4117" width="10.36328125" style="35" customWidth="1"/>
    <col min="4118" max="4118" width="6.26953125" style="35" customWidth="1"/>
    <col min="4119" max="4119" width="11.08984375" style="35" customWidth="1"/>
    <col min="4120" max="4120" width="26.08984375" style="35" customWidth="1"/>
    <col min="4121" max="4125" width="8.26953125" style="35" customWidth="1"/>
    <col min="4126" max="4352" width="8.7265625" style="35"/>
    <col min="4353" max="4353" width="10.90625" style="35" customWidth="1"/>
    <col min="4354" max="4354" width="10.08984375" style="35" customWidth="1"/>
    <col min="4355" max="4355" width="13.36328125" style="35" customWidth="1"/>
    <col min="4356" max="4368" width="6.08984375" style="35" customWidth="1"/>
    <col min="4369" max="4369" width="10.36328125" style="35" bestFit="1" customWidth="1"/>
    <col min="4370" max="4370" width="7.26953125" style="35" bestFit="1" customWidth="1"/>
    <col min="4371" max="4371" width="9" style="35" customWidth="1"/>
    <col min="4372" max="4373" width="10.36328125" style="35" customWidth="1"/>
    <col min="4374" max="4374" width="6.26953125" style="35" customWidth="1"/>
    <col min="4375" max="4375" width="11.08984375" style="35" customWidth="1"/>
    <col min="4376" max="4376" width="26.08984375" style="35" customWidth="1"/>
    <col min="4377" max="4381" width="8.26953125" style="35" customWidth="1"/>
    <col min="4382" max="4608" width="8.7265625" style="35"/>
    <col min="4609" max="4609" width="10.90625" style="35" customWidth="1"/>
    <col min="4610" max="4610" width="10.08984375" style="35" customWidth="1"/>
    <col min="4611" max="4611" width="13.36328125" style="35" customWidth="1"/>
    <col min="4612" max="4624" width="6.08984375" style="35" customWidth="1"/>
    <col min="4625" max="4625" width="10.36328125" style="35" bestFit="1" customWidth="1"/>
    <col min="4626" max="4626" width="7.26953125" style="35" bestFit="1" customWidth="1"/>
    <col min="4627" max="4627" width="9" style="35" customWidth="1"/>
    <col min="4628" max="4629" width="10.36328125" style="35" customWidth="1"/>
    <col min="4630" max="4630" width="6.26953125" style="35" customWidth="1"/>
    <col min="4631" max="4631" width="11.08984375" style="35" customWidth="1"/>
    <col min="4632" max="4632" width="26.08984375" style="35" customWidth="1"/>
    <col min="4633" max="4637" width="8.26953125" style="35" customWidth="1"/>
    <col min="4638" max="4864" width="8.7265625" style="35"/>
    <col min="4865" max="4865" width="10.90625" style="35" customWidth="1"/>
    <col min="4866" max="4866" width="10.08984375" style="35" customWidth="1"/>
    <col min="4867" max="4867" width="13.36328125" style="35" customWidth="1"/>
    <col min="4868" max="4880" width="6.08984375" style="35" customWidth="1"/>
    <col min="4881" max="4881" width="10.36328125" style="35" bestFit="1" customWidth="1"/>
    <col min="4882" max="4882" width="7.26953125" style="35" bestFit="1" customWidth="1"/>
    <col min="4883" max="4883" width="9" style="35" customWidth="1"/>
    <col min="4884" max="4885" width="10.36328125" style="35" customWidth="1"/>
    <col min="4886" max="4886" width="6.26953125" style="35" customWidth="1"/>
    <col min="4887" max="4887" width="11.08984375" style="35" customWidth="1"/>
    <col min="4888" max="4888" width="26.08984375" style="35" customWidth="1"/>
    <col min="4889" max="4893" width="8.26953125" style="35" customWidth="1"/>
    <col min="4894" max="5120" width="8.7265625" style="35"/>
    <col min="5121" max="5121" width="10.90625" style="35" customWidth="1"/>
    <col min="5122" max="5122" width="10.08984375" style="35" customWidth="1"/>
    <col min="5123" max="5123" width="13.36328125" style="35" customWidth="1"/>
    <col min="5124" max="5136" width="6.08984375" style="35" customWidth="1"/>
    <col min="5137" max="5137" width="10.36328125" style="35" bestFit="1" customWidth="1"/>
    <col min="5138" max="5138" width="7.26953125" style="35" bestFit="1" customWidth="1"/>
    <col min="5139" max="5139" width="9" style="35" customWidth="1"/>
    <col min="5140" max="5141" width="10.36328125" style="35" customWidth="1"/>
    <col min="5142" max="5142" width="6.26953125" style="35" customWidth="1"/>
    <col min="5143" max="5143" width="11.08984375" style="35" customWidth="1"/>
    <col min="5144" max="5144" width="26.08984375" style="35" customWidth="1"/>
    <col min="5145" max="5149" width="8.26953125" style="35" customWidth="1"/>
    <col min="5150" max="5376" width="8.7265625" style="35"/>
    <col min="5377" max="5377" width="10.90625" style="35" customWidth="1"/>
    <col min="5378" max="5378" width="10.08984375" style="35" customWidth="1"/>
    <col min="5379" max="5379" width="13.36328125" style="35" customWidth="1"/>
    <col min="5380" max="5392" width="6.08984375" style="35" customWidth="1"/>
    <col min="5393" max="5393" width="10.36328125" style="35" bestFit="1" customWidth="1"/>
    <col min="5394" max="5394" width="7.26953125" style="35" bestFit="1" customWidth="1"/>
    <col min="5395" max="5395" width="9" style="35" customWidth="1"/>
    <col min="5396" max="5397" width="10.36328125" style="35" customWidth="1"/>
    <col min="5398" max="5398" width="6.26953125" style="35" customWidth="1"/>
    <col min="5399" max="5399" width="11.08984375" style="35" customWidth="1"/>
    <col min="5400" max="5400" width="26.08984375" style="35" customWidth="1"/>
    <col min="5401" max="5405" width="8.26953125" style="35" customWidth="1"/>
    <col min="5406" max="5632" width="8.7265625" style="35"/>
    <col min="5633" max="5633" width="10.90625" style="35" customWidth="1"/>
    <col min="5634" max="5634" width="10.08984375" style="35" customWidth="1"/>
    <col min="5635" max="5635" width="13.36328125" style="35" customWidth="1"/>
    <col min="5636" max="5648" width="6.08984375" style="35" customWidth="1"/>
    <col min="5649" max="5649" width="10.36328125" style="35" bestFit="1" customWidth="1"/>
    <col min="5650" max="5650" width="7.26953125" style="35" bestFit="1" customWidth="1"/>
    <col min="5651" max="5651" width="9" style="35" customWidth="1"/>
    <col min="5652" max="5653" width="10.36328125" style="35" customWidth="1"/>
    <col min="5654" max="5654" width="6.26953125" style="35" customWidth="1"/>
    <col min="5655" max="5655" width="11.08984375" style="35" customWidth="1"/>
    <col min="5656" max="5656" width="26.08984375" style="35" customWidth="1"/>
    <col min="5657" max="5661" width="8.26953125" style="35" customWidth="1"/>
    <col min="5662" max="5888" width="8.7265625" style="35"/>
    <col min="5889" max="5889" width="10.90625" style="35" customWidth="1"/>
    <col min="5890" max="5890" width="10.08984375" style="35" customWidth="1"/>
    <col min="5891" max="5891" width="13.36328125" style="35" customWidth="1"/>
    <col min="5892" max="5904" width="6.08984375" style="35" customWidth="1"/>
    <col min="5905" max="5905" width="10.36328125" style="35" bestFit="1" customWidth="1"/>
    <col min="5906" max="5906" width="7.26953125" style="35" bestFit="1" customWidth="1"/>
    <col min="5907" max="5907" width="9" style="35" customWidth="1"/>
    <col min="5908" max="5909" width="10.36328125" style="35" customWidth="1"/>
    <col min="5910" max="5910" width="6.26953125" style="35" customWidth="1"/>
    <col min="5911" max="5911" width="11.08984375" style="35" customWidth="1"/>
    <col min="5912" max="5912" width="26.08984375" style="35" customWidth="1"/>
    <col min="5913" max="5917" width="8.26953125" style="35" customWidth="1"/>
    <col min="5918" max="6144" width="8.7265625" style="35"/>
    <col min="6145" max="6145" width="10.90625" style="35" customWidth="1"/>
    <col min="6146" max="6146" width="10.08984375" style="35" customWidth="1"/>
    <col min="6147" max="6147" width="13.36328125" style="35" customWidth="1"/>
    <col min="6148" max="6160" width="6.08984375" style="35" customWidth="1"/>
    <col min="6161" max="6161" width="10.36328125" style="35" bestFit="1" customWidth="1"/>
    <col min="6162" max="6162" width="7.26953125" style="35" bestFit="1" customWidth="1"/>
    <col min="6163" max="6163" width="9" style="35" customWidth="1"/>
    <col min="6164" max="6165" width="10.36328125" style="35" customWidth="1"/>
    <col min="6166" max="6166" width="6.26953125" style="35" customWidth="1"/>
    <col min="6167" max="6167" width="11.08984375" style="35" customWidth="1"/>
    <col min="6168" max="6168" width="26.08984375" style="35" customWidth="1"/>
    <col min="6169" max="6173" width="8.26953125" style="35" customWidth="1"/>
    <col min="6174" max="6400" width="8.7265625" style="35"/>
    <col min="6401" max="6401" width="10.90625" style="35" customWidth="1"/>
    <col min="6402" max="6402" width="10.08984375" style="35" customWidth="1"/>
    <col min="6403" max="6403" width="13.36328125" style="35" customWidth="1"/>
    <col min="6404" max="6416" width="6.08984375" style="35" customWidth="1"/>
    <col min="6417" max="6417" width="10.36328125" style="35" bestFit="1" customWidth="1"/>
    <col min="6418" max="6418" width="7.26953125" style="35" bestFit="1" customWidth="1"/>
    <col min="6419" max="6419" width="9" style="35" customWidth="1"/>
    <col min="6420" max="6421" width="10.36328125" style="35" customWidth="1"/>
    <col min="6422" max="6422" width="6.26953125" style="35" customWidth="1"/>
    <col min="6423" max="6423" width="11.08984375" style="35" customWidth="1"/>
    <col min="6424" max="6424" width="26.08984375" style="35" customWidth="1"/>
    <col min="6425" max="6429" width="8.26953125" style="35" customWidth="1"/>
    <col min="6430" max="6656" width="8.7265625" style="35"/>
    <col min="6657" max="6657" width="10.90625" style="35" customWidth="1"/>
    <col min="6658" max="6658" width="10.08984375" style="35" customWidth="1"/>
    <col min="6659" max="6659" width="13.36328125" style="35" customWidth="1"/>
    <col min="6660" max="6672" width="6.08984375" style="35" customWidth="1"/>
    <col min="6673" max="6673" width="10.36328125" style="35" bestFit="1" customWidth="1"/>
    <col min="6674" max="6674" width="7.26953125" style="35" bestFit="1" customWidth="1"/>
    <col min="6675" max="6675" width="9" style="35" customWidth="1"/>
    <col min="6676" max="6677" width="10.36328125" style="35" customWidth="1"/>
    <col min="6678" max="6678" width="6.26953125" style="35" customWidth="1"/>
    <col min="6679" max="6679" width="11.08984375" style="35" customWidth="1"/>
    <col min="6680" max="6680" width="26.08984375" style="35" customWidth="1"/>
    <col min="6681" max="6685" width="8.26953125" style="35" customWidth="1"/>
    <col min="6686" max="6912" width="8.7265625" style="35"/>
    <col min="6913" max="6913" width="10.90625" style="35" customWidth="1"/>
    <col min="6914" max="6914" width="10.08984375" style="35" customWidth="1"/>
    <col min="6915" max="6915" width="13.36328125" style="35" customWidth="1"/>
    <col min="6916" max="6928" width="6.08984375" style="35" customWidth="1"/>
    <col min="6929" max="6929" width="10.36328125" style="35" bestFit="1" customWidth="1"/>
    <col min="6930" max="6930" width="7.26953125" style="35" bestFit="1" customWidth="1"/>
    <col min="6931" max="6931" width="9" style="35" customWidth="1"/>
    <col min="6932" max="6933" width="10.36328125" style="35" customWidth="1"/>
    <col min="6934" max="6934" width="6.26953125" style="35" customWidth="1"/>
    <col min="6935" max="6935" width="11.08984375" style="35" customWidth="1"/>
    <col min="6936" max="6936" width="26.08984375" style="35" customWidth="1"/>
    <col min="6937" max="6941" width="8.26953125" style="35" customWidth="1"/>
    <col min="6942" max="7168" width="8.7265625" style="35"/>
    <col min="7169" max="7169" width="10.90625" style="35" customWidth="1"/>
    <col min="7170" max="7170" width="10.08984375" style="35" customWidth="1"/>
    <col min="7171" max="7171" width="13.36328125" style="35" customWidth="1"/>
    <col min="7172" max="7184" width="6.08984375" style="35" customWidth="1"/>
    <col min="7185" max="7185" width="10.36328125" style="35" bestFit="1" customWidth="1"/>
    <col min="7186" max="7186" width="7.26953125" style="35" bestFit="1" customWidth="1"/>
    <col min="7187" max="7187" width="9" style="35" customWidth="1"/>
    <col min="7188" max="7189" width="10.36328125" style="35" customWidth="1"/>
    <col min="7190" max="7190" width="6.26953125" style="35" customWidth="1"/>
    <col min="7191" max="7191" width="11.08984375" style="35" customWidth="1"/>
    <col min="7192" max="7192" width="26.08984375" style="35" customWidth="1"/>
    <col min="7193" max="7197" width="8.26953125" style="35" customWidth="1"/>
    <col min="7198" max="7424" width="8.7265625" style="35"/>
    <col min="7425" max="7425" width="10.90625" style="35" customWidth="1"/>
    <col min="7426" max="7426" width="10.08984375" style="35" customWidth="1"/>
    <col min="7427" max="7427" width="13.36328125" style="35" customWidth="1"/>
    <col min="7428" max="7440" width="6.08984375" style="35" customWidth="1"/>
    <col min="7441" max="7441" width="10.36328125" style="35" bestFit="1" customWidth="1"/>
    <col min="7442" max="7442" width="7.26953125" style="35" bestFit="1" customWidth="1"/>
    <col min="7443" max="7443" width="9" style="35" customWidth="1"/>
    <col min="7444" max="7445" width="10.36328125" style="35" customWidth="1"/>
    <col min="7446" max="7446" width="6.26953125" style="35" customWidth="1"/>
    <col min="7447" max="7447" width="11.08984375" style="35" customWidth="1"/>
    <col min="7448" max="7448" width="26.08984375" style="35" customWidth="1"/>
    <col min="7449" max="7453" width="8.26953125" style="35" customWidth="1"/>
    <col min="7454" max="7680" width="8.7265625" style="35"/>
    <col min="7681" max="7681" width="10.90625" style="35" customWidth="1"/>
    <col min="7682" max="7682" width="10.08984375" style="35" customWidth="1"/>
    <col min="7683" max="7683" width="13.36328125" style="35" customWidth="1"/>
    <col min="7684" max="7696" width="6.08984375" style="35" customWidth="1"/>
    <col min="7697" max="7697" width="10.36328125" style="35" bestFit="1" customWidth="1"/>
    <col min="7698" max="7698" width="7.26953125" style="35" bestFit="1" customWidth="1"/>
    <col min="7699" max="7699" width="9" style="35" customWidth="1"/>
    <col min="7700" max="7701" width="10.36328125" style="35" customWidth="1"/>
    <col min="7702" max="7702" width="6.26953125" style="35" customWidth="1"/>
    <col min="7703" max="7703" width="11.08984375" style="35" customWidth="1"/>
    <col min="7704" max="7704" width="26.08984375" style="35" customWidth="1"/>
    <col min="7705" max="7709" width="8.26953125" style="35" customWidth="1"/>
    <col min="7710" max="7936" width="8.7265625" style="35"/>
    <col min="7937" max="7937" width="10.90625" style="35" customWidth="1"/>
    <col min="7938" max="7938" width="10.08984375" style="35" customWidth="1"/>
    <col min="7939" max="7939" width="13.36328125" style="35" customWidth="1"/>
    <col min="7940" max="7952" width="6.08984375" style="35" customWidth="1"/>
    <col min="7953" max="7953" width="10.36328125" style="35" bestFit="1" customWidth="1"/>
    <col min="7954" max="7954" width="7.26953125" style="35" bestFit="1" customWidth="1"/>
    <col min="7955" max="7955" width="9" style="35" customWidth="1"/>
    <col min="7956" max="7957" width="10.36328125" style="35" customWidth="1"/>
    <col min="7958" max="7958" width="6.26953125" style="35" customWidth="1"/>
    <col min="7959" max="7959" width="11.08984375" style="35" customWidth="1"/>
    <col min="7960" max="7960" width="26.08984375" style="35" customWidth="1"/>
    <col min="7961" max="7965" width="8.26953125" style="35" customWidth="1"/>
    <col min="7966" max="8192" width="8.7265625" style="35"/>
    <col min="8193" max="8193" width="10.90625" style="35" customWidth="1"/>
    <col min="8194" max="8194" width="10.08984375" style="35" customWidth="1"/>
    <col min="8195" max="8195" width="13.36328125" style="35" customWidth="1"/>
    <col min="8196" max="8208" width="6.08984375" style="35" customWidth="1"/>
    <col min="8209" max="8209" width="10.36328125" style="35" bestFit="1" customWidth="1"/>
    <col min="8210" max="8210" width="7.26953125" style="35" bestFit="1" customWidth="1"/>
    <col min="8211" max="8211" width="9" style="35" customWidth="1"/>
    <col min="8212" max="8213" width="10.36328125" style="35" customWidth="1"/>
    <col min="8214" max="8214" width="6.26953125" style="35" customWidth="1"/>
    <col min="8215" max="8215" width="11.08984375" style="35" customWidth="1"/>
    <col min="8216" max="8216" width="26.08984375" style="35" customWidth="1"/>
    <col min="8217" max="8221" width="8.26953125" style="35" customWidth="1"/>
    <col min="8222" max="8448" width="8.7265625" style="35"/>
    <col min="8449" max="8449" width="10.90625" style="35" customWidth="1"/>
    <col min="8450" max="8450" width="10.08984375" style="35" customWidth="1"/>
    <col min="8451" max="8451" width="13.36328125" style="35" customWidth="1"/>
    <col min="8452" max="8464" width="6.08984375" style="35" customWidth="1"/>
    <col min="8465" max="8465" width="10.36328125" style="35" bestFit="1" customWidth="1"/>
    <col min="8466" max="8466" width="7.26953125" style="35" bestFit="1" customWidth="1"/>
    <col min="8467" max="8467" width="9" style="35" customWidth="1"/>
    <col min="8468" max="8469" width="10.36328125" style="35" customWidth="1"/>
    <col min="8470" max="8470" width="6.26953125" style="35" customWidth="1"/>
    <col min="8471" max="8471" width="11.08984375" style="35" customWidth="1"/>
    <col min="8472" max="8472" width="26.08984375" style="35" customWidth="1"/>
    <col min="8473" max="8477" width="8.26953125" style="35" customWidth="1"/>
    <col min="8478" max="8704" width="8.7265625" style="35"/>
    <col min="8705" max="8705" width="10.90625" style="35" customWidth="1"/>
    <col min="8706" max="8706" width="10.08984375" style="35" customWidth="1"/>
    <col min="8707" max="8707" width="13.36328125" style="35" customWidth="1"/>
    <col min="8708" max="8720" width="6.08984375" style="35" customWidth="1"/>
    <col min="8721" max="8721" width="10.36328125" style="35" bestFit="1" customWidth="1"/>
    <col min="8722" max="8722" width="7.26953125" style="35" bestFit="1" customWidth="1"/>
    <col min="8723" max="8723" width="9" style="35" customWidth="1"/>
    <col min="8724" max="8725" width="10.36328125" style="35" customWidth="1"/>
    <col min="8726" max="8726" width="6.26953125" style="35" customWidth="1"/>
    <col min="8727" max="8727" width="11.08984375" style="35" customWidth="1"/>
    <col min="8728" max="8728" width="26.08984375" style="35" customWidth="1"/>
    <col min="8729" max="8733" width="8.26953125" style="35" customWidth="1"/>
    <col min="8734" max="8960" width="8.7265625" style="35"/>
    <col min="8961" max="8961" width="10.90625" style="35" customWidth="1"/>
    <col min="8962" max="8962" width="10.08984375" style="35" customWidth="1"/>
    <col min="8963" max="8963" width="13.36328125" style="35" customWidth="1"/>
    <col min="8964" max="8976" width="6.08984375" style="35" customWidth="1"/>
    <col min="8977" max="8977" width="10.36328125" style="35" bestFit="1" customWidth="1"/>
    <col min="8978" max="8978" width="7.26953125" style="35" bestFit="1" customWidth="1"/>
    <col min="8979" max="8979" width="9" style="35" customWidth="1"/>
    <col min="8980" max="8981" width="10.36328125" style="35" customWidth="1"/>
    <col min="8982" max="8982" width="6.26953125" style="35" customWidth="1"/>
    <col min="8983" max="8983" width="11.08984375" style="35" customWidth="1"/>
    <col min="8984" max="8984" width="26.08984375" style="35" customWidth="1"/>
    <col min="8985" max="8989" width="8.26953125" style="35" customWidth="1"/>
    <col min="8990" max="9216" width="8.7265625" style="35"/>
    <col min="9217" max="9217" width="10.90625" style="35" customWidth="1"/>
    <col min="9218" max="9218" width="10.08984375" style="35" customWidth="1"/>
    <col min="9219" max="9219" width="13.36328125" style="35" customWidth="1"/>
    <col min="9220" max="9232" width="6.08984375" style="35" customWidth="1"/>
    <col min="9233" max="9233" width="10.36328125" style="35" bestFit="1" customWidth="1"/>
    <col min="9234" max="9234" width="7.26953125" style="35" bestFit="1" customWidth="1"/>
    <col min="9235" max="9235" width="9" style="35" customWidth="1"/>
    <col min="9236" max="9237" width="10.36328125" style="35" customWidth="1"/>
    <col min="9238" max="9238" width="6.26953125" style="35" customWidth="1"/>
    <col min="9239" max="9239" width="11.08984375" style="35" customWidth="1"/>
    <col min="9240" max="9240" width="26.08984375" style="35" customWidth="1"/>
    <col min="9241" max="9245" width="8.26953125" style="35" customWidth="1"/>
    <col min="9246" max="9472" width="8.7265625" style="35"/>
    <col min="9473" max="9473" width="10.90625" style="35" customWidth="1"/>
    <col min="9474" max="9474" width="10.08984375" style="35" customWidth="1"/>
    <col min="9475" max="9475" width="13.36328125" style="35" customWidth="1"/>
    <col min="9476" max="9488" width="6.08984375" style="35" customWidth="1"/>
    <col min="9489" max="9489" width="10.36328125" style="35" bestFit="1" customWidth="1"/>
    <col min="9490" max="9490" width="7.26953125" style="35" bestFit="1" customWidth="1"/>
    <col min="9491" max="9491" width="9" style="35" customWidth="1"/>
    <col min="9492" max="9493" width="10.36328125" style="35" customWidth="1"/>
    <col min="9494" max="9494" width="6.26953125" style="35" customWidth="1"/>
    <col min="9495" max="9495" width="11.08984375" style="35" customWidth="1"/>
    <col min="9496" max="9496" width="26.08984375" style="35" customWidth="1"/>
    <col min="9497" max="9501" width="8.26953125" style="35" customWidth="1"/>
    <col min="9502" max="9728" width="8.7265625" style="35"/>
    <col min="9729" max="9729" width="10.90625" style="35" customWidth="1"/>
    <col min="9730" max="9730" width="10.08984375" style="35" customWidth="1"/>
    <col min="9731" max="9731" width="13.36328125" style="35" customWidth="1"/>
    <col min="9732" max="9744" width="6.08984375" style="35" customWidth="1"/>
    <col min="9745" max="9745" width="10.36328125" style="35" bestFit="1" customWidth="1"/>
    <col min="9746" max="9746" width="7.26953125" style="35" bestFit="1" customWidth="1"/>
    <col min="9747" max="9747" width="9" style="35" customWidth="1"/>
    <col min="9748" max="9749" width="10.36328125" style="35" customWidth="1"/>
    <col min="9750" max="9750" width="6.26953125" style="35" customWidth="1"/>
    <col min="9751" max="9751" width="11.08984375" style="35" customWidth="1"/>
    <col min="9752" max="9752" width="26.08984375" style="35" customWidth="1"/>
    <col min="9753" max="9757" width="8.26953125" style="35" customWidth="1"/>
    <col min="9758" max="9984" width="8.7265625" style="35"/>
    <col min="9985" max="9985" width="10.90625" style="35" customWidth="1"/>
    <col min="9986" max="9986" width="10.08984375" style="35" customWidth="1"/>
    <col min="9987" max="9987" width="13.36328125" style="35" customWidth="1"/>
    <col min="9988" max="10000" width="6.08984375" style="35" customWidth="1"/>
    <col min="10001" max="10001" width="10.36328125" style="35" bestFit="1" customWidth="1"/>
    <col min="10002" max="10002" width="7.26953125" style="35" bestFit="1" customWidth="1"/>
    <col min="10003" max="10003" width="9" style="35" customWidth="1"/>
    <col min="10004" max="10005" width="10.36328125" style="35" customWidth="1"/>
    <col min="10006" max="10006" width="6.26953125" style="35" customWidth="1"/>
    <col min="10007" max="10007" width="11.08984375" style="35" customWidth="1"/>
    <col min="10008" max="10008" width="26.08984375" style="35" customWidth="1"/>
    <col min="10009" max="10013" width="8.26953125" style="35" customWidth="1"/>
    <col min="10014" max="10240" width="8.7265625" style="35"/>
    <col min="10241" max="10241" width="10.90625" style="35" customWidth="1"/>
    <col min="10242" max="10242" width="10.08984375" style="35" customWidth="1"/>
    <col min="10243" max="10243" width="13.36328125" style="35" customWidth="1"/>
    <col min="10244" max="10256" width="6.08984375" style="35" customWidth="1"/>
    <col min="10257" max="10257" width="10.36328125" style="35" bestFit="1" customWidth="1"/>
    <col min="10258" max="10258" width="7.26953125" style="35" bestFit="1" customWidth="1"/>
    <col min="10259" max="10259" width="9" style="35" customWidth="1"/>
    <col min="10260" max="10261" width="10.36328125" style="35" customWidth="1"/>
    <col min="10262" max="10262" width="6.26953125" style="35" customWidth="1"/>
    <col min="10263" max="10263" width="11.08984375" style="35" customWidth="1"/>
    <col min="10264" max="10264" width="26.08984375" style="35" customWidth="1"/>
    <col min="10265" max="10269" width="8.26953125" style="35" customWidth="1"/>
    <col min="10270" max="10496" width="8.7265625" style="35"/>
    <col min="10497" max="10497" width="10.90625" style="35" customWidth="1"/>
    <col min="10498" max="10498" width="10.08984375" style="35" customWidth="1"/>
    <col min="10499" max="10499" width="13.36328125" style="35" customWidth="1"/>
    <col min="10500" max="10512" width="6.08984375" style="35" customWidth="1"/>
    <col min="10513" max="10513" width="10.36328125" style="35" bestFit="1" customWidth="1"/>
    <col min="10514" max="10514" width="7.26953125" style="35" bestFit="1" customWidth="1"/>
    <col min="10515" max="10515" width="9" style="35" customWidth="1"/>
    <col min="10516" max="10517" width="10.36328125" style="35" customWidth="1"/>
    <col min="10518" max="10518" width="6.26953125" style="35" customWidth="1"/>
    <col min="10519" max="10519" width="11.08984375" style="35" customWidth="1"/>
    <col min="10520" max="10520" width="26.08984375" style="35" customWidth="1"/>
    <col min="10521" max="10525" width="8.26953125" style="35" customWidth="1"/>
    <col min="10526" max="10752" width="8.7265625" style="35"/>
    <col min="10753" max="10753" width="10.90625" style="35" customWidth="1"/>
    <col min="10754" max="10754" width="10.08984375" style="35" customWidth="1"/>
    <col min="10755" max="10755" width="13.36328125" style="35" customWidth="1"/>
    <col min="10756" max="10768" width="6.08984375" style="35" customWidth="1"/>
    <col min="10769" max="10769" width="10.36328125" style="35" bestFit="1" customWidth="1"/>
    <col min="10770" max="10770" width="7.26953125" style="35" bestFit="1" customWidth="1"/>
    <col min="10771" max="10771" width="9" style="35" customWidth="1"/>
    <col min="10772" max="10773" width="10.36328125" style="35" customWidth="1"/>
    <col min="10774" max="10774" width="6.26953125" style="35" customWidth="1"/>
    <col min="10775" max="10775" width="11.08984375" style="35" customWidth="1"/>
    <col min="10776" max="10776" width="26.08984375" style="35" customWidth="1"/>
    <col min="10777" max="10781" width="8.26953125" style="35" customWidth="1"/>
    <col min="10782" max="11008" width="8.7265625" style="35"/>
    <col min="11009" max="11009" width="10.90625" style="35" customWidth="1"/>
    <col min="11010" max="11010" width="10.08984375" style="35" customWidth="1"/>
    <col min="11011" max="11011" width="13.36328125" style="35" customWidth="1"/>
    <col min="11012" max="11024" width="6.08984375" style="35" customWidth="1"/>
    <col min="11025" max="11025" width="10.36328125" style="35" bestFit="1" customWidth="1"/>
    <col min="11026" max="11026" width="7.26953125" style="35" bestFit="1" customWidth="1"/>
    <col min="11027" max="11027" width="9" style="35" customWidth="1"/>
    <col min="11028" max="11029" width="10.36328125" style="35" customWidth="1"/>
    <col min="11030" max="11030" width="6.26953125" style="35" customWidth="1"/>
    <col min="11031" max="11031" width="11.08984375" style="35" customWidth="1"/>
    <col min="11032" max="11032" width="26.08984375" style="35" customWidth="1"/>
    <col min="11033" max="11037" width="8.26953125" style="35" customWidth="1"/>
    <col min="11038" max="11264" width="8.7265625" style="35"/>
    <col min="11265" max="11265" width="10.90625" style="35" customWidth="1"/>
    <col min="11266" max="11266" width="10.08984375" style="35" customWidth="1"/>
    <col min="11267" max="11267" width="13.36328125" style="35" customWidth="1"/>
    <col min="11268" max="11280" width="6.08984375" style="35" customWidth="1"/>
    <col min="11281" max="11281" width="10.36328125" style="35" bestFit="1" customWidth="1"/>
    <col min="11282" max="11282" width="7.26953125" style="35" bestFit="1" customWidth="1"/>
    <col min="11283" max="11283" width="9" style="35" customWidth="1"/>
    <col min="11284" max="11285" width="10.36328125" style="35" customWidth="1"/>
    <col min="11286" max="11286" width="6.26953125" style="35" customWidth="1"/>
    <col min="11287" max="11287" width="11.08984375" style="35" customWidth="1"/>
    <col min="11288" max="11288" width="26.08984375" style="35" customWidth="1"/>
    <col min="11289" max="11293" width="8.26953125" style="35" customWidth="1"/>
    <col min="11294" max="11520" width="8.7265625" style="35"/>
    <col min="11521" max="11521" width="10.90625" style="35" customWidth="1"/>
    <col min="11522" max="11522" width="10.08984375" style="35" customWidth="1"/>
    <col min="11523" max="11523" width="13.36328125" style="35" customWidth="1"/>
    <col min="11524" max="11536" width="6.08984375" style="35" customWidth="1"/>
    <col min="11537" max="11537" width="10.36328125" style="35" bestFit="1" customWidth="1"/>
    <col min="11538" max="11538" width="7.26953125" style="35" bestFit="1" customWidth="1"/>
    <col min="11539" max="11539" width="9" style="35" customWidth="1"/>
    <col min="11540" max="11541" width="10.36328125" style="35" customWidth="1"/>
    <col min="11542" max="11542" width="6.26953125" style="35" customWidth="1"/>
    <col min="11543" max="11543" width="11.08984375" style="35" customWidth="1"/>
    <col min="11544" max="11544" width="26.08984375" style="35" customWidth="1"/>
    <col min="11545" max="11549" width="8.26953125" style="35" customWidth="1"/>
    <col min="11550" max="11776" width="8.7265625" style="35"/>
    <col min="11777" max="11777" width="10.90625" style="35" customWidth="1"/>
    <col min="11778" max="11778" width="10.08984375" style="35" customWidth="1"/>
    <col min="11779" max="11779" width="13.36328125" style="35" customWidth="1"/>
    <col min="11780" max="11792" width="6.08984375" style="35" customWidth="1"/>
    <col min="11793" max="11793" width="10.36328125" style="35" bestFit="1" customWidth="1"/>
    <col min="11794" max="11794" width="7.26953125" style="35" bestFit="1" customWidth="1"/>
    <col min="11795" max="11795" width="9" style="35" customWidth="1"/>
    <col min="11796" max="11797" width="10.36328125" style="35" customWidth="1"/>
    <col min="11798" max="11798" width="6.26953125" style="35" customWidth="1"/>
    <col min="11799" max="11799" width="11.08984375" style="35" customWidth="1"/>
    <col min="11800" max="11800" width="26.08984375" style="35" customWidth="1"/>
    <col min="11801" max="11805" width="8.26953125" style="35" customWidth="1"/>
    <col min="11806" max="12032" width="8.7265625" style="35"/>
    <col min="12033" max="12033" width="10.90625" style="35" customWidth="1"/>
    <col min="12034" max="12034" width="10.08984375" style="35" customWidth="1"/>
    <col min="12035" max="12035" width="13.36328125" style="35" customWidth="1"/>
    <col min="12036" max="12048" width="6.08984375" style="35" customWidth="1"/>
    <col min="12049" max="12049" width="10.36328125" style="35" bestFit="1" customWidth="1"/>
    <col min="12050" max="12050" width="7.26953125" style="35" bestFit="1" customWidth="1"/>
    <col min="12051" max="12051" width="9" style="35" customWidth="1"/>
    <col min="12052" max="12053" width="10.36328125" style="35" customWidth="1"/>
    <col min="12054" max="12054" width="6.26953125" style="35" customWidth="1"/>
    <col min="12055" max="12055" width="11.08984375" style="35" customWidth="1"/>
    <col min="12056" max="12056" width="26.08984375" style="35" customWidth="1"/>
    <col min="12057" max="12061" width="8.26953125" style="35" customWidth="1"/>
    <col min="12062" max="12288" width="8.7265625" style="35"/>
    <col min="12289" max="12289" width="10.90625" style="35" customWidth="1"/>
    <col min="12290" max="12290" width="10.08984375" style="35" customWidth="1"/>
    <col min="12291" max="12291" width="13.36328125" style="35" customWidth="1"/>
    <col min="12292" max="12304" width="6.08984375" style="35" customWidth="1"/>
    <col min="12305" max="12305" width="10.36328125" style="35" bestFit="1" customWidth="1"/>
    <col min="12306" max="12306" width="7.26953125" style="35" bestFit="1" customWidth="1"/>
    <col min="12307" max="12307" width="9" style="35" customWidth="1"/>
    <col min="12308" max="12309" width="10.36328125" style="35" customWidth="1"/>
    <col min="12310" max="12310" width="6.26953125" style="35" customWidth="1"/>
    <col min="12311" max="12311" width="11.08984375" style="35" customWidth="1"/>
    <col min="12312" max="12312" width="26.08984375" style="35" customWidth="1"/>
    <col min="12313" max="12317" width="8.26953125" style="35" customWidth="1"/>
    <col min="12318" max="12544" width="8.7265625" style="35"/>
    <col min="12545" max="12545" width="10.90625" style="35" customWidth="1"/>
    <col min="12546" max="12546" width="10.08984375" style="35" customWidth="1"/>
    <col min="12547" max="12547" width="13.36328125" style="35" customWidth="1"/>
    <col min="12548" max="12560" width="6.08984375" style="35" customWidth="1"/>
    <col min="12561" max="12561" width="10.36328125" style="35" bestFit="1" customWidth="1"/>
    <col min="12562" max="12562" width="7.26953125" style="35" bestFit="1" customWidth="1"/>
    <col min="12563" max="12563" width="9" style="35" customWidth="1"/>
    <col min="12564" max="12565" width="10.36328125" style="35" customWidth="1"/>
    <col min="12566" max="12566" width="6.26953125" style="35" customWidth="1"/>
    <col min="12567" max="12567" width="11.08984375" style="35" customWidth="1"/>
    <col min="12568" max="12568" width="26.08984375" style="35" customWidth="1"/>
    <col min="12569" max="12573" width="8.26953125" style="35" customWidth="1"/>
    <col min="12574" max="12800" width="8.7265625" style="35"/>
    <col min="12801" max="12801" width="10.90625" style="35" customWidth="1"/>
    <col min="12802" max="12802" width="10.08984375" style="35" customWidth="1"/>
    <col min="12803" max="12803" width="13.36328125" style="35" customWidth="1"/>
    <col min="12804" max="12816" width="6.08984375" style="35" customWidth="1"/>
    <col min="12817" max="12817" width="10.36328125" style="35" bestFit="1" customWidth="1"/>
    <col min="12818" max="12818" width="7.26953125" style="35" bestFit="1" customWidth="1"/>
    <col min="12819" max="12819" width="9" style="35" customWidth="1"/>
    <col min="12820" max="12821" width="10.36328125" style="35" customWidth="1"/>
    <col min="12822" max="12822" width="6.26953125" style="35" customWidth="1"/>
    <col min="12823" max="12823" width="11.08984375" style="35" customWidth="1"/>
    <col min="12824" max="12824" width="26.08984375" style="35" customWidth="1"/>
    <col min="12825" max="12829" width="8.26953125" style="35" customWidth="1"/>
    <col min="12830" max="13056" width="8.7265625" style="35"/>
    <col min="13057" max="13057" width="10.90625" style="35" customWidth="1"/>
    <col min="13058" max="13058" width="10.08984375" style="35" customWidth="1"/>
    <col min="13059" max="13059" width="13.36328125" style="35" customWidth="1"/>
    <col min="13060" max="13072" width="6.08984375" style="35" customWidth="1"/>
    <col min="13073" max="13073" width="10.36328125" style="35" bestFit="1" customWidth="1"/>
    <col min="13074" max="13074" width="7.26953125" style="35" bestFit="1" customWidth="1"/>
    <col min="13075" max="13075" width="9" style="35" customWidth="1"/>
    <col min="13076" max="13077" width="10.36328125" style="35" customWidth="1"/>
    <col min="13078" max="13078" width="6.26953125" style="35" customWidth="1"/>
    <col min="13079" max="13079" width="11.08984375" style="35" customWidth="1"/>
    <col min="13080" max="13080" width="26.08984375" style="35" customWidth="1"/>
    <col min="13081" max="13085" width="8.26953125" style="35" customWidth="1"/>
    <col min="13086" max="13312" width="8.7265625" style="35"/>
    <col min="13313" max="13313" width="10.90625" style="35" customWidth="1"/>
    <col min="13314" max="13314" width="10.08984375" style="35" customWidth="1"/>
    <col min="13315" max="13315" width="13.36328125" style="35" customWidth="1"/>
    <col min="13316" max="13328" width="6.08984375" style="35" customWidth="1"/>
    <col min="13329" max="13329" width="10.36328125" style="35" bestFit="1" customWidth="1"/>
    <col min="13330" max="13330" width="7.26953125" style="35" bestFit="1" customWidth="1"/>
    <col min="13331" max="13331" width="9" style="35" customWidth="1"/>
    <col min="13332" max="13333" width="10.36328125" style="35" customWidth="1"/>
    <col min="13334" max="13334" width="6.26953125" style="35" customWidth="1"/>
    <col min="13335" max="13335" width="11.08984375" style="35" customWidth="1"/>
    <col min="13336" max="13336" width="26.08984375" style="35" customWidth="1"/>
    <col min="13337" max="13341" width="8.26953125" style="35" customWidth="1"/>
    <col min="13342" max="13568" width="8.7265625" style="35"/>
    <col min="13569" max="13569" width="10.90625" style="35" customWidth="1"/>
    <col min="13570" max="13570" width="10.08984375" style="35" customWidth="1"/>
    <col min="13571" max="13571" width="13.36328125" style="35" customWidth="1"/>
    <col min="13572" max="13584" width="6.08984375" style="35" customWidth="1"/>
    <col min="13585" max="13585" width="10.36328125" style="35" bestFit="1" customWidth="1"/>
    <col min="13586" max="13586" width="7.26953125" style="35" bestFit="1" customWidth="1"/>
    <col min="13587" max="13587" width="9" style="35" customWidth="1"/>
    <col min="13588" max="13589" width="10.36328125" style="35" customWidth="1"/>
    <col min="13590" max="13590" width="6.26953125" style="35" customWidth="1"/>
    <col min="13591" max="13591" width="11.08984375" style="35" customWidth="1"/>
    <col min="13592" max="13592" width="26.08984375" style="35" customWidth="1"/>
    <col min="13593" max="13597" width="8.26953125" style="35" customWidth="1"/>
    <col min="13598" max="13824" width="8.7265625" style="35"/>
    <col min="13825" max="13825" width="10.90625" style="35" customWidth="1"/>
    <col min="13826" max="13826" width="10.08984375" style="35" customWidth="1"/>
    <col min="13827" max="13827" width="13.36328125" style="35" customWidth="1"/>
    <col min="13828" max="13840" width="6.08984375" style="35" customWidth="1"/>
    <col min="13841" max="13841" width="10.36328125" style="35" bestFit="1" customWidth="1"/>
    <col min="13842" max="13842" width="7.26953125" style="35" bestFit="1" customWidth="1"/>
    <col min="13843" max="13843" width="9" style="35" customWidth="1"/>
    <col min="13844" max="13845" width="10.36328125" style="35" customWidth="1"/>
    <col min="13846" max="13846" width="6.26953125" style="35" customWidth="1"/>
    <col min="13847" max="13847" width="11.08984375" style="35" customWidth="1"/>
    <col min="13848" max="13848" width="26.08984375" style="35" customWidth="1"/>
    <col min="13849" max="13853" width="8.26953125" style="35" customWidth="1"/>
    <col min="13854" max="14080" width="8.7265625" style="35"/>
    <col min="14081" max="14081" width="10.90625" style="35" customWidth="1"/>
    <col min="14082" max="14082" width="10.08984375" style="35" customWidth="1"/>
    <col min="14083" max="14083" width="13.36328125" style="35" customWidth="1"/>
    <col min="14084" max="14096" width="6.08984375" style="35" customWidth="1"/>
    <col min="14097" max="14097" width="10.36328125" style="35" bestFit="1" customWidth="1"/>
    <col min="14098" max="14098" width="7.26953125" style="35" bestFit="1" customWidth="1"/>
    <col min="14099" max="14099" width="9" style="35" customWidth="1"/>
    <col min="14100" max="14101" width="10.36328125" style="35" customWidth="1"/>
    <col min="14102" max="14102" width="6.26953125" style="35" customWidth="1"/>
    <col min="14103" max="14103" width="11.08984375" style="35" customWidth="1"/>
    <col min="14104" max="14104" width="26.08984375" style="35" customWidth="1"/>
    <col min="14105" max="14109" width="8.26953125" style="35" customWidth="1"/>
    <col min="14110" max="14336" width="8.7265625" style="35"/>
    <col min="14337" max="14337" width="10.90625" style="35" customWidth="1"/>
    <col min="14338" max="14338" width="10.08984375" style="35" customWidth="1"/>
    <col min="14339" max="14339" width="13.36328125" style="35" customWidth="1"/>
    <col min="14340" max="14352" width="6.08984375" style="35" customWidth="1"/>
    <col min="14353" max="14353" width="10.36328125" style="35" bestFit="1" customWidth="1"/>
    <col min="14354" max="14354" width="7.26953125" style="35" bestFit="1" customWidth="1"/>
    <col min="14355" max="14355" width="9" style="35" customWidth="1"/>
    <col min="14356" max="14357" width="10.36328125" style="35" customWidth="1"/>
    <col min="14358" max="14358" width="6.26953125" style="35" customWidth="1"/>
    <col min="14359" max="14359" width="11.08984375" style="35" customWidth="1"/>
    <col min="14360" max="14360" width="26.08984375" style="35" customWidth="1"/>
    <col min="14361" max="14365" width="8.26953125" style="35" customWidth="1"/>
    <col min="14366" max="14592" width="8.7265625" style="35"/>
    <col min="14593" max="14593" width="10.90625" style="35" customWidth="1"/>
    <col min="14594" max="14594" width="10.08984375" style="35" customWidth="1"/>
    <col min="14595" max="14595" width="13.36328125" style="35" customWidth="1"/>
    <col min="14596" max="14608" width="6.08984375" style="35" customWidth="1"/>
    <col min="14609" max="14609" width="10.36328125" style="35" bestFit="1" customWidth="1"/>
    <col min="14610" max="14610" width="7.26953125" style="35" bestFit="1" customWidth="1"/>
    <col min="14611" max="14611" width="9" style="35" customWidth="1"/>
    <col min="14612" max="14613" width="10.36328125" style="35" customWidth="1"/>
    <col min="14614" max="14614" width="6.26953125" style="35" customWidth="1"/>
    <col min="14615" max="14615" width="11.08984375" style="35" customWidth="1"/>
    <col min="14616" max="14616" width="26.08984375" style="35" customWidth="1"/>
    <col min="14617" max="14621" width="8.26953125" style="35" customWidth="1"/>
    <col min="14622" max="14848" width="8.7265625" style="35"/>
    <col min="14849" max="14849" width="10.90625" style="35" customWidth="1"/>
    <col min="14850" max="14850" width="10.08984375" style="35" customWidth="1"/>
    <col min="14851" max="14851" width="13.36328125" style="35" customWidth="1"/>
    <col min="14852" max="14864" width="6.08984375" style="35" customWidth="1"/>
    <col min="14865" max="14865" width="10.36328125" style="35" bestFit="1" customWidth="1"/>
    <col min="14866" max="14866" width="7.26953125" style="35" bestFit="1" customWidth="1"/>
    <col min="14867" max="14867" width="9" style="35" customWidth="1"/>
    <col min="14868" max="14869" width="10.36328125" style="35" customWidth="1"/>
    <col min="14870" max="14870" width="6.26953125" style="35" customWidth="1"/>
    <col min="14871" max="14871" width="11.08984375" style="35" customWidth="1"/>
    <col min="14872" max="14872" width="26.08984375" style="35" customWidth="1"/>
    <col min="14873" max="14877" width="8.26953125" style="35" customWidth="1"/>
    <col min="14878" max="15104" width="8.7265625" style="35"/>
    <col min="15105" max="15105" width="10.90625" style="35" customWidth="1"/>
    <col min="15106" max="15106" width="10.08984375" style="35" customWidth="1"/>
    <col min="15107" max="15107" width="13.36328125" style="35" customWidth="1"/>
    <col min="15108" max="15120" width="6.08984375" style="35" customWidth="1"/>
    <col min="15121" max="15121" width="10.36328125" style="35" bestFit="1" customWidth="1"/>
    <col min="15122" max="15122" width="7.26953125" style="35" bestFit="1" customWidth="1"/>
    <col min="15123" max="15123" width="9" style="35" customWidth="1"/>
    <col min="15124" max="15125" width="10.36328125" style="35" customWidth="1"/>
    <col min="15126" max="15126" width="6.26953125" style="35" customWidth="1"/>
    <col min="15127" max="15127" width="11.08984375" style="35" customWidth="1"/>
    <col min="15128" max="15128" width="26.08984375" style="35" customWidth="1"/>
    <col min="15129" max="15133" width="8.26953125" style="35" customWidth="1"/>
    <col min="15134" max="15360" width="8.7265625" style="35"/>
    <col min="15361" max="15361" width="10.90625" style="35" customWidth="1"/>
    <col min="15362" max="15362" width="10.08984375" style="35" customWidth="1"/>
    <col min="15363" max="15363" width="13.36328125" style="35" customWidth="1"/>
    <col min="15364" max="15376" width="6.08984375" style="35" customWidth="1"/>
    <col min="15377" max="15377" width="10.36328125" style="35" bestFit="1" customWidth="1"/>
    <col min="15378" max="15378" width="7.26953125" style="35" bestFit="1" customWidth="1"/>
    <col min="15379" max="15379" width="9" style="35" customWidth="1"/>
    <col min="15380" max="15381" width="10.36328125" style="35" customWidth="1"/>
    <col min="15382" max="15382" width="6.26953125" style="35" customWidth="1"/>
    <col min="15383" max="15383" width="11.08984375" style="35" customWidth="1"/>
    <col min="15384" max="15384" width="26.08984375" style="35" customWidth="1"/>
    <col min="15385" max="15389" width="8.26953125" style="35" customWidth="1"/>
    <col min="15390" max="15616" width="8.7265625" style="35"/>
    <col min="15617" max="15617" width="10.90625" style="35" customWidth="1"/>
    <col min="15618" max="15618" width="10.08984375" style="35" customWidth="1"/>
    <col min="15619" max="15619" width="13.36328125" style="35" customWidth="1"/>
    <col min="15620" max="15632" width="6.08984375" style="35" customWidth="1"/>
    <col min="15633" max="15633" width="10.36328125" style="35" bestFit="1" customWidth="1"/>
    <col min="15634" max="15634" width="7.26953125" style="35" bestFit="1" customWidth="1"/>
    <col min="15635" max="15635" width="9" style="35" customWidth="1"/>
    <col min="15636" max="15637" width="10.36328125" style="35" customWidth="1"/>
    <col min="15638" max="15638" width="6.26953125" style="35" customWidth="1"/>
    <col min="15639" max="15639" width="11.08984375" style="35" customWidth="1"/>
    <col min="15640" max="15640" width="26.08984375" style="35" customWidth="1"/>
    <col min="15641" max="15645" width="8.26953125" style="35" customWidth="1"/>
    <col min="15646" max="15872" width="8.7265625" style="35"/>
    <col min="15873" max="15873" width="10.90625" style="35" customWidth="1"/>
    <col min="15874" max="15874" width="10.08984375" style="35" customWidth="1"/>
    <col min="15875" max="15875" width="13.36328125" style="35" customWidth="1"/>
    <col min="15876" max="15888" width="6.08984375" style="35" customWidth="1"/>
    <col min="15889" max="15889" width="10.36328125" style="35" bestFit="1" customWidth="1"/>
    <col min="15890" max="15890" width="7.26953125" style="35" bestFit="1" customWidth="1"/>
    <col min="15891" max="15891" width="9" style="35" customWidth="1"/>
    <col min="15892" max="15893" width="10.36328125" style="35" customWidth="1"/>
    <col min="15894" max="15894" width="6.26953125" style="35" customWidth="1"/>
    <col min="15895" max="15895" width="11.08984375" style="35" customWidth="1"/>
    <col min="15896" max="15896" width="26.08984375" style="35" customWidth="1"/>
    <col min="15897" max="15901" width="8.26953125" style="35" customWidth="1"/>
    <col min="15902" max="16128" width="8.7265625" style="35"/>
    <col min="16129" max="16129" width="10.90625" style="35" customWidth="1"/>
    <col min="16130" max="16130" width="10.08984375" style="35" customWidth="1"/>
    <col min="16131" max="16131" width="13.36328125" style="35" customWidth="1"/>
    <col min="16132" max="16144" width="6.08984375" style="35" customWidth="1"/>
    <col min="16145" max="16145" width="10.36328125" style="35" bestFit="1" customWidth="1"/>
    <col min="16146" max="16146" width="7.26953125" style="35" bestFit="1" customWidth="1"/>
    <col min="16147" max="16147" width="9" style="35" customWidth="1"/>
    <col min="16148" max="16149" width="10.36328125" style="35" customWidth="1"/>
    <col min="16150" max="16150" width="6.26953125" style="35" customWidth="1"/>
    <col min="16151" max="16151" width="11.08984375" style="35" customWidth="1"/>
    <col min="16152" max="16152" width="26.08984375" style="35" customWidth="1"/>
    <col min="16153" max="16157" width="8.26953125" style="35" customWidth="1"/>
    <col min="16158" max="16384" width="8.7265625" style="35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90625" defaultRowHeight="16.100000000000001" x14ac:dyDescent="0.35"/>
  <cols>
    <col min="1" max="1" width="13.453125" style="1" bestFit="1" customWidth="1"/>
    <col min="2" max="2" width="9.08984375" style="1" customWidth="1"/>
    <col min="3" max="16384" width="8.90625" style="1"/>
  </cols>
  <sheetData>
    <row r="1" spans="1:2" x14ac:dyDescent="0.35">
      <c r="A1" s="1" t="s">
        <v>0</v>
      </c>
      <c r="B1" s="1" t="s">
        <v>6</v>
      </c>
    </row>
    <row r="2" spans="1:2" x14ac:dyDescent="0.35">
      <c r="A2" s="1" t="s">
        <v>1</v>
      </c>
    </row>
    <row r="3" spans="1:2" x14ac:dyDescent="0.35">
      <c r="A3" s="1" t="s">
        <v>9</v>
      </c>
    </row>
    <row r="4" spans="1:2" x14ac:dyDescent="0.35">
      <c r="A4" s="1" t="s">
        <v>10</v>
      </c>
    </row>
    <row r="5" spans="1:2" x14ac:dyDescent="0.35">
      <c r="A5" s="1" t="s">
        <v>2</v>
      </c>
    </row>
    <row r="6" spans="1:2" x14ac:dyDescent="0.35">
      <c r="A6" s="1" t="s">
        <v>3</v>
      </c>
      <c r="B6" s="1" t="b">
        <v>0</v>
      </c>
    </row>
    <row r="7" spans="1:2" x14ac:dyDescent="0.35">
      <c r="A7" s="1" t="s">
        <v>4</v>
      </c>
    </row>
    <row r="8" spans="1:2" x14ac:dyDescent="0.35">
      <c r="A8" s="1" t="s">
        <v>5</v>
      </c>
      <c r="B8" s="1" t="b">
        <v>0</v>
      </c>
    </row>
    <row r="13" spans="1:2" x14ac:dyDescent="0.35">
      <c r="A13" s="2" t="s">
        <v>7</v>
      </c>
    </row>
    <row r="14" spans="1:2" x14ac:dyDescent="0.35">
      <c r="A14" s="1" t="s">
        <v>11</v>
      </c>
    </row>
    <row r="15" spans="1:2" x14ac:dyDescent="0.35">
      <c r="A15" s="1" t="s">
        <v>12</v>
      </c>
    </row>
    <row r="16" spans="1:2" x14ac:dyDescent="0.35">
      <c r="A16" s="1" t="s">
        <v>8</v>
      </c>
    </row>
    <row r="17" spans="1:1" x14ac:dyDescent="0.3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Redundant of A in B</vt:lpstr>
      <vt:lpstr>CH B</vt:lpstr>
      <vt:lpstr>_xlwings.conf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2019-05-19T06:30:41Z</dcterms:modified>
</cp:coreProperties>
</file>